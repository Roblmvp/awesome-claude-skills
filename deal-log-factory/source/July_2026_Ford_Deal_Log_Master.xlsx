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unningtoyota-my.sharepoint.com/personal/rob_l_gallatinford_com/Documents/Apps/Desktop/"/>
    </mc:Choice>
  </mc:AlternateContent>
  <xr:revisionPtr revIDLastSave="0" documentId="8_{D99E7D83-D48F-4EE9-AA12-5ED304D6D472}" xr6:coauthVersionLast="47" xr6:coauthVersionMax="47" xr10:uidLastSave="{00000000-0000-0000-0000-000000000000}"/>
  <bookViews>
    <workbookView xWindow="-28920" yWindow="-90" windowWidth="29040" windowHeight="15720" activeTab="9" xr2:uid="{00000000-000D-0000-FFFF-FFFF00000000}"/>
  </bookViews>
  <sheets>
    <sheet name="Guide" sheetId="1" r:id="rId1"/>
    <sheet name="Goals" sheetId="2" r:id="rId2"/>
    <sheet name="Scoreboard" sheetId="3" r:id="rId3"/>
    <sheet name="Deal Explorer" sheetId="4" r:id="rId4"/>
    <sheet name="Commissions" sheetId="5" r:id="rId5"/>
    <sheet name="Pay Plan" sheetId="6" state="hidden" r:id="rId6"/>
    <sheet name="Dashboard" sheetId="7" r:id="rId7"/>
    <sheet name="Nightly Text" sheetId="8" r:id="rId8"/>
    <sheet name="Leaderboard" sheetId="9" r:id="rId9"/>
    <sheet name="Jul 1" sheetId="10" r:id="rId10"/>
    <sheet name="Jul 2" sheetId="11" r:id="rId11"/>
    <sheet name="Jul 3" sheetId="12" r:id="rId12"/>
    <sheet name="Jul 4" sheetId="13" r:id="rId13"/>
    <sheet name="Jul 5" sheetId="14" r:id="rId14"/>
    <sheet name="Jul 6" sheetId="15" r:id="rId15"/>
    <sheet name="Jul 7" sheetId="16" r:id="rId16"/>
    <sheet name="Jul 8" sheetId="17" r:id="rId17"/>
    <sheet name="Jul 9" sheetId="18" r:id="rId18"/>
    <sheet name="Jul 10" sheetId="19" r:id="rId19"/>
    <sheet name="Jul 11" sheetId="20" r:id="rId20"/>
    <sheet name="Jul 12" sheetId="21" r:id="rId21"/>
    <sheet name="Jul 13" sheetId="22" r:id="rId22"/>
    <sheet name="Jul 14" sheetId="23" r:id="rId23"/>
    <sheet name="Jul 15" sheetId="24" r:id="rId24"/>
    <sheet name="Jul 16" sheetId="25" r:id="rId25"/>
    <sheet name="Jul 17" sheetId="26" r:id="rId26"/>
    <sheet name="Jul 18" sheetId="27" r:id="rId27"/>
    <sheet name="Jul 19" sheetId="28" r:id="rId28"/>
    <sheet name="Jul 20" sheetId="29" r:id="rId29"/>
    <sheet name="Jul 21" sheetId="30" r:id="rId30"/>
    <sheet name="Jul 22" sheetId="31" r:id="rId31"/>
    <sheet name="Jul 23" sheetId="32" r:id="rId32"/>
    <sheet name="Jul 24" sheetId="33" r:id="rId33"/>
    <sheet name="Jul 25" sheetId="34" r:id="rId34"/>
    <sheet name="Jul 26" sheetId="35" r:id="rId35"/>
    <sheet name="Jul 27" sheetId="36" r:id="rId36"/>
    <sheet name="Jul 28" sheetId="37" r:id="rId37"/>
    <sheet name="Jul 29" sheetId="38" r:id="rId38"/>
    <sheet name="Jul 30" sheetId="39" r:id="rId39"/>
    <sheet name="Jul 31" sheetId="40" r:id="rId40"/>
    <sheet name="Trade Report" sheetId="41" r:id="rId41"/>
    <sheet name="Staff &amp; Lists" sheetId="42" r:id="rId42"/>
  </sheets>
  <definedNames>
    <definedName name="_xlnm._FilterDatabase" localSheetId="3" hidden="1">'Deal Explorer'!$A$7:$L$1092</definedName>
    <definedName name="ACURA">'Staff &amp; Lists'!$T$5:$T$22</definedName>
    <definedName name="AdSourceList">'Staff &amp; Lists'!$J$5:INDEX('Staff &amp; Lists'!$J$5:$J$204,COUNTA('Staff &amp; Lists'!$J$5:$J$204))</definedName>
    <definedName name="ALFA_ROMEO">'Staff &amp; Lists'!$U$5:$U$11</definedName>
    <definedName name="ASTON_MARTIN">'Staff &amp; Lists'!$V$5:$V$16</definedName>
    <definedName name="AUDI">'Staff &amp; Lists'!$W$5:$W$43</definedName>
    <definedName name="BENTLEY">'Staff &amp; Lists'!$X$5:$X$14</definedName>
    <definedName name="BMW">'Staff &amp; Lists'!$Y$5:$Y$56</definedName>
    <definedName name="BUICK">'Staff &amp; Lists'!$Z$5:$Z$24</definedName>
    <definedName name="CADILLAC">'Staff &amp; Lists'!$AA$5:$AA$32</definedName>
    <definedName name="CHEVROLET">'Staff &amp; Lists'!$AB$5:$AB$54</definedName>
    <definedName name="CHRYSLER">'Staff &amp; Lists'!$AC$5:$AC$21</definedName>
    <definedName name="DODGE">'Staff &amp; Lists'!$AD$5:$AD$30</definedName>
    <definedName name="FERRARI">'Staff &amp; Lists'!$AE$5:$AE$32</definedName>
    <definedName name="FIAT">'Staff &amp; Lists'!$AF$5:$AF$9</definedName>
    <definedName name="FinanceManagerList">'Staff &amp; Lists'!$G$5:INDEX('Staff &amp; Lists'!$G$5:$G$204,COUNTA('Staff &amp; Lists'!$G$5:$G$204))</definedName>
    <definedName name="FORD">'Staff &amp; Lists'!$AG$5:$AG$51</definedName>
    <definedName name="GENESIS">'Staff &amp; Lists'!$AH$5:$AH$12</definedName>
    <definedName name="GMC">'Staff &amp; Lists'!$AI$5:$AI$24</definedName>
    <definedName name="GoalGrossNew">Goals!$C$12</definedName>
    <definedName name="GoalGrossPerDay">Goals!$B$25</definedName>
    <definedName name="GoalGrossTotal">Goals!$C$14</definedName>
    <definedName name="GoalGrossUsed">Goals!$C$13</definedName>
    <definedName name="GoalPVRBack">Goals!$B$19</definedName>
    <definedName name="GoalPVRFront">Goals!$B$18</definedName>
    <definedName name="GoalPVRTotal">Goals!$B$20</definedName>
    <definedName name="GoalSellingDays">Goals!$C$8</definedName>
    <definedName name="GoalUnitsNew">Goals!$B$12</definedName>
    <definedName name="GoalUnitsPerDay">Goals!$B$24</definedName>
    <definedName name="GoalUnitsTotal">Goals!$B$14</definedName>
    <definedName name="GoalUnitsUsed">Goals!$B$13</definedName>
    <definedName name="HONDA">'Staff &amp; Lists'!$AJ$5:$AJ$23</definedName>
    <definedName name="HUMMER">'Staff &amp; Lists'!$AK$5:$AK$8</definedName>
    <definedName name="HYUNDAI">'Staff &amp; Lists'!$AL$5:$AL$29</definedName>
    <definedName name="INFINITI">'Staff &amp; Lists'!$AM$5:$AM$32</definedName>
    <definedName name="ISUZU">'Staff &amp; Lists'!$AN$5:$AN$16</definedName>
    <definedName name="JAGUAR">'Staff &amp; Lists'!$AO$5:$AO$21</definedName>
    <definedName name="JEEP">'Staff &amp; Lists'!$AP$5:$AP$19</definedName>
    <definedName name="KIA">'Staff &amp; Lists'!$AQ$5:$AQ$27</definedName>
    <definedName name="LAMBORGHINI">'Staff &amp; Lists'!$AR$5:$AR$13</definedName>
    <definedName name="LAND_ROVER">'Staff &amp; Lists'!$AS$5:$AS$15</definedName>
    <definedName name="LenderList">'Staff &amp; Lists'!$M$5:INDEX('Staff &amp; Lists'!$M$5:$M$204,COUNTA('Staff &amp; Lists'!$M$5:$M$204))</definedName>
    <definedName name="LEXUS">'Staff &amp; Lists'!$AT$5:$AT$53</definedName>
    <definedName name="LINCOLN">'Staff &amp; Lists'!$AU$5:$AU$20</definedName>
    <definedName name="LOTUS">'Staff &amp; Lists'!$AV$5:$AV$10</definedName>
    <definedName name="LUCID">'Staff &amp; Lists'!$AW$5:$AW$6</definedName>
    <definedName name="MakeList">'Staff &amp; Lists'!$R$5:$R$61</definedName>
    <definedName name="MASERATI">'Staff &amp; Lists'!$AX$5:$AX$14</definedName>
    <definedName name="MAZDA">'Staff &amp; Lists'!$AY$5:$AY$30</definedName>
    <definedName name="MCLAREN">'Staff &amp; Lists'!$AZ$5:$AZ$16</definedName>
    <definedName name="MERCEDES_BENZ">'Staff &amp; Lists'!$BA$5:$BA$40</definedName>
    <definedName name="MERCURY">'Staff &amp; Lists'!$BB$5:$BB$16</definedName>
    <definedName name="MINI">'Staff &amp; Lists'!$BC$5:$BC$15</definedName>
    <definedName name="MITSUBISHI">'Staff &amp; Lists'!$BD$5:$BD$19</definedName>
    <definedName name="N_ONLY">'Staff &amp; Lists'!$P$43</definedName>
    <definedName name="NISSAN">'Staff &amp; Lists'!$BE$5:$BE$33</definedName>
    <definedName name="OLDSMOBILE">'Staff &amp; Lists'!$BF$5:$BF$16</definedName>
    <definedName name="PLYMOUTH">'Staff &amp; Lists'!$BG$5:$BG$11</definedName>
    <definedName name="POLESTAR">'Staff &amp; Lists'!$BH$5:$BH$8</definedName>
    <definedName name="PONTIAC">'Staff &amp; Lists'!$BI$5:$BI$20</definedName>
    <definedName name="PORSCHE">'Staff &amp; Lists'!$BJ$5:$BJ$20</definedName>
    <definedName name="_xlnm.Print_Area" localSheetId="4">Commissions!$A$1:$R$32</definedName>
    <definedName name="_xlnm.Print_Area" localSheetId="6">Dashboard!$A$1:$R$60</definedName>
    <definedName name="_xlnm.Print_Area" localSheetId="3">'Deal Explorer'!$A$1:$L$1092</definedName>
    <definedName name="_xlnm.Print_Area" localSheetId="1">Goals!$A$1:$K$40</definedName>
    <definedName name="_xlnm.Print_Area" localSheetId="0">Guide!$A$1:$H$16</definedName>
    <definedName name="_xlnm.Print_Area" localSheetId="9">'Jul 1'!$A$1:$AH$70</definedName>
    <definedName name="_xlnm.Print_Area" localSheetId="18">'Jul 10'!$A$1:$AH$70</definedName>
    <definedName name="_xlnm.Print_Area" localSheetId="19">'Jul 11'!$A$1:$AH$70</definedName>
    <definedName name="_xlnm.Print_Area" localSheetId="20">'Jul 12'!$A$1:$AH$70</definedName>
    <definedName name="_xlnm.Print_Area" localSheetId="21">'Jul 13'!$A$1:$AH$70</definedName>
    <definedName name="_xlnm.Print_Area" localSheetId="22">'Jul 14'!$A$1:$AH$70</definedName>
    <definedName name="_xlnm.Print_Area" localSheetId="23">'Jul 15'!$A$1:$AH$70</definedName>
    <definedName name="_xlnm.Print_Area" localSheetId="24">'Jul 16'!$A$1:$AH$70</definedName>
    <definedName name="_xlnm.Print_Area" localSheetId="25">'Jul 17'!$A$1:$AH$70</definedName>
    <definedName name="_xlnm.Print_Area" localSheetId="26">'Jul 18'!$A$1:$AH$70</definedName>
    <definedName name="_xlnm.Print_Area" localSheetId="27">'Jul 19'!$A$1:$AH$70</definedName>
    <definedName name="_xlnm.Print_Area" localSheetId="10">'Jul 2'!$A$1:$AH$70</definedName>
    <definedName name="_xlnm.Print_Area" localSheetId="28">'Jul 20'!$A$1:$AH$70</definedName>
    <definedName name="_xlnm.Print_Area" localSheetId="29">'Jul 21'!$A$1:$AH$70</definedName>
    <definedName name="_xlnm.Print_Area" localSheetId="30">'Jul 22'!$A$1:$AH$70</definedName>
    <definedName name="_xlnm.Print_Area" localSheetId="31">'Jul 23'!$A$1:$AH$70</definedName>
    <definedName name="_xlnm.Print_Area" localSheetId="32">'Jul 24'!$A$1:$AH$70</definedName>
    <definedName name="_xlnm.Print_Area" localSheetId="33">'Jul 25'!$A$1:$AH$70</definedName>
    <definedName name="_xlnm.Print_Area" localSheetId="34">'Jul 26'!$A$1:$AH$70</definedName>
    <definedName name="_xlnm.Print_Area" localSheetId="35">'Jul 27'!$A$1:$AH$70</definedName>
    <definedName name="_xlnm.Print_Area" localSheetId="36">'Jul 28'!$A$1:$AH$70</definedName>
    <definedName name="_xlnm.Print_Area" localSheetId="37">'Jul 29'!$A$1:$AH$70</definedName>
    <definedName name="_xlnm.Print_Area" localSheetId="11">'Jul 3'!$A$1:$AH$70</definedName>
    <definedName name="_xlnm.Print_Area" localSheetId="38">'Jul 30'!$A$1:$AH$70</definedName>
    <definedName name="_xlnm.Print_Area" localSheetId="39">'Jul 31'!$A$1:$AH$70</definedName>
    <definedName name="_xlnm.Print_Area" localSheetId="12">'Jul 4'!$A$1:$AH$70</definedName>
    <definedName name="_xlnm.Print_Area" localSheetId="13">'Jul 5'!$A$1:$AH$70</definedName>
    <definedName name="_xlnm.Print_Area" localSheetId="14">'Jul 6'!$A$1:$AH$70</definedName>
    <definedName name="_xlnm.Print_Area" localSheetId="15">'Jul 7'!$A$1:$AH$70</definedName>
    <definedName name="_xlnm.Print_Area" localSheetId="16">'Jul 8'!$A$1:$AH$70</definedName>
    <definedName name="_xlnm.Print_Area" localSheetId="17">'Jul 9'!$A$1:$AH$70</definedName>
    <definedName name="_xlnm.Print_Area" localSheetId="8">Leaderboard!$A$1:$F$22</definedName>
    <definedName name="_xlnm.Print_Area" localSheetId="7">'Nightly Text'!$A$1:$K$56</definedName>
    <definedName name="_xlnm.Print_Area" localSheetId="5">'Pay Plan'!$A$1:$L$40</definedName>
    <definedName name="_xlnm.Print_Area" localSheetId="2">Scoreboard!$A$1:$F$32</definedName>
    <definedName name="_xlnm.Print_Area" localSheetId="41">'Staff &amp; Lists'!$A$1:$N$60</definedName>
    <definedName name="_xlnm.Print_Area" localSheetId="40">'Trade Report'!$A$1:$H$40</definedName>
    <definedName name="RAM">'Staff &amp; Lists'!$BK$5:$BK$13</definedName>
    <definedName name="RIVIAN">'Staff &amp; Lists'!$BL$5:$BL$8</definedName>
    <definedName name="ROLLS_ROYCE">'Staff &amp; Lists'!$BM$5:$BM$12</definedName>
    <definedName name="SAAB">'Staff &amp; Lists'!$BN$5:$BN$11</definedName>
    <definedName name="SalesManagerList">'Staff &amp; Lists'!$D$5:INDEX('Staff &amp; Lists'!$D$5:$D$204,COUNTA('Staff &amp; Lists'!$D$5:$D$204))</definedName>
    <definedName name="SalespeopleList">'Staff &amp; Lists'!$A$5:INDEX('Staff &amp; Lists'!$A$5:$A$204,COUNTA('Staff &amp; Lists'!$A$5:$A$204))</definedName>
    <definedName name="SATURN">'Staff &amp; Lists'!$BO$5:$BO$18</definedName>
    <definedName name="SCION">'Staff &amp; Lists'!$BP$5:$BP$12</definedName>
    <definedName name="SMART">'Staff &amp; Lists'!$BQ$5:$BQ$6</definedName>
    <definedName name="SUBARU">'Staff &amp; Lists'!$BR$5:$BR$20</definedName>
    <definedName name="SUZUKI">'Staff &amp; Lists'!$BS$5:$BS$19</definedName>
    <definedName name="TESLA">'Staff &amp; Lists'!$BT$5:$BT$10</definedName>
    <definedName name="TOYOTA">'Staff &amp; Lists'!$BU$5:$BU$47</definedName>
    <definedName name="VehicleYearList">'Staff &amp; Lists'!$P$5:$P$36</definedName>
    <definedName name="VINFAST">'Staff &amp; Lists'!$BV$5:$BV$6</definedName>
    <definedName name="VOLKSWAGEN">'Staff &amp; Lists'!$BW$5:$BW$30</definedName>
    <definedName name="VOLVO">'Staff &amp; Lists'!$BX$5:$BX$28</definedName>
    <definedName name="YN_LIST">'Staff &amp; Lists'!$P$40:$P$41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41" l="1"/>
  <c r="C65" i="40"/>
  <c r="C67" i="40" s="1"/>
  <c r="C64" i="40"/>
  <c r="C59" i="40"/>
  <c r="C58" i="40"/>
  <c r="E39" i="41" s="1"/>
  <c r="H39" i="41" s="1"/>
  <c r="C57" i="40"/>
  <c r="C56" i="40"/>
  <c r="C55" i="40"/>
  <c r="F39" i="41" s="1"/>
  <c r="C54" i="40"/>
  <c r="G50" i="40"/>
  <c r="E48" i="40"/>
  <c r="C48" i="40"/>
  <c r="G48" i="40" s="1"/>
  <c r="V34" i="7" s="1"/>
  <c r="E47" i="40"/>
  <c r="E49" i="40" s="1"/>
  <c r="C47" i="40"/>
  <c r="E46" i="40"/>
  <c r="C46" i="40"/>
  <c r="G46" i="40" s="1"/>
  <c r="L24" i="7" s="1"/>
  <c r="AL42" i="40"/>
  <c r="AI42" i="40"/>
  <c r="S42" i="40"/>
  <c r="M42" i="40"/>
  <c r="AL41" i="40"/>
  <c r="AI41" i="40"/>
  <c r="S41" i="40"/>
  <c r="M41" i="40"/>
  <c r="AL40" i="40"/>
  <c r="AI40" i="40"/>
  <c r="S40" i="40"/>
  <c r="M40" i="40"/>
  <c r="AL39" i="40"/>
  <c r="AI39" i="40"/>
  <c r="S39" i="40"/>
  <c r="M39" i="40"/>
  <c r="AL38" i="40"/>
  <c r="AI38" i="40"/>
  <c r="S38" i="40"/>
  <c r="M38" i="40"/>
  <c r="AL37" i="40"/>
  <c r="AI37" i="40"/>
  <c r="S37" i="40"/>
  <c r="M37" i="40"/>
  <c r="AL36" i="40"/>
  <c r="AI36" i="40"/>
  <c r="S36" i="40"/>
  <c r="M36" i="40"/>
  <c r="AL35" i="40"/>
  <c r="AI35" i="40"/>
  <c r="S35" i="40"/>
  <c r="M35" i="40"/>
  <c r="AL34" i="40"/>
  <c r="AI34" i="40"/>
  <c r="S34" i="40"/>
  <c r="M34" i="40"/>
  <c r="AL33" i="40"/>
  <c r="AI33" i="40"/>
  <c r="S33" i="40"/>
  <c r="M33" i="40"/>
  <c r="AL32" i="40"/>
  <c r="AI32" i="40"/>
  <c r="S32" i="40"/>
  <c r="M32" i="40"/>
  <c r="AL31" i="40"/>
  <c r="AI31" i="40"/>
  <c r="S31" i="40"/>
  <c r="M31" i="40"/>
  <c r="AL30" i="40"/>
  <c r="AI30" i="40"/>
  <c r="S30" i="40"/>
  <c r="M30" i="40"/>
  <c r="AL29" i="40"/>
  <c r="AI29" i="40"/>
  <c r="S29" i="40"/>
  <c r="M29" i="40"/>
  <c r="AL28" i="40"/>
  <c r="AI28" i="40"/>
  <c r="S28" i="40"/>
  <c r="M28" i="40"/>
  <c r="AL27" i="40"/>
  <c r="AI27" i="40"/>
  <c r="S27" i="40"/>
  <c r="M27" i="40"/>
  <c r="AL26" i="40"/>
  <c r="AI26" i="40"/>
  <c r="S26" i="40"/>
  <c r="M26" i="40"/>
  <c r="AL25" i="40"/>
  <c r="AI25" i="40"/>
  <c r="S25" i="40"/>
  <c r="M25" i="40"/>
  <c r="AL24" i="40"/>
  <c r="AI24" i="40"/>
  <c r="S24" i="40"/>
  <c r="M24" i="40"/>
  <c r="AL23" i="40"/>
  <c r="AI23" i="40"/>
  <c r="S23" i="40"/>
  <c r="M23" i="40"/>
  <c r="AL22" i="40"/>
  <c r="AI22" i="40"/>
  <c r="S22" i="40"/>
  <c r="M22" i="40"/>
  <c r="AL21" i="40"/>
  <c r="AI21" i="40"/>
  <c r="S21" i="40"/>
  <c r="M21" i="40"/>
  <c r="AL20" i="40"/>
  <c r="AI20" i="40"/>
  <c r="S20" i="40"/>
  <c r="M20" i="40"/>
  <c r="AL19" i="40"/>
  <c r="AI19" i="40"/>
  <c r="S19" i="40"/>
  <c r="M19" i="40"/>
  <c r="AL18" i="40"/>
  <c r="AI18" i="40"/>
  <c r="S18" i="40"/>
  <c r="M18" i="40"/>
  <c r="AL17" i="40"/>
  <c r="AI17" i="40"/>
  <c r="S17" i="40"/>
  <c r="M17" i="40"/>
  <c r="AL16" i="40"/>
  <c r="AI16" i="40"/>
  <c r="S16" i="40"/>
  <c r="M16" i="40"/>
  <c r="AL15" i="40"/>
  <c r="AI15" i="40"/>
  <c r="S15" i="40"/>
  <c r="M15" i="40"/>
  <c r="AL14" i="40"/>
  <c r="AI14" i="40"/>
  <c r="S14" i="40"/>
  <c r="M14" i="40"/>
  <c r="AL13" i="40"/>
  <c r="AI13" i="40"/>
  <c r="S13" i="40"/>
  <c r="M13" i="40"/>
  <c r="AL12" i="40"/>
  <c r="AI12" i="40"/>
  <c r="S12" i="40"/>
  <c r="M12" i="40"/>
  <c r="AL11" i="40"/>
  <c r="AI11" i="40"/>
  <c r="S11" i="40"/>
  <c r="M11" i="40"/>
  <c r="AL10" i="40"/>
  <c r="AI10" i="40"/>
  <c r="S10" i="40"/>
  <c r="M10" i="40"/>
  <c r="AL9" i="40"/>
  <c r="AI9" i="40"/>
  <c r="S9" i="40"/>
  <c r="M9" i="40"/>
  <c r="AL8" i="40"/>
  <c r="AI8" i="40"/>
  <c r="S8" i="40"/>
  <c r="M8" i="40"/>
  <c r="K3" i="40"/>
  <c r="I3" i="40"/>
  <c r="G3" i="40"/>
  <c r="E3" i="40"/>
  <c r="C3" i="40"/>
  <c r="A3" i="40"/>
  <c r="R1" i="40"/>
  <c r="C65" i="39"/>
  <c r="C67" i="39" s="1"/>
  <c r="C64" i="39"/>
  <c r="C59" i="39"/>
  <c r="C58" i="39"/>
  <c r="E38" i="41" s="1"/>
  <c r="H38" i="41" s="1"/>
  <c r="C57" i="39"/>
  <c r="C56" i="39"/>
  <c r="C55" i="39"/>
  <c r="F38" i="41" s="1"/>
  <c r="C54" i="39"/>
  <c r="G50" i="39"/>
  <c r="E48" i="39"/>
  <c r="C48" i="39"/>
  <c r="G48" i="39" s="1"/>
  <c r="V33" i="7" s="1"/>
  <c r="E47" i="39"/>
  <c r="E49" i="39" s="1"/>
  <c r="C47" i="39"/>
  <c r="E46" i="39"/>
  <c r="C46" i="39"/>
  <c r="G46" i="39" s="1"/>
  <c r="J24" i="7" s="1"/>
  <c r="AL42" i="39"/>
  <c r="AI42" i="39"/>
  <c r="S42" i="39"/>
  <c r="M42" i="39"/>
  <c r="AL41" i="39"/>
  <c r="AI41" i="39"/>
  <c r="S41" i="39"/>
  <c r="M41" i="39"/>
  <c r="AL40" i="39"/>
  <c r="AI40" i="39"/>
  <c r="S40" i="39"/>
  <c r="M40" i="39"/>
  <c r="AL39" i="39"/>
  <c r="AI39" i="39"/>
  <c r="S39" i="39"/>
  <c r="M39" i="39"/>
  <c r="AL38" i="39"/>
  <c r="AI38" i="39"/>
  <c r="S38" i="39"/>
  <c r="M38" i="39"/>
  <c r="AL37" i="39"/>
  <c r="AI37" i="39"/>
  <c r="S37" i="39"/>
  <c r="M37" i="39"/>
  <c r="AL36" i="39"/>
  <c r="AI36" i="39"/>
  <c r="S36" i="39"/>
  <c r="M36" i="39"/>
  <c r="AL35" i="39"/>
  <c r="AI35" i="39"/>
  <c r="S35" i="39"/>
  <c r="M35" i="39"/>
  <c r="AL34" i="39"/>
  <c r="AI34" i="39"/>
  <c r="S34" i="39"/>
  <c r="M34" i="39"/>
  <c r="AL33" i="39"/>
  <c r="AI33" i="39"/>
  <c r="S33" i="39"/>
  <c r="M33" i="39"/>
  <c r="AL32" i="39"/>
  <c r="AI32" i="39"/>
  <c r="S32" i="39"/>
  <c r="M32" i="39"/>
  <c r="AL31" i="39"/>
  <c r="AI31" i="39"/>
  <c r="S31" i="39"/>
  <c r="M31" i="39"/>
  <c r="AL30" i="39"/>
  <c r="AI30" i="39"/>
  <c r="S30" i="39"/>
  <c r="M30" i="39"/>
  <c r="AL29" i="39"/>
  <c r="AI29" i="39"/>
  <c r="S29" i="39"/>
  <c r="M29" i="39"/>
  <c r="AL28" i="39"/>
  <c r="AI28" i="39"/>
  <c r="S28" i="39"/>
  <c r="M28" i="39"/>
  <c r="AL27" i="39"/>
  <c r="AI27" i="39"/>
  <c r="S27" i="39"/>
  <c r="M27" i="39"/>
  <c r="AP26" i="39"/>
  <c r="AL26" i="39"/>
  <c r="AI26" i="39"/>
  <c r="S26" i="39"/>
  <c r="M26" i="39"/>
  <c r="AL25" i="39"/>
  <c r="AI25" i="39"/>
  <c r="S25" i="39"/>
  <c r="M25" i="39"/>
  <c r="AL24" i="39"/>
  <c r="AI24" i="39"/>
  <c r="S24" i="39"/>
  <c r="M24" i="39"/>
  <c r="AL23" i="39"/>
  <c r="AI23" i="39"/>
  <c r="S23" i="39"/>
  <c r="M23" i="39"/>
  <c r="AL22" i="39"/>
  <c r="AI22" i="39"/>
  <c r="S22" i="39"/>
  <c r="M22" i="39"/>
  <c r="AL21" i="39"/>
  <c r="AI21" i="39"/>
  <c r="S21" i="39"/>
  <c r="M21" i="39"/>
  <c r="AL20" i="39"/>
  <c r="AI20" i="39"/>
  <c r="S20" i="39"/>
  <c r="M20" i="39"/>
  <c r="AL19" i="39"/>
  <c r="AI19" i="39"/>
  <c r="S19" i="39"/>
  <c r="M19" i="39"/>
  <c r="AL18" i="39"/>
  <c r="AI18" i="39"/>
  <c r="S18" i="39"/>
  <c r="M18" i="39"/>
  <c r="AL17" i="39"/>
  <c r="AI17" i="39"/>
  <c r="S17" i="39"/>
  <c r="M17" i="39"/>
  <c r="AL16" i="39"/>
  <c r="AI16" i="39"/>
  <c r="S16" i="39"/>
  <c r="M16" i="39"/>
  <c r="AL15" i="39"/>
  <c r="AI15" i="39"/>
  <c r="S15" i="39"/>
  <c r="M15" i="39"/>
  <c r="AL14" i="39"/>
  <c r="AJ14" i="39"/>
  <c r="AI14" i="39"/>
  <c r="S14" i="39"/>
  <c r="M14" i="39"/>
  <c r="AL13" i="39"/>
  <c r="AI13" i="39"/>
  <c r="S13" i="39"/>
  <c r="M13" i="39"/>
  <c r="AL12" i="39"/>
  <c r="AI12" i="39"/>
  <c r="S12" i="39"/>
  <c r="M12" i="39"/>
  <c r="AL11" i="39"/>
  <c r="AI11" i="39"/>
  <c r="S11" i="39"/>
  <c r="M11" i="39"/>
  <c r="AL10" i="39"/>
  <c r="AI10" i="39"/>
  <c r="S10" i="39"/>
  <c r="M10" i="39"/>
  <c r="AL9" i="39"/>
  <c r="AI9" i="39"/>
  <c r="S9" i="39"/>
  <c r="M9" i="39"/>
  <c r="AL8" i="39"/>
  <c r="AI8" i="39"/>
  <c r="S8" i="39"/>
  <c r="M8" i="39"/>
  <c r="K3" i="39"/>
  <c r="I3" i="39"/>
  <c r="G3" i="39"/>
  <c r="E3" i="39"/>
  <c r="C3" i="39"/>
  <c r="A3" i="39"/>
  <c r="R1" i="39"/>
  <c r="C65" i="38"/>
  <c r="C67" i="38" s="1"/>
  <c r="C64" i="38"/>
  <c r="C59" i="38"/>
  <c r="C58" i="38"/>
  <c r="E37" i="41" s="1"/>
  <c r="H37" i="41" s="1"/>
  <c r="C57" i="38"/>
  <c r="C56" i="38"/>
  <c r="C55" i="38"/>
  <c r="F37" i="41" s="1"/>
  <c r="C54" i="38"/>
  <c r="G50" i="38"/>
  <c r="E48" i="38"/>
  <c r="C48" i="38"/>
  <c r="G48" i="38" s="1"/>
  <c r="V32" i="7" s="1"/>
  <c r="E47" i="38"/>
  <c r="E49" i="38" s="1"/>
  <c r="C47" i="38"/>
  <c r="E46" i="38"/>
  <c r="C46" i="38"/>
  <c r="G46" i="38" s="1"/>
  <c r="H24" i="7" s="1"/>
  <c r="AL42" i="38"/>
  <c r="AI42" i="38"/>
  <c r="S42" i="38"/>
  <c r="M42" i="38"/>
  <c r="AL41" i="38"/>
  <c r="AI41" i="38"/>
  <c r="S41" i="38"/>
  <c r="M41" i="38"/>
  <c r="AL40" i="38"/>
  <c r="AI40" i="38"/>
  <c r="S40" i="38"/>
  <c r="M40" i="38"/>
  <c r="AL39" i="38"/>
  <c r="AI39" i="38"/>
  <c r="S39" i="38"/>
  <c r="M39" i="38"/>
  <c r="AL38" i="38"/>
  <c r="AI38" i="38"/>
  <c r="S38" i="38"/>
  <c r="M38" i="38"/>
  <c r="AL37" i="38"/>
  <c r="AI37" i="38"/>
  <c r="S37" i="38"/>
  <c r="M37" i="38"/>
  <c r="AL36" i="38"/>
  <c r="AI36" i="38"/>
  <c r="S36" i="38"/>
  <c r="M36" i="38"/>
  <c r="AL35" i="38"/>
  <c r="AI35" i="38"/>
  <c r="S35" i="38"/>
  <c r="M35" i="38"/>
  <c r="AL34" i="38"/>
  <c r="AI34" i="38"/>
  <c r="S34" i="38"/>
  <c r="M34" i="38"/>
  <c r="AL33" i="38"/>
  <c r="AI33" i="38"/>
  <c r="S33" i="38"/>
  <c r="M33" i="38"/>
  <c r="AL32" i="38"/>
  <c r="AI32" i="38"/>
  <c r="S32" i="38"/>
  <c r="M32" i="38"/>
  <c r="AL31" i="38"/>
  <c r="AI31" i="38"/>
  <c r="S31" i="38"/>
  <c r="M31" i="38"/>
  <c r="AL30" i="38"/>
  <c r="AI30" i="38"/>
  <c r="S30" i="38"/>
  <c r="M30" i="38"/>
  <c r="AL29" i="38"/>
  <c r="AI29" i="38"/>
  <c r="S29" i="38"/>
  <c r="M29" i="38"/>
  <c r="AL28" i="38"/>
  <c r="AI28" i="38"/>
  <c r="S28" i="38"/>
  <c r="M28" i="38"/>
  <c r="AL27" i="38"/>
  <c r="AI27" i="38"/>
  <c r="S27" i="38"/>
  <c r="M27" i="38"/>
  <c r="AL26" i="38"/>
  <c r="AI26" i="38"/>
  <c r="S26" i="38"/>
  <c r="M26" i="38"/>
  <c r="AL25" i="38"/>
  <c r="AI25" i="38"/>
  <c r="S25" i="38"/>
  <c r="M25" i="38"/>
  <c r="AL24" i="38"/>
  <c r="AI24" i="38"/>
  <c r="S24" i="38"/>
  <c r="M24" i="38"/>
  <c r="AL23" i="38"/>
  <c r="AI23" i="38"/>
  <c r="S23" i="38"/>
  <c r="M23" i="38"/>
  <c r="AL22" i="38"/>
  <c r="AI22" i="38"/>
  <c r="S22" i="38"/>
  <c r="M22" i="38"/>
  <c r="AL21" i="38"/>
  <c r="AI21" i="38"/>
  <c r="S21" i="38"/>
  <c r="M21" i="38"/>
  <c r="AL20" i="38"/>
  <c r="AI20" i="38"/>
  <c r="S20" i="38"/>
  <c r="M20" i="38"/>
  <c r="AL19" i="38"/>
  <c r="AJ19" i="38"/>
  <c r="AI19" i="38"/>
  <c r="S19" i="38"/>
  <c r="J999" i="4" s="1"/>
  <c r="M19" i="38"/>
  <c r="I999" i="4" s="1"/>
  <c r="AL18" i="38"/>
  <c r="AI18" i="38"/>
  <c r="S18" i="38"/>
  <c r="J998" i="4" s="1"/>
  <c r="M18" i="38"/>
  <c r="I998" i="4" s="1"/>
  <c r="AL17" i="38"/>
  <c r="AI17" i="38"/>
  <c r="S17" i="38"/>
  <c r="J997" i="4" s="1"/>
  <c r="M17" i="38"/>
  <c r="I997" i="4" s="1"/>
  <c r="AL16" i="38"/>
  <c r="AI16" i="38"/>
  <c r="S16" i="38"/>
  <c r="J996" i="4" s="1"/>
  <c r="M16" i="38"/>
  <c r="I996" i="4" s="1"/>
  <c r="AL15" i="38"/>
  <c r="AI15" i="38"/>
  <c r="S15" i="38"/>
  <c r="J995" i="4" s="1"/>
  <c r="M15" i="38"/>
  <c r="I995" i="4" s="1"/>
  <c r="AL14" i="38"/>
  <c r="AI14" i="38"/>
  <c r="S14" i="38"/>
  <c r="J994" i="4" s="1"/>
  <c r="M14" i="38"/>
  <c r="I994" i="4" s="1"/>
  <c r="AL13" i="38"/>
  <c r="AI13" i="38"/>
  <c r="S13" i="38"/>
  <c r="J993" i="4" s="1"/>
  <c r="A993" i="4" s="1"/>
  <c r="M13" i="38"/>
  <c r="I993" i="4" s="1"/>
  <c r="AL12" i="38"/>
  <c r="AI12" i="38"/>
  <c r="S12" i="38"/>
  <c r="J992" i="4" s="1"/>
  <c r="A992" i="4" s="1"/>
  <c r="M12" i="38"/>
  <c r="I992" i="4" s="1"/>
  <c r="AL11" i="38"/>
  <c r="AI11" i="38"/>
  <c r="S11" i="38"/>
  <c r="J991" i="4" s="1"/>
  <c r="A991" i="4" s="1"/>
  <c r="M11" i="38"/>
  <c r="I991" i="4" s="1"/>
  <c r="AL10" i="38"/>
  <c r="AI10" i="38"/>
  <c r="S10" i="38"/>
  <c r="J990" i="4" s="1"/>
  <c r="A990" i="4" s="1"/>
  <c r="M10" i="38"/>
  <c r="I990" i="4" s="1"/>
  <c r="AL9" i="38"/>
  <c r="AI9" i="38"/>
  <c r="S9" i="38"/>
  <c r="J989" i="4" s="1"/>
  <c r="M9" i="38"/>
  <c r="I989" i="4" s="1"/>
  <c r="AL8" i="38"/>
  <c r="AI8" i="38"/>
  <c r="S8" i="38"/>
  <c r="J988" i="4" s="1"/>
  <c r="A988" i="4" s="1"/>
  <c r="M8" i="38"/>
  <c r="I988" i="4" s="1"/>
  <c r="K3" i="38"/>
  <c r="I3" i="38"/>
  <c r="G3" i="38"/>
  <c r="E3" i="38"/>
  <c r="C3" i="38"/>
  <c r="A3" i="38"/>
  <c r="R1" i="38"/>
  <c r="C65" i="37"/>
  <c r="C67" i="37" s="1"/>
  <c r="C64" i="37"/>
  <c r="C59" i="37"/>
  <c r="C58" i="37"/>
  <c r="E36" i="41" s="1"/>
  <c r="H36" i="41" s="1"/>
  <c r="C57" i="37"/>
  <c r="C56" i="37"/>
  <c r="C55" i="37"/>
  <c r="F36" i="41" s="1"/>
  <c r="C54" i="37"/>
  <c r="G50" i="37"/>
  <c r="E48" i="37"/>
  <c r="C48" i="37"/>
  <c r="G48" i="37" s="1"/>
  <c r="V31" i="7" s="1"/>
  <c r="E47" i="37"/>
  <c r="E49" i="37" s="1"/>
  <c r="C47" i="37"/>
  <c r="E46" i="37"/>
  <c r="C46" i="37"/>
  <c r="G46" i="37" s="1"/>
  <c r="F24" i="7" s="1"/>
  <c r="AL42" i="37"/>
  <c r="AI42" i="37"/>
  <c r="S42" i="37"/>
  <c r="J987" i="4" s="1"/>
  <c r="A987" i="4" s="1"/>
  <c r="M42" i="37"/>
  <c r="I987" i="4" s="1"/>
  <c r="AL41" i="37"/>
  <c r="AI41" i="37"/>
  <c r="S41" i="37"/>
  <c r="J986" i="4" s="1"/>
  <c r="A986" i="4" s="1"/>
  <c r="M41" i="37"/>
  <c r="I986" i="4" s="1"/>
  <c r="AL40" i="37"/>
  <c r="AI40" i="37"/>
  <c r="S40" i="37"/>
  <c r="J985" i="4" s="1"/>
  <c r="A985" i="4" s="1"/>
  <c r="M40" i="37"/>
  <c r="I985" i="4" s="1"/>
  <c r="AL39" i="37"/>
  <c r="AI39" i="37"/>
  <c r="S39" i="37"/>
  <c r="J984" i="4" s="1"/>
  <c r="A984" i="4" s="1"/>
  <c r="M39" i="37"/>
  <c r="I984" i="4" s="1"/>
  <c r="AL38" i="37"/>
  <c r="AI38" i="37"/>
  <c r="S38" i="37"/>
  <c r="J983" i="4" s="1"/>
  <c r="A983" i="4" s="1"/>
  <c r="M38" i="37"/>
  <c r="I983" i="4" s="1"/>
  <c r="AL37" i="37"/>
  <c r="AI37" i="37"/>
  <c r="S37" i="37"/>
  <c r="J982" i="4" s="1"/>
  <c r="A982" i="4" s="1"/>
  <c r="M37" i="37"/>
  <c r="I982" i="4" s="1"/>
  <c r="AL36" i="37"/>
  <c r="AI36" i="37"/>
  <c r="S36" i="37"/>
  <c r="J981" i="4" s="1"/>
  <c r="A981" i="4" s="1"/>
  <c r="M36" i="37"/>
  <c r="I981" i="4" s="1"/>
  <c r="AL35" i="37"/>
  <c r="AI35" i="37"/>
  <c r="S35" i="37"/>
  <c r="J980" i="4" s="1"/>
  <c r="A980" i="4" s="1"/>
  <c r="M35" i="37"/>
  <c r="I980" i="4" s="1"/>
  <c r="AL34" i="37"/>
  <c r="AI34" i="37"/>
  <c r="S34" i="37"/>
  <c r="J979" i="4" s="1"/>
  <c r="A979" i="4" s="1"/>
  <c r="M34" i="37"/>
  <c r="I979" i="4" s="1"/>
  <c r="AL33" i="37"/>
  <c r="AI33" i="37"/>
  <c r="S33" i="37"/>
  <c r="J978" i="4" s="1"/>
  <c r="M33" i="37"/>
  <c r="I978" i="4" s="1"/>
  <c r="AL32" i="37"/>
  <c r="AI32" i="37"/>
  <c r="S32" i="37"/>
  <c r="J977" i="4" s="1"/>
  <c r="A977" i="4" s="1"/>
  <c r="M32" i="37"/>
  <c r="I977" i="4" s="1"/>
  <c r="AL31" i="37"/>
  <c r="AI31" i="37"/>
  <c r="S31" i="37"/>
  <c r="J976" i="4" s="1"/>
  <c r="A976" i="4" s="1"/>
  <c r="M31" i="37"/>
  <c r="I976" i="4" s="1"/>
  <c r="AL30" i="37"/>
  <c r="AI30" i="37"/>
  <c r="S30" i="37"/>
  <c r="J975" i="4" s="1"/>
  <c r="A975" i="4" s="1"/>
  <c r="M30" i="37"/>
  <c r="I975" i="4" s="1"/>
  <c r="AL29" i="37"/>
  <c r="AI29" i="37"/>
  <c r="S29" i="37"/>
  <c r="J974" i="4" s="1"/>
  <c r="A974" i="4" s="1"/>
  <c r="M29" i="37"/>
  <c r="I974" i="4" s="1"/>
  <c r="AL28" i="37"/>
  <c r="AI28" i="37"/>
  <c r="S28" i="37"/>
  <c r="J973" i="4" s="1"/>
  <c r="A973" i="4" s="1"/>
  <c r="M28" i="37"/>
  <c r="I973" i="4" s="1"/>
  <c r="AL27" i="37"/>
  <c r="AI27" i="37"/>
  <c r="S27" i="37"/>
  <c r="J972" i="4" s="1"/>
  <c r="A972" i="4" s="1"/>
  <c r="M27" i="37"/>
  <c r="I972" i="4" s="1"/>
  <c r="AL26" i="37"/>
  <c r="AI26" i="37"/>
  <c r="S26" i="37"/>
  <c r="J971" i="4" s="1"/>
  <c r="A971" i="4" s="1"/>
  <c r="M26" i="37"/>
  <c r="I971" i="4" s="1"/>
  <c r="AL25" i="37"/>
  <c r="AI25" i="37"/>
  <c r="S25" i="37"/>
  <c r="J970" i="4" s="1"/>
  <c r="A970" i="4" s="1"/>
  <c r="M25" i="37"/>
  <c r="I970" i="4" s="1"/>
  <c r="AL24" i="37"/>
  <c r="AI24" i="37"/>
  <c r="S24" i="37"/>
  <c r="J969" i="4" s="1"/>
  <c r="A969" i="4" s="1"/>
  <c r="M24" i="37"/>
  <c r="I969" i="4" s="1"/>
  <c r="AL23" i="37"/>
  <c r="AI23" i="37"/>
  <c r="S23" i="37"/>
  <c r="J968" i="4" s="1"/>
  <c r="A968" i="4" s="1"/>
  <c r="M23" i="37"/>
  <c r="I968" i="4" s="1"/>
  <c r="AL22" i="37"/>
  <c r="AI22" i="37"/>
  <c r="S22" i="37"/>
  <c r="J967" i="4" s="1"/>
  <c r="A967" i="4" s="1"/>
  <c r="M22" i="37"/>
  <c r="I967" i="4" s="1"/>
  <c r="AL21" i="37"/>
  <c r="AI21" i="37"/>
  <c r="S21" i="37"/>
  <c r="J966" i="4" s="1"/>
  <c r="A966" i="4" s="1"/>
  <c r="M21" i="37"/>
  <c r="I966" i="4" s="1"/>
  <c r="AL20" i="37"/>
  <c r="AI20" i="37"/>
  <c r="S20" i="37"/>
  <c r="J965" i="4" s="1"/>
  <c r="A965" i="4" s="1"/>
  <c r="M20" i="37"/>
  <c r="I965" i="4" s="1"/>
  <c r="AL19" i="37"/>
  <c r="AI19" i="37"/>
  <c r="S19" i="37"/>
  <c r="J964" i="4" s="1"/>
  <c r="A964" i="4" s="1"/>
  <c r="M19" i="37"/>
  <c r="I964" i="4" s="1"/>
  <c r="AL18" i="37"/>
  <c r="AI18" i="37"/>
  <c r="S18" i="37"/>
  <c r="J963" i="4" s="1"/>
  <c r="A963" i="4" s="1"/>
  <c r="M18" i="37"/>
  <c r="I963" i="4" s="1"/>
  <c r="AL17" i="37"/>
  <c r="AI17" i="37"/>
  <c r="S17" i="37"/>
  <c r="J962" i="4" s="1"/>
  <c r="A962" i="4" s="1"/>
  <c r="M17" i="37"/>
  <c r="I962" i="4" s="1"/>
  <c r="AL16" i="37"/>
  <c r="AI16" i="37"/>
  <c r="S16" i="37"/>
  <c r="J961" i="4" s="1"/>
  <c r="A961" i="4" s="1"/>
  <c r="M16" i="37"/>
  <c r="I961" i="4" s="1"/>
  <c r="AL15" i="37"/>
  <c r="AI15" i="37"/>
  <c r="S15" i="37"/>
  <c r="J960" i="4" s="1"/>
  <c r="A960" i="4" s="1"/>
  <c r="M15" i="37"/>
  <c r="I960" i="4" s="1"/>
  <c r="AL14" i="37"/>
  <c r="AI14" i="37"/>
  <c r="S14" i="37"/>
  <c r="J959" i="4" s="1"/>
  <c r="A959" i="4" s="1"/>
  <c r="M14" i="37"/>
  <c r="I959" i="4" s="1"/>
  <c r="AL13" i="37"/>
  <c r="AI13" i="37"/>
  <c r="S13" i="37"/>
  <c r="J958" i="4" s="1"/>
  <c r="A958" i="4" s="1"/>
  <c r="M13" i="37"/>
  <c r="I958" i="4" s="1"/>
  <c r="AL12" i="37"/>
  <c r="AI12" i="37"/>
  <c r="S12" i="37"/>
  <c r="J957" i="4" s="1"/>
  <c r="A957" i="4" s="1"/>
  <c r="M12" i="37"/>
  <c r="I957" i="4" s="1"/>
  <c r="AL11" i="37"/>
  <c r="AI11" i="37"/>
  <c r="S11" i="37"/>
  <c r="J956" i="4" s="1"/>
  <c r="A956" i="4" s="1"/>
  <c r="M11" i="37"/>
  <c r="I956" i="4" s="1"/>
  <c r="AL10" i="37"/>
  <c r="AI10" i="37"/>
  <c r="S10" i="37"/>
  <c r="J955" i="4" s="1"/>
  <c r="A955" i="4" s="1"/>
  <c r="M10" i="37"/>
  <c r="I955" i="4" s="1"/>
  <c r="AL9" i="37"/>
  <c r="AI9" i="37"/>
  <c r="S9" i="37"/>
  <c r="J954" i="4" s="1"/>
  <c r="A954" i="4" s="1"/>
  <c r="M9" i="37"/>
  <c r="I954" i="4" s="1"/>
  <c r="AL8" i="37"/>
  <c r="AI8" i="37"/>
  <c r="S8" i="37"/>
  <c r="J953" i="4" s="1"/>
  <c r="A953" i="4" s="1"/>
  <c r="M8" i="37"/>
  <c r="I953" i="4" s="1"/>
  <c r="K3" i="37"/>
  <c r="I3" i="37"/>
  <c r="G3" i="37"/>
  <c r="E3" i="37"/>
  <c r="C3" i="37"/>
  <c r="A3" i="37"/>
  <c r="R1" i="37"/>
  <c r="C65" i="36"/>
  <c r="C67" i="36" s="1"/>
  <c r="C64" i="36"/>
  <c r="C59" i="36"/>
  <c r="C58" i="36"/>
  <c r="E35" i="41" s="1"/>
  <c r="H35" i="41" s="1"/>
  <c r="C57" i="36"/>
  <c r="C56" i="36"/>
  <c r="C55" i="36"/>
  <c r="F35" i="41" s="1"/>
  <c r="C54" i="36"/>
  <c r="G50" i="36"/>
  <c r="E48" i="36"/>
  <c r="C48" i="36"/>
  <c r="G48" i="36" s="1"/>
  <c r="V30" i="7" s="1"/>
  <c r="E47" i="36"/>
  <c r="E49" i="36" s="1"/>
  <c r="C47" i="36"/>
  <c r="E46" i="36"/>
  <c r="C46" i="36"/>
  <c r="G46" i="36" s="1"/>
  <c r="D24" i="7" s="1"/>
  <c r="AL42" i="36"/>
  <c r="AI42" i="36"/>
  <c r="S42" i="36"/>
  <c r="J952" i="4" s="1"/>
  <c r="A952" i="4" s="1"/>
  <c r="M42" i="36"/>
  <c r="I952" i="4" s="1"/>
  <c r="AL41" i="36"/>
  <c r="AI41" i="36"/>
  <c r="S41" i="36"/>
  <c r="J951" i="4" s="1"/>
  <c r="A951" i="4" s="1"/>
  <c r="M41" i="36"/>
  <c r="I951" i="4" s="1"/>
  <c r="AL40" i="36"/>
  <c r="AI40" i="36"/>
  <c r="S40" i="36"/>
  <c r="J950" i="4" s="1"/>
  <c r="A950" i="4" s="1"/>
  <c r="M40" i="36"/>
  <c r="I950" i="4" s="1"/>
  <c r="AL39" i="36"/>
  <c r="AI39" i="36"/>
  <c r="S39" i="36"/>
  <c r="J949" i="4" s="1"/>
  <c r="A949" i="4" s="1"/>
  <c r="M39" i="36"/>
  <c r="I949" i="4" s="1"/>
  <c r="AL38" i="36"/>
  <c r="AI38" i="36"/>
  <c r="S38" i="36"/>
  <c r="J948" i="4" s="1"/>
  <c r="A948" i="4" s="1"/>
  <c r="M38" i="36"/>
  <c r="I948" i="4" s="1"/>
  <c r="AL37" i="36"/>
  <c r="AI37" i="36"/>
  <c r="S37" i="36"/>
  <c r="J947" i="4" s="1"/>
  <c r="A947" i="4" s="1"/>
  <c r="M37" i="36"/>
  <c r="I947" i="4" s="1"/>
  <c r="AL36" i="36"/>
  <c r="AI36" i="36"/>
  <c r="S36" i="36"/>
  <c r="J946" i="4" s="1"/>
  <c r="A946" i="4" s="1"/>
  <c r="M36" i="36"/>
  <c r="I946" i="4" s="1"/>
  <c r="AL35" i="36"/>
  <c r="AI35" i="36"/>
  <c r="S35" i="36"/>
  <c r="J945" i="4" s="1"/>
  <c r="A945" i="4" s="1"/>
  <c r="M35" i="36"/>
  <c r="I945" i="4" s="1"/>
  <c r="AL34" i="36"/>
  <c r="AI34" i="36"/>
  <c r="S34" i="36"/>
  <c r="J944" i="4" s="1"/>
  <c r="A944" i="4" s="1"/>
  <c r="M34" i="36"/>
  <c r="I944" i="4" s="1"/>
  <c r="AL33" i="36"/>
  <c r="AI33" i="36"/>
  <c r="S33" i="36"/>
  <c r="J943" i="4" s="1"/>
  <c r="A943" i="4" s="1"/>
  <c r="M33" i="36"/>
  <c r="I943" i="4" s="1"/>
  <c r="AL32" i="36"/>
  <c r="AI32" i="36"/>
  <c r="S32" i="36"/>
  <c r="J942" i="4" s="1"/>
  <c r="A942" i="4" s="1"/>
  <c r="M32" i="36"/>
  <c r="I942" i="4" s="1"/>
  <c r="AL31" i="36"/>
  <c r="AI31" i="36"/>
  <c r="S31" i="36"/>
  <c r="J941" i="4" s="1"/>
  <c r="A941" i="4" s="1"/>
  <c r="M31" i="36"/>
  <c r="I941" i="4" s="1"/>
  <c r="AL30" i="36"/>
  <c r="AI30" i="36"/>
  <c r="S30" i="36"/>
  <c r="J940" i="4" s="1"/>
  <c r="A940" i="4" s="1"/>
  <c r="M30" i="36"/>
  <c r="I940" i="4" s="1"/>
  <c r="AL29" i="36"/>
  <c r="AI29" i="36"/>
  <c r="S29" i="36"/>
  <c r="J939" i="4" s="1"/>
  <c r="A939" i="4" s="1"/>
  <c r="M29" i="36"/>
  <c r="I939" i="4" s="1"/>
  <c r="AL28" i="36"/>
  <c r="AI28" i="36"/>
  <c r="S28" i="36"/>
  <c r="J938" i="4" s="1"/>
  <c r="A938" i="4" s="1"/>
  <c r="M28" i="36"/>
  <c r="I938" i="4" s="1"/>
  <c r="AL27" i="36"/>
  <c r="AI27" i="36"/>
  <c r="S27" i="36"/>
  <c r="J937" i="4" s="1"/>
  <c r="A937" i="4" s="1"/>
  <c r="M27" i="36"/>
  <c r="I937" i="4" s="1"/>
  <c r="AL26" i="36"/>
  <c r="AI26" i="36"/>
  <c r="S26" i="36"/>
  <c r="J936" i="4" s="1"/>
  <c r="A936" i="4" s="1"/>
  <c r="M26" i="36"/>
  <c r="I936" i="4" s="1"/>
  <c r="AL25" i="36"/>
  <c r="AI25" i="36"/>
  <c r="S25" i="36"/>
  <c r="J935" i="4" s="1"/>
  <c r="A935" i="4" s="1"/>
  <c r="M25" i="36"/>
  <c r="I935" i="4" s="1"/>
  <c r="AL24" i="36"/>
  <c r="AI24" i="36"/>
  <c r="S24" i="36"/>
  <c r="J934" i="4" s="1"/>
  <c r="A934" i="4" s="1"/>
  <c r="M24" i="36"/>
  <c r="I934" i="4" s="1"/>
  <c r="AL23" i="36"/>
  <c r="AI23" i="36"/>
  <c r="S23" i="36"/>
  <c r="J933" i="4" s="1"/>
  <c r="A933" i="4" s="1"/>
  <c r="M23" i="36"/>
  <c r="I933" i="4" s="1"/>
  <c r="AL22" i="36"/>
  <c r="AI22" i="36"/>
  <c r="S22" i="36"/>
  <c r="J932" i="4" s="1"/>
  <c r="A932" i="4" s="1"/>
  <c r="M22" i="36"/>
  <c r="I932" i="4" s="1"/>
  <c r="AL21" i="36"/>
  <c r="AI21" i="36"/>
  <c r="S21" i="36"/>
  <c r="J931" i="4" s="1"/>
  <c r="M21" i="36"/>
  <c r="I931" i="4" s="1"/>
  <c r="AL20" i="36"/>
  <c r="AI20" i="36"/>
  <c r="S20" i="36"/>
  <c r="J930" i="4" s="1"/>
  <c r="A930" i="4" s="1"/>
  <c r="M20" i="36"/>
  <c r="I930" i="4" s="1"/>
  <c r="AL19" i="36"/>
  <c r="AI19" i="36"/>
  <c r="S19" i="36"/>
  <c r="J929" i="4" s="1"/>
  <c r="A929" i="4" s="1"/>
  <c r="M19" i="36"/>
  <c r="I929" i="4" s="1"/>
  <c r="AL18" i="36"/>
  <c r="AI18" i="36"/>
  <c r="S18" i="36"/>
  <c r="J928" i="4" s="1"/>
  <c r="A928" i="4" s="1"/>
  <c r="M18" i="36"/>
  <c r="I928" i="4" s="1"/>
  <c r="AL17" i="36"/>
  <c r="AI17" i="36"/>
  <c r="S17" i="36"/>
  <c r="J927" i="4" s="1"/>
  <c r="A927" i="4" s="1"/>
  <c r="M17" i="36"/>
  <c r="I927" i="4" s="1"/>
  <c r="AL16" i="36"/>
  <c r="AI16" i="36"/>
  <c r="S16" i="36"/>
  <c r="J926" i="4" s="1"/>
  <c r="A926" i="4" s="1"/>
  <c r="M16" i="36"/>
  <c r="I926" i="4" s="1"/>
  <c r="AL15" i="36"/>
  <c r="AI15" i="36"/>
  <c r="S15" i="36"/>
  <c r="J925" i="4" s="1"/>
  <c r="A925" i="4" s="1"/>
  <c r="M15" i="36"/>
  <c r="I925" i="4" s="1"/>
  <c r="AL14" i="36"/>
  <c r="AI14" i="36"/>
  <c r="S14" i="36"/>
  <c r="J924" i="4" s="1"/>
  <c r="A924" i="4" s="1"/>
  <c r="M14" i="36"/>
  <c r="I924" i="4" s="1"/>
  <c r="AL13" i="36"/>
  <c r="AI13" i="36"/>
  <c r="S13" i="36"/>
  <c r="J923" i="4" s="1"/>
  <c r="A923" i="4" s="1"/>
  <c r="M13" i="36"/>
  <c r="I923" i="4" s="1"/>
  <c r="AL12" i="36"/>
  <c r="AI12" i="36"/>
  <c r="S12" i="36"/>
  <c r="J922" i="4" s="1"/>
  <c r="A922" i="4" s="1"/>
  <c r="M12" i="36"/>
  <c r="I922" i="4" s="1"/>
  <c r="AL11" i="36"/>
  <c r="AI11" i="36"/>
  <c r="S11" i="36"/>
  <c r="J921" i="4" s="1"/>
  <c r="M11" i="36"/>
  <c r="I921" i="4" s="1"/>
  <c r="AL10" i="36"/>
  <c r="AI10" i="36"/>
  <c r="S10" i="36"/>
  <c r="J920" i="4" s="1"/>
  <c r="A920" i="4" s="1"/>
  <c r="M10" i="36"/>
  <c r="I920" i="4" s="1"/>
  <c r="AL9" i="36"/>
  <c r="AI9" i="36"/>
  <c r="S9" i="36"/>
  <c r="J919" i="4" s="1"/>
  <c r="A919" i="4" s="1"/>
  <c r="M9" i="36"/>
  <c r="I919" i="4" s="1"/>
  <c r="AL8" i="36"/>
  <c r="AI8" i="36"/>
  <c r="S8" i="36"/>
  <c r="J918" i="4" s="1"/>
  <c r="A918" i="4" s="1"/>
  <c r="M8" i="36"/>
  <c r="I918" i="4" s="1"/>
  <c r="K3" i="36"/>
  <c r="I3" i="36"/>
  <c r="G3" i="36"/>
  <c r="E3" i="36"/>
  <c r="C3" i="36"/>
  <c r="A3" i="36"/>
  <c r="R1" i="36"/>
  <c r="C65" i="35"/>
  <c r="C67" i="35" s="1"/>
  <c r="C64" i="35"/>
  <c r="C59" i="35"/>
  <c r="C58" i="35"/>
  <c r="E34" i="41" s="1"/>
  <c r="H34" i="41" s="1"/>
  <c r="C57" i="35"/>
  <c r="C56" i="35"/>
  <c r="C55" i="35"/>
  <c r="F34" i="41" s="1"/>
  <c r="C54" i="35"/>
  <c r="G50" i="35"/>
  <c r="E48" i="35"/>
  <c r="C48" i="35"/>
  <c r="G48" i="35" s="1"/>
  <c r="V29" i="7" s="1"/>
  <c r="E47" i="35"/>
  <c r="E49" i="35" s="1"/>
  <c r="C47" i="35"/>
  <c r="E46" i="35"/>
  <c r="C46" i="35"/>
  <c r="G46" i="35" s="1"/>
  <c r="AL42" i="35"/>
  <c r="AI42" i="35"/>
  <c r="S42" i="35"/>
  <c r="J917" i="4" s="1"/>
  <c r="A917" i="4" s="1"/>
  <c r="M42" i="35"/>
  <c r="I917" i="4" s="1"/>
  <c r="AL41" i="35"/>
  <c r="AI41" i="35"/>
  <c r="S41" i="35"/>
  <c r="J916" i="4" s="1"/>
  <c r="A916" i="4" s="1"/>
  <c r="M41" i="35"/>
  <c r="I916" i="4" s="1"/>
  <c r="AL40" i="35"/>
  <c r="AI40" i="35"/>
  <c r="S40" i="35"/>
  <c r="J915" i="4" s="1"/>
  <c r="A915" i="4" s="1"/>
  <c r="M40" i="35"/>
  <c r="I915" i="4" s="1"/>
  <c r="AL39" i="35"/>
  <c r="AI39" i="35"/>
  <c r="S39" i="35"/>
  <c r="J914" i="4" s="1"/>
  <c r="A914" i="4" s="1"/>
  <c r="M39" i="35"/>
  <c r="I914" i="4" s="1"/>
  <c r="AL38" i="35"/>
  <c r="AI38" i="35"/>
  <c r="S38" i="35"/>
  <c r="J913" i="4" s="1"/>
  <c r="A913" i="4" s="1"/>
  <c r="M38" i="35"/>
  <c r="I913" i="4" s="1"/>
  <c r="AL37" i="35"/>
  <c r="AI37" i="35"/>
  <c r="S37" i="35"/>
  <c r="J912" i="4" s="1"/>
  <c r="A912" i="4" s="1"/>
  <c r="M37" i="35"/>
  <c r="I912" i="4" s="1"/>
  <c r="AL36" i="35"/>
  <c r="AI36" i="35"/>
  <c r="S36" i="35"/>
  <c r="J911" i="4" s="1"/>
  <c r="A911" i="4" s="1"/>
  <c r="M36" i="35"/>
  <c r="I911" i="4" s="1"/>
  <c r="AL35" i="35"/>
  <c r="AI35" i="35"/>
  <c r="S35" i="35"/>
  <c r="J910" i="4" s="1"/>
  <c r="A910" i="4" s="1"/>
  <c r="M35" i="35"/>
  <c r="I910" i="4" s="1"/>
  <c r="AL34" i="35"/>
  <c r="AI34" i="35"/>
  <c r="S34" i="35"/>
  <c r="J909" i="4" s="1"/>
  <c r="A909" i="4" s="1"/>
  <c r="M34" i="35"/>
  <c r="I909" i="4" s="1"/>
  <c r="AL33" i="35"/>
  <c r="AI33" i="35"/>
  <c r="S33" i="35"/>
  <c r="J908" i="4" s="1"/>
  <c r="A908" i="4" s="1"/>
  <c r="M33" i="35"/>
  <c r="I908" i="4" s="1"/>
  <c r="AL32" i="35"/>
  <c r="AI32" i="35"/>
  <c r="S32" i="35"/>
  <c r="J907" i="4" s="1"/>
  <c r="A907" i="4" s="1"/>
  <c r="M32" i="35"/>
  <c r="I907" i="4" s="1"/>
  <c r="AL31" i="35"/>
  <c r="AI31" i="35"/>
  <c r="S31" i="35"/>
  <c r="J906" i="4" s="1"/>
  <c r="A906" i="4" s="1"/>
  <c r="M31" i="35"/>
  <c r="I906" i="4" s="1"/>
  <c r="AL30" i="35"/>
  <c r="AI30" i="35"/>
  <c r="S30" i="35"/>
  <c r="J905" i="4" s="1"/>
  <c r="A905" i="4" s="1"/>
  <c r="M30" i="35"/>
  <c r="I905" i="4" s="1"/>
  <c r="AL29" i="35"/>
  <c r="AI29" i="35"/>
  <c r="S29" i="35"/>
  <c r="J904" i="4" s="1"/>
  <c r="A904" i="4" s="1"/>
  <c r="M29" i="35"/>
  <c r="I904" i="4" s="1"/>
  <c r="AL28" i="35"/>
  <c r="AI28" i="35"/>
  <c r="S28" i="35"/>
  <c r="J903" i="4" s="1"/>
  <c r="A903" i="4" s="1"/>
  <c r="M28" i="35"/>
  <c r="I903" i="4" s="1"/>
  <c r="AL27" i="35"/>
  <c r="AI27" i="35"/>
  <c r="S27" i="35"/>
  <c r="J902" i="4" s="1"/>
  <c r="A902" i="4" s="1"/>
  <c r="M27" i="35"/>
  <c r="I902" i="4" s="1"/>
  <c r="AL26" i="35"/>
  <c r="AI26" i="35"/>
  <c r="S26" i="35"/>
  <c r="J901" i="4" s="1"/>
  <c r="A901" i="4" s="1"/>
  <c r="M26" i="35"/>
  <c r="I901" i="4" s="1"/>
  <c r="AL25" i="35"/>
  <c r="AI25" i="35"/>
  <c r="S25" i="35"/>
  <c r="J900" i="4" s="1"/>
  <c r="A900" i="4" s="1"/>
  <c r="M25" i="35"/>
  <c r="I900" i="4" s="1"/>
  <c r="AL24" i="35"/>
  <c r="AI24" i="35"/>
  <c r="S24" i="35"/>
  <c r="J899" i="4" s="1"/>
  <c r="A899" i="4" s="1"/>
  <c r="M24" i="35"/>
  <c r="I899" i="4" s="1"/>
  <c r="AL23" i="35"/>
  <c r="AI23" i="35"/>
  <c r="S23" i="35"/>
  <c r="J898" i="4" s="1"/>
  <c r="A898" i="4" s="1"/>
  <c r="M23" i="35"/>
  <c r="I898" i="4" s="1"/>
  <c r="AL22" i="35"/>
  <c r="AI22" i="35"/>
  <c r="S22" i="35"/>
  <c r="J897" i="4" s="1"/>
  <c r="A897" i="4" s="1"/>
  <c r="M22" i="35"/>
  <c r="I897" i="4" s="1"/>
  <c r="AL21" i="35"/>
  <c r="AI21" i="35"/>
  <c r="S21" i="35"/>
  <c r="J896" i="4" s="1"/>
  <c r="A896" i="4" s="1"/>
  <c r="M21" i="35"/>
  <c r="I896" i="4" s="1"/>
  <c r="AL20" i="35"/>
  <c r="AI20" i="35"/>
  <c r="S20" i="35"/>
  <c r="J895" i="4" s="1"/>
  <c r="A895" i="4" s="1"/>
  <c r="M20" i="35"/>
  <c r="I895" i="4" s="1"/>
  <c r="AL19" i="35"/>
  <c r="AI19" i="35"/>
  <c r="S19" i="35"/>
  <c r="J894" i="4" s="1"/>
  <c r="A894" i="4" s="1"/>
  <c r="M19" i="35"/>
  <c r="I894" i="4" s="1"/>
  <c r="AL18" i="35"/>
  <c r="AI18" i="35"/>
  <c r="S18" i="35"/>
  <c r="J893" i="4" s="1"/>
  <c r="A893" i="4" s="1"/>
  <c r="M18" i="35"/>
  <c r="I893" i="4" s="1"/>
  <c r="AL17" i="35"/>
  <c r="AI17" i="35"/>
  <c r="S17" i="35"/>
  <c r="J892" i="4" s="1"/>
  <c r="A892" i="4" s="1"/>
  <c r="M17" i="35"/>
  <c r="I892" i="4" s="1"/>
  <c r="AL16" i="35"/>
  <c r="AI16" i="35"/>
  <c r="S16" i="35"/>
  <c r="J891" i="4" s="1"/>
  <c r="A891" i="4" s="1"/>
  <c r="M16" i="35"/>
  <c r="I891" i="4" s="1"/>
  <c r="AL15" i="35"/>
  <c r="AI15" i="35"/>
  <c r="S15" i="35"/>
  <c r="J890" i="4" s="1"/>
  <c r="A890" i="4" s="1"/>
  <c r="M15" i="35"/>
  <c r="I890" i="4" s="1"/>
  <c r="AL14" i="35"/>
  <c r="AI14" i="35"/>
  <c r="S14" i="35"/>
  <c r="J889" i="4" s="1"/>
  <c r="A889" i="4" s="1"/>
  <c r="M14" i="35"/>
  <c r="I889" i="4" s="1"/>
  <c r="AL13" i="35"/>
  <c r="AI13" i="35"/>
  <c r="S13" i="35"/>
  <c r="J888" i="4" s="1"/>
  <c r="M13" i="35"/>
  <c r="I888" i="4" s="1"/>
  <c r="AL12" i="35"/>
  <c r="AI12" i="35"/>
  <c r="S12" i="35"/>
  <c r="J887" i="4" s="1"/>
  <c r="A887" i="4" s="1"/>
  <c r="M12" i="35"/>
  <c r="I887" i="4" s="1"/>
  <c r="AL11" i="35"/>
  <c r="AI11" i="35"/>
  <c r="S11" i="35"/>
  <c r="J886" i="4" s="1"/>
  <c r="A886" i="4" s="1"/>
  <c r="M11" i="35"/>
  <c r="I886" i="4" s="1"/>
  <c r="AL10" i="35"/>
  <c r="AI10" i="35"/>
  <c r="S10" i="35"/>
  <c r="J885" i="4" s="1"/>
  <c r="A885" i="4" s="1"/>
  <c r="M10" i="35"/>
  <c r="I885" i="4" s="1"/>
  <c r="AL9" i="35"/>
  <c r="AI9" i="35"/>
  <c r="S9" i="35"/>
  <c r="J884" i="4" s="1"/>
  <c r="M9" i="35"/>
  <c r="I884" i="4" s="1"/>
  <c r="AL8" i="35"/>
  <c r="AI8" i="35"/>
  <c r="S8" i="35"/>
  <c r="J883" i="4" s="1"/>
  <c r="A883" i="4" s="1"/>
  <c r="M8" i="35"/>
  <c r="I883" i="4" s="1"/>
  <c r="K3" i="35"/>
  <c r="I3" i="35"/>
  <c r="G3" i="35"/>
  <c r="E3" i="35"/>
  <c r="C3" i="35"/>
  <c r="A3" i="35"/>
  <c r="R1" i="35"/>
  <c r="C65" i="34"/>
  <c r="C67" i="34" s="1"/>
  <c r="C64" i="34"/>
  <c r="C59" i="34"/>
  <c r="C58" i="34"/>
  <c r="E33" i="41" s="1"/>
  <c r="H33" i="41" s="1"/>
  <c r="C57" i="34"/>
  <c r="C56" i="34"/>
  <c r="C55" i="34"/>
  <c r="F33" i="41" s="1"/>
  <c r="C54" i="34"/>
  <c r="G50" i="34"/>
  <c r="E48" i="34"/>
  <c r="C48" i="34"/>
  <c r="G48" i="34" s="1"/>
  <c r="V28" i="7" s="1"/>
  <c r="E47" i="34"/>
  <c r="E49" i="34" s="1"/>
  <c r="C47" i="34"/>
  <c r="E46" i="34"/>
  <c r="C46" i="34"/>
  <c r="G46" i="34" s="1"/>
  <c r="N22" i="7" s="1"/>
  <c r="AL42" i="34"/>
  <c r="AI42" i="34"/>
  <c r="S42" i="34"/>
  <c r="J882" i="4" s="1"/>
  <c r="A882" i="4" s="1"/>
  <c r="M42" i="34"/>
  <c r="I882" i="4" s="1"/>
  <c r="AL41" i="34"/>
  <c r="AI41" i="34"/>
  <c r="S41" i="34"/>
  <c r="J881" i="4" s="1"/>
  <c r="A881" i="4" s="1"/>
  <c r="M41" i="34"/>
  <c r="I881" i="4" s="1"/>
  <c r="AL40" i="34"/>
  <c r="AI40" i="34"/>
  <c r="S40" i="34"/>
  <c r="J880" i="4" s="1"/>
  <c r="A880" i="4" s="1"/>
  <c r="M40" i="34"/>
  <c r="I880" i="4" s="1"/>
  <c r="AL39" i="34"/>
  <c r="AI39" i="34"/>
  <c r="S39" i="34"/>
  <c r="J879" i="4" s="1"/>
  <c r="A879" i="4" s="1"/>
  <c r="M39" i="34"/>
  <c r="I879" i="4" s="1"/>
  <c r="AL38" i="34"/>
  <c r="AI38" i="34"/>
  <c r="S38" i="34"/>
  <c r="J878" i="4" s="1"/>
  <c r="A878" i="4" s="1"/>
  <c r="M38" i="34"/>
  <c r="I878" i="4" s="1"/>
  <c r="AL37" i="34"/>
  <c r="AI37" i="34"/>
  <c r="S37" i="34"/>
  <c r="J877" i="4" s="1"/>
  <c r="A877" i="4" s="1"/>
  <c r="M37" i="34"/>
  <c r="I877" i="4" s="1"/>
  <c r="AL36" i="34"/>
  <c r="AI36" i="34"/>
  <c r="S36" i="34"/>
  <c r="J876" i="4" s="1"/>
  <c r="A876" i="4" s="1"/>
  <c r="M36" i="34"/>
  <c r="I876" i="4" s="1"/>
  <c r="AL35" i="34"/>
  <c r="AI35" i="34"/>
  <c r="S35" i="34"/>
  <c r="J875" i="4" s="1"/>
  <c r="A875" i="4" s="1"/>
  <c r="M35" i="34"/>
  <c r="I875" i="4" s="1"/>
  <c r="AL34" i="34"/>
  <c r="AI34" i="34"/>
  <c r="S34" i="34"/>
  <c r="J874" i="4" s="1"/>
  <c r="A874" i="4" s="1"/>
  <c r="M34" i="34"/>
  <c r="I874" i="4" s="1"/>
  <c r="AL33" i="34"/>
  <c r="AI33" i="34"/>
  <c r="S33" i="34"/>
  <c r="J873" i="4" s="1"/>
  <c r="A873" i="4" s="1"/>
  <c r="M33" i="34"/>
  <c r="I873" i="4" s="1"/>
  <c r="AL32" i="34"/>
  <c r="AI32" i="34"/>
  <c r="S32" i="34"/>
  <c r="J872" i="4" s="1"/>
  <c r="A872" i="4" s="1"/>
  <c r="M32" i="34"/>
  <c r="I872" i="4" s="1"/>
  <c r="AL31" i="34"/>
  <c r="AI31" i="34"/>
  <c r="S31" i="34"/>
  <c r="J871" i="4" s="1"/>
  <c r="A871" i="4" s="1"/>
  <c r="M31" i="34"/>
  <c r="I871" i="4" s="1"/>
  <c r="AL30" i="34"/>
  <c r="AI30" i="34"/>
  <c r="S30" i="34"/>
  <c r="J870" i="4" s="1"/>
  <c r="A870" i="4" s="1"/>
  <c r="M30" i="34"/>
  <c r="I870" i="4" s="1"/>
  <c r="AL29" i="34"/>
  <c r="AI29" i="34"/>
  <c r="S29" i="34"/>
  <c r="J869" i="4" s="1"/>
  <c r="A869" i="4" s="1"/>
  <c r="M29" i="34"/>
  <c r="I869" i="4" s="1"/>
  <c r="AL28" i="34"/>
  <c r="AI28" i="34"/>
  <c r="S28" i="34"/>
  <c r="J868" i="4" s="1"/>
  <c r="A868" i="4" s="1"/>
  <c r="M28" i="34"/>
  <c r="I868" i="4" s="1"/>
  <c r="AL27" i="34"/>
  <c r="AI27" i="34"/>
  <c r="S27" i="34"/>
  <c r="J867" i="4" s="1"/>
  <c r="A867" i="4" s="1"/>
  <c r="M27" i="34"/>
  <c r="I867" i="4" s="1"/>
  <c r="AL26" i="34"/>
  <c r="AI26" i="34"/>
  <c r="S26" i="34"/>
  <c r="J866" i="4" s="1"/>
  <c r="A866" i="4" s="1"/>
  <c r="M26" i="34"/>
  <c r="I866" i="4" s="1"/>
  <c r="AL25" i="34"/>
  <c r="AI25" i="34"/>
  <c r="S25" i="34"/>
  <c r="J865" i="4" s="1"/>
  <c r="A865" i="4" s="1"/>
  <c r="M25" i="34"/>
  <c r="I865" i="4" s="1"/>
  <c r="AL24" i="34"/>
  <c r="AI24" i="34"/>
  <c r="S24" i="34"/>
  <c r="J864" i="4" s="1"/>
  <c r="A864" i="4" s="1"/>
  <c r="M24" i="34"/>
  <c r="I864" i="4" s="1"/>
  <c r="AL23" i="34"/>
  <c r="AI23" i="34"/>
  <c r="S23" i="34"/>
  <c r="J863" i="4" s="1"/>
  <c r="A863" i="4" s="1"/>
  <c r="M23" i="34"/>
  <c r="I863" i="4" s="1"/>
  <c r="AL22" i="34"/>
  <c r="AI22" i="34"/>
  <c r="S22" i="34"/>
  <c r="J862" i="4" s="1"/>
  <c r="A862" i="4" s="1"/>
  <c r="M22" i="34"/>
  <c r="I862" i="4" s="1"/>
  <c r="AL21" i="34"/>
  <c r="AI21" i="34"/>
  <c r="S21" i="34"/>
  <c r="J861" i="4" s="1"/>
  <c r="A861" i="4" s="1"/>
  <c r="M21" i="34"/>
  <c r="I861" i="4" s="1"/>
  <c r="AL20" i="34"/>
  <c r="AI20" i="34"/>
  <c r="S20" i="34"/>
  <c r="J860" i="4" s="1"/>
  <c r="A860" i="4" s="1"/>
  <c r="M20" i="34"/>
  <c r="I860" i="4" s="1"/>
  <c r="AL19" i="34"/>
  <c r="AI19" i="34"/>
  <c r="S19" i="34"/>
  <c r="J859" i="4" s="1"/>
  <c r="A859" i="4" s="1"/>
  <c r="M19" i="34"/>
  <c r="I859" i="4" s="1"/>
  <c r="AL18" i="34"/>
  <c r="AI18" i="34"/>
  <c r="S18" i="34"/>
  <c r="J858" i="4" s="1"/>
  <c r="A858" i="4" s="1"/>
  <c r="M18" i="34"/>
  <c r="I858" i="4" s="1"/>
  <c r="AL17" i="34"/>
  <c r="AI17" i="34"/>
  <c r="S17" i="34"/>
  <c r="J857" i="4" s="1"/>
  <c r="A857" i="4" s="1"/>
  <c r="M17" i="34"/>
  <c r="I857" i="4" s="1"/>
  <c r="AL16" i="34"/>
  <c r="AI16" i="34"/>
  <c r="S16" i="34"/>
  <c r="J856" i="4" s="1"/>
  <c r="A856" i="4" s="1"/>
  <c r="M16" i="34"/>
  <c r="I856" i="4" s="1"/>
  <c r="AL15" i="34"/>
  <c r="AI15" i="34"/>
  <c r="S15" i="34"/>
  <c r="J855" i="4" s="1"/>
  <c r="A855" i="4" s="1"/>
  <c r="M15" i="34"/>
  <c r="I855" i="4" s="1"/>
  <c r="AL14" i="34"/>
  <c r="AI14" i="34"/>
  <c r="S14" i="34"/>
  <c r="J854" i="4" s="1"/>
  <c r="A854" i="4" s="1"/>
  <c r="M14" i="34"/>
  <c r="I854" i="4" s="1"/>
  <c r="AL13" i="34"/>
  <c r="AI13" i="34"/>
  <c r="S13" i="34"/>
  <c r="J853" i="4" s="1"/>
  <c r="A853" i="4" s="1"/>
  <c r="M13" i="34"/>
  <c r="I853" i="4" s="1"/>
  <c r="AL12" i="34"/>
  <c r="AI12" i="34"/>
  <c r="S12" i="34"/>
  <c r="J852" i="4" s="1"/>
  <c r="A852" i="4" s="1"/>
  <c r="M12" i="34"/>
  <c r="I852" i="4" s="1"/>
  <c r="AL11" i="34"/>
  <c r="AI11" i="34"/>
  <c r="S11" i="34"/>
  <c r="J851" i="4" s="1"/>
  <c r="A851" i="4" s="1"/>
  <c r="M11" i="34"/>
  <c r="I851" i="4" s="1"/>
  <c r="AL10" i="34"/>
  <c r="AI10" i="34"/>
  <c r="S10" i="34"/>
  <c r="J850" i="4" s="1"/>
  <c r="A850" i="4" s="1"/>
  <c r="M10" i="34"/>
  <c r="I850" i="4" s="1"/>
  <c r="AL9" i="34"/>
  <c r="AI9" i="34"/>
  <c r="S9" i="34"/>
  <c r="J849" i="4" s="1"/>
  <c r="A849" i="4" s="1"/>
  <c r="M9" i="34"/>
  <c r="I849" i="4" s="1"/>
  <c r="AL8" i="34"/>
  <c r="AI8" i="34"/>
  <c r="S8" i="34"/>
  <c r="J848" i="4" s="1"/>
  <c r="A848" i="4" s="1"/>
  <c r="M8" i="34"/>
  <c r="I848" i="4" s="1"/>
  <c r="K3" i="34"/>
  <c r="I3" i="34"/>
  <c r="G3" i="34"/>
  <c r="E3" i="34"/>
  <c r="C3" i="34"/>
  <c r="A3" i="34"/>
  <c r="R1" i="34"/>
  <c r="C65" i="33"/>
  <c r="C67" i="33" s="1"/>
  <c r="C64" i="33"/>
  <c r="C59" i="33"/>
  <c r="C58" i="33"/>
  <c r="E32" i="41" s="1"/>
  <c r="H32" i="41" s="1"/>
  <c r="C57" i="33"/>
  <c r="C56" i="33"/>
  <c r="C55" i="33"/>
  <c r="F32" i="41" s="1"/>
  <c r="C54" i="33"/>
  <c r="G50" i="33"/>
  <c r="E48" i="33"/>
  <c r="C48" i="33"/>
  <c r="G48" i="33" s="1"/>
  <c r="V27" i="7" s="1"/>
  <c r="E47" i="33"/>
  <c r="E49" i="33" s="1"/>
  <c r="C47" i="33"/>
  <c r="E46" i="33"/>
  <c r="C46" i="33"/>
  <c r="G46" i="33" s="1"/>
  <c r="L22" i="7" s="1"/>
  <c r="AL42" i="33"/>
  <c r="AI42" i="33"/>
  <c r="S42" i="33"/>
  <c r="J847" i="4" s="1"/>
  <c r="A847" i="4" s="1"/>
  <c r="M42" i="33"/>
  <c r="I847" i="4" s="1"/>
  <c r="AL41" i="33"/>
  <c r="AI41" i="33"/>
  <c r="S41" i="33"/>
  <c r="J846" i="4" s="1"/>
  <c r="A846" i="4" s="1"/>
  <c r="M41" i="33"/>
  <c r="I846" i="4" s="1"/>
  <c r="AL40" i="33"/>
  <c r="AI40" i="33"/>
  <c r="S40" i="33"/>
  <c r="J845" i="4" s="1"/>
  <c r="A845" i="4" s="1"/>
  <c r="M40" i="33"/>
  <c r="I845" i="4" s="1"/>
  <c r="AL39" i="33"/>
  <c r="AI39" i="33"/>
  <c r="S39" i="33"/>
  <c r="J844" i="4" s="1"/>
  <c r="A844" i="4" s="1"/>
  <c r="M39" i="33"/>
  <c r="I844" i="4" s="1"/>
  <c r="AL38" i="33"/>
  <c r="AI38" i="33"/>
  <c r="S38" i="33"/>
  <c r="J843" i="4" s="1"/>
  <c r="A843" i="4" s="1"/>
  <c r="M38" i="33"/>
  <c r="I843" i="4" s="1"/>
  <c r="AL37" i="33"/>
  <c r="AI37" i="33"/>
  <c r="S37" i="33"/>
  <c r="J842" i="4" s="1"/>
  <c r="A842" i="4" s="1"/>
  <c r="M37" i="33"/>
  <c r="I842" i="4" s="1"/>
  <c r="AL36" i="33"/>
  <c r="AI36" i="33"/>
  <c r="S36" i="33"/>
  <c r="J841" i="4" s="1"/>
  <c r="A841" i="4" s="1"/>
  <c r="M36" i="33"/>
  <c r="I841" i="4" s="1"/>
  <c r="AL35" i="33"/>
  <c r="AI35" i="33"/>
  <c r="S35" i="33"/>
  <c r="J840" i="4" s="1"/>
  <c r="A840" i="4" s="1"/>
  <c r="M35" i="33"/>
  <c r="I840" i="4" s="1"/>
  <c r="AL34" i="33"/>
  <c r="AI34" i="33"/>
  <c r="S34" i="33"/>
  <c r="J839" i="4" s="1"/>
  <c r="A839" i="4" s="1"/>
  <c r="M34" i="33"/>
  <c r="I839" i="4" s="1"/>
  <c r="AL33" i="33"/>
  <c r="AI33" i="33"/>
  <c r="S33" i="33"/>
  <c r="J838" i="4" s="1"/>
  <c r="A838" i="4" s="1"/>
  <c r="M33" i="33"/>
  <c r="I838" i="4" s="1"/>
  <c r="AL32" i="33"/>
  <c r="AI32" i="33"/>
  <c r="S32" i="33"/>
  <c r="J837" i="4" s="1"/>
  <c r="A837" i="4" s="1"/>
  <c r="M32" i="33"/>
  <c r="I837" i="4" s="1"/>
  <c r="AL31" i="33"/>
  <c r="AI31" i="33"/>
  <c r="S31" i="33"/>
  <c r="J836" i="4" s="1"/>
  <c r="A836" i="4" s="1"/>
  <c r="M31" i="33"/>
  <c r="I836" i="4" s="1"/>
  <c r="AL30" i="33"/>
  <c r="AI30" i="33"/>
  <c r="S30" i="33"/>
  <c r="J835" i="4" s="1"/>
  <c r="A835" i="4" s="1"/>
  <c r="M30" i="33"/>
  <c r="I835" i="4" s="1"/>
  <c r="AL29" i="33"/>
  <c r="AI29" i="33"/>
  <c r="S29" i="33"/>
  <c r="J834" i="4" s="1"/>
  <c r="A834" i="4" s="1"/>
  <c r="M29" i="33"/>
  <c r="I834" i="4" s="1"/>
  <c r="AL28" i="33"/>
  <c r="AI28" i="33"/>
  <c r="S28" i="33"/>
  <c r="J833" i="4" s="1"/>
  <c r="A833" i="4" s="1"/>
  <c r="M28" i="33"/>
  <c r="I833" i="4" s="1"/>
  <c r="AL27" i="33"/>
  <c r="AI27" i="33"/>
  <c r="S27" i="33"/>
  <c r="J832" i="4" s="1"/>
  <c r="A832" i="4" s="1"/>
  <c r="M27" i="33"/>
  <c r="I832" i="4" s="1"/>
  <c r="AL26" i="33"/>
  <c r="AI26" i="33"/>
  <c r="S26" i="33"/>
  <c r="J831" i="4" s="1"/>
  <c r="A831" i="4" s="1"/>
  <c r="M26" i="33"/>
  <c r="I831" i="4" s="1"/>
  <c r="AL25" i="33"/>
  <c r="AI25" i="33"/>
  <c r="S25" i="33"/>
  <c r="J830" i="4" s="1"/>
  <c r="A830" i="4" s="1"/>
  <c r="M25" i="33"/>
  <c r="I830" i="4" s="1"/>
  <c r="AL24" i="33"/>
  <c r="AI24" i="33"/>
  <c r="S24" i="33"/>
  <c r="J829" i="4" s="1"/>
  <c r="A829" i="4" s="1"/>
  <c r="M24" i="33"/>
  <c r="I829" i="4" s="1"/>
  <c r="AL23" i="33"/>
  <c r="AI23" i="33"/>
  <c r="S23" i="33"/>
  <c r="J828" i="4" s="1"/>
  <c r="A828" i="4" s="1"/>
  <c r="M23" i="33"/>
  <c r="I828" i="4" s="1"/>
  <c r="AL22" i="33"/>
  <c r="AI22" i="33"/>
  <c r="S22" i="33"/>
  <c r="J827" i="4" s="1"/>
  <c r="A827" i="4" s="1"/>
  <c r="M22" i="33"/>
  <c r="I827" i="4" s="1"/>
  <c r="AL21" i="33"/>
  <c r="AI21" i="33"/>
  <c r="S21" i="33"/>
  <c r="J826" i="4" s="1"/>
  <c r="A826" i="4" s="1"/>
  <c r="M21" i="33"/>
  <c r="I826" i="4" s="1"/>
  <c r="AL20" i="33"/>
  <c r="AI20" i="33"/>
  <c r="S20" i="33"/>
  <c r="J825" i="4" s="1"/>
  <c r="A825" i="4" s="1"/>
  <c r="M20" i="33"/>
  <c r="I825" i="4" s="1"/>
  <c r="AL19" i="33"/>
  <c r="AI19" i="33"/>
  <c r="S19" i="33"/>
  <c r="J824" i="4" s="1"/>
  <c r="A824" i="4" s="1"/>
  <c r="M19" i="33"/>
  <c r="I824" i="4" s="1"/>
  <c r="AL18" i="33"/>
  <c r="AI18" i="33"/>
  <c r="S18" i="33"/>
  <c r="J823" i="4" s="1"/>
  <c r="A823" i="4" s="1"/>
  <c r="M18" i="33"/>
  <c r="I823" i="4" s="1"/>
  <c r="AL17" i="33"/>
  <c r="AI17" i="33"/>
  <c r="S17" i="33"/>
  <c r="J822" i="4" s="1"/>
  <c r="A822" i="4" s="1"/>
  <c r="M17" i="33"/>
  <c r="I822" i="4" s="1"/>
  <c r="AL16" i="33"/>
  <c r="AI16" i="33"/>
  <c r="S16" i="33"/>
  <c r="J821" i="4" s="1"/>
  <c r="A821" i="4" s="1"/>
  <c r="M16" i="33"/>
  <c r="I821" i="4" s="1"/>
  <c r="AL15" i="33"/>
  <c r="AI15" i="33"/>
  <c r="S15" i="33"/>
  <c r="J820" i="4" s="1"/>
  <c r="M15" i="33"/>
  <c r="I820" i="4" s="1"/>
  <c r="AL14" i="33"/>
  <c r="AI14" i="33"/>
  <c r="S14" i="33"/>
  <c r="J819" i="4" s="1"/>
  <c r="A819" i="4" s="1"/>
  <c r="M14" i="33"/>
  <c r="I819" i="4" s="1"/>
  <c r="AL13" i="33"/>
  <c r="AI13" i="33"/>
  <c r="S13" i="33"/>
  <c r="J818" i="4" s="1"/>
  <c r="A818" i="4" s="1"/>
  <c r="M13" i="33"/>
  <c r="I818" i="4" s="1"/>
  <c r="AL12" i="33"/>
  <c r="AI12" i="33"/>
  <c r="S12" i="33"/>
  <c r="J817" i="4" s="1"/>
  <c r="A817" i="4" s="1"/>
  <c r="M12" i="33"/>
  <c r="I817" i="4" s="1"/>
  <c r="AL11" i="33"/>
  <c r="AI11" i="33"/>
  <c r="S11" i="33"/>
  <c r="J816" i="4" s="1"/>
  <c r="A816" i="4" s="1"/>
  <c r="M11" i="33"/>
  <c r="I816" i="4" s="1"/>
  <c r="AL10" i="33"/>
  <c r="AI10" i="33"/>
  <c r="S10" i="33"/>
  <c r="J815" i="4" s="1"/>
  <c r="M10" i="33"/>
  <c r="I815" i="4" s="1"/>
  <c r="AL9" i="33"/>
  <c r="AI9" i="33"/>
  <c r="S9" i="33"/>
  <c r="J814" i="4" s="1"/>
  <c r="M9" i="33"/>
  <c r="I814" i="4" s="1"/>
  <c r="AL8" i="33"/>
  <c r="AI8" i="33"/>
  <c r="S8" i="33"/>
  <c r="J813" i="4" s="1"/>
  <c r="M8" i="33"/>
  <c r="I813" i="4" s="1"/>
  <c r="K3" i="33"/>
  <c r="I3" i="33"/>
  <c r="G3" i="33"/>
  <c r="E3" i="33"/>
  <c r="C3" i="33"/>
  <c r="A3" i="33"/>
  <c r="R1" i="33"/>
  <c r="C65" i="32"/>
  <c r="C67" i="32" s="1"/>
  <c r="C64" i="32"/>
  <c r="C59" i="32"/>
  <c r="C58" i="32"/>
  <c r="E31" i="41" s="1"/>
  <c r="H31" i="41" s="1"/>
  <c r="C57" i="32"/>
  <c r="C56" i="32"/>
  <c r="C55" i="32"/>
  <c r="F31" i="41" s="1"/>
  <c r="C54" i="32"/>
  <c r="G50" i="32"/>
  <c r="E48" i="32"/>
  <c r="C48" i="32"/>
  <c r="G48" i="32" s="1"/>
  <c r="V26" i="7" s="1"/>
  <c r="E47" i="32"/>
  <c r="E49" i="32" s="1"/>
  <c r="C47" i="32"/>
  <c r="E46" i="32"/>
  <c r="C46" i="32"/>
  <c r="G46" i="32" s="1"/>
  <c r="J22" i="7" s="1"/>
  <c r="AL42" i="32"/>
  <c r="AI42" i="32"/>
  <c r="S42" i="32"/>
  <c r="J812" i="4" s="1"/>
  <c r="M42" i="32"/>
  <c r="I812" i="4" s="1"/>
  <c r="AL41" i="32"/>
  <c r="AI41" i="32"/>
  <c r="S41" i="32"/>
  <c r="J811" i="4" s="1"/>
  <c r="M41" i="32"/>
  <c r="I811" i="4" s="1"/>
  <c r="AL40" i="32"/>
  <c r="AI40" i="32"/>
  <c r="S40" i="32"/>
  <c r="J810" i="4" s="1"/>
  <c r="M40" i="32"/>
  <c r="I810" i="4" s="1"/>
  <c r="AL39" i="32"/>
  <c r="AI39" i="32"/>
  <c r="S39" i="32"/>
  <c r="J809" i="4" s="1"/>
  <c r="M39" i="32"/>
  <c r="I809" i="4" s="1"/>
  <c r="AL38" i="32"/>
  <c r="AI38" i="32"/>
  <c r="S38" i="32"/>
  <c r="J808" i="4" s="1"/>
  <c r="M38" i="32"/>
  <c r="I808" i="4" s="1"/>
  <c r="AL37" i="32"/>
  <c r="AI37" i="32"/>
  <c r="S37" i="32"/>
  <c r="J807" i="4" s="1"/>
  <c r="M37" i="32"/>
  <c r="I807" i="4" s="1"/>
  <c r="AL36" i="32"/>
  <c r="AI36" i="32"/>
  <c r="S36" i="32"/>
  <c r="J806" i="4" s="1"/>
  <c r="M36" i="32"/>
  <c r="I806" i="4" s="1"/>
  <c r="AL35" i="32"/>
  <c r="AI35" i="32"/>
  <c r="S35" i="32"/>
  <c r="J805" i="4" s="1"/>
  <c r="M35" i="32"/>
  <c r="I805" i="4" s="1"/>
  <c r="AL34" i="32"/>
  <c r="AI34" i="32"/>
  <c r="S34" i="32"/>
  <c r="J804" i="4" s="1"/>
  <c r="M34" i="32"/>
  <c r="I804" i="4" s="1"/>
  <c r="AL33" i="32"/>
  <c r="AI33" i="32"/>
  <c r="S33" i="32"/>
  <c r="J803" i="4" s="1"/>
  <c r="M33" i="32"/>
  <c r="I803" i="4" s="1"/>
  <c r="AL32" i="32"/>
  <c r="AI32" i="32"/>
  <c r="S32" i="32"/>
  <c r="J802" i="4" s="1"/>
  <c r="M32" i="32"/>
  <c r="I802" i="4" s="1"/>
  <c r="AL31" i="32"/>
  <c r="AI31" i="32"/>
  <c r="S31" i="32"/>
  <c r="J801" i="4" s="1"/>
  <c r="M31" i="32"/>
  <c r="I801" i="4" s="1"/>
  <c r="AL30" i="32"/>
  <c r="AI30" i="32"/>
  <c r="S30" i="32"/>
  <c r="J800" i="4" s="1"/>
  <c r="M30" i="32"/>
  <c r="I800" i="4" s="1"/>
  <c r="AL29" i="32"/>
  <c r="AI29" i="32"/>
  <c r="S29" i="32"/>
  <c r="J799" i="4" s="1"/>
  <c r="M29" i="32"/>
  <c r="I799" i="4" s="1"/>
  <c r="AL28" i="32"/>
  <c r="AI28" i="32"/>
  <c r="S28" i="32"/>
  <c r="J798" i="4" s="1"/>
  <c r="M28" i="32"/>
  <c r="I798" i="4" s="1"/>
  <c r="AL27" i="32"/>
  <c r="AI27" i="32"/>
  <c r="S27" i="32"/>
  <c r="J797" i="4" s="1"/>
  <c r="M27" i="32"/>
  <c r="I797" i="4" s="1"/>
  <c r="AL26" i="32"/>
  <c r="AI26" i="32"/>
  <c r="S26" i="32"/>
  <c r="J796" i="4" s="1"/>
  <c r="M26" i="32"/>
  <c r="I796" i="4" s="1"/>
  <c r="AL25" i="32"/>
  <c r="AI25" i="32"/>
  <c r="S25" i="32"/>
  <c r="J795" i="4" s="1"/>
  <c r="M25" i="32"/>
  <c r="I795" i="4" s="1"/>
  <c r="AL24" i="32"/>
  <c r="AI24" i="32"/>
  <c r="S24" i="32"/>
  <c r="J794" i="4" s="1"/>
  <c r="M24" i="32"/>
  <c r="I794" i="4" s="1"/>
  <c r="AL23" i="32"/>
  <c r="AI23" i="32"/>
  <c r="S23" i="32"/>
  <c r="J793" i="4" s="1"/>
  <c r="M23" i="32"/>
  <c r="I793" i="4" s="1"/>
  <c r="AL22" i="32"/>
  <c r="AI22" i="32"/>
  <c r="S22" i="32"/>
  <c r="J792" i="4" s="1"/>
  <c r="M22" i="32"/>
  <c r="I792" i="4" s="1"/>
  <c r="AL21" i="32"/>
  <c r="AI21" i="32"/>
  <c r="S21" i="32"/>
  <c r="J791" i="4" s="1"/>
  <c r="M21" i="32"/>
  <c r="I791" i="4" s="1"/>
  <c r="AL20" i="32"/>
  <c r="AI20" i="32"/>
  <c r="S20" i="32"/>
  <c r="J790" i="4" s="1"/>
  <c r="M20" i="32"/>
  <c r="I790" i="4" s="1"/>
  <c r="AL19" i="32"/>
  <c r="AI19" i="32"/>
  <c r="S19" i="32"/>
  <c r="J789" i="4" s="1"/>
  <c r="M19" i="32"/>
  <c r="I789" i="4" s="1"/>
  <c r="AL18" i="32"/>
  <c r="AI18" i="32"/>
  <c r="S18" i="32"/>
  <c r="J788" i="4" s="1"/>
  <c r="M18" i="32"/>
  <c r="I788" i="4" s="1"/>
  <c r="AL17" i="32"/>
  <c r="AI17" i="32"/>
  <c r="S17" i="32"/>
  <c r="J787" i="4" s="1"/>
  <c r="M17" i="32"/>
  <c r="I787" i="4" s="1"/>
  <c r="AL16" i="32"/>
  <c r="AI16" i="32"/>
  <c r="S16" i="32"/>
  <c r="J786" i="4" s="1"/>
  <c r="M16" i="32"/>
  <c r="I786" i="4" s="1"/>
  <c r="AL15" i="32"/>
  <c r="AI15" i="32"/>
  <c r="S15" i="32"/>
  <c r="J785" i="4" s="1"/>
  <c r="M15" i="32"/>
  <c r="I785" i="4" s="1"/>
  <c r="AL14" i="32"/>
  <c r="AI14" i="32"/>
  <c r="S14" i="32"/>
  <c r="J784" i="4" s="1"/>
  <c r="M14" i="32"/>
  <c r="I784" i="4" s="1"/>
  <c r="AL13" i="32"/>
  <c r="AI13" i="32"/>
  <c r="S13" i="32"/>
  <c r="J783" i="4" s="1"/>
  <c r="M13" i="32"/>
  <c r="I783" i="4" s="1"/>
  <c r="AL12" i="32"/>
  <c r="AI12" i="32"/>
  <c r="S12" i="32"/>
  <c r="J782" i="4" s="1"/>
  <c r="M12" i="32"/>
  <c r="I782" i="4" s="1"/>
  <c r="AL11" i="32"/>
  <c r="AI11" i="32"/>
  <c r="S11" i="32"/>
  <c r="J781" i="4" s="1"/>
  <c r="M11" i="32"/>
  <c r="I781" i="4" s="1"/>
  <c r="AL10" i="32"/>
  <c r="AI10" i="32"/>
  <c r="S10" i="32"/>
  <c r="J780" i="4" s="1"/>
  <c r="M10" i="32"/>
  <c r="I780" i="4" s="1"/>
  <c r="AL9" i="32"/>
  <c r="AI9" i="32"/>
  <c r="S9" i="32"/>
  <c r="J779" i="4" s="1"/>
  <c r="A779" i="4" s="1"/>
  <c r="M9" i="32"/>
  <c r="I779" i="4" s="1"/>
  <c r="AL8" i="32"/>
  <c r="AI8" i="32"/>
  <c r="S8" i="32"/>
  <c r="J778" i="4" s="1"/>
  <c r="A778" i="4" s="1"/>
  <c r="M8" i="32"/>
  <c r="I778" i="4" s="1"/>
  <c r="K3" i="32"/>
  <c r="I3" i="32"/>
  <c r="G3" i="32"/>
  <c r="E3" i="32"/>
  <c r="C3" i="32"/>
  <c r="A3" i="32"/>
  <c r="R1" i="32"/>
  <c r="C65" i="31"/>
  <c r="C67" i="31" s="1"/>
  <c r="C64" i="31"/>
  <c r="C59" i="31"/>
  <c r="C58" i="31"/>
  <c r="E30" i="41" s="1"/>
  <c r="H30" i="41" s="1"/>
  <c r="C57" i="31"/>
  <c r="C56" i="31"/>
  <c r="C55" i="31"/>
  <c r="F30" i="41" s="1"/>
  <c r="C54" i="31"/>
  <c r="G50" i="31"/>
  <c r="E48" i="31"/>
  <c r="C48" i="31"/>
  <c r="G48" i="31" s="1"/>
  <c r="V25" i="7" s="1"/>
  <c r="E47" i="31"/>
  <c r="E49" i="31" s="1"/>
  <c r="C47" i="31"/>
  <c r="E46" i="31"/>
  <c r="C46" i="31"/>
  <c r="G46" i="31" s="1"/>
  <c r="H22" i="7" s="1"/>
  <c r="AL42" i="31"/>
  <c r="AI42" i="31"/>
  <c r="S42" i="31"/>
  <c r="J777" i="4" s="1"/>
  <c r="A777" i="4" s="1"/>
  <c r="M42" i="31"/>
  <c r="I777" i="4" s="1"/>
  <c r="AL41" i="31"/>
  <c r="AI41" i="31"/>
  <c r="S41" i="31"/>
  <c r="J776" i="4" s="1"/>
  <c r="M41" i="31"/>
  <c r="I776" i="4" s="1"/>
  <c r="AL40" i="31"/>
  <c r="AI40" i="31"/>
  <c r="S40" i="31"/>
  <c r="J775" i="4" s="1"/>
  <c r="A775" i="4" s="1"/>
  <c r="M40" i="31"/>
  <c r="I775" i="4" s="1"/>
  <c r="AL39" i="31"/>
  <c r="AI39" i="31"/>
  <c r="S39" i="31"/>
  <c r="J774" i="4" s="1"/>
  <c r="A774" i="4" s="1"/>
  <c r="M39" i="31"/>
  <c r="I774" i="4" s="1"/>
  <c r="AL38" i="31"/>
  <c r="AI38" i="31"/>
  <c r="S38" i="31"/>
  <c r="J773" i="4" s="1"/>
  <c r="A773" i="4" s="1"/>
  <c r="M38" i="31"/>
  <c r="I773" i="4" s="1"/>
  <c r="AL37" i="31"/>
  <c r="AI37" i="31"/>
  <c r="S37" i="31"/>
  <c r="J772" i="4" s="1"/>
  <c r="A772" i="4" s="1"/>
  <c r="M37" i="31"/>
  <c r="I772" i="4" s="1"/>
  <c r="AL36" i="31"/>
  <c r="AI36" i="31"/>
  <c r="S36" i="31"/>
  <c r="J771" i="4" s="1"/>
  <c r="A771" i="4" s="1"/>
  <c r="M36" i="31"/>
  <c r="I771" i="4" s="1"/>
  <c r="AL35" i="31"/>
  <c r="AI35" i="31"/>
  <c r="S35" i="31"/>
  <c r="J770" i="4" s="1"/>
  <c r="A770" i="4" s="1"/>
  <c r="M35" i="31"/>
  <c r="I770" i="4" s="1"/>
  <c r="AL34" i="31"/>
  <c r="AI34" i="31"/>
  <c r="S34" i="31"/>
  <c r="J769" i="4" s="1"/>
  <c r="A769" i="4" s="1"/>
  <c r="M34" i="31"/>
  <c r="I769" i="4" s="1"/>
  <c r="AL33" i="31"/>
  <c r="AI33" i="31"/>
  <c r="S33" i="31"/>
  <c r="J768" i="4" s="1"/>
  <c r="A768" i="4" s="1"/>
  <c r="M33" i="31"/>
  <c r="I768" i="4" s="1"/>
  <c r="AL32" i="31"/>
  <c r="AI32" i="31"/>
  <c r="S32" i="31"/>
  <c r="J767" i="4" s="1"/>
  <c r="A767" i="4" s="1"/>
  <c r="M32" i="31"/>
  <c r="I767" i="4" s="1"/>
  <c r="AL31" i="31"/>
  <c r="AI31" i="31"/>
  <c r="S31" i="31"/>
  <c r="J766" i="4" s="1"/>
  <c r="A766" i="4" s="1"/>
  <c r="M31" i="31"/>
  <c r="I766" i="4" s="1"/>
  <c r="AL30" i="31"/>
  <c r="AI30" i="31"/>
  <c r="S30" i="31"/>
  <c r="J765" i="4" s="1"/>
  <c r="A765" i="4" s="1"/>
  <c r="M30" i="31"/>
  <c r="I765" i="4" s="1"/>
  <c r="AL29" i="31"/>
  <c r="AI29" i="31"/>
  <c r="S29" i="31"/>
  <c r="J764" i="4" s="1"/>
  <c r="A764" i="4" s="1"/>
  <c r="M29" i="31"/>
  <c r="I764" i="4" s="1"/>
  <c r="AL28" i="31"/>
  <c r="AI28" i="31"/>
  <c r="S28" i="31"/>
  <c r="J763" i="4" s="1"/>
  <c r="A763" i="4" s="1"/>
  <c r="M28" i="31"/>
  <c r="I763" i="4" s="1"/>
  <c r="AL27" i="31"/>
  <c r="AI27" i="31"/>
  <c r="S27" i="31"/>
  <c r="J762" i="4" s="1"/>
  <c r="A762" i="4" s="1"/>
  <c r="M27" i="31"/>
  <c r="I762" i="4" s="1"/>
  <c r="AL26" i="31"/>
  <c r="AI26" i="31"/>
  <c r="S26" i="31"/>
  <c r="J761" i="4" s="1"/>
  <c r="A761" i="4" s="1"/>
  <c r="M26" i="31"/>
  <c r="I761" i="4" s="1"/>
  <c r="AL25" i="31"/>
  <c r="AI25" i="31"/>
  <c r="S25" i="31"/>
  <c r="J760" i="4" s="1"/>
  <c r="A760" i="4" s="1"/>
  <c r="M25" i="31"/>
  <c r="I760" i="4" s="1"/>
  <c r="AL24" i="31"/>
  <c r="AI24" i="31"/>
  <c r="S24" i="31"/>
  <c r="J759" i="4" s="1"/>
  <c r="A759" i="4" s="1"/>
  <c r="M24" i="31"/>
  <c r="I759" i="4" s="1"/>
  <c r="AL23" i="31"/>
  <c r="AI23" i="31"/>
  <c r="S23" i="31"/>
  <c r="J758" i="4" s="1"/>
  <c r="A758" i="4" s="1"/>
  <c r="M23" i="31"/>
  <c r="I758" i="4" s="1"/>
  <c r="AL22" i="31"/>
  <c r="AI22" i="31"/>
  <c r="S22" i="31"/>
  <c r="J757" i="4" s="1"/>
  <c r="A757" i="4" s="1"/>
  <c r="M22" i="31"/>
  <c r="I757" i="4" s="1"/>
  <c r="AL21" i="31"/>
  <c r="AI21" i="31"/>
  <c r="S21" i="31"/>
  <c r="J756" i="4" s="1"/>
  <c r="A756" i="4" s="1"/>
  <c r="M21" i="31"/>
  <c r="I756" i="4" s="1"/>
  <c r="AL20" i="31"/>
  <c r="AI20" i="31"/>
  <c r="S20" i="31"/>
  <c r="J755" i="4" s="1"/>
  <c r="M20" i="31"/>
  <c r="I755" i="4" s="1"/>
  <c r="AL19" i="31"/>
  <c r="AI19" i="31"/>
  <c r="S19" i="31"/>
  <c r="J754" i="4" s="1"/>
  <c r="A754" i="4" s="1"/>
  <c r="M19" i="31"/>
  <c r="I754" i="4" s="1"/>
  <c r="AL18" i="31"/>
  <c r="AI18" i="31"/>
  <c r="S18" i="31"/>
  <c r="J753" i="4" s="1"/>
  <c r="A753" i="4" s="1"/>
  <c r="M18" i="31"/>
  <c r="I753" i="4" s="1"/>
  <c r="AL17" i="31"/>
  <c r="AI17" i="31"/>
  <c r="S17" i="31"/>
  <c r="J752" i="4" s="1"/>
  <c r="A752" i="4" s="1"/>
  <c r="M17" i="31"/>
  <c r="I752" i="4" s="1"/>
  <c r="AL16" i="31"/>
  <c r="AI16" i="31"/>
  <c r="S16" i="31"/>
  <c r="J751" i="4" s="1"/>
  <c r="A751" i="4" s="1"/>
  <c r="M16" i="31"/>
  <c r="I751" i="4" s="1"/>
  <c r="AL15" i="31"/>
  <c r="AI15" i="31"/>
  <c r="S15" i="31"/>
  <c r="J750" i="4" s="1"/>
  <c r="A750" i="4" s="1"/>
  <c r="M15" i="31"/>
  <c r="I750" i="4" s="1"/>
  <c r="AL14" i="31"/>
  <c r="AI14" i="31"/>
  <c r="S14" i="31"/>
  <c r="J749" i="4" s="1"/>
  <c r="A749" i="4" s="1"/>
  <c r="M14" i="31"/>
  <c r="I749" i="4" s="1"/>
  <c r="AL13" i="31"/>
  <c r="AI13" i="31"/>
  <c r="S13" i="31"/>
  <c r="J748" i="4" s="1"/>
  <c r="A748" i="4" s="1"/>
  <c r="M13" i="31"/>
  <c r="I748" i="4" s="1"/>
  <c r="AL12" i="31"/>
  <c r="AI12" i="31"/>
  <c r="S12" i="31"/>
  <c r="J747" i="4" s="1"/>
  <c r="A747" i="4" s="1"/>
  <c r="M12" i="31"/>
  <c r="I747" i="4" s="1"/>
  <c r="AL11" i="31"/>
  <c r="AI11" i="31"/>
  <c r="S11" i="31"/>
  <c r="J746" i="4" s="1"/>
  <c r="A746" i="4" s="1"/>
  <c r="M11" i="31"/>
  <c r="I746" i="4" s="1"/>
  <c r="AL10" i="31"/>
  <c r="AI10" i="31"/>
  <c r="S10" i="31"/>
  <c r="J745" i="4" s="1"/>
  <c r="A745" i="4" s="1"/>
  <c r="M10" i="31"/>
  <c r="I745" i="4" s="1"/>
  <c r="AL9" i="31"/>
  <c r="AI9" i="31"/>
  <c r="S9" i="31"/>
  <c r="J744" i="4" s="1"/>
  <c r="A744" i="4" s="1"/>
  <c r="M9" i="31"/>
  <c r="I744" i="4" s="1"/>
  <c r="AL8" i="31"/>
  <c r="AI8" i="31"/>
  <c r="S8" i="31"/>
  <c r="J743" i="4" s="1"/>
  <c r="A743" i="4" s="1"/>
  <c r="M8" i="31"/>
  <c r="I743" i="4" s="1"/>
  <c r="K3" i="31"/>
  <c r="I3" i="31"/>
  <c r="G3" i="31"/>
  <c r="E3" i="31"/>
  <c r="C3" i="31"/>
  <c r="A3" i="31"/>
  <c r="R1" i="31"/>
  <c r="C65" i="30"/>
  <c r="C67" i="30" s="1"/>
  <c r="C64" i="30"/>
  <c r="C59" i="30"/>
  <c r="C58" i="30"/>
  <c r="E29" i="41" s="1"/>
  <c r="H29" i="41" s="1"/>
  <c r="C57" i="30"/>
  <c r="C56" i="30"/>
  <c r="C55" i="30"/>
  <c r="F29" i="41" s="1"/>
  <c r="C54" i="30"/>
  <c r="G50" i="30"/>
  <c r="E48" i="30"/>
  <c r="C48" i="30"/>
  <c r="G48" i="30" s="1"/>
  <c r="V24" i="7" s="1"/>
  <c r="E47" i="30"/>
  <c r="E49" i="30" s="1"/>
  <c r="C47" i="30"/>
  <c r="E46" i="30"/>
  <c r="C46" i="30"/>
  <c r="G46" i="30" s="1"/>
  <c r="F22" i="7" s="1"/>
  <c r="AL42" i="30"/>
  <c r="AI42" i="30"/>
  <c r="S42" i="30"/>
  <c r="J742" i="4" s="1"/>
  <c r="A742" i="4" s="1"/>
  <c r="M42" i="30"/>
  <c r="I742" i="4" s="1"/>
  <c r="AL41" i="30"/>
  <c r="AI41" i="30"/>
  <c r="S41" i="30"/>
  <c r="J741" i="4" s="1"/>
  <c r="A741" i="4" s="1"/>
  <c r="M41" i="30"/>
  <c r="I741" i="4" s="1"/>
  <c r="AL40" i="30"/>
  <c r="AI40" i="30"/>
  <c r="S40" i="30"/>
  <c r="J740" i="4" s="1"/>
  <c r="A740" i="4" s="1"/>
  <c r="M40" i="30"/>
  <c r="I740" i="4" s="1"/>
  <c r="AL39" i="30"/>
  <c r="AI39" i="30"/>
  <c r="S39" i="30"/>
  <c r="J739" i="4" s="1"/>
  <c r="A739" i="4" s="1"/>
  <c r="M39" i="30"/>
  <c r="I739" i="4" s="1"/>
  <c r="AL38" i="30"/>
  <c r="AI38" i="30"/>
  <c r="S38" i="30"/>
  <c r="J738" i="4" s="1"/>
  <c r="A738" i="4" s="1"/>
  <c r="M38" i="30"/>
  <c r="I738" i="4" s="1"/>
  <c r="AL37" i="30"/>
  <c r="AI37" i="30"/>
  <c r="S37" i="30"/>
  <c r="J737" i="4" s="1"/>
  <c r="A737" i="4" s="1"/>
  <c r="M37" i="30"/>
  <c r="I737" i="4" s="1"/>
  <c r="AL36" i="30"/>
  <c r="AI36" i="30"/>
  <c r="S36" i="30"/>
  <c r="J736" i="4" s="1"/>
  <c r="A736" i="4" s="1"/>
  <c r="M36" i="30"/>
  <c r="I736" i="4" s="1"/>
  <c r="AL35" i="30"/>
  <c r="AI35" i="30"/>
  <c r="S35" i="30"/>
  <c r="J735" i="4" s="1"/>
  <c r="A735" i="4" s="1"/>
  <c r="M35" i="30"/>
  <c r="I735" i="4" s="1"/>
  <c r="AL34" i="30"/>
  <c r="AI34" i="30"/>
  <c r="S34" i="30"/>
  <c r="J734" i="4" s="1"/>
  <c r="A734" i="4" s="1"/>
  <c r="M34" i="30"/>
  <c r="I734" i="4" s="1"/>
  <c r="AL33" i="30"/>
  <c r="AI33" i="30"/>
  <c r="S33" i="30"/>
  <c r="J733" i="4" s="1"/>
  <c r="A733" i="4" s="1"/>
  <c r="M33" i="30"/>
  <c r="I733" i="4" s="1"/>
  <c r="AL32" i="30"/>
  <c r="AI32" i="30"/>
  <c r="S32" i="30"/>
  <c r="J732" i="4" s="1"/>
  <c r="A732" i="4" s="1"/>
  <c r="M32" i="30"/>
  <c r="I732" i="4" s="1"/>
  <c r="AL31" i="30"/>
  <c r="AI31" i="30"/>
  <c r="S31" i="30"/>
  <c r="J731" i="4" s="1"/>
  <c r="A731" i="4" s="1"/>
  <c r="M31" i="30"/>
  <c r="I731" i="4" s="1"/>
  <c r="AL30" i="30"/>
  <c r="AI30" i="30"/>
  <c r="S30" i="30"/>
  <c r="J730" i="4" s="1"/>
  <c r="A730" i="4" s="1"/>
  <c r="M30" i="30"/>
  <c r="I730" i="4" s="1"/>
  <c r="AL29" i="30"/>
  <c r="AI29" i="30"/>
  <c r="S29" i="30"/>
  <c r="J729" i="4" s="1"/>
  <c r="A729" i="4" s="1"/>
  <c r="M29" i="30"/>
  <c r="I729" i="4" s="1"/>
  <c r="AL28" i="30"/>
  <c r="AI28" i="30"/>
  <c r="S28" i="30"/>
  <c r="J728" i="4" s="1"/>
  <c r="A728" i="4" s="1"/>
  <c r="M28" i="30"/>
  <c r="I728" i="4" s="1"/>
  <c r="AL27" i="30"/>
  <c r="AI27" i="30"/>
  <c r="S27" i="30"/>
  <c r="J727" i="4" s="1"/>
  <c r="A727" i="4" s="1"/>
  <c r="M27" i="30"/>
  <c r="I727" i="4" s="1"/>
  <c r="AL26" i="30"/>
  <c r="AI26" i="30"/>
  <c r="S26" i="30"/>
  <c r="J726" i="4" s="1"/>
  <c r="A726" i="4" s="1"/>
  <c r="M26" i="30"/>
  <c r="I726" i="4" s="1"/>
  <c r="AL25" i="30"/>
  <c r="AI25" i="30"/>
  <c r="S25" i="30"/>
  <c r="J725" i="4" s="1"/>
  <c r="A725" i="4" s="1"/>
  <c r="M25" i="30"/>
  <c r="I725" i="4" s="1"/>
  <c r="AL24" i="30"/>
  <c r="AI24" i="30"/>
  <c r="S24" i="30"/>
  <c r="J724" i="4" s="1"/>
  <c r="A724" i="4" s="1"/>
  <c r="M24" i="30"/>
  <c r="I724" i="4" s="1"/>
  <c r="AL23" i="30"/>
  <c r="AI23" i="30"/>
  <c r="S23" i="30"/>
  <c r="J723" i="4" s="1"/>
  <c r="A723" i="4" s="1"/>
  <c r="M23" i="30"/>
  <c r="I723" i="4" s="1"/>
  <c r="AL22" i="30"/>
  <c r="AI22" i="30"/>
  <c r="S22" i="30"/>
  <c r="J722" i="4" s="1"/>
  <c r="A722" i="4" s="1"/>
  <c r="M22" i="30"/>
  <c r="I722" i="4" s="1"/>
  <c r="AL21" i="30"/>
  <c r="AI21" i="30"/>
  <c r="S21" i="30"/>
  <c r="J721" i="4" s="1"/>
  <c r="A721" i="4" s="1"/>
  <c r="M21" i="30"/>
  <c r="I721" i="4" s="1"/>
  <c r="AL20" i="30"/>
  <c r="AI20" i="30"/>
  <c r="S20" i="30"/>
  <c r="J720" i="4" s="1"/>
  <c r="A720" i="4" s="1"/>
  <c r="M20" i="30"/>
  <c r="I720" i="4" s="1"/>
  <c r="AL19" i="30"/>
  <c r="AI19" i="30"/>
  <c r="S19" i="30"/>
  <c r="J719" i="4" s="1"/>
  <c r="A719" i="4" s="1"/>
  <c r="M19" i="30"/>
  <c r="I719" i="4" s="1"/>
  <c r="AL18" i="30"/>
  <c r="AI18" i="30"/>
  <c r="S18" i="30"/>
  <c r="J718" i="4" s="1"/>
  <c r="A718" i="4" s="1"/>
  <c r="M18" i="30"/>
  <c r="I718" i="4" s="1"/>
  <c r="AL17" i="30"/>
  <c r="AI17" i="30"/>
  <c r="S17" i="30"/>
  <c r="J717" i="4" s="1"/>
  <c r="A717" i="4" s="1"/>
  <c r="M17" i="30"/>
  <c r="I717" i="4" s="1"/>
  <c r="AL16" i="30"/>
  <c r="AI16" i="30"/>
  <c r="S16" i="30"/>
  <c r="J716" i="4" s="1"/>
  <c r="A716" i="4" s="1"/>
  <c r="M16" i="30"/>
  <c r="I716" i="4" s="1"/>
  <c r="AL15" i="30"/>
  <c r="AI15" i="30"/>
  <c r="S15" i="30"/>
  <c r="J715" i="4" s="1"/>
  <c r="M15" i="30"/>
  <c r="I715" i="4" s="1"/>
  <c r="AL14" i="30"/>
  <c r="AI14" i="30"/>
  <c r="S14" i="30"/>
  <c r="J714" i="4" s="1"/>
  <c r="A714" i="4" s="1"/>
  <c r="M14" i="30"/>
  <c r="I714" i="4" s="1"/>
  <c r="AL13" i="30"/>
  <c r="AI13" i="30"/>
  <c r="S13" i="30"/>
  <c r="J713" i="4" s="1"/>
  <c r="A713" i="4" s="1"/>
  <c r="M13" i="30"/>
  <c r="I713" i="4" s="1"/>
  <c r="AL12" i="30"/>
  <c r="AI12" i="30"/>
  <c r="S12" i="30"/>
  <c r="J712" i="4" s="1"/>
  <c r="M12" i="30"/>
  <c r="I712" i="4" s="1"/>
  <c r="AL11" i="30"/>
  <c r="AI11" i="30"/>
  <c r="S11" i="30"/>
  <c r="J711" i="4" s="1"/>
  <c r="M11" i="30"/>
  <c r="I711" i="4" s="1"/>
  <c r="AL10" i="30"/>
  <c r="AI10" i="30"/>
  <c r="S10" i="30"/>
  <c r="J710" i="4" s="1"/>
  <c r="M10" i="30"/>
  <c r="I710" i="4" s="1"/>
  <c r="AL9" i="30"/>
  <c r="AI9" i="30"/>
  <c r="S9" i="30"/>
  <c r="J709" i="4" s="1"/>
  <c r="M9" i="30"/>
  <c r="I709" i="4" s="1"/>
  <c r="AL8" i="30"/>
  <c r="AI8" i="30"/>
  <c r="S8" i="30"/>
  <c r="J708" i="4" s="1"/>
  <c r="M8" i="30"/>
  <c r="I708" i="4" s="1"/>
  <c r="K3" i="30"/>
  <c r="I3" i="30"/>
  <c r="G3" i="30"/>
  <c r="E3" i="30"/>
  <c r="C3" i="30"/>
  <c r="A3" i="30"/>
  <c r="R1" i="30"/>
  <c r="C65" i="29"/>
  <c r="C67" i="29" s="1"/>
  <c r="C64" i="29"/>
  <c r="C59" i="29"/>
  <c r="C58" i="29"/>
  <c r="E28" i="41" s="1"/>
  <c r="H28" i="41" s="1"/>
  <c r="C57" i="29"/>
  <c r="C56" i="29"/>
  <c r="C55" i="29"/>
  <c r="F28" i="41" s="1"/>
  <c r="C54" i="29"/>
  <c r="G50" i="29"/>
  <c r="E48" i="29"/>
  <c r="C48" i="29"/>
  <c r="G48" i="29" s="1"/>
  <c r="V23" i="7" s="1"/>
  <c r="E47" i="29"/>
  <c r="E49" i="29" s="1"/>
  <c r="C47" i="29"/>
  <c r="E46" i="29"/>
  <c r="C46" i="29"/>
  <c r="G46" i="29" s="1"/>
  <c r="D22" i="7" s="1"/>
  <c r="AL42" i="29"/>
  <c r="AI42" i="29"/>
  <c r="S42" i="29"/>
  <c r="J707" i="4" s="1"/>
  <c r="A707" i="4" s="1"/>
  <c r="M42" i="29"/>
  <c r="I707" i="4" s="1"/>
  <c r="AL41" i="29"/>
  <c r="AI41" i="29"/>
  <c r="S41" i="29"/>
  <c r="J706" i="4" s="1"/>
  <c r="M41" i="29"/>
  <c r="I706" i="4" s="1"/>
  <c r="AL40" i="29"/>
  <c r="AI40" i="29"/>
  <c r="S40" i="29"/>
  <c r="J705" i="4" s="1"/>
  <c r="M40" i="29"/>
  <c r="I705" i="4" s="1"/>
  <c r="AL39" i="29"/>
  <c r="AI39" i="29"/>
  <c r="S39" i="29"/>
  <c r="J704" i="4" s="1"/>
  <c r="A704" i="4" s="1"/>
  <c r="M39" i="29"/>
  <c r="I704" i="4" s="1"/>
  <c r="AL38" i="29"/>
  <c r="AI38" i="29"/>
  <c r="S38" i="29"/>
  <c r="J703" i="4" s="1"/>
  <c r="A703" i="4" s="1"/>
  <c r="M38" i="29"/>
  <c r="I703" i="4" s="1"/>
  <c r="AL37" i="29"/>
  <c r="AI37" i="29"/>
  <c r="S37" i="29"/>
  <c r="J702" i="4" s="1"/>
  <c r="A702" i="4" s="1"/>
  <c r="M37" i="29"/>
  <c r="I702" i="4" s="1"/>
  <c r="AL36" i="29"/>
  <c r="AI36" i="29"/>
  <c r="S36" i="29"/>
  <c r="J701" i="4" s="1"/>
  <c r="A701" i="4" s="1"/>
  <c r="M36" i="29"/>
  <c r="I701" i="4" s="1"/>
  <c r="AL35" i="29"/>
  <c r="AI35" i="29"/>
  <c r="S35" i="29"/>
  <c r="J700" i="4" s="1"/>
  <c r="A700" i="4" s="1"/>
  <c r="M35" i="29"/>
  <c r="I700" i="4" s="1"/>
  <c r="AL34" i="29"/>
  <c r="AI34" i="29"/>
  <c r="S34" i="29"/>
  <c r="J699" i="4" s="1"/>
  <c r="A699" i="4" s="1"/>
  <c r="M34" i="29"/>
  <c r="I699" i="4" s="1"/>
  <c r="AL33" i="29"/>
  <c r="AI33" i="29"/>
  <c r="S33" i="29"/>
  <c r="J698" i="4" s="1"/>
  <c r="A698" i="4" s="1"/>
  <c r="M33" i="29"/>
  <c r="I698" i="4" s="1"/>
  <c r="AL32" i="29"/>
  <c r="AI32" i="29"/>
  <c r="S32" i="29"/>
  <c r="J697" i="4" s="1"/>
  <c r="A697" i="4" s="1"/>
  <c r="M32" i="29"/>
  <c r="I697" i="4" s="1"/>
  <c r="AL31" i="29"/>
  <c r="AI31" i="29"/>
  <c r="S31" i="29"/>
  <c r="J696" i="4" s="1"/>
  <c r="A696" i="4" s="1"/>
  <c r="M31" i="29"/>
  <c r="I696" i="4" s="1"/>
  <c r="AL30" i="29"/>
  <c r="AI30" i="29"/>
  <c r="S30" i="29"/>
  <c r="J695" i="4" s="1"/>
  <c r="M30" i="29"/>
  <c r="I695" i="4" s="1"/>
  <c r="AL29" i="29"/>
  <c r="AI29" i="29"/>
  <c r="S29" i="29"/>
  <c r="J694" i="4" s="1"/>
  <c r="M29" i="29"/>
  <c r="I694" i="4" s="1"/>
  <c r="AL28" i="29"/>
  <c r="AI28" i="29"/>
  <c r="S28" i="29"/>
  <c r="J693" i="4" s="1"/>
  <c r="M28" i="29"/>
  <c r="I693" i="4" s="1"/>
  <c r="AL27" i="29"/>
  <c r="AI27" i="29"/>
  <c r="S27" i="29"/>
  <c r="J692" i="4" s="1"/>
  <c r="M27" i="29"/>
  <c r="I692" i="4" s="1"/>
  <c r="AL26" i="29"/>
  <c r="AI26" i="29"/>
  <c r="S26" i="29"/>
  <c r="J691" i="4" s="1"/>
  <c r="M26" i="29"/>
  <c r="I691" i="4" s="1"/>
  <c r="AL25" i="29"/>
  <c r="AI25" i="29"/>
  <c r="S25" i="29"/>
  <c r="J690" i="4" s="1"/>
  <c r="M25" i="29"/>
  <c r="I690" i="4" s="1"/>
  <c r="AL24" i="29"/>
  <c r="AI24" i="29"/>
  <c r="S24" i="29"/>
  <c r="J689" i="4" s="1"/>
  <c r="M24" i="29"/>
  <c r="I689" i="4" s="1"/>
  <c r="AL23" i="29"/>
  <c r="AI23" i="29"/>
  <c r="S23" i="29"/>
  <c r="J688" i="4" s="1"/>
  <c r="M23" i="29"/>
  <c r="I688" i="4" s="1"/>
  <c r="AL22" i="29"/>
  <c r="AI22" i="29"/>
  <c r="S22" i="29"/>
  <c r="J687" i="4" s="1"/>
  <c r="M22" i="29"/>
  <c r="I687" i="4" s="1"/>
  <c r="AL21" i="29"/>
  <c r="AI21" i="29"/>
  <c r="S21" i="29"/>
  <c r="J686" i="4" s="1"/>
  <c r="M21" i="29"/>
  <c r="I686" i="4" s="1"/>
  <c r="AL20" i="29"/>
  <c r="AI20" i="29"/>
  <c r="S20" i="29"/>
  <c r="J685" i="4" s="1"/>
  <c r="M20" i="29"/>
  <c r="I685" i="4" s="1"/>
  <c r="AL19" i="29"/>
  <c r="AI19" i="29"/>
  <c r="S19" i="29"/>
  <c r="J684" i="4" s="1"/>
  <c r="M19" i="29"/>
  <c r="I684" i="4" s="1"/>
  <c r="AL18" i="29"/>
  <c r="AI18" i="29"/>
  <c r="S18" i="29"/>
  <c r="J683" i="4" s="1"/>
  <c r="M18" i="29"/>
  <c r="I683" i="4" s="1"/>
  <c r="AL17" i="29"/>
  <c r="AI17" i="29"/>
  <c r="S17" i="29"/>
  <c r="J682" i="4" s="1"/>
  <c r="M17" i="29"/>
  <c r="I682" i="4" s="1"/>
  <c r="AL16" i="29"/>
  <c r="AI16" i="29"/>
  <c r="S16" i="29"/>
  <c r="J681" i="4" s="1"/>
  <c r="M16" i="29"/>
  <c r="I681" i="4" s="1"/>
  <c r="AL15" i="29"/>
  <c r="AI15" i="29"/>
  <c r="S15" i="29"/>
  <c r="J680" i="4" s="1"/>
  <c r="M15" i="29"/>
  <c r="I680" i="4" s="1"/>
  <c r="AL14" i="29"/>
  <c r="AI14" i="29"/>
  <c r="S14" i="29"/>
  <c r="J679" i="4" s="1"/>
  <c r="M14" i="29"/>
  <c r="I679" i="4" s="1"/>
  <c r="AL13" i="29"/>
  <c r="AI13" i="29"/>
  <c r="S13" i="29"/>
  <c r="J678" i="4" s="1"/>
  <c r="M13" i="29"/>
  <c r="I678" i="4" s="1"/>
  <c r="AL12" i="29"/>
  <c r="AI12" i="29"/>
  <c r="S12" i="29"/>
  <c r="J677" i="4" s="1"/>
  <c r="M12" i="29"/>
  <c r="I677" i="4" s="1"/>
  <c r="AL11" i="29"/>
  <c r="AI11" i="29"/>
  <c r="S11" i="29"/>
  <c r="J676" i="4" s="1"/>
  <c r="M11" i="29"/>
  <c r="I676" i="4" s="1"/>
  <c r="AL10" i="29"/>
  <c r="AI10" i="29"/>
  <c r="S10" i="29"/>
  <c r="J675" i="4" s="1"/>
  <c r="M10" i="29"/>
  <c r="I675" i="4" s="1"/>
  <c r="AL9" i="29"/>
  <c r="AI9" i="29"/>
  <c r="S9" i="29"/>
  <c r="J674" i="4" s="1"/>
  <c r="M9" i="29"/>
  <c r="I674" i="4" s="1"/>
  <c r="AL8" i="29"/>
  <c r="AI8" i="29"/>
  <c r="S8" i="29"/>
  <c r="J673" i="4" s="1"/>
  <c r="M8" i="29"/>
  <c r="I673" i="4" s="1"/>
  <c r="K3" i="29"/>
  <c r="I3" i="29"/>
  <c r="G3" i="29"/>
  <c r="E3" i="29"/>
  <c r="C3" i="29"/>
  <c r="A3" i="29"/>
  <c r="R1" i="29"/>
  <c r="C65" i="28"/>
  <c r="C67" i="28" s="1"/>
  <c r="C64" i="28"/>
  <c r="C59" i="28"/>
  <c r="C58" i="28"/>
  <c r="E27" i="41" s="1"/>
  <c r="H27" i="41" s="1"/>
  <c r="C57" i="28"/>
  <c r="Y22" i="7" s="1"/>
  <c r="C56" i="28"/>
  <c r="C55" i="28"/>
  <c r="C54" i="28"/>
  <c r="G50" i="28"/>
  <c r="E48" i="28"/>
  <c r="C48" i="28"/>
  <c r="G48" i="28" s="1"/>
  <c r="V22" i="7" s="1"/>
  <c r="E47" i="28"/>
  <c r="E49" i="28" s="1"/>
  <c r="C47" i="28"/>
  <c r="E46" i="28"/>
  <c r="C46" i="28"/>
  <c r="G46" i="28" s="1"/>
  <c r="AL42" i="28"/>
  <c r="AI42" i="28"/>
  <c r="S42" i="28"/>
  <c r="J672" i="4" s="1"/>
  <c r="M42" i="28"/>
  <c r="I672" i="4" s="1"/>
  <c r="AL41" i="28"/>
  <c r="AI41" i="28"/>
  <c r="S41" i="28"/>
  <c r="J671" i="4" s="1"/>
  <c r="M41" i="28"/>
  <c r="I671" i="4" s="1"/>
  <c r="AL40" i="28"/>
  <c r="AI40" i="28"/>
  <c r="S40" i="28"/>
  <c r="J670" i="4" s="1"/>
  <c r="M40" i="28"/>
  <c r="I670" i="4" s="1"/>
  <c r="AL39" i="28"/>
  <c r="AI39" i="28"/>
  <c r="S39" i="28"/>
  <c r="J669" i="4" s="1"/>
  <c r="M39" i="28"/>
  <c r="I669" i="4" s="1"/>
  <c r="AL38" i="28"/>
  <c r="AI38" i="28"/>
  <c r="S38" i="28"/>
  <c r="J668" i="4" s="1"/>
  <c r="M38" i="28"/>
  <c r="I668" i="4" s="1"/>
  <c r="AL37" i="28"/>
  <c r="AI37" i="28"/>
  <c r="S37" i="28"/>
  <c r="J667" i="4" s="1"/>
  <c r="M37" i="28"/>
  <c r="I667" i="4" s="1"/>
  <c r="AL36" i="28"/>
  <c r="AI36" i="28"/>
  <c r="S36" i="28"/>
  <c r="J666" i="4" s="1"/>
  <c r="M36" i="28"/>
  <c r="I666" i="4" s="1"/>
  <c r="AL35" i="28"/>
  <c r="AI35" i="28"/>
  <c r="S35" i="28"/>
  <c r="J665" i="4" s="1"/>
  <c r="M35" i="28"/>
  <c r="I665" i="4" s="1"/>
  <c r="AL34" i="28"/>
  <c r="AI34" i="28"/>
  <c r="S34" i="28"/>
  <c r="J664" i="4" s="1"/>
  <c r="M34" i="28"/>
  <c r="I664" i="4" s="1"/>
  <c r="AL33" i="28"/>
  <c r="AI33" i="28"/>
  <c r="S33" i="28"/>
  <c r="J663" i="4" s="1"/>
  <c r="M33" i="28"/>
  <c r="I663" i="4" s="1"/>
  <c r="AL32" i="28"/>
  <c r="AI32" i="28"/>
  <c r="S32" i="28"/>
  <c r="J662" i="4" s="1"/>
  <c r="M32" i="28"/>
  <c r="I662" i="4" s="1"/>
  <c r="AL31" i="28"/>
  <c r="AI31" i="28"/>
  <c r="S31" i="28"/>
  <c r="J661" i="4" s="1"/>
  <c r="M31" i="28"/>
  <c r="I661" i="4" s="1"/>
  <c r="AL30" i="28"/>
  <c r="AI30" i="28"/>
  <c r="S30" i="28"/>
  <c r="J660" i="4" s="1"/>
  <c r="M30" i="28"/>
  <c r="I660" i="4" s="1"/>
  <c r="AL29" i="28"/>
  <c r="AI29" i="28"/>
  <c r="S29" i="28"/>
  <c r="J659" i="4" s="1"/>
  <c r="M29" i="28"/>
  <c r="I659" i="4" s="1"/>
  <c r="AL28" i="28"/>
  <c r="AI28" i="28"/>
  <c r="S28" i="28"/>
  <c r="J658" i="4" s="1"/>
  <c r="M28" i="28"/>
  <c r="I658" i="4" s="1"/>
  <c r="AL27" i="28"/>
  <c r="AI27" i="28"/>
  <c r="S27" i="28"/>
  <c r="J657" i="4" s="1"/>
  <c r="M27" i="28"/>
  <c r="I657" i="4" s="1"/>
  <c r="AL26" i="28"/>
  <c r="AI26" i="28"/>
  <c r="S26" i="28"/>
  <c r="J656" i="4" s="1"/>
  <c r="M26" i="28"/>
  <c r="I656" i="4" s="1"/>
  <c r="AL25" i="28"/>
  <c r="AI25" i="28"/>
  <c r="S25" i="28"/>
  <c r="J655" i="4" s="1"/>
  <c r="M25" i="28"/>
  <c r="I655" i="4" s="1"/>
  <c r="AL24" i="28"/>
  <c r="AI24" i="28"/>
  <c r="S24" i="28"/>
  <c r="J654" i="4" s="1"/>
  <c r="M24" i="28"/>
  <c r="I654" i="4" s="1"/>
  <c r="AL23" i="28"/>
  <c r="AI23" i="28"/>
  <c r="S23" i="28"/>
  <c r="J653" i="4" s="1"/>
  <c r="M23" i="28"/>
  <c r="I653" i="4" s="1"/>
  <c r="AL22" i="28"/>
  <c r="AI22" i="28"/>
  <c r="S22" i="28"/>
  <c r="J652" i="4" s="1"/>
  <c r="M22" i="28"/>
  <c r="I652" i="4" s="1"/>
  <c r="AL21" i="28"/>
  <c r="AI21" i="28"/>
  <c r="S21" i="28"/>
  <c r="J651" i="4" s="1"/>
  <c r="M21" i="28"/>
  <c r="I651" i="4" s="1"/>
  <c r="AL20" i="28"/>
  <c r="AI20" i="28"/>
  <c r="S20" i="28"/>
  <c r="J650" i="4" s="1"/>
  <c r="M20" i="28"/>
  <c r="I650" i="4" s="1"/>
  <c r="AL19" i="28"/>
  <c r="AI19" i="28"/>
  <c r="S19" i="28"/>
  <c r="J649" i="4" s="1"/>
  <c r="M19" i="28"/>
  <c r="I649" i="4" s="1"/>
  <c r="AL18" i="28"/>
  <c r="AI18" i="28"/>
  <c r="S18" i="28"/>
  <c r="J648" i="4" s="1"/>
  <c r="M18" i="28"/>
  <c r="I648" i="4" s="1"/>
  <c r="AL17" i="28"/>
  <c r="AI17" i="28"/>
  <c r="S17" i="28"/>
  <c r="J647" i="4" s="1"/>
  <c r="M17" i="28"/>
  <c r="I647" i="4" s="1"/>
  <c r="AL16" i="28"/>
  <c r="AI16" i="28"/>
  <c r="S16" i="28"/>
  <c r="J646" i="4" s="1"/>
  <c r="M16" i="28"/>
  <c r="I646" i="4" s="1"/>
  <c r="AL15" i="28"/>
  <c r="AI15" i="28"/>
  <c r="S15" i="28"/>
  <c r="J645" i="4" s="1"/>
  <c r="M15" i="28"/>
  <c r="I645" i="4" s="1"/>
  <c r="AL14" i="28"/>
  <c r="AI14" i="28"/>
  <c r="S14" i="28"/>
  <c r="J644" i="4" s="1"/>
  <c r="M14" i="28"/>
  <c r="I644" i="4" s="1"/>
  <c r="AL13" i="28"/>
  <c r="AI13" i="28"/>
  <c r="S13" i="28"/>
  <c r="J643" i="4" s="1"/>
  <c r="M13" i="28"/>
  <c r="I643" i="4" s="1"/>
  <c r="AL12" i="28"/>
  <c r="AI12" i="28"/>
  <c r="S12" i="28"/>
  <c r="J642" i="4" s="1"/>
  <c r="M12" i="28"/>
  <c r="I642" i="4" s="1"/>
  <c r="AL11" i="28"/>
  <c r="AI11" i="28"/>
  <c r="S11" i="28"/>
  <c r="J641" i="4" s="1"/>
  <c r="M11" i="28"/>
  <c r="I641" i="4" s="1"/>
  <c r="AL10" i="28"/>
  <c r="AI10" i="28"/>
  <c r="S10" i="28"/>
  <c r="J640" i="4" s="1"/>
  <c r="M10" i="28"/>
  <c r="I640" i="4" s="1"/>
  <c r="AL9" i="28"/>
  <c r="AI9" i="28"/>
  <c r="S9" i="28"/>
  <c r="J639" i="4" s="1"/>
  <c r="M9" i="28"/>
  <c r="I639" i="4" s="1"/>
  <c r="AL8" i="28"/>
  <c r="AI8" i="28"/>
  <c r="S8" i="28"/>
  <c r="J638" i="4" s="1"/>
  <c r="M8" i="28"/>
  <c r="I638" i="4" s="1"/>
  <c r="K3" i="28"/>
  <c r="I3" i="28"/>
  <c r="G3" i="28"/>
  <c r="E3" i="28"/>
  <c r="C3" i="28"/>
  <c r="A3" i="28"/>
  <c r="R1" i="28"/>
  <c r="C65" i="27"/>
  <c r="C67" i="27" s="1"/>
  <c r="C64" i="27"/>
  <c r="C59" i="27"/>
  <c r="C58" i="27"/>
  <c r="E26" i="41" s="1"/>
  <c r="H26" i="41" s="1"/>
  <c r="C57" i="27"/>
  <c r="C56" i="27"/>
  <c r="C55" i="27"/>
  <c r="F26" i="41" s="1"/>
  <c r="C54" i="27"/>
  <c r="G50" i="27"/>
  <c r="E48" i="27"/>
  <c r="C48" i="27"/>
  <c r="G48" i="27" s="1"/>
  <c r="V21" i="7" s="1"/>
  <c r="E47" i="27"/>
  <c r="E49" i="27" s="1"/>
  <c r="C47" i="27"/>
  <c r="E46" i="27"/>
  <c r="C46" i="27"/>
  <c r="G46" i="27" s="1"/>
  <c r="N20" i="7" s="1"/>
  <c r="AL42" i="27"/>
  <c r="AI42" i="27"/>
  <c r="S42" i="27"/>
  <c r="J637" i="4" s="1"/>
  <c r="M42" i="27"/>
  <c r="I637" i="4" s="1"/>
  <c r="AL41" i="27"/>
  <c r="AI41" i="27"/>
  <c r="S41" i="27"/>
  <c r="J636" i="4" s="1"/>
  <c r="M41" i="27"/>
  <c r="I636" i="4" s="1"/>
  <c r="AL40" i="27"/>
  <c r="AI40" i="27"/>
  <c r="S40" i="27"/>
  <c r="J635" i="4" s="1"/>
  <c r="M40" i="27"/>
  <c r="I635" i="4" s="1"/>
  <c r="AL39" i="27"/>
  <c r="AI39" i="27"/>
  <c r="S39" i="27"/>
  <c r="J634" i="4" s="1"/>
  <c r="M39" i="27"/>
  <c r="I634" i="4" s="1"/>
  <c r="AL38" i="27"/>
  <c r="AI38" i="27"/>
  <c r="S38" i="27"/>
  <c r="J633" i="4" s="1"/>
  <c r="M38" i="27"/>
  <c r="I633" i="4" s="1"/>
  <c r="AL37" i="27"/>
  <c r="AI37" i="27"/>
  <c r="S37" i="27"/>
  <c r="J632" i="4" s="1"/>
  <c r="M37" i="27"/>
  <c r="I632" i="4" s="1"/>
  <c r="AL36" i="27"/>
  <c r="AI36" i="27"/>
  <c r="S36" i="27"/>
  <c r="J631" i="4" s="1"/>
  <c r="M36" i="27"/>
  <c r="I631" i="4" s="1"/>
  <c r="AL35" i="27"/>
  <c r="AI35" i="27"/>
  <c r="S35" i="27"/>
  <c r="J630" i="4" s="1"/>
  <c r="M35" i="27"/>
  <c r="I630" i="4" s="1"/>
  <c r="AL34" i="27"/>
  <c r="AI34" i="27"/>
  <c r="S34" i="27"/>
  <c r="J629" i="4" s="1"/>
  <c r="M34" i="27"/>
  <c r="I629" i="4" s="1"/>
  <c r="AL33" i="27"/>
  <c r="AI33" i="27"/>
  <c r="S33" i="27"/>
  <c r="J628" i="4" s="1"/>
  <c r="M33" i="27"/>
  <c r="I628" i="4" s="1"/>
  <c r="AL32" i="27"/>
  <c r="AI32" i="27"/>
  <c r="S32" i="27"/>
  <c r="J627" i="4" s="1"/>
  <c r="M32" i="27"/>
  <c r="I627" i="4" s="1"/>
  <c r="AL31" i="27"/>
  <c r="AI31" i="27"/>
  <c r="S31" i="27"/>
  <c r="J626" i="4" s="1"/>
  <c r="M31" i="27"/>
  <c r="I626" i="4" s="1"/>
  <c r="AL30" i="27"/>
  <c r="AI30" i="27"/>
  <c r="S30" i="27"/>
  <c r="J625" i="4" s="1"/>
  <c r="M30" i="27"/>
  <c r="I625" i="4" s="1"/>
  <c r="AL29" i="27"/>
  <c r="AI29" i="27"/>
  <c r="S29" i="27"/>
  <c r="J624" i="4" s="1"/>
  <c r="M29" i="27"/>
  <c r="I624" i="4" s="1"/>
  <c r="AL28" i="27"/>
  <c r="AI28" i="27"/>
  <c r="S28" i="27"/>
  <c r="J623" i="4" s="1"/>
  <c r="M28" i="27"/>
  <c r="I623" i="4" s="1"/>
  <c r="AL27" i="27"/>
  <c r="AI27" i="27"/>
  <c r="S27" i="27"/>
  <c r="J622" i="4" s="1"/>
  <c r="M27" i="27"/>
  <c r="I622" i="4" s="1"/>
  <c r="AL26" i="27"/>
  <c r="AI26" i="27"/>
  <c r="S26" i="27"/>
  <c r="J621" i="4" s="1"/>
  <c r="M26" i="27"/>
  <c r="I621" i="4" s="1"/>
  <c r="AL25" i="27"/>
  <c r="AI25" i="27"/>
  <c r="S25" i="27"/>
  <c r="J620" i="4" s="1"/>
  <c r="M25" i="27"/>
  <c r="I620" i="4" s="1"/>
  <c r="AL24" i="27"/>
  <c r="AI24" i="27"/>
  <c r="S24" i="27"/>
  <c r="J619" i="4" s="1"/>
  <c r="M24" i="27"/>
  <c r="I619" i="4" s="1"/>
  <c r="AL23" i="27"/>
  <c r="AI23" i="27"/>
  <c r="S23" i="27"/>
  <c r="J618" i="4" s="1"/>
  <c r="M23" i="27"/>
  <c r="I618" i="4" s="1"/>
  <c r="AL22" i="27"/>
  <c r="AI22" i="27"/>
  <c r="S22" i="27"/>
  <c r="J617" i="4" s="1"/>
  <c r="M22" i="27"/>
  <c r="I617" i="4" s="1"/>
  <c r="AL21" i="27"/>
  <c r="AI21" i="27"/>
  <c r="S21" i="27"/>
  <c r="J616" i="4" s="1"/>
  <c r="M21" i="27"/>
  <c r="I616" i="4" s="1"/>
  <c r="AL20" i="27"/>
  <c r="AI20" i="27"/>
  <c r="S20" i="27"/>
  <c r="J615" i="4" s="1"/>
  <c r="M20" i="27"/>
  <c r="I615" i="4" s="1"/>
  <c r="AL19" i="27"/>
  <c r="AI19" i="27"/>
  <c r="S19" i="27"/>
  <c r="J614" i="4" s="1"/>
  <c r="M19" i="27"/>
  <c r="I614" i="4" s="1"/>
  <c r="AL18" i="27"/>
  <c r="AI18" i="27"/>
  <c r="S18" i="27"/>
  <c r="J613" i="4" s="1"/>
  <c r="M18" i="27"/>
  <c r="I613" i="4" s="1"/>
  <c r="AL17" i="27"/>
  <c r="AI17" i="27"/>
  <c r="S17" i="27"/>
  <c r="J612" i="4" s="1"/>
  <c r="M17" i="27"/>
  <c r="I612" i="4" s="1"/>
  <c r="AL16" i="27"/>
  <c r="AI16" i="27"/>
  <c r="S16" i="27"/>
  <c r="J611" i="4" s="1"/>
  <c r="M16" i="27"/>
  <c r="I611" i="4" s="1"/>
  <c r="AL15" i="27"/>
  <c r="AI15" i="27"/>
  <c r="S15" i="27"/>
  <c r="J610" i="4" s="1"/>
  <c r="M15" i="27"/>
  <c r="I610" i="4" s="1"/>
  <c r="AL14" i="27"/>
  <c r="AI14" i="27"/>
  <c r="S14" i="27"/>
  <c r="J609" i="4" s="1"/>
  <c r="M14" i="27"/>
  <c r="I609" i="4" s="1"/>
  <c r="AL13" i="27"/>
  <c r="AI13" i="27"/>
  <c r="S13" i="27"/>
  <c r="J608" i="4" s="1"/>
  <c r="M13" i="27"/>
  <c r="I608" i="4" s="1"/>
  <c r="AL12" i="27"/>
  <c r="AI12" i="27"/>
  <c r="S12" i="27"/>
  <c r="J607" i="4" s="1"/>
  <c r="M12" i="27"/>
  <c r="I607" i="4" s="1"/>
  <c r="AL11" i="27"/>
  <c r="AI11" i="27"/>
  <c r="S11" i="27"/>
  <c r="J606" i="4" s="1"/>
  <c r="M11" i="27"/>
  <c r="I606" i="4" s="1"/>
  <c r="AL10" i="27"/>
  <c r="AI10" i="27"/>
  <c r="S10" i="27"/>
  <c r="J605" i="4" s="1"/>
  <c r="M10" i="27"/>
  <c r="I605" i="4" s="1"/>
  <c r="AL9" i="27"/>
  <c r="AI9" i="27"/>
  <c r="S9" i="27"/>
  <c r="J604" i="4" s="1"/>
  <c r="M9" i="27"/>
  <c r="I604" i="4" s="1"/>
  <c r="AL8" i="27"/>
  <c r="AI8" i="27"/>
  <c r="S8" i="27"/>
  <c r="J603" i="4" s="1"/>
  <c r="M8" i="27"/>
  <c r="I603" i="4" s="1"/>
  <c r="K3" i="27"/>
  <c r="I3" i="27"/>
  <c r="G3" i="27"/>
  <c r="E3" i="27"/>
  <c r="C3" i="27"/>
  <c r="A3" i="27"/>
  <c r="R1" i="27"/>
  <c r="C65" i="26"/>
  <c r="C67" i="26" s="1"/>
  <c r="C64" i="26"/>
  <c r="C59" i="26"/>
  <c r="C58" i="26"/>
  <c r="E25" i="41" s="1"/>
  <c r="H25" i="41" s="1"/>
  <c r="C57" i="26"/>
  <c r="C56" i="26"/>
  <c r="C55" i="26"/>
  <c r="F25" i="41" s="1"/>
  <c r="C54" i="26"/>
  <c r="G50" i="26"/>
  <c r="E48" i="26"/>
  <c r="C48" i="26"/>
  <c r="G48" i="26" s="1"/>
  <c r="V20" i="7" s="1"/>
  <c r="E47" i="26"/>
  <c r="E49" i="26" s="1"/>
  <c r="C47" i="26"/>
  <c r="E46" i="26"/>
  <c r="C46" i="26"/>
  <c r="G46" i="26" s="1"/>
  <c r="L20" i="7" s="1"/>
  <c r="AL42" i="26"/>
  <c r="AI42" i="26"/>
  <c r="S42" i="26"/>
  <c r="J602" i="4" s="1"/>
  <c r="M42" i="26"/>
  <c r="I602" i="4" s="1"/>
  <c r="AL41" i="26"/>
  <c r="AI41" i="26"/>
  <c r="S41" i="26"/>
  <c r="J601" i="4" s="1"/>
  <c r="M41" i="26"/>
  <c r="I601" i="4" s="1"/>
  <c r="AL40" i="26"/>
  <c r="AI40" i="26"/>
  <c r="S40" i="26"/>
  <c r="J600" i="4" s="1"/>
  <c r="M40" i="26"/>
  <c r="I600" i="4" s="1"/>
  <c r="AL39" i="26"/>
  <c r="AI39" i="26"/>
  <c r="S39" i="26"/>
  <c r="J599" i="4" s="1"/>
  <c r="M39" i="26"/>
  <c r="I599" i="4" s="1"/>
  <c r="AL38" i="26"/>
  <c r="AI38" i="26"/>
  <c r="S38" i="26"/>
  <c r="J598" i="4" s="1"/>
  <c r="M38" i="26"/>
  <c r="I598" i="4" s="1"/>
  <c r="AL37" i="26"/>
  <c r="AI37" i="26"/>
  <c r="S37" i="26"/>
  <c r="J597" i="4" s="1"/>
  <c r="M37" i="26"/>
  <c r="I597" i="4" s="1"/>
  <c r="AL36" i="26"/>
  <c r="AI36" i="26"/>
  <c r="S36" i="26"/>
  <c r="J596" i="4" s="1"/>
  <c r="M36" i="26"/>
  <c r="I596" i="4" s="1"/>
  <c r="AL35" i="26"/>
  <c r="AI35" i="26"/>
  <c r="S35" i="26"/>
  <c r="J595" i="4" s="1"/>
  <c r="M35" i="26"/>
  <c r="I595" i="4" s="1"/>
  <c r="AL34" i="26"/>
  <c r="AI34" i="26"/>
  <c r="S34" i="26"/>
  <c r="J594" i="4" s="1"/>
  <c r="M34" i="26"/>
  <c r="I594" i="4" s="1"/>
  <c r="AL33" i="26"/>
  <c r="AI33" i="26"/>
  <c r="S33" i="26"/>
  <c r="J593" i="4" s="1"/>
  <c r="M33" i="26"/>
  <c r="I593" i="4" s="1"/>
  <c r="AL32" i="26"/>
  <c r="AI32" i="26"/>
  <c r="S32" i="26"/>
  <c r="J592" i="4" s="1"/>
  <c r="M32" i="26"/>
  <c r="I592" i="4" s="1"/>
  <c r="AL31" i="26"/>
  <c r="AI31" i="26"/>
  <c r="S31" i="26"/>
  <c r="J591" i="4" s="1"/>
  <c r="M31" i="26"/>
  <c r="I591" i="4" s="1"/>
  <c r="AL30" i="26"/>
  <c r="AI30" i="26"/>
  <c r="S30" i="26"/>
  <c r="J590" i="4" s="1"/>
  <c r="M30" i="26"/>
  <c r="I590" i="4" s="1"/>
  <c r="AL29" i="26"/>
  <c r="AI29" i="26"/>
  <c r="S29" i="26"/>
  <c r="J589" i="4" s="1"/>
  <c r="M29" i="26"/>
  <c r="I589" i="4" s="1"/>
  <c r="AL28" i="26"/>
  <c r="AI28" i="26"/>
  <c r="S28" i="26"/>
  <c r="J588" i="4" s="1"/>
  <c r="M28" i="26"/>
  <c r="I588" i="4" s="1"/>
  <c r="AL27" i="26"/>
  <c r="AI27" i="26"/>
  <c r="S27" i="26"/>
  <c r="J587" i="4" s="1"/>
  <c r="M27" i="26"/>
  <c r="I587" i="4" s="1"/>
  <c r="AL26" i="26"/>
  <c r="AI26" i="26"/>
  <c r="S26" i="26"/>
  <c r="J586" i="4" s="1"/>
  <c r="M26" i="26"/>
  <c r="I586" i="4" s="1"/>
  <c r="AL25" i="26"/>
  <c r="AI25" i="26"/>
  <c r="S25" i="26"/>
  <c r="J585" i="4" s="1"/>
  <c r="M25" i="26"/>
  <c r="I585" i="4" s="1"/>
  <c r="AL24" i="26"/>
  <c r="AI24" i="26"/>
  <c r="S24" i="26"/>
  <c r="J584" i="4" s="1"/>
  <c r="M24" i="26"/>
  <c r="I584" i="4" s="1"/>
  <c r="AL23" i="26"/>
  <c r="AI23" i="26"/>
  <c r="S23" i="26"/>
  <c r="J583" i="4" s="1"/>
  <c r="M23" i="26"/>
  <c r="I583" i="4" s="1"/>
  <c r="AL22" i="26"/>
  <c r="AI22" i="26"/>
  <c r="S22" i="26"/>
  <c r="J582" i="4" s="1"/>
  <c r="M22" i="26"/>
  <c r="I582" i="4" s="1"/>
  <c r="AL21" i="26"/>
  <c r="AI21" i="26"/>
  <c r="S21" i="26"/>
  <c r="J581" i="4" s="1"/>
  <c r="M21" i="26"/>
  <c r="I581" i="4" s="1"/>
  <c r="AL20" i="26"/>
  <c r="AI20" i="26"/>
  <c r="S20" i="26"/>
  <c r="J580" i="4" s="1"/>
  <c r="M20" i="26"/>
  <c r="I580" i="4" s="1"/>
  <c r="AL19" i="26"/>
  <c r="AI19" i="26"/>
  <c r="S19" i="26"/>
  <c r="J579" i="4" s="1"/>
  <c r="M19" i="26"/>
  <c r="I579" i="4" s="1"/>
  <c r="AL18" i="26"/>
  <c r="AI18" i="26"/>
  <c r="S18" i="26"/>
  <c r="J578" i="4" s="1"/>
  <c r="M18" i="26"/>
  <c r="I578" i="4" s="1"/>
  <c r="AL17" i="26"/>
  <c r="AI17" i="26"/>
  <c r="S17" i="26"/>
  <c r="J577" i="4" s="1"/>
  <c r="M17" i="26"/>
  <c r="I577" i="4" s="1"/>
  <c r="AL16" i="26"/>
  <c r="AI16" i="26"/>
  <c r="S16" i="26"/>
  <c r="J576" i="4" s="1"/>
  <c r="M16" i="26"/>
  <c r="I576" i="4" s="1"/>
  <c r="AL15" i="26"/>
  <c r="AI15" i="26"/>
  <c r="S15" i="26"/>
  <c r="J575" i="4" s="1"/>
  <c r="M15" i="26"/>
  <c r="I575" i="4" s="1"/>
  <c r="AL14" i="26"/>
  <c r="AI14" i="26"/>
  <c r="S14" i="26"/>
  <c r="J574" i="4" s="1"/>
  <c r="M14" i="26"/>
  <c r="I574" i="4" s="1"/>
  <c r="AL13" i="26"/>
  <c r="AI13" i="26"/>
  <c r="S13" i="26"/>
  <c r="J573" i="4" s="1"/>
  <c r="M13" i="26"/>
  <c r="I573" i="4" s="1"/>
  <c r="AL12" i="26"/>
  <c r="AI12" i="26"/>
  <c r="S12" i="26"/>
  <c r="J572" i="4" s="1"/>
  <c r="M12" i="26"/>
  <c r="I572" i="4" s="1"/>
  <c r="AL11" i="26"/>
  <c r="AI11" i="26"/>
  <c r="S11" i="26"/>
  <c r="J571" i="4" s="1"/>
  <c r="M11" i="26"/>
  <c r="I571" i="4" s="1"/>
  <c r="AL10" i="26"/>
  <c r="AI10" i="26"/>
  <c r="S10" i="26"/>
  <c r="J570" i="4" s="1"/>
  <c r="M10" i="26"/>
  <c r="I570" i="4" s="1"/>
  <c r="AL9" i="26"/>
  <c r="AI9" i="26"/>
  <c r="S9" i="26"/>
  <c r="J569" i="4" s="1"/>
  <c r="M9" i="26"/>
  <c r="I569" i="4" s="1"/>
  <c r="AL8" i="26"/>
  <c r="AI8" i="26"/>
  <c r="S8" i="26"/>
  <c r="J568" i="4" s="1"/>
  <c r="M8" i="26"/>
  <c r="I568" i="4" s="1"/>
  <c r="K3" i="26"/>
  <c r="I3" i="26"/>
  <c r="G3" i="26"/>
  <c r="E3" i="26"/>
  <c r="C3" i="26"/>
  <c r="A3" i="26"/>
  <c r="R1" i="26"/>
  <c r="C65" i="25"/>
  <c r="C67" i="25" s="1"/>
  <c r="C64" i="25"/>
  <c r="C59" i="25"/>
  <c r="C58" i="25"/>
  <c r="E24" i="41" s="1"/>
  <c r="H24" i="41" s="1"/>
  <c r="C57" i="25"/>
  <c r="C56" i="25"/>
  <c r="C55" i="25"/>
  <c r="F24" i="41" s="1"/>
  <c r="C54" i="25"/>
  <c r="G50" i="25"/>
  <c r="E48" i="25"/>
  <c r="C48" i="25"/>
  <c r="G48" i="25" s="1"/>
  <c r="V19" i="7" s="1"/>
  <c r="E47" i="25"/>
  <c r="E49" i="25" s="1"/>
  <c r="C47" i="25"/>
  <c r="E46" i="25"/>
  <c r="C46" i="25"/>
  <c r="G46" i="25" s="1"/>
  <c r="J20" i="7" s="1"/>
  <c r="AL42" i="25"/>
  <c r="AI42" i="25"/>
  <c r="S42" i="25"/>
  <c r="J567" i="4" s="1"/>
  <c r="M42" i="25"/>
  <c r="I567" i="4" s="1"/>
  <c r="AL41" i="25"/>
  <c r="AI41" i="25"/>
  <c r="S41" i="25"/>
  <c r="J566" i="4" s="1"/>
  <c r="M41" i="25"/>
  <c r="I566" i="4" s="1"/>
  <c r="AL40" i="25"/>
  <c r="AI40" i="25"/>
  <c r="S40" i="25"/>
  <c r="J565" i="4" s="1"/>
  <c r="M40" i="25"/>
  <c r="I565" i="4" s="1"/>
  <c r="AL39" i="25"/>
  <c r="AI39" i="25"/>
  <c r="S39" i="25"/>
  <c r="J564" i="4" s="1"/>
  <c r="M39" i="25"/>
  <c r="I564" i="4" s="1"/>
  <c r="AL38" i="25"/>
  <c r="AI38" i="25"/>
  <c r="S38" i="25"/>
  <c r="J563" i="4" s="1"/>
  <c r="M38" i="25"/>
  <c r="I563" i="4" s="1"/>
  <c r="AL37" i="25"/>
  <c r="AI37" i="25"/>
  <c r="S37" i="25"/>
  <c r="J562" i="4" s="1"/>
  <c r="A562" i="4" s="1"/>
  <c r="M37" i="25"/>
  <c r="I562" i="4" s="1"/>
  <c r="AL36" i="25"/>
  <c r="AI36" i="25"/>
  <c r="S36" i="25"/>
  <c r="J561" i="4" s="1"/>
  <c r="M36" i="25"/>
  <c r="I561" i="4" s="1"/>
  <c r="AL35" i="25"/>
  <c r="AI35" i="25"/>
  <c r="S35" i="25"/>
  <c r="J560" i="4" s="1"/>
  <c r="A560" i="4" s="1"/>
  <c r="M35" i="25"/>
  <c r="I560" i="4" s="1"/>
  <c r="AL34" i="25"/>
  <c r="AI34" i="25"/>
  <c r="S34" i="25"/>
  <c r="J559" i="4" s="1"/>
  <c r="A559" i="4" s="1"/>
  <c r="M34" i="25"/>
  <c r="I559" i="4" s="1"/>
  <c r="AL33" i="25"/>
  <c r="AI33" i="25"/>
  <c r="S33" i="25"/>
  <c r="J558" i="4" s="1"/>
  <c r="A558" i="4" s="1"/>
  <c r="M33" i="25"/>
  <c r="I558" i="4" s="1"/>
  <c r="AL32" i="25"/>
  <c r="AI32" i="25"/>
  <c r="S32" i="25"/>
  <c r="J557" i="4" s="1"/>
  <c r="A557" i="4" s="1"/>
  <c r="M32" i="25"/>
  <c r="I557" i="4" s="1"/>
  <c r="AL31" i="25"/>
  <c r="AI31" i="25"/>
  <c r="S31" i="25"/>
  <c r="J556" i="4" s="1"/>
  <c r="A556" i="4" s="1"/>
  <c r="M31" i="25"/>
  <c r="I556" i="4" s="1"/>
  <c r="AL30" i="25"/>
  <c r="AI30" i="25"/>
  <c r="S30" i="25"/>
  <c r="J555" i="4" s="1"/>
  <c r="A555" i="4" s="1"/>
  <c r="M30" i="25"/>
  <c r="I555" i="4" s="1"/>
  <c r="AL29" i="25"/>
  <c r="AI29" i="25"/>
  <c r="S29" i="25"/>
  <c r="J554" i="4" s="1"/>
  <c r="A554" i="4" s="1"/>
  <c r="M29" i="25"/>
  <c r="I554" i="4" s="1"/>
  <c r="AL28" i="25"/>
  <c r="AI28" i="25"/>
  <c r="S28" i="25"/>
  <c r="J553" i="4" s="1"/>
  <c r="M28" i="25"/>
  <c r="I553" i="4" s="1"/>
  <c r="AL27" i="25"/>
  <c r="AI27" i="25"/>
  <c r="S27" i="25"/>
  <c r="J552" i="4" s="1"/>
  <c r="A552" i="4" s="1"/>
  <c r="M27" i="25"/>
  <c r="I552" i="4" s="1"/>
  <c r="AL26" i="25"/>
  <c r="AI26" i="25"/>
  <c r="S26" i="25"/>
  <c r="J551" i="4" s="1"/>
  <c r="A551" i="4" s="1"/>
  <c r="M26" i="25"/>
  <c r="I551" i="4" s="1"/>
  <c r="AL25" i="25"/>
  <c r="AI25" i="25"/>
  <c r="S25" i="25"/>
  <c r="J550" i="4" s="1"/>
  <c r="A550" i="4" s="1"/>
  <c r="M25" i="25"/>
  <c r="I550" i="4" s="1"/>
  <c r="AL24" i="25"/>
  <c r="AI24" i="25"/>
  <c r="S24" i="25"/>
  <c r="J549" i="4" s="1"/>
  <c r="A549" i="4" s="1"/>
  <c r="M24" i="25"/>
  <c r="I549" i="4" s="1"/>
  <c r="AL23" i="25"/>
  <c r="AI23" i="25"/>
  <c r="S23" i="25"/>
  <c r="J548" i="4" s="1"/>
  <c r="A548" i="4" s="1"/>
  <c r="M23" i="25"/>
  <c r="I548" i="4" s="1"/>
  <c r="AL22" i="25"/>
  <c r="AI22" i="25"/>
  <c r="S22" i="25"/>
  <c r="J547" i="4" s="1"/>
  <c r="A547" i="4" s="1"/>
  <c r="M22" i="25"/>
  <c r="I547" i="4" s="1"/>
  <c r="AL21" i="25"/>
  <c r="AI21" i="25"/>
  <c r="S21" i="25"/>
  <c r="J546" i="4" s="1"/>
  <c r="A546" i="4" s="1"/>
  <c r="M21" i="25"/>
  <c r="I546" i="4" s="1"/>
  <c r="AL20" i="25"/>
  <c r="AI20" i="25"/>
  <c r="S20" i="25"/>
  <c r="J545" i="4" s="1"/>
  <c r="A545" i="4" s="1"/>
  <c r="M20" i="25"/>
  <c r="I545" i="4" s="1"/>
  <c r="AL19" i="25"/>
  <c r="AI19" i="25"/>
  <c r="S19" i="25"/>
  <c r="J544" i="4" s="1"/>
  <c r="A544" i="4" s="1"/>
  <c r="M19" i="25"/>
  <c r="I544" i="4" s="1"/>
  <c r="AL18" i="25"/>
  <c r="AI18" i="25"/>
  <c r="S18" i="25"/>
  <c r="J543" i="4" s="1"/>
  <c r="A543" i="4" s="1"/>
  <c r="M18" i="25"/>
  <c r="I543" i="4" s="1"/>
  <c r="AL17" i="25"/>
  <c r="AI17" i="25"/>
  <c r="S17" i="25"/>
  <c r="J542" i="4" s="1"/>
  <c r="A542" i="4" s="1"/>
  <c r="M17" i="25"/>
  <c r="I542" i="4" s="1"/>
  <c r="AL16" i="25"/>
  <c r="AI16" i="25"/>
  <c r="S16" i="25"/>
  <c r="J541" i="4" s="1"/>
  <c r="A541" i="4" s="1"/>
  <c r="M16" i="25"/>
  <c r="I541" i="4" s="1"/>
  <c r="AL15" i="25"/>
  <c r="AI15" i="25"/>
  <c r="S15" i="25"/>
  <c r="J540" i="4" s="1"/>
  <c r="A540" i="4" s="1"/>
  <c r="M15" i="25"/>
  <c r="I540" i="4" s="1"/>
  <c r="AL14" i="25"/>
  <c r="AI14" i="25"/>
  <c r="S14" i="25"/>
  <c r="J539" i="4" s="1"/>
  <c r="A539" i="4" s="1"/>
  <c r="M14" i="25"/>
  <c r="I539" i="4" s="1"/>
  <c r="AL13" i="25"/>
  <c r="AI13" i="25"/>
  <c r="S13" i="25"/>
  <c r="J538" i="4" s="1"/>
  <c r="A538" i="4" s="1"/>
  <c r="M13" i="25"/>
  <c r="I538" i="4" s="1"/>
  <c r="AL12" i="25"/>
  <c r="AI12" i="25"/>
  <c r="S12" i="25"/>
  <c r="J537" i="4" s="1"/>
  <c r="A537" i="4" s="1"/>
  <c r="M12" i="25"/>
  <c r="I537" i="4" s="1"/>
  <c r="AL11" i="25"/>
  <c r="AI11" i="25"/>
  <c r="S11" i="25"/>
  <c r="J536" i="4" s="1"/>
  <c r="A536" i="4" s="1"/>
  <c r="M11" i="25"/>
  <c r="I536" i="4" s="1"/>
  <c r="AL10" i="25"/>
  <c r="AI10" i="25"/>
  <c r="S10" i="25"/>
  <c r="J535" i="4" s="1"/>
  <c r="A535" i="4" s="1"/>
  <c r="M10" i="25"/>
  <c r="I535" i="4" s="1"/>
  <c r="AL9" i="25"/>
  <c r="AI9" i="25"/>
  <c r="S9" i="25"/>
  <c r="J534" i="4" s="1"/>
  <c r="A534" i="4" s="1"/>
  <c r="M9" i="25"/>
  <c r="I534" i="4" s="1"/>
  <c r="AL8" i="25"/>
  <c r="AI8" i="25"/>
  <c r="S8" i="25"/>
  <c r="J533" i="4" s="1"/>
  <c r="A533" i="4" s="1"/>
  <c r="M8" i="25"/>
  <c r="I533" i="4" s="1"/>
  <c r="K3" i="25"/>
  <c r="I3" i="25"/>
  <c r="G3" i="25"/>
  <c r="E3" i="25"/>
  <c r="C3" i="25"/>
  <c r="A3" i="25"/>
  <c r="R1" i="25"/>
  <c r="C65" i="24"/>
  <c r="C67" i="24" s="1"/>
  <c r="C64" i="24"/>
  <c r="C59" i="24"/>
  <c r="C58" i="24"/>
  <c r="E23" i="41" s="1"/>
  <c r="H23" i="41" s="1"/>
  <c r="C57" i="24"/>
  <c r="C56" i="24"/>
  <c r="C55" i="24"/>
  <c r="F23" i="41" s="1"/>
  <c r="C54" i="24"/>
  <c r="G50" i="24"/>
  <c r="E48" i="24"/>
  <c r="C48" i="24"/>
  <c r="G48" i="24" s="1"/>
  <c r="V18" i="7" s="1"/>
  <c r="E47" i="24"/>
  <c r="E49" i="24" s="1"/>
  <c r="C47" i="24"/>
  <c r="E46" i="24"/>
  <c r="C46" i="24"/>
  <c r="G46" i="24" s="1"/>
  <c r="H20" i="7" s="1"/>
  <c r="AL42" i="24"/>
  <c r="AI42" i="24"/>
  <c r="S42" i="24"/>
  <c r="J532" i="4" s="1"/>
  <c r="A532" i="4" s="1"/>
  <c r="M42" i="24"/>
  <c r="I532" i="4" s="1"/>
  <c r="AL41" i="24"/>
  <c r="AI41" i="24"/>
  <c r="S41" i="24"/>
  <c r="J531" i="4" s="1"/>
  <c r="A531" i="4" s="1"/>
  <c r="M41" i="24"/>
  <c r="I531" i="4" s="1"/>
  <c r="AL40" i="24"/>
  <c r="AI40" i="24"/>
  <c r="S40" i="24"/>
  <c r="J530" i="4" s="1"/>
  <c r="A530" i="4" s="1"/>
  <c r="M40" i="24"/>
  <c r="I530" i="4" s="1"/>
  <c r="AL39" i="24"/>
  <c r="AI39" i="24"/>
  <c r="S39" i="24"/>
  <c r="J529" i="4" s="1"/>
  <c r="A529" i="4" s="1"/>
  <c r="M39" i="24"/>
  <c r="I529" i="4" s="1"/>
  <c r="AL38" i="24"/>
  <c r="AI38" i="24"/>
  <c r="S38" i="24"/>
  <c r="J528" i="4" s="1"/>
  <c r="A528" i="4" s="1"/>
  <c r="M38" i="24"/>
  <c r="I528" i="4" s="1"/>
  <c r="AL37" i="24"/>
  <c r="AI37" i="24"/>
  <c r="S37" i="24"/>
  <c r="J527" i="4" s="1"/>
  <c r="A527" i="4" s="1"/>
  <c r="M37" i="24"/>
  <c r="I527" i="4" s="1"/>
  <c r="AL36" i="24"/>
  <c r="AI36" i="24"/>
  <c r="S36" i="24"/>
  <c r="J526" i="4" s="1"/>
  <c r="A526" i="4" s="1"/>
  <c r="M36" i="24"/>
  <c r="I526" i="4" s="1"/>
  <c r="AL35" i="24"/>
  <c r="AI35" i="24"/>
  <c r="S35" i="24"/>
  <c r="J525" i="4" s="1"/>
  <c r="A525" i="4" s="1"/>
  <c r="M35" i="24"/>
  <c r="I525" i="4" s="1"/>
  <c r="AL34" i="24"/>
  <c r="AI34" i="24"/>
  <c r="S34" i="24"/>
  <c r="J524" i="4" s="1"/>
  <c r="M34" i="24"/>
  <c r="I524" i="4" s="1"/>
  <c r="AL33" i="24"/>
  <c r="AI33" i="24"/>
  <c r="S33" i="24"/>
  <c r="J523" i="4" s="1"/>
  <c r="A523" i="4" s="1"/>
  <c r="M33" i="24"/>
  <c r="I523" i="4" s="1"/>
  <c r="AL32" i="24"/>
  <c r="AI32" i="24"/>
  <c r="S32" i="24"/>
  <c r="J522" i="4" s="1"/>
  <c r="A522" i="4" s="1"/>
  <c r="M32" i="24"/>
  <c r="I522" i="4" s="1"/>
  <c r="AL31" i="24"/>
  <c r="AI31" i="24"/>
  <c r="S31" i="24"/>
  <c r="J521" i="4" s="1"/>
  <c r="A521" i="4" s="1"/>
  <c r="M31" i="24"/>
  <c r="I521" i="4" s="1"/>
  <c r="AL30" i="24"/>
  <c r="AI30" i="24"/>
  <c r="S30" i="24"/>
  <c r="J520" i="4" s="1"/>
  <c r="A520" i="4" s="1"/>
  <c r="M30" i="24"/>
  <c r="I520" i="4" s="1"/>
  <c r="AL29" i="24"/>
  <c r="AI29" i="24"/>
  <c r="S29" i="24"/>
  <c r="J519" i="4" s="1"/>
  <c r="A519" i="4" s="1"/>
  <c r="M29" i="24"/>
  <c r="I519" i="4" s="1"/>
  <c r="AL28" i="24"/>
  <c r="AI28" i="24"/>
  <c r="S28" i="24"/>
  <c r="J518" i="4" s="1"/>
  <c r="A518" i="4" s="1"/>
  <c r="M28" i="24"/>
  <c r="I518" i="4" s="1"/>
  <c r="AL27" i="24"/>
  <c r="AI27" i="24"/>
  <c r="S27" i="24"/>
  <c r="J517" i="4" s="1"/>
  <c r="A517" i="4" s="1"/>
  <c r="M27" i="24"/>
  <c r="I517" i="4" s="1"/>
  <c r="AL26" i="24"/>
  <c r="AI26" i="24"/>
  <c r="S26" i="24"/>
  <c r="J516" i="4" s="1"/>
  <c r="A516" i="4" s="1"/>
  <c r="M26" i="24"/>
  <c r="I516" i="4" s="1"/>
  <c r="AL25" i="24"/>
  <c r="AI25" i="24"/>
  <c r="S25" i="24"/>
  <c r="J515" i="4" s="1"/>
  <c r="M25" i="24"/>
  <c r="I515" i="4" s="1"/>
  <c r="AL24" i="24"/>
  <c r="AI24" i="24"/>
  <c r="S24" i="24"/>
  <c r="J514" i="4" s="1"/>
  <c r="A514" i="4" s="1"/>
  <c r="M24" i="24"/>
  <c r="I514" i="4" s="1"/>
  <c r="AL23" i="24"/>
  <c r="AI23" i="24"/>
  <c r="S23" i="24"/>
  <c r="J513" i="4" s="1"/>
  <c r="A513" i="4" s="1"/>
  <c r="M23" i="24"/>
  <c r="I513" i="4" s="1"/>
  <c r="AL22" i="24"/>
  <c r="AI22" i="24"/>
  <c r="S22" i="24"/>
  <c r="J512" i="4" s="1"/>
  <c r="A512" i="4" s="1"/>
  <c r="M22" i="24"/>
  <c r="I512" i="4" s="1"/>
  <c r="AL21" i="24"/>
  <c r="AI21" i="24"/>
  <c r="S21" i="24"/>
  <c r="J511" i="4" s="1"/>
  <c r="A511" i="4" s="1"/>
  <c r="M21" i="24"/>
  <c r="I511" i="4" s="1"/>
  <c r="AL20" i="24"/>
  <c r="AI20" i="24"/>
  <c r="S20" i="24"/>
  <c r="J510" i="4" s="1"/>
  <c r="A510" i="4" s="1"/>
  <c r="M20" i="24"/>
  <c r="I510" i="4" s="1"/>
  <c r="AL19" i="24"/>
  <c r="AI19" i="24"/>
  <c r="S19" i="24"/>
  <c r="J509" i="4" s="1"/>
  <c r="A509" i="4" s="1"/>
  <c r="M19" i="24"/>
  <c r="I509" i="4" s="1"/>
  <c r="AL18" i="24"/>
  <c r="AI18" i="24"/>
  <c r="S18" i="24"/>
  <c r="J508" i="4" s="1"/>
  <c r="A508" i="4" s="1"/>
  <c r="M18" i="24"/>
  <c r="I508" i="4" s="1"/>
  <c r="AL17" i="24"/>
  <c r="AI17" i="24"/>
  <c r="S17" i="24"/>
  <c r="J507" i="4" s="1"/>
  <c r="A507" i="4" s="1"/>
  <c r="M17" i="24"/>
  <c r="I507" i="4" s="1"/>
  <c r="AL16" i="24"/>
  <c r="AI16" i="24"/>
  <c r="S16" i="24"/>
  <c r="J506" i="4" s="1"/>
  <c r="A506" i="4" s="1"/>
  <c r="M16" i="24"/>
  <c r="I506" i="4" s="1"/>
  <c r="AL15" i="24"/>
  <c r="AI15" i="24"/>
  <c r="S15" i="24"/>
  <c r="J505" i="4" s="1"/>
  <c r="A505" i="4" s="1"/>
  <c r="M15" i="24"/>
  <c r="I505" i="4" s="1"/>
  <c r="AL14" i="24"/>
  <c r="AI14" i="24"/>
  <c r="S14" i="24"/>
  <c r="J504" i="4" s="1"/>
  <c r="A504" i="4" s="1"/>
  <c r="M14" i="24"/>
  <c r="I504" i="4" s="1"/>
  <c r="AL13" i="24"/>
  <c r="AI13" i="24"/>
  <c r="S13" i="24"/>
  <c r="J503" i="4" s="1"/>
  <c r="A503" i="4" s="1"/>
  <c r="M13" i="24"/>
  <c r="I503" i="4" s="1"/>
  <c r="AL12" i="24"/>
  <c r="AI12" i="24"/>
  <c r="S12" i="24"/>
  <c r="J502" i="4" s="1"/>
  <c r="A502" i="4" s="1"/>
  <c r="M12" i="24"/>
  <c r="I502" i="4" s="1"/>
  <c r="AL11" i="24"/>
  <c r="AI11" i="24"/>
  <c r="S11" i="24"/>
  <c r="J501" i="4" s="1"/>
  <c r="A501" i="4" s="1"/>
  <c r="M11" i="24"/>
  <c r="I501" i="4" s="1"/>
  <c r="AL10" i="24"/>
  <c r="AI10" i="24"/>
  <c r="S10" i="24"/>
  <c r="J500" i="4" s="1"/>
  <c r="A500" i="4" s="1"/>
  <c r="M10" i="24"/>
  <c r="I500" i="4" s="1"/>
  <c r="AL9" i="24"/>
  <c r="AI9" i="24"/>
  <c r="S9" i="24"/>
  <c r="J499" i="4" s="1"/>
  <c r="A499" i="4" s="1"/>
  <c r="M9" i="24"/>
  <c r="I499" i="4" s="1"/>
  <c r="AL8" i="24"/>
  <c r="AI8" i="24"/>
  <c r="S8" i="24"/>
  <c r="J498" i="4" s="1"/>
  <c r="A498" i="4" s="1"/>
  <c r="M8" i="24"/>
  <c r="I498" i="4" s="1"/>
  <c r="K3" i="24"/>
  <c r="I3" i="24"/>
  <c r="G3" i="24"/>
  <c r="E3" i="24"/>
  <c r="C3" i="24"/>
  <c r="A3" i="24"/>
  <c r="R1" i="24"/>
  <c r="C65" i="23"/>
  <c r="C67" i="23" s="1"/>
  <c r="C64" i="23"/>
  <c r="C59" i="23"/>
  <c r="C58" i="23"/>
  <c r="E22" i="41" s="1"/>
  <c r="H22" i="41" s="1"/>
  <c r="C57" i="23"/>
  <c r="C56" i="23"/>
  <c r="C55" i="23"/>
  <c r="F22" i="41" s="1"/>
  <c r="C54" i="23"/>
  <c r="G50" i="23"/>
  <c r="E48" i="23"/>
  <c r="C48" i="23"/>
  <c r="G48" i="23" s="1"/>
  <c r="V17" i="7" s="1"/>
  <c r="E47" i="23"/>
  <c r="E49" i="23" s="1"/>
  <c r="C47" i="23"/>
  <c r="E46" i="23"/>
  <c r="C46" i="23"/>
  <c r="G46" i="23" s="1"/>
  <c r="F20" i="7" s="1"/>
  <c r="AL42" i="23"/>
  <c r="AK42" i="23"/>
  <c r="AI42" i="23"/>
  <c r="S42" i="23"/>
  <c r="J497" i="4" s="1"/>
  <c r="A497" i="4" s="1"/>
  <c r="M42" i="23"/>
  <c r="I497" i="4" s="1"/>
  <c r="AL41" i="23"/>
  <c r="AI41" i="23"/>
  <c r="S41" i="23"/>
  <c r="J496" i="4" s="1"/>
  <c r="A496" i="4" s="1"/>
  <c r="M41" i="23"/>
  <c r="I496" i="4" s="1"/>
  <c r="AL40" i="23"/>
  <c r="AI40" i="23"/>
  <c r="S40" i="23"/>
  <c r="J495" i="4" s="1"/>
  <c r="A495" i="4" s="1"/>
  <c r="M40" i="23"/>
  <c r="I495" i="4" s="1"/>
  <c r="AL39" i="23"/>
  <c r="AI39" i="23"/>
  <c r="S39" i="23"/>
  <c r="J494" i="4" s="1"/>
  <c r="A494" i="4" s="1"/>
  <c r="M39" i="23"/>
  <c r="I494" i="4" s="1"/>
  <c r="AL38" i="23"/>
  <c r="AI38" i="23"/>
  <c r="S38" i="23"/>
  <c r="J493" i="4" s="1"/>
  <c r="A493" i="4" s="1"/>
  <c r="M38" i="23"/>
  <c r="I493" i="4" s="1"/>
  <c r="AL37" i="23"/>
  <c r="AI37" i="23"/>
  <c r="S37" i="23"/>
  <c r="J492" i="4" s="1"/>
  <c r="A492" i="4" s="1"/>
  <c r="M37" i="23"/>
  <c r="I492" i="4" s="1"/>
  <c r="AL36" i="23"/>
  <c r="AI36" i="23"/>
  <c r="S36" i="23"/>
  <c r="J491" i="4" s="1"/>
  <c r="A491" i="4" s="1"/>
  <c r="M36" i="23"/>
  <c r="I491" i="4" s="1"/>
  <c r="AL35" i="23"/>
  <c r="AI35" i="23"/>
  <c r="S35" i="23"/>
  <c r="J490" i="4" s="1"/>
  <c r="A490" i="4" s="1"/>
  <c r="M35" i="23"/>
  <c r="I490" i="4" s="1"/>
  <c r="AL34" i="23"/>
  <c r="AI34" i="23"/>
  <c r="S34" i="23"/>
  <c r="J489" i="4" s="1"/>
  <c r="A489" i="4" s="1"/>
  <c r="M34" i="23"/>
  <c r="I489" i="4" s="1"/>
  <c r="AL33" i="23"/>
  <c r="AI33" i="23"/>
  <c r="S33" i="23"/>
  <c r="J488" i="4" s="1"/>
  <c r="A488" i="4" s="1"/>
  <c r="M33" i="23"/>
  <c r="I488" i="4" s="1"/>
  <c r="AL32" i="23"/>
  <c r="AI32" i="23"/>
  <c r="S32" i="23"/>
  <c r="J487" i="4" s="1"/>
  <c r="A487" i="4" s="1"/>
  <c r="M32" i="23"/>
  <c r="I487" i="4" s="1"/>
  <c r="AL31" i="23"/>
  <c r="AI31" i="23"/>
  <c r="S31" i="23"/>
  <c r="J486" i="4" s="1"/>
  <c r="A486" i="4" s="1"/>
  <c r="M31" i="23"/>
  <c r="I486" i="4" s="1"/>
  <c r="AL30" i="23"/>
  <c r="AI30" i="23"/>
  <c r="S30" i="23"/>
  <c r="J485" i="4" s="1"/>
  <c r="A485" i="4" s="1"/>
  <c r="M30" i="23"/>
  <c r="I485" i="4" s="1"/>
  <c r="AL29" i="23"/>
  <c r="AI29" i="23"/>
  <c r="S29" i="23"/>
  <c r="J484" i="4" s="1"/>
  <c r="A484" i="4" s="1"/>
  <c r="M29" i="23"/>
  <c r="I484" i="4" s="1"/>
  <c r="AL28" i="23"/>
  <c r="AI28" i="23"/>
  <c r="S28" i="23"/>
  <c r="J483" i="4" s="1"/>
  <c r="A483" i="4" s="1"/>
  <c r="M28" i="23"/>
  <c r="I483" i="4" s="1"/>
  <c r="AL27" i="23"/>
  <c r="AI27" i="23"/>
  <c r="S27" i="23"/>
  <c r="J482" i="4" s="1"/>
  <c r="A482" i="4" s="1"/>
  <c r="M27" i="23"/>
  <c r="I482" i="4" s="1"/>
  <c r="AL26" i="23"/>
  <c r="AI26" i="23"/>
  <c r="S26" i="23"/>
  <c r="J481" i="4" s="1"/>
  <c r="A481" i="4" s="1"/>
  <c r="M26" i="23"/>
  <c r="I481" i="4" s="1"/>
  <c r="AL25" i="23"/>
  <c r="AI25" i="23"/>
  <c r="S25" i="23"/>
  <c r="J480" i="4" s="1"/>
  <c r="A480" i="4" s="1"/>
  <c r="M25" i="23"/>
  <c r="I480" i="4" s="1"/>
  <c r="AL24" i="23"/>
  <c r="AI24" i="23"/>
  <c r="S24" i="23"/>
  <c r="J479" i="4" s="1"/>
  <c r="A479" i="4" s="1"/>
  <c r="M24" i="23"/>
  <c r="I479" i="4" s="1"/>
  <c r="AL23" i="23"/>
  <c r="AI23" i="23"/>
  <c r="S23" i="23"/>
  <c r="J478" i="4" s="1"/>
  <c r="A478" i="4" s="1"/>
  <c r="M23" i="23"/>
  <c r="I478" i="4" s="1"/>
  <c r="AL22" i="23"/>
  <c r="AI22" i="23"/>
  <c r="S22" i="23"/>
  <c r="J477" i="4" s="1"/>
  <c r="A477" i="4" s="1"/>
  <c r="M22" i="23"/>
  <c r="I477" i="4" s="1"/>
  <c r="AL21" i="23"/>
  <c r="AI21" i="23"/>
  <c r="S21" i="23"/>
  <c r="J476" i="4" s="1"/>
  <c r="A476" i="4" s="1"/>
  <c r="M21" i="23"/>
  <c r="I476" i="4" s="1"/>
  <c r="AL20" i="23"/>
  <c r="AI20" i="23"/>
  <c r="S20" i="23"/>
  <c r="J475" i="4" s="1"/>
  <c r="A475" i="4" s="1"/>
  <c r="M20" i="23"/>
  <c r="I475" i="4" s="1"/>
  <c r="AL19" i="23"/>
  <c r="AI19" i="23"/>
  <c r="S19" i="23"/>
  <c r="J474" i="4" s="1"/>
  <c r="A474" i="4" s="1"/>
  <c r="M19" i="23"/>
  <c r="I474" i="4" s="1"/>
  <c r="AL18" i="23"/>
  <c r="AI18" i="23"/>
  <c r="S18" i="23"/>
  <c r="J473" i="4" s="1"/>
  <c r="A473" i="4" s="1"/>
  <c r="M18" i="23"/>
  <c r="I473" i="4" s="1"/>
  <c r="AL17" i="23"/>
  <c r="AI17" i="23"/>
  <c r="S17" i="23"/>
  <c r="J472" i="4" s="1"/>
  <c r="A472" i="4" s="1"/>
  <c r="M17" i="23"/>
  <c r="I472" i="4" s="1"/>
  <c r="AL16" i="23"/>
  <c r="AI16" i="23"/>
  <c r="S16" i="23"/>
  <c r="J471" i="4" s="1"/>
  <c r="A471" i="4" s="1"/>
  <c r="M16" i="23"/>
  <c r="I471" i="4" s="1"/>
  <c r="AL15" i="23"/>
  <c r="AI15" i="23"/>
  <c r="S15" i="23"/>
  <c r="J470" i="4" s="1"/>
  <c r="A470" i="4" s="1"/>
  <c r="M15" i="23"/>
  <c r="I470" i="4" s="1"/>
  <c r="AL14" i="23"/>
  <c r="AI14" i="23"/>
  <c r="S14" i="23"/>
  <c r="J469" i="4" s="1"/>
  <c r="A469" i="4" s="1"/>
  <c r="M14" i="23"/>
  <c r="I469" i="4" s="1"/>
  <c r="AL13" i="23"/>
  <c r="AI13" i="23"/>
  <c r="S13" i="23"/>
  <c r="J468" i="4" s="1"/>
  <c r="A468" i="4" s="1"/>
  <c r="M13" i="23"/>
  <c r="I468" i="4" s="1"/>
  <c r="AL12" i="23"/>
  <c r="AI12" i="23"/>
  <c r="S12" i="23"/>
  <c r="J467" i="4" s="1"/>
  <c r="A467" i="4" s="1"/>
  <c r="M12" i="23"/>
  <c r="I467" i="4" s="1"/>
  <c r="AL11" i="23"/>
  <c r="AI11" i="23"/>
  <c r="S11" i="23"/>
  <c r="J466" i="4" s="1"/>
  <c r="A466" i="4" s="1"/>
  <c r="M11" i="23"/>
  <c r="I466" i="4" s="1"/>
  <c r="AL10" i="23"/>
  <c r="AI10" i="23"/>
  <c r="S10" i="23"/>
  <c r="J465" i="4" s="1"/>
  <c r="A465" i="4" s="1"/>
  <c r="M10" i="23"/>
  <c r="I465" i="4" s="1"/>
  <c r="AL9" i="23"/>
  <c r="AI9" i="23"/>
  <c r="S9" i="23"/>
  <c r="J464" i="4" s="1"/>
  <c r="A464" i="4" s="1"/>
  <c r="M9" i="23"/>
  <c r="I464" i="4" s="1"/>
  <c r="AL8" i="23"/>
  <c r="AI8" i="23"/>
  <c r="S8" i="23"/>
  <c r="J463" i="4" s="1"/>
  <c r="A463" i="4" s="1"/>
  <c r="M8" i="23"/>
  <c r="I463" i="4" s="1"/>
  <c r="K3" i="23"/>
  <c r="I3" i="23"/>
  <c r="G3" i="23"/>
  <c r="E3" i="23"/>
  <c r="C3" i="23"/>
  <c r="A3" i="23"/>
  <c r="R1" i="23"/>
  <c r="C65" i="22"/>
  <c r="C67" i="22" s="1"/>
  <c r="C64" i="22"/>
  <c r="C59" i="22"/>
  <c r="C58" i="22"/>
  <c r="E21" i="41" s="1"/>
  <c r="H21" i="41" s="1"/>
  <c r="C57" i="22"/>
  <c r="C56" i="22"/>
  <c r="C55" i="22"/>
  <c r="F21" i="41" s="1"/>
  <c r="C54" i="22"/>
  <c r="G50" i="22"/>
  <c r="E48" i="22"/>
  <c r="C48" i="22"/>
  <c r="G48" i="22" s="1"/>
  <c r="V16" i="7" s="1"/>
  <c r="E47" i="22"/>
  <c r="E49" i="22" s="1"/>
  <c r="C47" i="22"/>
  <c r="E46" i="22"/>
  <c r="C46" i="22"/>
  <c r="G46" i="22" s="1"/>
  <c r="D20" i="7" s="1"/>
  <c r="AL42" i="22"/>
  <c r="AI42" i="22"/>
  <c r="S42" i="22"/>
  <c r="J462" i="4" s="1"/>
  <c r="A462" i="4" s="1"/>
  <c r="M42" i="22"/>
  <c r="I462" i="4" s="1"/>
  <c r="AL41" i="22"/>
  <c r="AI41" i="22"/>
  <c r="S41" i="22"/>
  <c r="J461" i="4" s="1"/>
  <c r="A461" i="4" s="1"/>
  <c r="M41" i="22"/>
  <c r="I461" i="4" s="1"/>
  <c r="AL40" i="22"/>
  <c r="AI40" i="22"/>
  <c r="S40" i="22"/>
  <c r="J460" i="4" s="1"/>
  <c r="A460" i="4" s="1"/>
  <c r="M40" i="22"/>
  <c r="I460" i="4" s="1"/>
  <c r="AL39" i="22"/>
  <c r="AI39" i="22"/>
  <c r="S39" i="22"/>
  <c r="J459" i="4" s="1"/>
  <c r="A459" i="4" s="1"/>
  <c r="M39" i="22"/>
  <c r="I459" i="4" s="1"/>
  <c r="AL38" i="22"/>
  <c r="AI38" i="22"/>
  <c r="S38" i="22"/>
  <c r="J458" i="4" s="1"/>
  <c r="A458" i="4" s="1"/>
  <c r="M38" i="22"/>
  <c r="I458" i="4" s="1"/>
  <c r="AL37" i="22"/>
  <c r="AI37" i="22"/>
  <c r="S37" i="22"/>
  <c r="J457" i="4" s="1"/>
  <c r="A457" i="4" s="1"/>
  <c r="M37" i="22"/>
  <c r="I457" i="4" s="1"/>
  <c r="AL36" i="22"/>
  <c r="AI36" i="22"/>
  <c r="S36" i="22"/>
  <c r="J456" i="4" s="1"/>
  <c r="A456" i="4" s="1"/>
  <c r="M36" i="22"/>
  <c r="I456" i="4" s="1"/>
  <c r="AL35" i="22"/>
  <c r="AI35" i="22"/>
  <c r="S35" i="22"/>
  <c r="J455" i="4" s="1"/>
  <c r="A455" i="4" s="1"/>
  <c r="M35" i="22"/>
  <c r="I455" i="4" s="1"/>
  <c r="AL34" i="22"/>
  <c r="AI34" i="22"/>
  <c r="S34" i="22"/>
  <c r="J454" i="4" s="1"/>
  <c r="A454" i="4" s="1"/>
  <c r="M34" i="22"/>
  <c r="I454" i="4" s="1"/>
  <c r="AL33" i="22"/>
  <c r="AI33" i="22"/>
  <c r="S33" i="22"/>
  <c r="J453" i="4" s="1"/>
  <c r="A453" i="4" s="1"/>
  <c r="M33" i="22"/>
  <c r="I453" i="4" s="1"/>
  <c r="AL32" i="22"/>
  <c r="AI32" i="22"/>
  <c r="S32" i="22"/>
  <c r="J452" i="4" s="1"/>
  <c r="A452" i="4" s="1"/>
  <c r="M32" i="22"/>
  <c r="I452" i="4" s="1"/>
  <c r="AL31" i="22"/>
  <c r="AI31" i="22"/>
  <c r="S31" i="22"/>
  <c r="J451" i="4" s="1"/>
  <c r="A451" i="4" s="1"/>
  <c r="M31" i="22"/>
  <c r="I451" i="4" s="1"/>
  <c r="AL30" i="22"/>
  <c r="AI30" i="22"/>
  <c r="S30" i="22"/>
  <c r="J450" i="4" s="1"/>
  <c r="A450" i="4" s="1"/>
  <c r="M30" i="22"/>
  <c r="I450" i="4" s="1"/>
  <c r="AL29" i="22"/>
  <c r="AI29" i="22"/>
  <c r="S29" i="22"/>
  <c r="J449" i="4" s="1"/>
  <c r="A449" i="4" s="1"/>
  <c r="M29" i="22"/>
  <c r="I449" i="4" s="1"/>
  <c r="AL28" i="22"/>
  <c r="AI28" i="22"/>
  <c r="S28" i="22"/>
  <c r="J448" i="4" s="1"/>
  <c r="A448" i="4" s="1"/>
  <c r="M28" i="22"/>
  <c r="I448" i="4" s="1"/>
  <c r="AL27" i="22"/>
  <c r="AI27" i="22"/>
  <c r="S27" i="22"/>
  <c r="J447" i="4" s="1"/>
  <c r="A447" i="4" s="1"/>
  <c r="M27" i="22"/>
  <c r="I447" i="4" s="1"/>
  <c r="AL26" i="22"/>
  <c r="AI26" i="22"/>
  <c r="S26" i="22"/>
  <c r="J446" i="4" s="1"/>
  <c r="A446" i="4" s="1"/>
  <c r="M26" i="22"/>
  <c r="I446" i="4" s="1"/>
  <c r="AL25" i="22"/>
  <c r="AI25" i="22"/>
  <c r="S25" i="22"/>
  <c r="J445" i="4" s="1"/>
  <c r="A445" i="4" s="1"/>
  <c r="M25" i="22"/>
  <c r="I445" i="4" s="1"/>
  <c r="AL24" i="22"/>
  <c r="AI24" i="22"/>
  <c r="S24" i="22"/>
  <c r="J444" i="4" s="1"/>
  <c r="A444" i="4" s="1"/>
  <c r="M24" i="22"/>
  <c r="I444" i="4" s="1"/>
  <c r="AL23" i="22"/>
  <c r="AI23" i="22"/>
  <c r="S23" i="22"/>
  <c r="J443" i="4" s="1"/>
  <c r="A443" i="4" s="1"/>
  <c r="M23" i="22"/>
  <c r="I443" i="4" s="1"/>
  <c r="AL22" i="22"/>
  <c r="AI22" i="22"/>
  <c r="S22" i="22"/>
  <c r="J442" i="4" s="1"/>
  <c r="A442" i="4" s="1"/>
  <c r="M22" i="22"/>
  <c r="I442" i="4" s="1"/>
  <c r="AL21" i="22"/>
  <c r="AI21" i="22"/>
  <c r="S21" i="22"/>
  <c r="J441" i="4" s="1"/>
  <c r="M21" i="22"/>
  <c r="I441" i="4" s="1"/>
  <c r="AL20" i="22"/>
  <c r="AI20" i="22"/>
  <c r="S20" i="22"/>
  <c r="J440" i="4" s="1"/>
  <c r="A440" i="4" s="1"/>
  <c r="M20" i="22"/>
  <c r="I440" i="4" s="1"/>
  <c r="AL19" i="22"/>
  <c r="AI19" i="22"/>
  <c r="S19" i="22"/>
  <c r="J439" i="4" s="1"/>
  <c r="A439" i="4" s="1"/>
  <c r="M19" i="22"/>
  <c r="I439" i="4" s="1"/>
  <c r="AL18" i="22"/>
  <c r="AI18" i="22"/>
  <c r="S18" i="22"/>
  <c r="J438" i="4" s="1"/>
  <c r="A438" i="4" s="1"/>
  <c r="M18" i="22"/>
  <c r="I438" i="4" s="1"/>
  <c r="AL17" i="22"/>
  <c r="AI17" i="22"/>
  <c r="S17" i="22"/>
  <c r="J437" i="4" s="1"/>
  <c r="A437" i="4" s="1"/>
  <c r="M17" i="22"/>
  <c r="I437" i="4" s="1"/>
  <c r="AL16" i="22"/>
  <c r="AI16" i="22"/>
  <c r="S16" i="22"/>
  <c r="J436" i="4" s="1"/>
  <c r="A436" i="4" s="1"/>
  <c r="M16" i="22"/>
  <c r="I436" i="4" s="1"/>
  <c r="AL15" i="22"/>
  <c r="AI15" i="22"/>
  <c r="S15" i="22"/>
  <c r="J435" i="4" s="1"/>
  <c r="A435" i="4" s="1"/>
  <c r="M15" i="22"/>
  <c r="I435" i="4" s="1"/>
  <c r="AL14" i="22"/>
  <c r="AI14" i="22"/>
  <c r="S14" i="22"/>
  <c r="J434" i="4" s="1"/>
  <c r="A434" i="4" s="1"/>
  <c r="M14" i="22"/>
  <c r="I434" i="4" s="1"/>
  <c r="AL13" i="22"/>
  <c r="AI13" i="22"/>
  <c r="S13" i="22"/>
  <c r="J433" i="4" s="1"/>
  <c r="A433" i="4" s="1"/>
  <c r="M13" i="22"/>
  <c r="I433" i="4" s="1"/>
  <c r="AL12" i="22"/>
  <c r="AI12" i="22"/>
  <c r="S12" i="22"/>
  <c r="J432" i="4" s="1"/>
  <c r="A432" i="4" s="1"/>
  <c r="M12" i="22"/>
  <c r="I432" i="4" s="1"/>
  <c r="AL11" i="22"/>
  <c r="AI11" i="22"/>
  <c r="S11" i="22"/>
  <c r="J431" i="4" s="1"/>
  <c r="A431" i="4" s="1"/>
  <c r="M11" i="22"/>
  <c r="I431" i="4" s="1"/>
  <c r="AL10" i="22"/>
  <c r="AI10" i="22"/>
  <c r="S10" i="22"/>
  <c r="J430" i="4" s="1"/>
  <c r="A430" i="4" s="1"/>
  <c r="M10" i="22"/>
  <c r="I430" i="4" s="1"/>
  <c r="AL9" i="22"/>
  <c r="AI9" i="22"/>
  <c r="S9" i="22"/>
  <c r="J429" i="4" s="1"/>
  <c r="A429" i="4" s="1"/>
  <c r="M9" i="22"/>
  <c r="I429" i="4" s="1"/>
  <c r="AL8" i="22"/>
  <c r="AI8" i="22"/>
  <c r="S8" i="22"/>
  <c r="J428" i="4" s="1"/>
  <c r="A428" i="4" s="1"/>
  <c r="M8" i="22"/>
  <c r="I428" i="4" s="1"/>
  <c r="K3" i="22"/>
  <c r="I3" i="22"/>
  <c r="G3" i="22"/>
  <c r="E3" i="22"/>
  <c r="C3" i="22"/>
  <c r="A3" i="22"/>
  <c r="R1" i="22"/>
  <c r="C65" i="21"/>
  <c r="C67" i="21" s="1"/>
  <c r="C64" i="21"/>
  <c r="C59" i="21"/>
  <c r="C58" i="21"/>
  <c r="E20" i="41" s="1"/>
  <c r="H20" i="41" s="1"/>
  <c r="C57" i="21"/>
  <c r="C56" i="21"/>
  <c r="C55" i="21"/>
  <c r="F20" i="41" s="1"/>
  <c r="C54" i="21"/>
  <c r="G50" i="21"/>
  <c r="E48" i="21"/>
  <c r="C48" i="21"/>
  <c r="G48" i="21" s="1"/>
  <c r="V15" i="7" s="1"/>
  <c r="E47" i="21"/>
  <c r="E49" i="21" s="1"/>
  <c r="C47" i="21"/>
  <c r="E46" i="21"/>
  <c r="C46" i="21"/>
  <c r="G46" i="21" s="1"/>
  <c r="AL42" i="21"/>
  <c r="AI42" i="21"/>
  <c r="S42" i="21"/>
  <c r="J427" i="4" s="1"/>
  <c r="A427" i="4" s="1"/>
  <c r="M42" i="21"/>
  <c r="I427" i="4" s="1"/>
  <c r="AL41" i="21"/>
  <c r="AI41" i="21"/>
  <c r="S41" i="21"/>
  <c r="J426" i="4" s="1"/>
  <c r="A426" i="4" s="1"/>
  <c r="M41" i="21"/>
  <c r="I426" i="4" s="1"/>
  <c r="AL40" i="21"/>
  <c r="AI40" i="21"/>
  <c r="S40" i="21"/>
  <c r="J425" i="4" s="1"/>
  <c r="A425" i="4" s="1"/>
  <c r="M40" i="21"/>
  <c r="I425" i="4" s="1"/>
  <c r="AL39" i="21"/>
  <c r="AI39" i="21"/>
  <c r="S39" i="21"/>
  <c r="J424" i="4" s="1"/>
  <c r="A424" i="4" s="1"/>
  <c r="M39" i="21"/>
  <c r="I424" i="4" s="1"/>
  <c r="AL38" i="21"/>
  <c r="AI38" i="21"/>
  <c r="S38" i="21"/>
  <c r="J423" i="4" s="1"/>
  <c r="A423" i="4" s="1"/>
  <c r="M38" i="21"/>
  <c r="I423" i="4" s="1"/>
  <c r="AL37" i="21"/>
  <c r="AI37" i="21"/>
  <c r="S37" i="21"/>
  <c r="J422" i="4" s="1"/>
  <c r="A422" i="4" s="1"/>
  <c r="M37" i="21"/>
  <c r="I422" i="4" s="1"/>
  <c r="AL36" i="21"/>
  <c r="AI36" i="21"/>
  <c r="S36" i="21"/>
  <c r="J421" i="4" s="1"/>
  <c r="A421" i="4" s="1"/>
  <c r="M36" i="21"/>
  <c r="I421" i="4" s="1"/>
  <c r="AL35" i="21"/>
  <c r="AI35" i="21"/>
  <c r="S35" i="21"/>
  <c r="J420" i="4" s="1"/>
  <c r="A420" i="4" s="1"/>
  <c r="M35" i="21"/>
  <c r="I420" i="4" s="1"/>
  <c r="AL34" i="21"/>
  <c r="AI34" i="21"/>
  <c r="S34" i="21"/>
  <c r="J419" i="4" s="1"/>
  <c r="A419" i="4" s="1"/>
  <c r="M34" i="21"/>
  <c r="I419" i="4" s="1"/>
  <c r="AL33" i="21"/>
  <c r="AI33" i="21"/>
  <c r="S33" i="21"/>
  <c r="J418" i="4" s="1"/>
  <c r="A418" i="4" s="1"/>
  <c r="M33" i="21"/>
  <c r="I418" i="4" s="1"/>
  <c r="AL32" i="21"/>
  <c r="AI32" i="21"/>
  <c r="S32" i="21"/>
  <c r="J417" i="4" s="1"/>
  <c r="A417" i="4" s="1"/>
  <c r="M32" i="21"/>
  <c r="I417" i="4" s="1"/>
  <c r="AL31" i="21"/>
  <c r="AI31" i="21"/>
  <c r="S31" i="21"/>
  <c r="J416" i="4" s="1"/>
  <c r="A416" i="4" s="1"/>
  <c r="M31" i="21"/>
  <c r="I416" i="4" s="1"/>
  <c r="AL30" i="21"/>
  <c r="AI30" i="21"/>
  <c r="S30" i="21"/>
  <c r="J415" i="4" s="1"/>
  <c r="A415" i="4" s="1"/>
  <c r="M30" i="21"/>
  <c r="I415" i="4" s="1"/>
  <c r="AL29" i="21"/>
  <c r="AI29" i="21"/>
  <c r="S29" i="21"/>
  <c r="J414" i="4" s="1"/>
  <c r="A414" i="4" s="1"/>
  <c r="M29" i="21"/>
  <c r="I414" i="4" s="1"/>
  <c r="AL28" i="21"/>
  <c r="AI28" i="21"/>
  <c r="S28" i="21"/>
  <c r="J413" i="4" s="1"/>
  <c r="A413" i="4" s="1"/>
  <c r="M28" i="21"/>
  <c r="I413" i="4" s="1"/>
  <c r="AL27" i="21"/>
  <c r="AI27" i="21"/>
  <c r="S27" i="21"/>
  <c r="J412" i="4" s="1"/>
  <c r="A412" i="4" s="1"/>
  <c r="M27" i="21"/>
  <c r="I412" i="4" s="1"/>
  <c r="AL26" i="21"/>
  <c r="AI26" i="21"/>
  <c r="S26" i="21"/>
  <c r="J411" i="4" s="1"/>
  <c r="A411" i="4" s="1"/>
  <c r="M26" i="21"/>
  <c r="I411" i="4" s="1"/>
  <c r="AL25" i="21"/>
  <c r="AI25" i="21"/>
  <c r="S25" i="21"/>
  <c r="J410" i="4" s="1"/>
  <c r="A410" i="4" s="1"/>
  <c r="M25" i="21"/>
  <c r="I410" i="4" s="1"/>
  <c r="AL24" i="21"/>
  <c r="AI24" i="21"/>
  <c r="S24" i="21"/>
  <c r="J409" i="4" s="1"/>
  <c r="A409" i="4" s="1"/>
  <c r="M24" i="21"/>
  <c r="I409" i="4" s="1"/>
  <c r="AL23" i="21"/>
  <c r="AI23" i="21"/>
  <c r="S23" i="21"/>
  <c r="J408" i="4" s="1"/>
  <c r="A408" i="4" s="1"/>
  <c r="M23" i="21"/>
  <c r="I408" i="4" s="1"/>
  <c r="AL22" i="21"/>
  <c r="AI22" i="21"/>
  <c r="S22" i="21"/>
  <c r="J407" i="4" s="1"/>
  <c r="A407" i="4" s="1"/>
  <c r="M22" i="21"/>
  <c r="I407" i="4" s="1"/>
  <c r="AL21" i="21"/>
  <c r="AI21" i="21"/>
  <c r="S21" i="21"/>
  <c r="J406" i="4" s="1"/>
  <c r="A406" i="4" s="1"/>
  <c r="M21" i="21"/>
  <c r="I406" i="4" s="1"/>
  <c r="AL20" i="21"/>
  <c r="AI20" i="21"/>
  <c r="S20" i="21"/>
  <c r="J405" i="4" s="1"/>
  <c r="A405" i="4" s="1"/>
  <c r="M20" i="21"/>
  <c r="I405" i="4" s="1"/>
  <c r="AL19" i="21"/>
  <c r="AI19" i="21"/>
  <c r="S19" i="21"/>
  <c r="J404" i="4" s="1"/>
  <c r="A404" i="4" s="1"/>
  <c r="M19" i="21"/>
  <c r="I404" i="4" s="1"/>
  <c r="AL18" i="21"/>
  <c r="AI18" i="21"/>
  <c r="S18" i="21"/>
  <c r="J403" i="4" s="1"/>
  <c r="A403" i="4" s="1"/>
  <c r="M18" i="21"/>
  <c r="I403" i="4" s="1"/>
  <c r="AL17" i="21"/>
  <c r="AI17" i="21"/>
  <c r="S17" i="21"/>
  <c r="J402" i="4" s="1"/>
  <c r="A402" i="4" s="1"/>
  <c r="M17" i="21"/>
  <c r="I402" i="4" s="1"/>
  <c r="AL16" i="21"/>
  <c r="AI16" i="21"/>
  <c r="S16" i="21"/>
  <c r="J401" i="4" s="1"/>
  <c r="A401" i="4" s="1"/>
  <c r="M16" i="21"/>
  <c r="I401" i="4" s="1"/>
  <c r="AL15" i="21"/>
  <c r="AI15" i="21"/>
  <c r="S15" i="21"/>
  <c r="J400" i="4" s="1"/>
  <c r="A400" i="4" s="1"/>
  <c r="M15" i="21"/>
  <c r="I400" i="4" s="1"/>
  <c r="AL14" i="21"/>
  <c r="AI14" i="21"/>
  <c r="S14" i="21"/>
  <c r="J399" i="4" s="1"/>
  <c r="A399" i="4" s="1"/>
  <c r="M14" i="21"/>
  <c r="I399" i="4" s="1"/>
  <c r="AL13" i="21"/>
  <c r="AI13" i="21"/>
  <c r="S13" i="21"/>
  <c r="J398" i="4" s="1"/>
  <c r="A398" i="4" s="1"/>
  <c r="M13" i="21"/>
  <c r="I398" i="4" s="1"/>
  <c r="AL12" i="21"/>
  <c r="AI12" i="21"/>
  <c r="S12" i="21"/>
  <c r="J397" i="4" s="1"/>
  <c r="M12" i="21"/>
  <c r="I397" i="4" s="1"/>
  <c r="AL11" i="21"/>
  <c r="AI11" i="21"/>
  <c r="S11" i="21"/>
  <c r="J396" i="4" s="1"/>
  <c r="A396" i="4" s="1"/>
  <c r="M11" i="21"/>
  <c r="I396" i="4" s="1"/>
  <c r="AL10" i="21"/>
  <c r="AI10" i="21"/>
  <c r="S10" i="21"/>
  <c r="J395" i="4" s="1"/>
  <c r="A395" i="4" s="1"/>
  <c r="M10" i="21"/>
  <c r="I395" i="4" s="1"/>
  <c r="AL9" i="21"/>
  <c r="AJ9" i="21"/>
  <c r="AI9" i="21"/>
  <c r="S9" i="21"/>
  <c r="J394" i="4" s="1"/>
  <c r="A394" i="4" s="1"/>
  <c r="M9" i="21"/>
  <c r="I394" i="4" s="1"/>
  <c r="AL8" i="21"/>
  <c r="AI8" i="21"/>
  <c r="S8" i="21"/>
  <c r="J393" i="4" s="1"/>
  <c r="A393" i="4" s="1"/>
  <c r="M8" i="21"/>
  <c r="I393" i="4" s="1"/>
  <c r="K3" i="21"/>
  <c r="I3" i="21"/>
  <c r="G3" i="21"/>
  <c r="E3" i="21"/>
  <c r="C3" i="21"/>
  <c r="A3" i="21"/>
  <c r="R1" i="21"/>
  <c r="C65" i="20"/>
  <c r="C67" i="20" s="1"/>
  <c r="C64" i="20"/>
  <c r="C59" i="20"/>
  <c r="C58" i="20"/>
  <c r="E19" i="41" s="1"/>
  <c r="H19" i="41" s="1"/>
  <c r="C57" i="20"/>
  <c r="C56" i="20"/>
  <c r="C55" i="20"/>
  <c r="F19" i="41" s="1"/>
  <c r="C54" i="20"/>
  <c r="G50" i="20"/>
  <c r="E48" i="20"/>
  <c r="C48" i="20"/>
  <c r="G48" i="20" s="1"/>
  <c r="V14" i="7" s="1"/>
  <c r="E47" i="20"/>
  <c r="E49" i="20" s="1"/>
  <c r="C47" i="20"/>
  <c r="E46" i="20"/>
  <c r="C46" i="20"/>
  <c r="G46" i="20" s="1"/>
  <c r="N18" i="7" s="1"/>
  <c r="AL42" i="20"/>
  <c r="AI42" i="20"/>
  <c r="S42" i="20"/>
  <c r="J392" i="4" s="1"/>
  <c r="A392" i="4" s="1"/>
  <c r="M42" i="20"/>
  <c r="I392" i="4" s="1"/>
  <c r="AL41" i="20"/>
  <c r="AI41" i="20"/>
  <c r="S41" i="20"/>
  <c r="J391" i="4" s="1"/>
  <c r="A391" i="4" s="1"/>
  <c r="M41" i="20"/>
  <c r="I391" i="4" s="1"/>
  <c r="AL40" i="20"/>
  <c r="AI40" i="20"/>
  <c r="S40" i="20"/>
  <c r="J390" i="4" s="1"/>
  <c r="A390" i="4" s="1"/>
  <c r="M40" i="20"/>
  <c r="I390" i="4" s="1"/>
  <c r="AL39" i="20"/>
  <c r="AI39" i="20"/>
  <c r="S39" i="20"/>
  <c r="J389" i="4" s="1"/>
  <c r="M39" i="20"/>
  <c r="I389" i="4" s="1"/>
  <c r="AL38" i="20"/>
  <c r="AI38" i="20"/>
  <c r="S38" i="20"/>
  <c r="J388" i="4" s="1"/>
  <c r="M38" i="20"/>
  <c r="I388" i="4" s="1"/>
  <c r="AL37" i="20"/>
  <c r="AI37" i="20"/>
  <c r="S37" i="20"/>
  <c r="J387" i="4" s="1"/>
  <c r="M37" i="20"/>
  <c r="I387" i="4" s="1"/>
  <c r="AL36" i="20"/>
  <c r="AI36" i="20"/>
  <c r="S36" i="20"/>
  <c r="J386" i="4" s="1"/>
  <c r="M36" i="20"/>
  <c r="I386" i="4" s="1"/>
  <c r="AL35" i="20"/>
  <c r="AI35" i="20"/>
  <c r="S35" i="20"/>
  <c r="J385" i="4" s="1"/>
  <c r="M35" i="20"/>
  <c r="I385" i="4" s="1"/>
  <c r="AL34" i="20"/>
  <c r="AI34" i="20"/>
  <c r="S34" i="20"/>
  <c r="J384" i="4" s="1"/>
  <c r="M34" i="20"/>
  <c r="I384" i="4" s="1"/>
  <c r="AL33" i="20"/>
  <c r="AI33" i="20"/>
  <c r="S33" i="20"/>
  <c r="J383" i="4" s="1"/>
  <c r="M33" i="20"/>
  <c r="I383" i="4" s="1"/>
  <c r="AL32" i="20"/>
  <c r="AI32" i="20"/>
  <c r="S32" i="20"/>
  <c r="J382" i="4" s="1"/>
  <c r="M32" i="20"/>
  <c r="I382" i="4" s="1"/>
  <c r="AL31" i="20"/>
  <c r="AI31" i="20"/>
  <c r="S31" i="20"/>
  <c r="J381" i="4" s="1"/>
  <c r="M31" i="20"/>
  <c r="I381" i="4" s="1"/>
  <c r="AL30" i="20"/>
  <c r="AI30" i="20"/>
  <c r="S30" i="20"/>
  <c r="J380" i="4" s="1"/>
  <c r="A380" i="4" s="1"/>
  <c r="M30" i="20"/>
  <c r="I380" i="4" s="1"/>
  <c r="AL29" i="20"/>
  <c r="AI29" i="20"/>
  <c r="S29" i="20"/>
  <c r="J379" i="4" s="1"/>
  <c r="M29" i="20"/>
  <c r="I379" i="4" s="1"/>
  <c r="AL28" i="20"/>
  <c r="AI28" i="20"/>
  <c r="S28" i="20"/>
  <c r="J378" i="4" s="1"/>
  <c r="M28" i="20"/>
  <c r="I378" i="4" s="1"/>
  <c r="AL27" i="20"/>
  <c r="AI27" i="20"/>
  <c r="S27" i="20"/>
  <c r="J377" i="4" s="1"/>
  <c r="M27" i="20"/>
  <c r="I377" i="4" s="1"/>
  <c r="AL26" i="20"/>
  <c r="AI26" i="20"/>
  <c r="S26" i="20"/>
  <c r="J376" i="4" s="1"/>
  <c r="M26" i="20"/>
  <c r="I376" i="4" s="1"/>
  <c r="AL25" i="20"/>
  <c r="AI25" i="20"/>
  <c r="S25" i="20"/>
  <c r="J375" i="4" s="1"/>
  <c r="M25" i="20"/>
  <c r="I375" i="4" s="1"/>
  <c r="AL24" i="20"/>
  <c r="AI24" i="20"/>
  <c r="S24" i="20"/>
  <c r="J374" i="4" s="1"/>
  <c r="M24" i="20"/>
  <c r="I374" i="4" s="1"/>
  <c r="AL23" i="20"/>
  <c r="AI23" i="20"/>
  <c r="S23" i="20"/>
  <c r="J373" i="4" s="1"/>
  <c r="M23" i="20"/>
  <c r="I373" i="4" s="1"/>
  <c r="AL22" i="20"/>
  <c r="AI22" i="20"/>
  <c r="S22" i="20"/>
  <c r="J372" i="4" s="1"/>
  <c r="M22" i="20"/>
  <c r="I372" i="4" s="1"/>
  <c r="AL21" i="20"/>
  <c r="AI21" i="20"/>
  <c r="S21" i="20"/>
  <c r="J371" i="4" s="1"/>
  <c r="M21" i="20"/>
  <c r="I371" i="4" s="1"/>
  <c r="AL20" i="20"/>
  <c r="AI20" i="20"/>
  <c r="S20" i="20"/>
  <c r="J370" i="4" s="1"/>
  <c r="M20" i="20"/>
  <c r="I370" i="4" s="1"/>
  <c r="AL19" i="20"/>
  <c r="AI19" i="20"/>
  <c r="S19" i="20"/>
  <c r="J369" i="4" s="1"/>
  <c r="A369" i="4" s="1"/>
  <c r="M19" i="20"/>
  <c r="I369" i="4" s="1"/>
  <c r="AL18" i="20"/>
  <c r="AI18" i="20"/>
  <c r="S18" i="20"/>
  <c r="J368" i="4" s="1"/>
  <c r="A368" i="4" s="1"/>
  <c r="M18" i="20"/>
  <c r="I368" i="4" s="1"/>
  <c r="AL17" i="20"/>
  <c r="AI17" i="20"/>
  <c r="S17" i="20"/>
  <c r="J367" i="4" s="1"/>
  <c r="A367" i="4" s="1"/>
  <c r="M17" i="20"/>
  <c r="I367" i="4" s="1"/>
  <c r="AL16" i="20"/>
  <c r="AI16" i="20"/>
  <c r="S16" i="20"/>
  <c r="J366" i="4" s="1"/>
  <c r="M16" i="20"/>
  <c r="I366" i="4" s="1"/>
  <c r="AL15" i="20"/>
  <c r="AI15" i="20"/>
  <c r="S15" i="20"/>
  <c r="J365" i="4" s="1"/>
  <c r="M15" i="20"/>
  <c r="I365" i="4" s="1"/>
  <c r="AL14" i="20"/>
  <c r="AI14" i="20"/>
  <c r="S14" i="20"/>
  <c r="J364" i="4" s="1"/>
  <c r="M14" i="20"/>
  <c r="I364" i="4" s="1"/>
  <c r="AL13" i="20"/>
  <c r="AI13" i="20"/>
  <c r="S13" i="20"/>
  <c r="J363" i="4" s="1"/>
  <c r="A363" i="4" s="1"/>
  <c r="M13" i="20"/>
  <c r="I363" i="4" s="1"/>
  <c r="AL12" i="20"/>
  <c r="AI12" i="20"/>
  <c r="S12" i="20"/>
  <c r="J362" i="4" s="1"/>
  <c r="A362" i="4" s="1"/>
  <c r="M12" i="20"/>
  <c r="I362" i="4" s="1"/>
  <c r="AL11" i="20"/>
  <c r="AI11" i="20"/>
  <c r="S11" i="20"/>
  <c r="J361" i="4" s="1"/>
  <c r="M11" i="20"/>
  <c r="I361" i="4" s="1"/>
  <c r="AL10" i="20"/>
  <c r="AI10" i="20"/>
  <c r="S10" i="20"/>
  <c r="J360" i="4" s="1"/>
  <c r="M10" i="20"/>
  <c r="I360" i="4" s="1"/>
  <c r="AL9" i="20"/>
  <c r="AI9" i="20"/>
  <c r="S9" i="20"/>
  <c r="J359" i="4" s="1"/>
  <c r="M9" i="20"/>
  <c r="I359" i="4" s="1"/>
  <c r="AL8" i="20"/>
  <c r="AI8" i="20"/>
  <c r="S8" i="20"/>
  <c r="J358" i="4" s="1"/>
  <c r="M8" i="20"/>
  <c r="I358" i="4" s="1"/>
  <c r="K3" i="20"/>
  <c r="I3" i="20"/>
  <c r="G3" i="20"/>
  <c r="E3" i="20"/>
  <c r="C3" i="20"/>
  <c r="A3" i="20"/>
  <c r="R1" i="20"/>
  <c r="C65" i="19"/>
  <c r="C67" i="19" s="1"/>
  <c r="C64" i="19"/>
  <c r="C59" i="19"/>
  <c r="C58" i="19"/>
  <c r="E18" i="41" s="1"/>
  <c r="H18" i="41" s="1"/>
  <c r="C57" i="19"/>
  <c r="C56" i="19"/>
  <c r="C55" i="19"/>
  <c r="F18" i="41" s="1"/>
  <c r="C54" i="19"/>
  <c r="G50" i="19"/>
  <c r="E48" i="19"/>
  <c r="C48" i="19"/>
  <c r="G48" i="19" s="1"/>
  <c r="V13" i="7" s="1"/>
  <c r="E47" i="19"/>
  <c r="E49" i="19" s="1"/>
  <c r="C47" i="19"/>
  <c r="E46" i="19"/>
  <c r="C46" i="19"/>
  <c r="G46" i="19" s="1"/>
  <c r="L18" i="7" s="1"/>
  <c r="AL42" i="19"/>
  <c r="AI42" i="19"/>
  <c r="S42" i="19"/>
  <c r="J357" i="4" s="1"/>
  <c r="M42" i="19"/>
  <c r="I357" i="4" s="1"/>
  <c r="AL41" i="19"/>
  <c r="AI41" i="19"/>
  <c r="S41" i="19"/>
  <c r="J356" i="4" s="1"/>
  <c r="M41" i="19"/>
  <c r="I356" i="4" s="1"/>
  <c r="AL40" i="19"/>
  <c r="AI40" i="19"/>
  <c r="S40" i="19"/>
  <c r="J355" i="4" s="1"/>
  <c r="M40" i="19"/>
  <c r="I355" i="4" s="1"/>
  <c r="AL39" i="19"/>
  <c r="AI39" i="19"/>
  <c r="S39" i="19"/>
  <c r="J354" i="4" s="1"/>
  <c r="M39" i="19"/>
  <c r="I354" i="4" s="1"/>
  <c r="AL38" i="19"/>
  <c r="AI38" i="19"/>
  <c r="S38" i="19"/>
  <c r="J353" i="4" s="1"/>
  <c r="M38" i="19"/>
  <c r="I353" i="4" s="1"/>
  <c r="AL37" i="19"/>
  <c r="AI37" i="19"/>
  <c r="S37" i="19"/>
  <c r="J352" i="4" s="1"/>
  <c r="M37" i="19"/>
  <c r="I352" i="4" s="1"/>
  <c r="AL36" i="19"/>
  <c r="AI36" i="19"/>
  <c r="S36" i="19"/>
  <c r="J351" i="4" s="1"/>
  <c r="A351" i="4" s="1"/>
  <c r="M36" i="19"/>
  <c r="I351" i="4" s="1"/>
  <c r="AL35" i="19"/>
  <c r="AI35" i="19"/>
  <c r="S35" i="19"/>
  <c r="J350" i="4" s="1"/>
  <c r="M35" i="19"/>
  <c r="I350" i="4" s="1"/>
  <c r="AL34" i="19"/>
  <c r="AI34" i="19"/>
  <c r="S34" i="19"/>
  <c r="J349" i="4" s="1"/>
  <c r="M34" i="19"/>
  <c r="I349" i="4" s="1"/>
  <c r="AL33" i="19"/>
  <c r="AI33" i="19"/>
  <c r="S33" i="19"/>
  <c r="J348" i="4" s="1"/>
  <c r="M33" i="19"/>
  <c r="I348" i="4" s="1"/>
  <c r="AL32" i="19"/>
  <c r="AK32" i="19"/>
  <c r="AI32" i="19"/>
  <c r="S32" i="19"/>
  <c r="J347" i="4" s="1"/>
  <c r="M32" i="19"/>
  <c r="I347" i="4" s="1"/>
  <c r="AL31" i="19"/>
  <c r="AI31" i="19"/>
  <c r="S31" i="19"/>
  <c r="J346" i="4" s="1"/>
  <c r="M31" i="19"/>
  <c r="I346" i="4" s="1"/>
  <c r="AP30" i="19"/>
  <c r="AL30" i="19"/>
  <c r="AK30" i="19"/>
  <c r="AI30" i="19"/>
  <c r="AJ30" i="19" s="1"/>
  <c r="S30" i="19"/>
  <c r="M30" i="19"/>
  <c r="I345" i="4" s="1"/>
  <c r="AL29" i="19"/>
  <c r="AI29" i="19"/>
  <c r="S29" i="19"/>
  <c r="J344" i="4" s="1"/>
  <c r="M29" i="19"/>
  <c r="I344" i="4" s="1"/>
  <c r="AL28" i="19"/>
  <c r="AI28" i="19"/>
  <c r="S28" i="19"/>
  <c r="J343" i="4" s="1"/>
  <c r="M28" i="19"/>
  <c r="I343" i="4" s="1"/>
  <c r="AL27" i="19"/>
  <c r="AI27" i="19"/>
  <c r="S27" i="19"/>
  <c r="J342" i="4" s="1"/>
  <c r="M27" i="19"/>
  <c r="I342" i="4" s="1"/>
  <c r="AL26" i="19"/>
  <c r="AI26" i="19"/>
  <c r="S26" i="19"/>
  <c r="J341" i="4" s="1"/>
  <c r="A341" i="4" s="1"/>
  <c r="M26" i="19"/>
  <c r="I341" i="4" s="1"/>
  <c r="AL25" i="19"/>
  <c r="AI25" i="19"/>
  <c r="S25" i="19"/>
  <c r="J340" i="4" s="1"/>
  <c r="M25" i="19"/>
  <c r="I340" i="4" s="1"/>
  <c r="AL24" i="19"/>
  <c r="AI24" i="19"/>
  <c r="S24" i="19"/>
  <c r="J339" i="4" s="1"/>
  <c r="A339" i="4" s="1"/>
  <c r="M24" i="19"/>
  <c r="I339" i="4" s="1"/>
  <c r="AL23" i="19"/>
  <c r="AI23" i="19"/>
  <c r="S23" i="19"/>
  <c r="J338" i="4" s="1"/>
  <c r="M23" i="19"/>
  <c r="I338" i="4" s="1"/>
  <c r="AL22" i="19"/>
  <c r="AI22" i="19"/>
  <c r="S22" i="19"/>
  <c r="J337" i="4" s="1"/>
  <c r="A337" i="4" s="1"/>
  <c r="M22" i="19"/>
  <c r="I337" i="4" s="1"/>
  <c r="AL21" i="19"/>
  <c r="AI21" i="19"/>
  <c r="S21" i="19"/>
  <c r="J336" i="4" s="1"/>
  <c r="A336" i="4" s="1"/>
  <c r="M21" i="19"/>
  <c r="I336" i="4" s="1"/>
  <c r="AL20" i="19"/>
  <c r="AI20" i="19"/>
  <c r="S20" i="19"/>
  <c r="J335" i="4" s="1"/>
  <c r="M20" i="19"/>
  <c r="I335" i="4" s="1"/>
  <c r="AL19" i="19"/>
  <c r="AI19" i="19"/>
  <c r="S19" i="19"/>
  <c r="J334" i="4" s="1"/>
  <c r="M19" i="19"/>
  <c r="I334" i="4" s="1"/>
  <c r="AL18" i="19"/>
  <c r="AI18" i="19"/>
  <c r="S18" i="19"/>
  <c r="J333" i="4" s="1"/>
  <c r="M18" i="19"/>
  <c r="I333" i="4" s="1"/>
  <c r="AL17" i="19"/>
  <c r="AI17" i="19"/>
  <c r="S17" i="19"/>
  <c r="J332" i="4" s="1"/>
  <c r="M17" i="19"/>
  <c r="I332" i="4" s="1"/>
  <c r="AL16" i="19"/>
  <c r="AI16" i="19"/>
  <c r="S16" i="19"/>
  <c r="J331" i="4" s="1"/>
  <c r="M16" i="19"/>
  <c r="I331" i="4" s="1"/>
  <c r="AL15" i="19"/>
  <c r="AI15" i="19"/>
  <c r="S15" i="19"/>
  <c r="J330" i="4" s="1"/>
  <c r="M15" i="19"/>
  <c r="I330" i="4" s="1"/>
  <c r="AL14" i="19"/>
  <c r="AI14" i="19"/>
  <c r="S14" i="19"/>
  <c r="J329" i="4" s="1"/>
  <c r="A329" i="4" s="1"/>
  <c r="M14" i="19"/>
  <c r="I329" i="4" s="1"/>
  <c r="AL13" i="19"/>
  <c r="AI13" i="19"/>
  <c r="S13" i="19"/>
  <c r="J328" i="4" s="1"/>
  <c r="A328" i="4" s="1"/>
  <c r="M13" i="19"/>
  <c r="I328" i="4" s="1"/>
  <c r="AL12" i="19"/>
  <c r="AI12" i="19"/>
  <c r="S12" i="19"/>
  <c r="J327" i="4" s="1"/>
  <c r="A327" i="4" s="1"/>
  <c r="M12" i="19"/>
  <c r="I327" i="4" s="1"/>
  <c r="AL11" i="19"/>
  <c r="AI11" i="19"/>
  <c r="S11" i="19"/>
  <c r="J326" i="4" s="1"/>
  <c r="A326" i="4" s="1"/>
  <c r="M11" i="19"/>
  <c r="I326" i="4" s="1"/>
  <c r="AL10" i="19"/>
  <c r="AI10" i="19"/>
  <c r="S10" i="19"/>
  <c r="J325" i="4" s="1"/>
  <c r="A325" i="4" s="1"/>
  <c r="M10" i="19"/>
  <c r="I325" i="4" s="1"/>
  <c r="AL9" i="19"/>
  <c r="AI9" i="19"/>
  <c r="S9" i="19"/>
  <c r="J324" i="4" s="1"/>
  <c r="A324" i="4" s="1"/>
  <c r="M9" i="19"/>
  <c r="I324" i="4" s="1"/>
  <c r="AL8" i="19"/>
  <c r="AI8" i="19"/>
  <c r="S8" i="19"/>
  <c r="J323" i="4" s="1"/>
  <c r="A323" i="4" s="1"/>
  <c r="M8" i="19"/>
  <c r="I323" i="4" s="1"/>
  <c r="K3" i="19"/>
  <c r="I3" i="19"/>
  <c r="G3" i="19"/>
  <c r="E3" i="19"/>
  <c r="C3" i="19"/>
  <c r="A3" i="19"/>
  <c r="R1" i="19"/>
  <c r="C65" i="18"/>
  <c r="C67" i="18" s="1"/>
  <c r="C64" i="18"/>
  <c r="C59" i="18"/>
  <c r="C58" i="18"/>
  <c r="E17" i="41" s="1"/>
  <c r="H17" i="41" s="1"/>
  <c r="C57" i="18"/>
  <c r="C56" i="18"/>
  <c r="C55" i="18"/>
  <c r="F17" i="41" s="1"/>
  <c r="C54" i="18"/>
  <c r="G50" i="18"/>
  <c r="E48" i="18"/>
  <c r="C48" i="18"/>
  <c r="G48" i="18" s="1"/>
  <c r="V12" i="7" s="1"/>
  <c r="E47" i="18"/>
  <c r="E49" i="18" s="1"/>
  <c r="C47" i="18"/>
  <c r="E46" i="18"/>
  <c r="C46" i="18"/>
  <c r="G46" i="18" s="1"/>
  <c r="J18" i="7" s="1"/>
  <c r="AL42" i="18"/>
  <c r="AI42" i="18"/>
  <c r="S42" i="18"/>
  <c r="J322" i="4" s="1"/>
  <c r="M42" i="18"/>
  <c r="I322" i="4" s="1"/>
  <c r="AL41" i="18"/>
  <c r="AI41" i="18"/>
  <c r="S41" i="18"/>
  <c r="J321" i="4" s="1"/>
  <c r="M41" i="18"/>
  <c r="I321" i="4" s="1"/>
  <c r="AL40" i="18"/>
  <c r="AI40" i="18"/>
  <c r="S40" i="18"/>
  <c r="J320" i="4" s="1"/>
  <c r="M40" i="18"/>
  <c r="I320" i="4" s="1"/>
  <c r="AL39" i="18"/>
  <c r="AI39" i="18"/>
  <c r="S39" i="18"/>
  <c r="J319" i="4" s="1"/>
  <c r="M39" i="18"/>
  <c r="I319" i="4" s="1"/>
  <c r="AL38" i="18"/>
  <c r="AI38" i="18"/>
  <c r="S38" i="18"/>
  <c r="J318" i="4" s="1"/>
  <c r="M38" i="18"/>
  <c r="I318" i="4" s="1"/>
  <c r="AL37" i="18"/>
  <c r="AI37" i="18"/>
  <c r="S37" i="18"/>
  <c r="J317" i="4" s="1"/>
  <c r="M37" i="18"/>
  <c r="I317" i="4" s="1"/>
  <c r="AL36" i="18"/>
  <c r="AI36" i="18"/>
  <c r="S36" i="18"/>
  <c r="J316" i="4" s="1"/>
  <c r="M36" i="18"/>
  <c r="I316" i="4" s="1"/>
  <c r="AL35" i="18"/>
  <c r="AI35" i="18"/>
  <c r="S35" i="18"/>
  <c r="J315" i="4" s="1"/>
  <c r="M35" i="18"/>
  <c r="I315" i="4" s="1"/>
  <c r="AL34" i="18"/>
  <c r="AI34" i="18"/>
  <c r="S34" i="18"/>
  <c r="J314" i="4" s="1"/>
  <c r="M34" i="18"/>
  <c r="I314" i="4" s="1"/>
  <c r="AL33" i="18"/>
  <c r="AI33" i="18"/>
  <c r="S33" i="18"/>
  <c r="J313" i="4" s="1"/>
  <c r="M33" i="18"/>
  <c r="I313" i="4" s="1"/>
  <c r="AL32" i="18"/>
  <c r="AI32" i="18"/>
  <c r="S32" i="18"/>
  <c r="J312" i="4" s="1"/>
  <c r="M32" i="18"/>
  <c r="I312" i="4" s="1"/>
  <c r="AL31" i="18"/>
  <c r="AI31" i="18"/>
  <c r="S31" i="18"/>
  <c r="J311" i="4" s="1"/>
  <c r="M31" i="18"/>
  <c r="I311" i="4" s="1"/>
  <c r="AL30" i="18"/>
  <c r="AI30" i="18"/>
  <c r="S30" i="18"/>
  <c r="J310" i="4" s="1"/>
  <c r="M30" i="18"/>
  <c r="I310" i="4" s="1"/>
  <c r="AL29" i="18"/>
  <c r="AI29" i="18"/>
  <c r="S29" i="18"/>
  <c r="J309" i="4" s="1"/>
  <c r="M29" i="18"/>
  <c r="I309" i="4" s="1"/>
  <c r="AL28" i="18"/>
  <c r="AI28" i="18"/>
  <c r="S28" i="18"/>
  <c r="J308" i="4" s="1"/>
  <c r="M28" i="18"/>
  <c r="I308" i="4" s="1"/>
  <c r="AL27" i="18"/>
  <c r="AI27" i="18"/>
  <c r="S27" i="18"/>
  <c r="J307" i="4" s="1"/>
  <c r="M27" i="18"/>
  <c r="I307" i="4" s="1"/>
  <c r="AL26" i="18"/>
  <c r="AI26" i="18"/>
  <c r="S26" i="18"/>
  <c r="J306" i="4" s="1"/>
  <c r="M26" i="18"/>
  <c r="I306" i="4" s="1"/>
  <c r="AL25" i="18"/>
  <c r="AI25" i="18"/>
  <c r="S25" i="18"/>
  <c r="J305" i="4" s="1"/>
  <c r="M25" i="18"/>
  <c r="I305" i="4" s="1"/>
  <c r="AL24" i="18"/>
  <c r="AI24" i="18"/>
  <c r="S24" i="18"/>
  <c r="J304" i="4" s="1"/>
  <c r="M24" i="18"/>
  <c r="I304" i="4" s="1"/>
  <c r="AL23" i="18"/>
  <c r="AI23" i="18"/>
  <c r="S23" i="18"/>
  <c r="J303" i="4" s="1"/>
  <c r="M23" i="18"/>
  <c r="I303" i="4" s="1"/>
  <c r="AL22" i="18"/>
  <c r="AI22" i="18"/>
  <c r="S22" i="18"/>
  <c r="J302" i="4" s="1"/>
  <c r="M22" i="18"/>
  <c r="I302" i="4" s="1"/>
  <c r="AL21" i="18"/>
  <c r="AI21" i="18"/>
  <c r="S21" i="18"/>
  <c r="J301" i="4" s="1"/>
  <c r="M21" i="18"/>
  <c r="I301" i="4" s="1"/>
  <c r="AL20" i="18"/>
  <c r="AI20" i="18"/>
  <c r="S20" i="18"/>
  <c r="J300" i="4" s="1"/>
  <c r="A300" i="4" s="1"/>
  <c r="M20" i="18"/>
  <c r="I300" i="4" s="1"/>
  <c r="AL19" i="18"/>
  <c r="AI19" i="18"/>
  <c r="S19" i="18"/>
  <c r="J299" i="4" s="1"/>
  <c r="A299" i="4" s="1"/>
  <c r="M19" i="18"/>
  <c r="I299" i="4" s="1"/>
  <c r="AL18" i="18"/>
  <c r="AI18" i="18"/>
  <c r="S18" i="18"/>
  <c r="J298" i="4" s="1"/>
  <c r="A298" i="4" s="1"/>
  <c r="M18" i="18"/>
  <c r="I298" i="4" s="1"/>
  <c r="AL17" i="18"/>
  <c r="AI17" i="18"/>
  <c r="S17" i="18"/>
  <c r="J297" i="4" s="1"/>
  <c r="A297" i="4" s="1"/>
  <c r="M17" i="18"/>
  <c r="I297" i="4" s="1"/>
  <c r="AL16" i="18"/>
  <c r="AI16" i="18"/>
  <c r="S16" i="18"/>
  <c r="J296" i="4" s="1"/>
  <c r="A296" i="4" s="1"/>
  <c r="M16" i="18"/>
  <c r="I296" i="4" s="1"/>
  <c r="AL15" i="18"/>
  <c r="AI15" i="18"/>
  <c r="S15" i="18"/>
  <c r="J295" i="4" s="1"/>
  <c r="A295" i="4" s="1"/>
  <c r="M15" i="18"/>
  <c r="I295" i="4" s="1"/>
  <c r="AL14" i="18"/>
  <c r="AI14" i="18"/>
  <c r="S14" i="18"/>
  <c r="J294" i="4" s="1"/>
  <c r="A294" i="4" s="1"/>
  <c r="M14" i="18"/>
  <c r="I294" i="4" s="1"/>
  <c r="AL13" i="18"/>
  <c r="AI13" i="18"/>
  <c r="S13" i="18"/>
  <c r="J293" i="4" s="1"/>
  <c r="A293" i="4" s="1"/>
  <c r="M13" i="18"/>
  <c r="I293" i="4" s="1"/>
  <c r="AL12" i="18"/>
  <c r="AI12" i="18"/>
  <c r="S12" i="18"/>
  <c r="J292" i="4" s="1"/>
  <c r="A292" i="4" s="1"/>
  <c r="M12" i="18"/>
  <c r="I292" i="4" s="1"/>
  <c r="AL11" i="18"/>
  <c r="AI11" i="18"/>
  <c r="S11" i="18"/>
  <c r="J291" i="4" s="1"/>
  <c r="A291" i="4" s="1"/>
  <c r="M11" i="18"/>
  <c r="I291" i="4" s="1"/>
  <c r="AL10" i="18"/>
  <c r="AI10" i="18"/>
  <c r="S10" i="18"/>
  <c r="J290" i="4" s="1"/>
  <c r="A290" i="4" s="1"/>
  <c r="M10" i="18"/>
  <c r="I290" i="4" s="1"/>
  <c r="AL9" i="18"/>
  <c r="AI9" i="18"/>
  <c r="S9" i="18"/>
  <c r="J289" i="4" s="1"/>
  <c r="A289" i="4" s="1"/>
  <c r="M9" i="18"/>
  <c r="I289" i="4" s="1"/>
  <c r="AL8" i="18"/>
  <c r="AI8" i="18"/>
  <c r="S8" i="18"/>
  <c r="J288" i="4" s="1"/>
  <c r="A288" i="4" s="1"/>
  <c r="M8" i="18"/>
  <c r="I288" i="4" s="1"/>
  <c r="K3" i="18"/>
  <c r="I3" i="18"/>
  <c r="G3" i="18"/>
  <c r="E3" i="18"/>
  <c r="C3" i="18"/>
  <c r="A3" i="18"/>
  <c r="R1" i="18"/>
  <c r="C65" i="17"/>
  <c r="C67" i="17" s="1"/>
  <c r="C64" i="17"/>
  <c r="C59" i="17"/>
  <c r="C58" i="17"/>
  <c r="E16" i="41" s="1"/>
  <c r="H16" i="41" s="1"/>
  <c r="C57" i="17"/>
  <c r="C56" i="17"/>
  <c r="C55" i="17"/>
  <c r="F16" i="41" s="1"/>
  <c r="C54" i="17"/>
  <c r="G50" i="17"/>
  <c r="E48" i="17"/>
  <c r="C48" i="17"/>
  <c r="G48" i="17" s="1"/>
  <c r="V11" i="7" s="1"/>
  <c r="E47" i="17"/>
  <c r="E49" i="17" s="1"/>
  <c r="C47" i="17"/>
  <c r="E46" i="17"/>
  <c r="C46" i="17"/>
  <c r="G46" i="17" s="1"/>
  <c r="H18" i="7" s="1"/>
  <c r="AL42" i="17"/>
  <c r="AI42" i="17"/>
  <c r="S42" i="17"/>
  <c r="J287" i="4" s="1"/>
  <c r="A287" i="4" s="1"/>
  <c r="M42" i="17"/>
  <c r="I287" i="4" s="1"/>
  <c r="AL41" i="17"/>
  <c r="AI41" i="17"/>
  <c r="S41" i="17"/>
  <c r="J286" i="4" s="1"/>
  <c r="A286" i="4" s="1"/>
  <c r="M41" i="17"/>
  <c r="I286" i="4" s="1"/>
  <c r="AL40" i="17"/>
  <c r="AI40" i="17"/>
  <c r="S40" i="17"/>
  <c r="J285" i="4" s="1"/>
  <c r="A285" i="4" s="1"/>
  <c r="M40" i="17"/>
  <c r="I285" i="4" s="1"/>
  <c r="AL39" i="17"/>
  <c r="AI39" i="17"/>
  <c r="S39" i="17"/>
  <c r="J284" i="4" s="1"/>
  <c r="A284" i="4" s="1"/>
  <c r="M39" i="17"/>
  <c r="I284" i="4" s="1"/>
  <c r="AL38" i="17"/>
  <c r="AI38" i="17"/>
  <c r="S38" i="17"/>
  <c r="J283" i="4" s="1"/>
  <c r="A283" i="4" s="1"/>
  <c r="M38" i="17"/>
  <c r="I283" i="4" s="1"/>
  <c r="AL37" i="17"/>
  <c r="AI37" i="17"/>
  <c r="S37" i="17"/>
  <c r="J282" i="4" s="1"/>
  <c r="A282" i="4" s="1"/>
  <c r="M37" i="17"/>
  <c r="I282" i="4" s="1"/>
  <c r="AL36" i="17"/>
  <c r="AI36" i="17"/>
  <c r="S36" i="17"/>
  <c r="J281" i="4" s="1"/>
  <c r="A281" i="4" s="1"/>
  <c r="M36" i="17"/>
  <c r="I281" i="4" s="1"/>
  <c r="AL35" i="17"/>
  <c r="AI35" i="17"/>
  <c r="S35" i="17"/>
  <c r="J280" i="4" s="1"/>
  <c r="A280" i="4" s="1"/>
  <c r="M35" i="17"/>
  <c r="I280" i="4" s="1"/>
  <c r="AL34" i="17"/>
  <c r="AI34" i="17"/>
  <c r="S34" i="17"/>
  <c r="J279" i="4" s="1"/>
  <c r="A279" i="4" s="1"/>
  <c r="M34" i="17"/>
  <c r="I279" i="4" s="1"/>
  <c r="AL33" i="17"/>
  <c r="AI33" i="17"/>
  <c r="S33" i="17"/>
  <c r="J278" i="4" s="1"/>
  <c r="A278" i="4" s="1"/>
  <c r="M33" i="17"/>
  <c r="I278" i="4" s="1"/>
  <c r="AL32" i="17"/>
  <c r="AI32" i="17"/>
  <c r="S32" i="17"/>
  <c r="J277" i="4" s="1"/>
  <c r="M32" i="17"/>
  <c r="I277" i="4" s="1"/>
  <c r="AL31" i="17"/>
  <c r="AI31" i="17"/>
  <c r="S31" i="17"/>
  <c r="J276" i="4" s="1"/>
  <c r="A276" i="4" s="1"/>
  <c r="M31" i="17"/>
  <c r="I276" i="4" s="1"/>
  <c r="AL30" i="17"/>
  <c r="AI30" i="17"/>
  <c r="S30" i="17"/>
  <c r="J275" i="4" s="1"/>
  <c r="A275" i="4" s="1"/>
  <c r="M30" i="17"/>
  <c r="I275" i="4" s="1"/>
  <c r="AL29" i="17"/>
  <c r="AI29" i="17"/>
  <c r="S29" i="17"/>
  <c r="J274" i="4" s="1"/>
  <c r="A274" i="4" s="1"/>
  <c r="M29" i="17"/>
  <c r="I274" i="4" s="1"/>
  <c r="AL28" i="17"/>
  <c r="AI28" i="17"/>
  <c r="S28" i="17"/>
  <c r="J273" i="4" s="1"/>
  <c r="A273" i="4" s="1"/>
  <c r="M28" i="17"/>
  <c r="I273" i="4" s="1"/>
  <c r="AL27" i="17"/>
  <c r="AI27" i="17"/>
  <c r="S27" i="17"/>
  <c r="J272" i="4" s="1"/>
  <c r="A272" i="4" s="1"/>
  <c r="M27" i="17"/>
  <c r="I272" i="4" s="1"/>
  <c r="AL26" i="17"/>
  <c r="AI26" i="17"/>
  <c r="S26" i="17"/>
  <c r="J271" i="4" s="1"/>
  <c r="A271" i="4" s="1"/>
  <c r="M26" i="17"/>
  <c r="I271" i="4" s="1"/>
  <c r="AL25" i="17"/>
  <c r="AI25" i="17"/>
  <c r="S25" i="17"/>
  <c r="J270" i="4" s="1"/>
  <c r="A270" i="4" s="1"/>
  <c r="M25" i="17"/>
  <c r="I270" i="4" s="1"/>
  <c r="AL24" i="17"/>
  <c r="AI24" i="17"/>
  <c r="S24" i="17"/>
  <c r="J269" i="4" s="1"/>
  <c r="A269" i="4" s="1"/>
  <c r="M24" i="17"/>
  <c r="I269" i="4" s="1"/>
  <c r="AL23" i="17"/>
  <c r="AI23" i="17"/>
  <c r="S23" i="17"/>
  <c r="J268" i="4" s="1"/>
  <c r="A268" i="4" s="1"/>
  <c r="M23" i="17"/>
  <c r="I268" i="4" s="1"/>
  <c r="AL22" i="17"/>
  <c r="AI22" i="17"/>
  <c r="S22" i="17"/>
  <c r="J267" i="4" s="1"/>
  <c r="A267" i="4" s="1"/>
  <c r="M22" i="17"/>
  <c r="I267" i="4" s="1"/>
  <c r="AL21" i="17"/>
  <c r="AI21" i="17"/>
  <c r="S21" i="17"/>
  <c r="J266" i="4" s="1"/>
  <c r="A266" i="4" s="1"/>
  <c r="M21" i="17"/>
  <c r="I266" i="4" s="1"/>
  <c r="AL20" i="17"/>
  <c r="AI20" i="17"/>
  <c r="S20" i="17"/>
  <c r="J265" i="4" s="1"/>
  <c r="A265" i="4" s="1"/>
  <c r="M20" i="17"/>
  <c r="I265" i="4" s="1"/>
  <c r="AL19" i="17"/>
  <c r="AI19" i="17"/>
  <c r="S19" i="17"/>
  <c r="J264" i="4" s="1"/>
  <c r="A264" i="4" s="1"/>
  <c r="M19" i="17"/>
  <c r="I264" i="4" s="1"/>
  <c r="AL18" i="17"/>
  <c r="AI18" i="17"/>
  <c r="S18" i="17"/>
  <c r="J263" i="4" s="1"/>
  <c r="A263" i="4" s="1"/>
  <c r="M18" i="17"/>
  <c r="I263" i="4" s="1"/>
  <c r="AL17" i="17"/>
  <c r="AI17" i="17"/>
  <c r="S17" i="17"/>
  <c r="J262" i="4" s="1"/>
  <c r="A262" i="4" s="1"/>
  <c r="M17" i="17"/>
  <c r="I262" i="4" s="1"/>
  <c r="AL16" i="17"/>
  <c r="AI16" i="17"/>
  <c r="S16" i="17"/>
  <c r="J261" i="4" s="1"/>
  <c r="A261" i="4" s="1"/>
  <c r="M16" i="17"/>
  <c r="I261" i="4" s="1"/>
  <c r="AL15" i="17"/>
  <c r="AI15" i="17"/>
  <c r="S15" i="17"/>
  <c r="J260" i="4" s="1"/>
  <c r="A260" i="4" s="1"/>
  <c r="M15" i="17"/>
  <c r="I260" i="4" s="1"/>
  <c r="AL14" i="17"/>
  <c r="AI14" i="17"/>
  <c r="S14" i="17"/>
  <c r="J259" i="4" s="1"/>
  <c r="A259" i="4" s="1"/>
  <c r="M14" i="17"/>
  <c r="I259" i="4" s="1"/>
  <c r="AL13" i="17"/>
  <c r="AI13" i="17"/>
  <c r="S13" i="17"/>
  <c r="J258" i="4" s="1"/>
  <c r="A258" i="4" s="1"/>
  <c r="M13" i="17"/>
  <c r="I258" i="4" s="1"/>
  <c r="AL12" i="17"/>
  <c r="AI12" i="17"/>
  <c r="S12" i="17"/>
  <c r="J257" i="4" s="1"/>
  <c r="A257" i="4" s="1"/>
  <c r="M12" i="17"/>
  <c r="I257" i="4" s="1"/>
  <c r="AL11" i="17"/>
  <c r="AI11" i="17"/>
  <c r="S11" i="17"/>
  <c r="J256" i="4" s="1"/>
  <c r="A256" i="4" s="1"/>
  <c r="M11" i="17"/>
  <c r="I256" i="4" s="1"/>
  <c r="AL10" i="17"/>
  <c r="AI10" i="17"/>
  <c r="S10" i="17"/>
  <c r="J255" i="4" s="1"/>
  <c r="A255" i="4" s="1"/>
  <c r="M10" i="17"/>
  <c r="I255" i="4" s="1"/>
  <c r="AL9" i="17"/>
  <c r="AI9" i="17"/>
  <c r="S9" i="17"/>
  <c r="J254" i="4" s="1"/>
  <c r="A254" i="4" s="1"/>
  <c r="M9" i="17"/>
  <c r="I254" i="4" s="1"/>
  <c r="AL8" i="17"/>
  <c r="AI8" i="17"/>
  <c r="S8" i="17"/>
  <c r="J253" i="4" s="1"/>
  <c r="A253" i="4" s="1"/>
  <c r="M8" i="17"/>
  <c r="I253" i="4" s="1"/>
  <c r="K3" i="17"/>
  <c r="I3" i="17"/>
  <c r="G3" i="17"/>
  <c r="E3" i="17"/>
  <c r="C3" i="17"/>
  <c r="A3" i="17"/>
  <c r="R1" i="17"/>
  <c r="C65" i="16"/>
  <c r="C67" i="16" s="1"/>
  <c r="C64" i="16"/>
  <c r="C59" i="16"/>
  <c r="C58" i="16"/>
  <c r="E15" i="41" s="1"/>
  <c r="H15" i="41" s="1"/>
  <c r="C57" i="16"/>
  <c r="C56" i="16"/>
  <c r="C55" i="16"/>
  <c r="F15" i="41" s="1"/>
  <c r="C54" i="16"/>
  <c r="G50" i="16"/>
  <c r="E48" i="16"/>
  <c r="C48" i="16"/>
  <c r="G48" i="16" s="1"/>
  <c r="V10" i="7" s="1"/>
  <c r="E47" i="16"/>
  <c r="E49" i="16" s="1"/>
  <c r="C47" i="16"/>
  <c r="E46" i="16"/>
  <c r="C46" i="16"/>
  <c r="G46" i="16" s="1"/>
  <c r="F18" i="7" s="1"/>
  <c r="AL42" i="16"/>
  <c r="AI42" i="16"/>
  <c r="S42" i="16"/>
  <c r="J252" i="4" s="1"/>
  <c r="A252" i="4" s="1"/>
  <c r="M42" i="16"/>
  <c r="I252" i="4" s="1"/>
  <c r="AL41" i="16"/>
  <c r="AI41" i="16"/>
  <c r="S41" i="16"/>
  <c r="J251" i="4" s="1"/>
  <c r="A251" i="4" s="1"/>
  <c r="M41" i="16"/>
  <c r="I251" i="4" s="1"/>
  <c r="AL40" i="16"/>
  <c r="AI40" i="16"/>
  <c r="S40" i="16"/>
  <c r="J250" i="4" s="1"/>
  <c r="A250" i="4" s="1"/>
  <c r="M40" i="16"/>
  <c r="I250" i="4" s="1"/>
  <c r="AL39" i="16"/>
  <c r="AI39" i="16"/>
  <c r="S39" i="16"/>
  <c r="J249" i="4" s="1"/>
  <c r="A249" i="4" s="1"/>
  <c r="M39" i="16"/>
  <c r="I249" i="4" s="1"/>
  <c r="AL38" i="16"/>
  <c r="AI38" i="16"/>
  <c r="S38" i="16"/>
  <c r="J248" i="4" s="1"/>
  <c r="A248" i="4" s="1"/>
  <c r="M38" i="16"/>
  <c r="I248" i="4" s="1"/>
  <c r="AL37" i="16"/>
  <c r="AI37" i="16"/>
  <c r="S37" i="16"/>
  <c r="J247" i="4" s="1"/>
  <c r="A247" i="4" s="1"/>
  <c r="M37" i="16"/>
  <c r="I247" i="4" s="1"/>
  <c r="AL36" i="16"/>
  <c r="AI36" i="16"/>
  <c r="S36" i="16"/>
  <c r="J246" i="4" s="1"/>
  <c r="A246" i="4" s="1"/>
  <c r="M36" i="16"/>
  <c r="I246" i="4" s="1"/>
  <c r="AL35" i="16"/>
  <c r="AI35" i="16"/>
  <c r="S35" i="16"/>
  <c r="J245" i="4" s="1"/>
  <c r="A245" i="4" s="1"/>
  <c r="M35" i="16"/>
  <c r="I245" i="4" s="1"/>
  <c r="AL34" i="16"/>
  <c r="AI34" i="16"/>
  <c r="S34" i="16"/>
  <c r="J244" i="4" s="1"/>
  <c r="A244" i="4" s="1"/>
  <c r="M34" i="16"/>
  <c r="I244" i="4" s="1"/>
  <c r="AL33" i="16"/>
  <c r="AI33" i="16"/>
  <c r="S33" i="16"/>
  <c r="J243" i="4" s="1"/>
  <c r="A243" i="4" s="1"/>
  <c r="M33" i="16"/>
  <c r="I243" i="4" s="1"/>
  <c r="AL32" i="16"/>
  <c r="AI32" i="16"/>
  <c r="S32" i="16"/>
  <c r="J242" i="4" s="1"/>
  <c r="A242" i="4" s="1"/>
  <c r="M32" i="16"/>
  <c r="I242" i="4" s="1"/>
  <c r="AL31" i="16"/>
  <c r="AI31" i="16"/>
  <c r="S31" i="16"/>
  <c r="J241" i="4" s="1"/>
  <c r="A241" i="4" s="1"/>
  <c r="M31" i="16"/>
  <c r="I241" i="4" s="1"/>
  <c r="AL30" i="16"/>
  <c r="AI30" i="16"/>
  <c r="S30" i="16"/>
  <c r="J240" i="4" s="1"/>
  <c r="A240" i="4" s="1"/>
  <c r="M30" i="16"/>
  <c r="I240" i="4" s="1"/>
  <c r="AL29" i="16"/>
  <c r="AI29" i="16"/>
  <c r="S29" i="16"/>
  <c r="J239" i="4" s="1"/>
  <c r="A239" i="4" s="1"/>
  <c r="M29" i="16"/>
  <c r="I239" i="4" s="1"/>
  <c r="AL28" i="16"/>
  <c r="AI28" i="16"/>
  <c r="S28" i="16"/>
  <c r="J238" i="4" s="1"/>
  <c r="A238" i="4" s="1"/>
  <c r="M28" i="16"/>
  <c r="I238" i="4" s="1"/>
  <c r="AL27" i="16"/>
  <c r="AI27" i="16"/>
  <c r="S27" i="16"/>
  <c r="J237" i="4" s="1"/>
  <c r="A237" i="4" s="1"/>
  <c r="M27" i="16"/>
  <c r="I237" i="4" s="1"/>
  <c r="AL26" i="16"/>
  <c r="AI26" i="16"/>
  <c r="S26" i="16"/>
  <c r="J236" i="4" s="1"/>
  <c r="A236" i="4" s="1"/>
  <c r="M26" i="16"/>
  <c r="I236" i="4" s="1"/>
  <c r="AL25" i="16"/>
  <c r="AI25" i="16"/>
  <c r="S25" i="16"/>
  <c r="J235" i="4" s="1"/>
  <c r="A235" i="4" s="1"/>
  <c r="M25" i="16"/>
  <c r="I235" i="4" s="1"/>
  <c r="AL24" i="16"/>
  <c r="AI24" i="16"/>
  <c r="S24" i="16"/>
  <c r="J234" i="4" s="1"/>
  <c r="A234" i="4" s="1"/>
  <c r="M24" i="16"/>
  <c r="I234" i="4" s="1"/>
  <c r="AL23" i="16"/>
  <c r="AI23" i="16"/>
  <c r="S23" i="16"/>
  <c r="J233" i="4" s="1"/>
  <c r="A233" i="4" s="1"/>
  <c r="M23" i="16"/>
  <c r="I233" i="4" s="1"/>
  <c r="AL22" i="16"/>
  <c r="AI22" i="16"/>
  <c r="S22" i="16"/>
  <c r="J232" i="4" s="1"/>
  <c r="A232" i="4" s="1"/>
  <c r="M22" i="16"/>
  <c r="I232" i="4" s="1"/>
  <c r="AL21" i="16"/>
  <c r="AI21" i="16"/>
  <c r="S21" i="16"/>
  <c r="J231" i="4" s="1"/>
  <c r="A231" i="4" s="1"/>
  <c r="M21" i="16"/>
  <c r="I231" i="4" s="1"/>
  <c r="AL20" i="16"/>
  <c r="AI20" i="16"/>
  <c r="S20" i="16"/>
  <c r="J230" i="4" s="1"/>
  <c r="A230" i="4" s="1"/>
  <c r="M20" i="16"/>
  <c r="I230" i="4" s="1"/>
  <c r="AL19" i="16"/>
  <c r="AJ19" i="16"/>
  <c r="AI19" i="16"/>
  <c r="S19" i="16"/>
  <c r="J229" i="4" s="1"/>
  <c r="A229" i="4" s="1"/>
  <c r="M19" i="16"/>
  <c r="I229" i="4" s="1"/>
  <c r="AL18" i="16"/>
  <c r="AI18" i="16"/>
  <c r="S18" i="16"/>
  <c r="J228" i="4" s="1"/>
  <c r="M18" i="16"/>
  <c r="I228" i="4" s="1"/>
  <c r="AL17" i="16"/>
  <c r="AI17" i="16"/>
  <c r="S17" i="16"/>
  <c r="J227" i="4" s="1"/>
  <c r="A227" i="4" s="1"/>
  <c r="M17" i="16"/>
  <c r="I227" i="4" s="1"/>
  <c r="AL16" i="16"/>
  <c r="AI16" i="16"/>
  <c r="S16" i="16"/>
  <c r="J226" i="4" s="1"/>
  <c r="A226" i="4" s="1"/>
  <c r="M16" i="16"/>
  <c r="I226" i="4" s="1"/>
  <c r="AL15" i="16"/>
  <c r="AI15" i="16"/>
  <c r="S15" i="16"/>
  <c r="J225" i="4" s="1"/>
  <c r="A225" i="4" s="1"/>
  <c r="M15" i="16"/>
  <c r="I225" i="4" s="1"/>
  <c r="AL14" i="16"/>
  <c r="AI14" i="16"/>
  <c r="S14" i="16"/>
  <c r="J224" i="4" s="1"/>
  <c r="A224" i="4" s="1"/>
  <c r="M14" i="16"/>
  <c r="I224" i="4" s="1"/>
  <c r="AL13" i="16"/>
  <c r="AI13" i="16"/>
  <c r="S13" i="16"/>
  <c r="J223" i="4" s="1"/>
  <c r="A223" i="4" s="1"/>
  <c r="M13" i="16"/>
  <c r="I223" i="4" s="1"/>
  <c r="AL12" i="16"/>
  <c r="AI12" i="16"/>
  <c r="S12" i="16"/>
  <c r="J222" i="4" s="1"/>
  <c r="A222" i="4" s="1"/>
  <c r="M12" i="16"/>
  <c r="I222" i="4" s="1"/>
  <c r="AL11" i="16"/>
  <c r="AI11" i="16"/>
  <c r="S11" i="16"/>
  <c r="J221" i="4" s="1"/>
  <c r="A221" i="4" s="1"/>
  <c r="M11" i="16"/>
  <c r="I221" i="4" s="1"/>
  <c r="AL10" i="16"/>
  <c r="AI10" i="16"/>
  <c r="S10" i="16"/>
  <c r="J220" i="4" s="1"/>
  <c r="A220" i="4" s="1"/>
  <c r="M10" i="16"/>
  <c r="I220" i="4" s="1"/>
  <c r="AL9" i="16"/>
  <c r="AI9" i="16"/>
  <c r="S9" i="16"/>
  <c r="J219" i="4" s="1"/>
  <c r="A219" i="4" s="1"/>
  <c r="M9" i="16"/>
  <c r="I219" i="4" s="1"/>
  <c r="AL8" i="16"/>
  <c r="AI8" i="16"/>
  <c r="S8" i="16"/>
  <c r="J218" i="4" s="1"/>
  <c r="M8" i="16"/>
  <c r="I218" i="4" s="1"/>
  <c r="K3" i="16"/>
  <c r="I3" i="16"/>
  <c r="G3" i="16"/>
  <c r="E3" i="16"/>
  <c r="C3" i="16"/>
  <c r="A3" i="16"/>
  <c r="R1" i="16"/>
  <c r="C65" i="15"/>
  <c r="C67" i="15" s="1"/>
  <c r="C64" i="15"/>
  <c r="C59" i="15"/>
  <c r="C58" i="15"/>
  <c r="E14" i="41" s="1"/>
  <c r="H14" i="41" s="1"/>
  <c r="C57" i="15"/>
  <c r="C56" i="15"/>
  <c r="C55" i="15"/>
  <c r="F14" i="41" s="1"/>
  <c r="C54" i="15"/>
  <c r="G50" i="15"/>
  <c r="E48" i="15"/>
  <c r="C48" i="15"/>
  <c r="G48" i="15" s="1"/>
  <c r="V9" i="7" s="1"/>
  <c r="E47" i="15"/>
  <c r="E49" i="15" s="1"/>
  <c r="C47" i="15"/>
  <c r="E46" i="15"/>
  <c r="C46" i="15"/>
  <c r="G46" i="15" s="1"/>
  <c r="D18" i="7" s="1"/>
  <c r="AL42" i="15"/>
  <c r="AI42" i="15"/>
  <c r="S42" i="15"/>
  <c r="J217" i="4" s="1"/>
  <c r="A217" i="4" s="1"/>
  <c r="M42" i="15"/>
  <c r="I217" i="4" s="1"/>
  <c r="AL41" i="15"/>
  <c r="AI41" i="15"/>
  <c r="S41" i="15"/>
  <c r="J216" i="4" s="1"/>
  <c r="A216" i="4" s="1"/>
  <c r="M41" i="15"/>
  <c r="I216" i="4" s="1"/>
  <c r="AL40" i="15"/>
  <c r="AI40" i="15"/>
  <c r="S40" i="15"/>
  <c r="J215" i="4" s="1"/>
  <c r="A215" i="4" s="1"/>
  <c r="M40" i="15"/>
  <c r="I215" i="4" s="1"/>
  <c r="AL39" i="15"/>
  <c r="AI39" i="15"/>
  <c r="S39" i="15"/>
  <c r="J214" i="4" s="1"/>
  <c r="A214" i="4" s="1"/>
  <c r="M39" i="15"/>
  <c r="I214" i="4" s="1"/>
  <c r="AL38" i="15"/>
  <c r="AI38" i="15"/>
  <c r="S38" i="15"/>
  <c r="J213" i="4" s="1"/>
  <c r="A213" i="4" s="1"/>
  <c r="M38" i="15"/>
  <c r="I213" i="4" s="1"/>
  <c r="AL37" i="15"/>
  <c r="AI37" i="15"/>
  <c r="S37" i="15"/>
  <c r="J212" i="4" s="1"/>
  <c r="A212" i="4" s="1"/>
  <c r="M37" i="15"/>
  <c r="I212" i="4" s="1"/>
  <c r="AL36" i="15"/>
  <c r="AI36" i="15"/>
  <c r="S36" i="15"/>
  <c r="J211" i="4" s="1"/>
  <c r="A211" i="4" s="1"/>
  <c r="M36" i="15"/>
  <c r="I211" i="4" s="1"/>
  <c r="AL35" i="15"/>
  <c r="AI35" i="15"/>
  <c r="S35" i="15"/>
  <c r="J210" i="4" s="1"/>
  <c r="A210" i="4" s="1"/>
  <c r="M35" i="15"/>
  <c r="I210" i="4" s="1"/>
  <c r="AL34" i="15"/>
  <c r="AI34" i="15"/>
  <c r="S34" i="15"/>
  <c r="J209" i="4" s="1"/>
  <c r="A209" i="4" s="1"/>
  <c r="M34" i="15"/>
  <c r="I209" i="4" s="1"/>
  <c r="AL33" i="15"/>
  <c r="AI33" i="15"/>
  <c r="S33" i="15"/>
  <c r="J208" i="4" s="1"/>
  <c r="A208" i="4" s="1"/>
  <c r="M33" i="15"/>
  <c r="I208" i="4" s="1"/>
  <c r="AL32" i="15"/>
  <c r="AI32" i="15"/>
  <c r="S32" i="15"/>
  <c r="J207" i="4" s="1"/>
  <c r="A207" i="4" s="1"/>
  <c r="M32" i="15"/>
  <c r="I207" i="4" s="1"/>
  <c r="AL31" i="15"/>
  <c r="AI31" i="15"/>
  <c r="S31" i="15"/>
  <c r="J206" i="4" s="1"/>
  <c r="A206" i="4" s="1"/>
  <c r="M31" i="15"/>
  <c r="I206" i="4" s="1"/>
  <c r="AL30" i="15"/>
  <c r="AI30" i="15"/>
  <c r="S30" i="15"/>
  <c r="J205" i="4" s="1"/>
  <c r="A205" i="4" s="1"/>
  <c r="M30" i="15"/>
  <c r="I205" i="4" s="1"/>
  <c r="AL29" i="15"/>
  <c r="AI29" i="15"/>
  <c r="S29" i="15"/>
  <c r="J204" i="4" s="1"/>
  <c r="M29" i="15"/>
  <c r="I204" i="4" s="1"/>
  <c r="AL28" i="15"/>
  <c r="AI28" i="15"/>
  <c r="S28" i="15"/>
  <c r="J203" i="4" s="1"/>
  <c r="M28" i="15"/>
  <c r="I203" i="4" s="1"/>
  <c r="AL27" i="15"/>
  <c r="AI27" i="15"/>
  <c r="S27" i="15"/>
  <c r="J202" i="4" s="1"/>
  <c r="M27" i="15"/>
  <c r="I202" i="4" s="1"/>
  <c r="AL26" i="15"/>
  <c r="AI26" i="15"/>
  <c r="S26" i="15"/>
  <c r="J201" i="4" s="1"/>
  <c r="M26" i="15"/>
  <c r="I201" i="4" s="1"/>
  <c r="AL25" i="15"/>
  <c r="AI25" i="15"/>
  <c r="S25" i="15"/>
  <c r="J200" i="4" s="1"/>
  <c r="M25" i="15"/>
  <c r="I200" i="4" s="1"/>
  <c r="AL24" i="15"/>
  <c r="AI24" i="15"/>
  <c r="S24" i="15"/>
  <c r="J199" i="4" s="1"/>
  <c r="M24" i="15"/>
  <c r="I199" i="4" s="1"/>
  <c r="AL23" i="15"/>
  <c r="AI23" i="15"/>
  <c r="S23" i="15"/>
  <c r="J198" i="4" s="1"/>
  <c r="M23" i="15"/>
  <c r="I198" i="4" s="1"/>
  <c r="AL22" i="15"/>
  <c r="AI22" i="15"/>
  <c r="S22" i="15"/>
  <c r="J197" i="4" s="1"/>
  <c r="M22" i="15"/>
  <c r="I197" i="4" s="1"/>
  <c r="AL21" i="15"/>
  <c r="AI21" i="15"/>
  <c r="S21" i="15"/>
  <c r="J196" i="4" s="1"/>
  <c r="M21" i="15"/>
  <c r="I196" i="4" s="1"/>
  <c r="AL20" i="15"/>
  <c r="AI20" i="15"/>
  <c r="S20" i="15"/>
  <c r="J195" i="4" s="1"/>
  <c r="M20" i="15"/>
  <c r="I195" i="4" s="1"/>
  <c r="AL19" i="15"/>
  <c r="AI19" i="15"/>
  <c r="S19" i="15"/>
  <c r="J194" i="4" s="1"/>
  <c r="M19" i="15"/>
  <c r="I194" i="4" s="1"/>
  <c r="AL18" i="15"/>
  <c r="AI18" i="15"/>
  <c r="S18" i="15"/>
  <c r="J193" i="4" s="1"/>
  <c r="M18" i="15"/>
  <c r="I193" i="4" s="1"/>
  <c r="AL17" i="15"/>
  <c r="AI17" i="15"/>
  <c r="S17" i="15"/>
  <c r="J192" i="4" s="1"/>
  <c r="M17" i="15"/>
  <c r="I192" i="4" s="1"/>
  <c r="AL16" i="15"/>
  <c r="AI16" i="15"/>
  <c r="S16" i="15"/>
  <c r="J191" i="4" s="1"/>
  <c r="M16" i="15"/>
  <c r="I191" i="4" s="1"/>
  <c r="AL15" i="15"/>
  <c r="AJ15" i="15"/>
  <c r="AI15" i="15"/>
  <c r="S15" i="15"/>
  <c r="J190" i="4" s="1"/>
  <c r="M15" i="15"/>
  <c r="I190" i="4" s="1"/>
  <c r="AL14" i="15"/>
  <c r="AI14" i="15"/>
  <c r="S14" i="15"/>
  <c r="J189" i="4" s="1"/>
  <c r="M14" i="15"/>
  <c r="I189" i="4" s="1"/>
  <c r="AL13" i="15"/>
  <c r="AI13" i="15"/>
  <c r="S13" i="15"/>
  <c r="J188" i="4" s="1"/>
  <c r="M13" i="15"/>
  <c r="I188" i="4" s="1"/>
  <c r="AL12" i="15"/>
  <c r="AI12" i="15"/>
  <c r="S12" i="15"/>
  <c r="J187" i="4" s="1"/>
  <c r="M12" i="15"/>
  <c r="I187" i="4" s="1"/>
  <c r="AL11" i="15"/>
  <c r="AI11" i="15"/>
  <c r="S11" i="15"/>
  <c r="J186" i="4" s="1"/>
  <c r="M11" i="15"/>
  <c r="I186" i="4" s="1"/>
  <c r="AL10" i="15"/>
  <c r="AI10" i="15"/>
  <c r="S10" i="15"/>
  <c r="J185" i="4" s="1"/>
  <c r="M10" i="15"/>
  <c r="I185" i="4" s="1"/>
  <c r="AL9" i="15"/>
  <c r="AI9" i="15"/>
  <c r="S9" i="15"/>
  <c r="J184" i="4" s="1"/>
  <c r="M9" i="15"/>
  <c r="I184" i="4" s="1"/>
  <c r="AL8" i="15"/>
  <c r="AI8" i="15"/>
  <c r="S8" i="15"/>
  <c r="J183" i="4" s="1"/>
  <c r="M8" i="15"/>
  <c r="I183" i="4" s="1"/>
  <c r="K3" i="15"/>
  <c r="I3" i="15"/>
  <c r="G3" i="15"/>
  <c r="E3" i="15"/>
  <c r="C3" i="15"/>
  <c r="A3" i="15"/>
  <c r="R1" i="15"/>
  <c r="C65" i="14"/>
  <c r="C67" i="14" s="1"/>
  <c r="C64" i="14"/>
  <c r="C59" i="14"/>
  <c r="C58" i="14"/>
  <c r="E13" i="41" s="1"/>
  <c r="H13" i="41" s="1"/>
  <c r="C57" i="14"/>
  <c r="C56" i="14"/>
  <c r="C55" i="14"/>
  <c r="F13" i="41" s="1"/>
  <c r="C54" i="14"/>
  <c r="G50" i="14"/>
  <c r="E48" i="14"/>
  <c r="C48" i="14"/>
  <c r="G48" i="14" s="1"/>
  <c r="V8" i="7" s="1"/>
  <c r="E47" i="14"/>
  <c r="E49" i="14" s="1"/>
  <c r="C47" i="14"/>
  <c r="E46" i="14"/>
  <c r="C46" i="14"/>
  <c r="G46" i="14" s="1"/>
  <c r="AL42" i="14"/>
  <c r="AI42" i="14"/>
  <c r="S42" i="14"/>
  <c r="J182" i="4" s="1"/>
  <c r="M42" i="14"/>
  <c r="I182" i="4" s="1"/>
  <c r="AL41" i="14"/>
  <c r="AI41" i="14"/>
  <c r="S41" i="14"/>
  <c r="J181" i="4" s="1"/>
  <c r="M41" i="14"/>
  <c r="I181" i="4" s="1"/>
  <c r="AL40" i="14"/>
  <c r="AI40" i="14"/>
  <c r="S40" i="14"/>
  <c r="J180" i="4" s="1"/>
  <c r="M40" i="14"/>
  <c r="I180" i="4" s="1"/>
  <c r="AL39" i="14"/>
  <c r="AI39" i="14"/>
  <c r="S39" i="14"/>
  <c r="J179" i="4" s="1"/>
  <c r="M39" i="14"/>
  <c r="I179" i="4" s="1"/>
  <c r="AL38" i="14"/>
  <c r="AI38" i="14"/>
  <c r="S38" i="14"/>
  <c r="J178" i="4" s="1"/>
  <c r="M38" i="14"/>
  <c r="I178" i="4" s="1"/>
  <c r="AL37" i="14"/>
  <c r="AI37" i="14"/>
  <c r="S37" i="14"/>
  <c r="J177" i="4" s="1"/>
  <c r="M37" i="14"/>
  <c r="I177" i="4" s="1"/>
  <c r="AL36" i="14"/>
  <c r="AI36" i="14"/>
  <c r="S36" i="14"/>
  <c r="J176" i="4" s="1"/>
  <c r="M36" i="14"/>
  <c r="I176" i="4" s="1"/>
  <c r="AL35" i="14"/>
  <c r="AI35" i="14"/>
  <c r="S35" i="14"/>
  <c r="J175" i="4" s="1"/>
  <c r="M35" i="14"/>
  <c r="I175" i="4" s="1"/>
  <c r="AL34" i="14"/>
  <c r="AI34" i="14"/>
  <c r="S34" i="14"/>
  <c r="J174" i="4" s="1"/>
  <c r="M34" i="14"/>
  <c r="I174" i="4" s="1"/>
  <c r="AL33" i="14"/>
  <c r="AI33" i="14"/>
  <c r="S33" i="14"/>
  <c r="J173" i="4" s="1"/>
  <c r="M33" i="14"/>
  <c r="I173" i="4" s="1"/>
  <c r="AL32" i="14"/>
  <c r="AI32" i="14"/>
  <c r="S32" i="14"/>
  <c r="J172" i="4" s="1"/>
  <c r="M32" i="14"/>
  <c r="I172" i="4" s="1"/>
  <c r="AL31" i="14"/>
  <c r="AI31" i="14"/>
  <c r="S31" i="14"/>
  <c r="J171" i="4" s="1"/>
  <c r="M31" i="14"/>
  <c r="I171" i="4" s="1"/>
  <c r="AL30" i="14"/>
  <c r="AI30" i="14"/>
  <c r="S30" i="14"/>
  <c r="J170" i="4" s="1"/>
  <c r="A170" i="4" s="1"/>
  <c r="M30" i="14"/>
  <c r="I170" i="4" s="1"/>
  <c r="AL29" i="14"/>
  <c r="AI29" i="14"/>
  <c r="S29" i="14"/>
  <c r="J169" i="4" s="1"/>
  <c r="A169" i="4" s="1"/>
  <c r="M29" i="14"/>
  <c r="I169" i="4" s="1"/>
  <c r="AL28" i="14"/>
  <c r="AI28" i="14"/>
  <c r="S28" i="14"/>
  <c r="J168" i="4" s="1"/>
  <c r="A168" i="4" s="1"/>
  <c r="M28" i="14"/>
  <c r="I168" i="4" s="1"/>
  <c r="AL27" i="14"/>
  <c r="AI27" i="14"/>
  <c r="S27" i="14"/>
  <c r="J167" i="4" s="1"/>
  <c r="A167" i="4" s="1"/>
  <c r="M27" i="14"/>
  <c r="I167" i="4" s="1"/>
  <c r="AL26" i="14"/>
  <c r="AI26" i="14"/>
  <c r="S26" i="14"/>
  <c r="J166" i="4" s="1"/>
  <c r="A166" i="4" s="1"/>
  <c r="M26" i="14"/>
  <c r="I166" i="4" s="1"/>
  <c r="AL25" i="14"/>
  <c r="AI25" i="14"/>
  <c r="S25" i="14"/>
  <c r="J165" i="4" s="1"/>
  <c r="A165" i="4" s="1"/>
  <c r="M25" i="14"/>
  <c r="I165" i="4" s="1"/>
  <c r="AL24" i="14"/>
  <c r="AI24" i="14"/>
  <c r="S24" i="14"/>
  <c r="J164" i="4" s="1"/>
  <c r="A164" i="4" s="1"/>
  <c r="M24" i="14"/>
  <c r="I164" i="4" s="1"/>
  <c r="AL23" i="14"/>
  <c r="AI23" i="14"/>
  <c r="S23" i="14"/>
  <c r="J163" i="4" s="1"/>
  <c r="A163" i="4" s="1"/>
  <c r="M23" i="14"/>
  <c r="I163" i="4" s="1"/>
  <c r="AL22" i="14"/>
  <c r="AI22" i="14"/>
  <c r="S22" i="14"/>
  <c r="J162" i="4" s="1"/>
  <c r="A162" i="4" s="1"/>
  <c r="M22" i="14"/>
  <c r="I162" i="4" s="1"/>
  <c r="AL21" i="14"/>
  <c r="AI21" i="14"/>
  <c r="S21" i="14"/>
  <c r="J161" i="4" s="1"/>
  <c r="M21" i="14"/>
  <c r="I161" i="4" s="1"/>
  <c r="AL20" i="14"/>
  <c r="AI20" i="14"/>
  <c r="S20" i="14"/>
  <c r="J160" i="4" s="1"/>
  <c r="A160" i="4" s="1"/>
  <c r="M20" i="14"/>
  <c r="I160" i="4" s="1"/>
  <c r="AL19" i="14"/>
  <c r="AI19" i="14"/>
  <c r="S19" i="14"/>
  <c r="J159" i="4" s="1"/>
  <c r="A159" i="4" s="1"/>
  <c r="M19" i="14"/>
  <c r="I159" i="4" s="1"/>
  <c r="AL18" i="14"/>
  <c r="AI18" i="14"/>
  <c r="S18" i="14"/>
  <c r="J158" i="4" s="1"/>
  <c r="A158" i="4" s="1"/>
  <c r="M18" i="14"/>
  <c r="I158" i="4" s="1"/>
  <c r="AL17" i="14"/>
  <c r="AI17" i="14"/>
  <c r="S17" i="14"/>
  <c r="J157" i="4" s="1"/>
  <c r="A157" i="4" s="1"/>
  <c r="M17" i="14"/>
  <c r="I157" i="4" s="1"/>
  <c r="AL16" i="14"/>
  <c r="AI16" i="14"/>
  <c r="S16" i="14"/>
  <c r="J156" i="4" s="1"/>
  <c r="A156" i="4" s="1"/>
  <c r="M16" i="14"/>
  <c r="I156" i="4" s="1"/>
  <c r="AL15" i="14"/>
  <c r="AI15" i="14"/>
  <c r="S15" i="14"/>
  <c r="J155" i="4" s="1"/>
  <c r="A155" i="4" s="1"/>
  <c r="M15" i="14"/>
  <c r="I155" i="4" s="1"/>
  <c r="AL14" i="14"/>
  <c r="AI14" i="14"/>
  <c r="S14" i="14"/>
  <c r="J154" i="4" s="1"/>
  <c r="A154" i="4" s="1"/>
  <c r="M14" i="14"/>
  <c r="I154" i="4" s="1"/>
  <c r="AL13" i="14"/>
  <c r="AI13" i="14"/>
  <c r="S13" i="14"/>
  <c r="J153" i="4" s="1"/>
  <c r="A153" i="4" s="1"/>
  <c r="M13" i="14"/>
  <c r="I153" i="4" s="1"/>
  <c r="AL12" i="14"/>
  <c r="AI12" i="14"/>
  <c r="S12" i="14"/>
  <c r="J152" i="4" s="1"/>
  <c r="A152" i="4" s="1"/>
  <c r="M12" i="14"/>
  <c r="I152" i="4" s="1"/>
  <c r="AL11" i="14"/>
  <c r="AI11" i="14"/>
  <c r="S11" i="14"/>
  <c r="J151" i="4" s="1"/>
  <c r="M11" i="14"/>
  <c r="I151" i="4" s="1"/>
  <c r="AL10" i="14"/>
  <c r="AI10" i="14"/>
  <c r="S10" i="14"/>
  <c r="J150" i="4" s="1"/>
  <c r="A150" i="4" s="1"/>
  <c r="M10" i="14"/>
  <c r="I150" i="4" s="1"/>
  <c r="AL9" i="14"/>
  <c r="AI9" i="14"/>
  <c r="S9" i="14"/>
  <c r="J149" i="4" s="1"/>
  <c r="A149" i="4" s="1"/>
  <c r="M9" i="14"/>
  <c r="I149" i="4" s="1"/>
  <c r="AL8" i="14"/>
  <c r="AI8" i="14"/>
  <c r="S8" i="14"/>
  <c r="J148" i="4" s="1"/>
  <c r="A148" i="4" s="1"/>
  <c r="M8" i="14"/>
  <c r="I148" i="4" s="1"/>
  <c r="K3" i="14"/>
  <c r="I3" i="14"/>
  <c r="G3" i="14"/>
  <c r="E3" i="14"/>
  <c r="C3" i="14"/>
  <c r="A3" i="14"/>
  <c r="R1" i="14"/>
  <c r="C65" i="13"/>
  <c r="C67" i="13" s="1"/>
  <c r="C64" i="13"/>
  <c r="C59" i="13"/>
  <c r="C58" i="13"/>
  <c r="E12" i="41" s="1"/>
  <c r="H12" i="41" s="1"/>
  <c r="C57" i="13"/>
  <c r="C56" i="13"/>
  <c r="C55" i="13"/>
  <c r="F12" i="41" s="1"/>
  <c r="C54" i="13"/>
  <c r="G50" i="13"/>
  <c r="E48" i="13"/>
  <c r="C48" i="13"/>
  <c r="G48" i="13" s="1"/>
  <c r="V7" i="7" s="1"/>
  <c r="E47" i="13"/>
  <c r="E49" i="13" s="1"/>
  <c r="C47" i="13"/>
  <c r="E46" i="13"/>
  <c r="C46" i="13"/>
  <c r="G46" i="13" s="1"/>
  <c r="N16" i="7" s="1"/>
  <c r="AL42" i="13"/>
  <c r="AI42" i="13"/>
  <c r="S42" i="13"/>
  <c r="J147" i="4" s="1"/>
  <c r="A147" i="4" s="1"/>
  <c r="M42" i="13"/>
  <c r="I147" i="4" s="1"/>
  <c r="AL41" i="13"/>
  <c r="AI41" i="13"/>
  <c r="S41" i="13"/>
  <c r="J146" i="4" s="1"/>
  <c r="A146" i="4" s="1"/>
  <c r="M41" i="13"/>
  <c r="I146" i="4" s="1"/>
  <c r="AL40" i="13"/>
  <c r="AI40" i="13"/>
  <c r="S40" i="13"/>
  <c r="J145" i="4" s="1"/>
  <c r="A145" i="4" s="1"/>
  <c r="M40" i="13"/>
  <c r="I145" i="4" s="1"/>
  <c r="AL39" i="13"/>
  <c r="AI39" i="13"/>
  <c r="S39" i="13"/>
  <c r="J144" i="4" s="1"/>
  <c r="A144" i="4" s="1"/>
  <c r="M39" i="13"/>
  <c r="I144" i="4" s="1"/>
  <c r="AL38" i="13"/>
  <c r="AI38" i="13"/>
  <c r="S38" i="13"/>
  <c r="J143" i="4" s="1"/>
  <c r="A143" i="4" s="1"/>
  <c r="M38" i="13"/>
  <c r="I143" i="4" s="1"/>
  <c r="AL37" i="13"/>
  <c r="AI37" i="13"/>
  <c r="S37" i="13"/>
  <c r="J142" i="4" s="1"/>
  <c r="A142" i="4" s="1"/>
  <c r="M37" i="13"/>
  <c r="I142" i="4" s="1"/>
  <c r="AL36" i="13"/>
  <c r="AI36" i="13"/>
  <c r="S36" i="13"/>
  <c r="J141" i="4" s="1"/>
  <c r="A141" i="4" s="1"/>
  <c r="M36" i="13"/>
  <c r="I141" i="4" s="1"/>
  <c r="AL35" i="13"/>
  <c r="AI35" i="13"/>
  <c r="S35" i="13"/>
  <c r="J140" i="4" s="1"/>
  <c r="A140" i="4" s="1"/>
  <c r="M35" i="13"/>
  <c r="I140" i="4" s="1"/>
  <c r="AL34" i="13"/>
  <c r="AI34" i="13"/>
  <c r="S34" i="13"/>
  <c r="J139" i="4" s="1"/>
  <c r="A139" i="4" s="1"/>
  <c r="M34" i="13"/>
  <c r="I139" i="4" s="1"/>
  <c r="AL33" i="13"/>
  <c r="AI33" i="13"/>
  <c r="S33" i="13"/>
  <c r="J138" i="4" s="1"/>
  <c r="A138" i="4" s="1"/>
  <c r="M33" i="13"/>
  <c r="I138" i="4" s="1"/>
  <c r="AL32" i="13"/>
  <c r="AI32" i="13"/>
  <c r="S32" i="13"/>
  <c r="J137" i="4" s="1"/>
  <c r="A137" i="4" s="1"/>
  <c r="M32" i="13"/>
  <c r="I137" i="4" s="1"/>
  <c r="AL31" i="13"/>
  <c r="AI31" i="13"/>
  <c r="S31" i="13"/>
  <c r="J136" i="4" s="1"/>
  <c r="A136" i="4" s="1"/>
  <c r="M31" i="13"/>
  <c r="I136" i="4" s="1"/>
  <c r="AL30" i="13"/>
  <c r="AI30" i="13"/>
  <c r="S30" i="13"/>
  <c r="J135" i="4" s="1"/>
  <c r="A135" i="4" s="1"/>
  <c r="M30" i="13"/>
  <c r="I135" i="4" s="1"/>
  <c r="AL29" i="13"/>
  <c r="AI29" i="13"/>
  <c r="S29" i="13"/>
  <c r="J134" i="4" s="1"/>
  <c r="A134" i="4" s="1"/>
  <c r="M29" i="13"/>
  <c r="I134" i="4" s="1"/>
  <c r="AL28" i="13"/>
  <c r="AI28" i="13"/>
  <c r="S28" i="13"/>
  <c r="J133" i="4" s="1"/>
  <c r="A133" i="4" s="1"/>
  <c r="M28" i="13"/>
  <c r="I133" i="4" s="1"/>
  <c r="AL27" i="13"/>
  <c r="AI27" i="13"/>
  <c r="S27" i="13"/>
  <c r="J132" i="4" s="1"/>
  <c r="A132" i="4" s="1"/>
  <c r="M27" i="13"/>
  <c r="I132" i="4" s="1"/>
  <c r="AL26" i="13"/>
  <c r="AI26" i="13"/>
  <c r="S26" i="13"/>
  <c r="J131" i="4" s="1"/>
  <c r="A131" i="4" s="1"/>
  <c r="M26" i="13"/>
  <c r="I131" i="4" s="1"/>
  <c r="AL25" i="13"/>
  <c r="AI25" i="13"/>
  <c r="S25" i="13"/>
  <c r="J130" i="4" s="1"/>
  <c r="A130" i="4" s="1"/>
  <c r="M25" i="13"/>
  <c r="I130" i="4" s="1"/>
  <c r="AL24" i="13"/>
  <c r="AI24" i="13"/>
  <c r="S24" i="13"/>
  <c r="J129" i="4" s="1"/>
  <c r="A129" i="4" s="1"/>
  <c r="M24" i="13"/>
  <c r="I129" i="4" s="1"/>
  <c r="AL23" i="13"/>
  <c r="AI23" i="13"/>
  <c r="S23" i="13"/>
  <c r="J128" i="4" s="1"/>
  <c r="A128" i="4" s="1"/>
  <c r="M23" i="13"/>
  <c r="I128" i="4" s="1"/>
  <c r="AL22" i="13"/>
  <c r="AI22" i="13"/>
  <c r="S22" i="13"/>
  <c r="J127" i="4" s="1"/>
  <c r="A127" i="4" s="1"/>
  <c r="M22" i="13"/>
  <c r="I127" i="4" s="1"/>
  <c r="AL21" i="13"/>
  <c r="AI21" i="13"/>
  <c r="S21" i="13"/>
  <c r="J126" i="4" s="1"/>
  <c r="A126" i="4" s="1"/>
  <c r="M21" i="13"/>
  <c r="I126" i="4" s="1"/>
  <c r="AL20" i="13"/>
  <c r="AI20" i="13"/>
  <c r="S20" i="13"/>
  <c r="J125" i="4" s="1"/>
  <c r="A125" i="4" s="1"/>
  <c r="M20" i="13"/>
  <c r="I125" i="4" s="1"/>
  <c r="AL19" i="13"/>
  <c r="AI19" i="13"/>
  <c r="S19" i="13"/>
  <c r="J124" i="4" s="1"/>
  <c r="A124" i="4" s="1"/>
  <c r="M19" i="13"/>
  <c r="I124" i="4" s="1"/>
  <c r="AL18" i="13"/>
  <c r="AI18" i="13"/>
  <c r="S18" i="13"/>
  <c r="J123" i="4" s="1"/>
  <c r="A123" i="4" s="1"/>
  <c r="M18" i="13"/>
  <c r="I123" i="4" s="1"/>
  <c r="AL17" i="13"/>
  <c r="AI17" i="13"/>
  <c r="S17" i="13"/>
  <c r="J122" i="4" s="1"/>
  <c r="A122" i="4" s="1"/>
  <c r="M17" i="13"/>
  <c r="I122" i="4" s="1"/>
  <c r="AL16" i="13"/>
  <c r="AI16" i="13"/>
  <c r="S16" i="13"/>
  <c r="J121" i="4" s="1"/>
  <c r="A121" i="4" s="1"/>
  <c r="M16" i="13"/>
  <c r="I121" i="4" s="1"/>
  <c r="AL15" i="13"/>
  <c r="AI15" i="13"/>
  <c r="S15" i="13"/>
  <c r="J120" i="4" s="1"/>
  <c r="A120" i="4" s="1"/>
  <c r="M15" i="13"/>
  <c r="I120" i="4" s="1"/>
  <c r="AL14" i="13"/>
  <c r="AI14" i="13"/>
  <c r="S14" i="13"/>
  <c r="J119" i="4" s="1"/>
  <c r="A119" i="4" s="1"/>
  <c r="M14" i="13"/>
  <c r="I119" i="4" s="1"/>
  <c r="AL13" i="13"/>
  <c r="AI13" i="13"/>
  <c r="S13" i="13"/>
  <c r="J118" i="4" s="1"/>
  <c r="A118" i="4" s="1"/>
  <c r="M13" i="13"/>
  <c r="I118" i="4" s="1"/>
  <c r="AL12" i="13"/>
  <c r="AI12" i="13"/>
  <c r="S12" i="13"/>
  <c r="J117" i="4" s="1"/>
  <c r="A117" i="4" s="1"/>
  <c r="M12" i="13"/>
  <c r="I117" i="4" s="1"/>
  <c r="AL11" i="13"/>
  <c r="AI11" i="13"/>
  <c r="S11" i="13"/>
  <c r="J116" i="4" s="1"/>
  <c r="A116" i="4" s="1"/>
  <c r="M11" i="13"/>
  <c r="I116" i="4" s="1"/>
  <c r="AL10" i="13"/>
  <c r="AI10" i="13"/>
  <c r="S10" i="13"/>
  <c r="J115" i="4" s="1"/>
  <c r="A115" i="4" s="1"/>
  <c r="M10" i="13"/>
  <c r="I115" i="4" s="1"/>
  <c r="AL9" i="13"/>
  <c r="AI9" i="13"/>
  <c r="S9" i="13"/>
  <c r="J114" i="4" s="1"/>
  <c r="A114" i="4" s="1"/>
  <c r="M9" i="13"/>
  <c r="I114" i="4" s="1"/>
  <c r="AL8" i="13"/>
  <c r="AI8" i="13"/>
  <c r="S8" i="13"/>
  <c r="J113" i="4" s="1"/>
  <c r="A113" i="4" s="1"/>
  <c r="M8" i="13"/>
  <c r="I113" i="4" s="1"/>
  <c r="K3" i="13"/>
  <c r="I3" i="13"/>
  <c r="G3" i="13"/>
  <c r="E3" i="13"/>
  <c r="C3" i="13"/>
  <c r="A3" i="13"/>
  <c r="R1" i="13"/>
  <c r="C65" i="12"/>
  <c r="C67" i="12" s="1"/>
  <c r="C64" i="12"/>
  <c r="C59" i="12"/>
  <c r="C58" i="12"/>
  <c r="E11" i="41" s="1"/>
  <c r="H11" i="41" s="1"/>
  <c r="C57" i="12"/>
  <c r="C56" i="12"/>
  <c r="C55" i="12"/>
  <c r="F11" i="41" s="1"/>
  <c r="C54" i="12"/>
  <c r="G50" i="12"/>
  <c r="E48" i="12"/>
  <c r="C48" i="12"/>
  <c r="G48" i="12" s="1"/>
  <c r="V6" i="7" s="1"/>
  <c r="E47" i="12"/>
  <c r="E49" i="12" s="1"/>
  <c r="C47" i="12"/>
  <c r="E46" i="12"/>
  <c r="C46" i="12"/>
  <c r="G46" i="12" s="1"/>
  <c r="L16" i="7" s="1"/>
  <c r="AL42" i="12"/>
  <c r="AI42" i="12"/>
  <c r="S42" i="12"/>
  <c r="J112" i="4" s="1"/>
  <c r="A112" i="4" s="1"/>
  <c r="M42" i="12"/>
  <c r="I112" i="4" s="1"/>
  <c r="AL41" i="12"/>
  <c r="AI41" i="12"/>
  <c r="S41" i="12"/>
  <c r="J111" i="4" s="1"/>
  <c r="A111" i="4" s="1"/>
  <c r="M41" i="12"/>
  <c r="I111" i="4" s="1"/>
  <c r="AL40" i="12"/>
  <c r="AI40" i="12"/>
  <c r="S40" i="12"/>
  <c r="J110" i="4" s="1"/>
  <c r="A110" i="4" s="1"/>
  <c r="M40" i="12"/>
  <c r="I110" i="4" s="1"/>
  <c r="AL39" i="12"/>
  <c r="AI39" i="12"/>
  <c r="S39" i="12"/>
  <c r="J109" i="4" s="1"/>
  <c r="A109" i="4" s="1"/>
  <c r="M39" i="12"/>
  <c r="I109" i="4" s="1"/>
  <c r="AL38" i="12"/>
  <c r="AI38" i="12"/>
  <c r="S38" i="12"/>
  <c r="J108" i="4" s="1"/>
  <c r="A108" i="4" s="1"/>
  <c r="M38" i="12"/>
  <c r="I108" i="4" s="1"/>
  <c r="AL37" i="12"/>
  <c r="AI37" i="12"/>
  <c r="S37" i="12"/>
  <c r="J107" i="4" s="1"/>
  <c r="A107" i="4" s="1"/>
  <c r="M37" i="12"/>
  <c r="I107" i="4" s="1"/>
  <c r="AL36" i="12"/>
  <c r="AI36" i="12"/>
  <c r="S36" i="12"/>
  <c r="J106" i="4" s="1"/>
  <c r="M36" i="12"/>
  <c r="I106" i="4" s="1"/>
  <c r="AL35" i="12"/>
  <c r="AI35" i="12"/>
  <c r="S35" i="12"/>
  <c r="J105" i="4" s="1"/>
  <c r="A105" i="4" s="1"/>
  <c r="M35" i="12"/>
  <c r="I105" i="4" s="1"/>
  <c r="AL34" i="12"/>
  <c r="AI34" i="12"/>
  <c r="S34" i="12"/>
  <c r="J104" i="4" s="1"/>
  <c r="A104" i="4" s="1"/>
  <c r="M34" i="12"/>
  <c r="I104" i="4" s="1"/>
  <c r="AL33" i="12"/>
  <c r="AI33" i="12"/>
  <c r="S33" i="12"/>
  <c r="J103" i="4" s="1"/>
  <c r="A103" i="4" s="1"/>
  <c r="M33" i="12"/>
  <c r="I103" i="4" s="1"/>
  <c r="AL32" i="12"/>
  <c r="AI32" i="12"/>
  <c r="S32" i="12"/>
  <c r="J102" i="4" s="1"/>
  <c r="A102" i="4" s="1"/>
  <c r="M32" i="12"/>
  <c r="I102" i="4" s="1"/>
  <c r="AL31" i="12"/>
  <c r="AI31" i="12"/>
  <c r="S31" i="12"/>
  <c r="J101" i="4" s="1"/>
  <c r="A101" i="4" s="1"/>
  <c r="M31" i="12"/>
  <c r="I101" i="4" s="1"/>
  <c r="AL30" i="12"/>
  <c r="AI30" i="12"/>
  <c r="S30" i="12"/>
  <c r="J100" i="4" s="1"/>
  <c r="A100" i="4" s="1"/>
  <c r="M30" i="12"/>
  <c r="I100" i="4" s="1"/>
  <c r="AL29" i="12"/>
  <c r="AI29" i="12"/>
  <c r="S29" i="12"/>
  <c r="J99" i="4" s="1"/>
  <c r="A99" i="4" s="1"/>
  <c r="M29" i="12"/>
  <c r="I99" i="4" s="1"/>
  <c r="AL28" i="12"/>
  <c r="AI28" i="12"/>
  <c r="S28" i="12"/>
  <c r="J98" i="4" s="1"/>
  <c r="M28" i="12"/>
  <c r="I98" i="4" s="1"/>
  <c r="AL27" i="12"/>
  <c r="AI27" i="12"/>
  <c r="S27" i="12"/>
  <c r="J97" i="4" s="1"/>
  <c r="A97" i="4" s="1"/>
  <c r="M27" i="12"/>
  <c r="I97" i="4" s="1"/>
  <c r="AL26" i="12"/>
  <c r="AI26" i="12"/>
  <c r="S26" i="12"/>
  <c r="J96" i="4" s="1"/>
  <c r="A96" i="4" s="1"/>
  <c r="M26" i="12"/>
  <c r="I96" i="4" s="1"/>
  <c r="AL25" i="12"/>
  <c r="AI25" i="12"/>
  <c r="S25" i="12"/>
  <c r="J95" i="4" s="1"/>
  <c r="A95" i="4" s="1"/>
  <c r="M25" i="12"/>
  <c r="I95" i="4" s="1"/>
  <c r="AL24" i="12"/>
  <c r="AI24" i="12"/>
  <c r="S24" i="12"/>
  <c r="J94" i="4" s="1"/>
  <c r="A94" i="4" s="1"/>
  <c r="M24" i="12"/>
  <c r="I94" i="4" s="1"/>
  <c r="AL23" i="12"/>
  <c r="AI23" i="12"/>
  <c r="S23" i="12"/>
  <c r="J93" i="4" s="1"/>
  <c r="A93" i="4" s="1"/>
  <c r="M23" i="12"/>
  <c r="I93" i="4" s="1"/>
  <c r="AL22" i="12"/>
  <c r="AI22" i="12"/>
  <c r="S22" i="12"/>
  <c r="J92" i="4" s="1"/>
  <c r="A92" i="4" s="1"/>
  <c r="M22" i="12"/>
  <c r="I92" i="4" s="1"/>
  <c r="AL21" i="12"/>
  <c r="AI21" i="12"/>
  <c r="S21" i="12"/>
  <c r="J91" i="4" s="1"/>
  <c r="A91" i="4" s="1"/>
  <c r="M21" i="12"/>
  <c r="I91" i="4" s="1"/>
  <c r="AL20" i="12"/>
  <c r="AI20" i="12"/>
  <c r="S20" i="12"/>
  <c r="J90" i="4" s="1"/>
  <c r="A90" i="4" s="1"/>
  <c r="M20" i="12"/>
  <c r="I90" i="4" s="1"/>
  <c r="AL19" i="12"/>
  <c r="AI19" i="12"/>
  <c r="S19" i="12"/>
  <c r="J89" i="4" s="1"/>
  <c r="A89" i="4" s="1"/>
  <c r="M19" i="12"/>
  <c r="I89" i="4" s="1"/>
  <c r="AL18" i="12"/>
  <c r="AI18" i="12"/>
  <c r="S18" i="12"/>
  <c r="J88" i="4" s="1"/>
  <c r="A88" i="4" s="1"/>
  <c r="M18" i="12"/>
  <c r="I88" i="4" s="1"/>
  <c r="AL17" i="12"/>
  <c r="AI17" i="12"/>
  <c r="S17" i="12"/>
  <c r="J87" i="4" s="1"/>
  <c r="A87" i="4" s="1"/>
  <c r="M17" i="12"/>
  <c r="I87" i="4" s="1"/>
  <c r="AL16" i="12"/>
  <c r="AI16" i="12"/>
  <c r="S16" i="12"/>
  <c r="J86" i="4" s="1"/>
  <c r="A86" i="4" s="1"/>
  <c r="M16" i="12"/>
  <c r="I86" i="4" s="1"/>
  <c r="AL15" i="12"/>
  <c r="AI15" i="12"/>
  <c r="S15" i="12"/>
  <c r="J85" i="4" s="1"/>
  <c r="A85" i="4" s="1"/>
  <c r="M15" i="12"/>
  <c r="I85" i="4" s="1"/>
  <c r="AL14" i="12"/>
  <c r="AI14" i="12"/>
  <c r="S14" i="12"/>
  <c r="J84" i="4" s="1"/>
  <c r="A84" i="4" s="1"/>
  <c r="M14" i="12"/>
  <c r="I84" i="4" s="1"/>
  <c r="AL13" i="12"/>
  <c r="AI13" i="12"/>
  <c r="S13" i="12"/>
  <c r="J83" i="4" s="1"/>
  <c r="A83" i="4" s="1"/>
  <c r="M13" i="12"/>
  <c r="I83" i="4" s="1"/>
  <c r="AL12" i="12"/>
  <c r="AI12" i="12"/>
  <c r="S12" i="12"/>
  <c r="J82" i="4" s="1"/>
  <c r="A82" i="4" s="1"/>
  <c r="M12" i="12"/>
  <c r="I82" i="4" s="1"/>
  <c r="AL11" i="12"/>
  <c r="AI11" i="12"/>
  <c r="S11" i="12"/>
  <c r="J81" i="4" s="1"/>
  <c r="M11" i="12"/>
  <c r="I81" i="4" s="1"/>
  <c r="AL10" i="12"/>
  <c r="AI10" i="12"/>
  <c r="S10" i="12"/>
  <c r="J80" i="4" s="1"/>
  <c r="M10" i="12"/>
  <c r="I80" i="4" s="1"/>
  <c r="AL9" i="12"/>
  <c r="AI9" i="12"/>
  <c r="S9" i="12"/>
  <c r="J79" i="4" s="1"/>
  <c r="M9" i="12"/>
  <c r="I79" i="4" s="1"/>
  <c r="AL8" i="12"/>
  <c r="AI8" i="12"/>
  <c r="S8" i="12"/>
  <c r="J78" i="4" s="1"/>
  <c r="M8" i="12"/>
  <c r="I78" i="4" s="1"/>
  <c r="K3" i="12"/>
  <c r="I3" i="12"/>
  <c r="G3" i="12"/>
  <c r="E3" i="12"/>
  <c r="C3" i="12"/>
  <c r="A3" i="12"/>
  <c r="R1" i="12"/>
  <c r="C65" i="11"/>
  <c r="C67" i="11" s="1"/>
  <c r="C64" i="11"/>
  <c r="C59" i="11"/>
  <c r="C58" i="11"/>
  <c r="E10" i="41" s="1"/>
  <c r="H10" i="41" s="1"/>
  <c r="C57" i="11"/>
  <c r="C56" i="11"/>
  <c r="C55" i="11"/>
  <c r="F10" i="41" s="1"/>
  <c r="C54" i="11"/>
  <c r="G50" i="11"/>
  <c r="E48" i="11"/>
  <c r="C48" i="11"/>
  <c r="G48" i="11" s="1"/>
  <c r="V5" i="7" s="1"/>
  <c r="E47" i="11"/>
  <c r="E49" i="11" s="1"/>
  <c r="C47" i="11"/>
  <c r="E46" i="11"/>
  <c r="C46" i="11"/>
  <c r="G46" i="11" s="1"/>
  <c r="J16" i="7" s="1"/>
  <c r="AL42" i="11"/>
  <c r="AI42" i="11"/>
  <c r="S42" i="11"/>
  <c r="J77" i="4" s="1"/>
  <c r="M42" i="11"/>
  <c r="I77" i="4" s="1"/>
  <c r="AL41" i="11"/>
  <c r="AI41" i="11"/>
  <c r="S41" i="11"/>
  <c r="J76" i="4" s="1"/>
  <c r="M41" i="11"/>
  <c r="I76" i="4" s="1"/>
  <c r="AL40" i="11"/>
  <c r="AI40" i="11"/>
  <c r="S40" i="11"/>
  <c r="J75" i="4" s="1"/>
  <c r="M40" i="11"/>
  <c r="I75" i="4" s="1"/>
  <c r="AL39" i="11"/>
  <c r="AI39" i="11"/>
  <c r="S39" i="11"/>
  <c r="J74" i="4" s="1"/>
  <c r="M39" i="11"/>
  <c r="I74" i="4" s="1"/>
  <c r="AL38" i="11"/>
  <c r="AI38" i="11"/>
  <c r="S38" i="11"/>
  <c r="J73" i="4" s="1"/>
  <c r="M38" i="11"/>
  <c r="I73" i="4" s="1"/>
  <c r="AL37" i="11"/>
  <c r="AI37" i="11"/>
  <c r="S37" i="11"/>
  <c r="J72" i="4" s="1"/>
  <c r="M37" i="11"/>
  <c r="I72" i="4" s="1"/>
  <c r="AL36" i="11"/>
  <c r="AI36" i="11"/>
  <c r="S36" i="11"/>
  <c r="J71" i="4" s="1"/>
  <c r="M36" i="11"/>
  <c r="I71" i="4" s="1"/>
  <c r="AL35" i="11"/>
  <c r="AI35" i="11"/>
  <c r="S35" i="11"/>
  <c r="J70" i="4" s="1"/>
  <c r="M35" i="11"/>
  <c r="I70" i="4" s="1"/>
  <c r="AL34" i="11"/>
  <c r="AI34" i="11"/>
  <c r="S34" i="11"/>
  <c r="J69" i="4" s="1"/>
  <c r="M34" i="11"/>
  <c r="I69" i="4" s="1"/>
  <c r="AL33" i="11"/>
  <c r="AI33" i="11"/>
  <c r="S33" i="11"/>
  <c r="J68" i="4" s="1"/>
  <c r="M33" i="11"/>
  <c r="I68" i="4" s="1"/>
  <c r="AL32" i="11"/>
  <c r="AI32" i="11"/>
  <c r="S32" i="11"/>
  <c r="J67" i="4" s="1"/>
  <c r="M32" i="11"/>
  <c r="I67" i="4" s="1"/>
  <c r="AL31" i="11"/>
  <c r="AI31" i="11"/>
  <c r="S31" i="11"/>
  <c r="J66" i="4" s="1"/>
  <c r="M31" i="11"/>
  <c r="I66" i="4" s="1"/>
  <c r="AL30" i="11"/>
  <c r="AI30" i="11"/>
  <c r="S30" i="11"/>
  <c r="J65" i="4" s="1"/>
  <c r="M30" i="11"/>
  <c r="I65" i="4" s="1"/>
  <c r="AL29" i="11"/>
  <c r="AI29" i="11"/>
  <c r="S29" i="11"/>
  <c r="J64" i="4" s="1"/>
  <c r="M29" i="11"/>
  <c r="I64" i="4" s="1"/>
  <c r="AL28" i="11"/>
  <c r="AI28" i="11"/>
  <c r="S28" i="11"/>
  <c r="J63" i="4" s="1"/>
  <c r="M28" i="11"/>
  <c r="I63" i="4" s="1"/>
  <c r="AL27" i="11"/>
  <c r="AI27" i="11"/>
  <c r="S27" i="11"/>
  <c r="J62" i="4" s="1"/>
  <c r="M27" i="11"/>
  <c r="I62" i="4" s="1"/>
  <c r="AL26" i="11"/>
  <c r="AI26" i="11"/>
  <c r="S26" i="11"/>
  <c r="J61" i="4" s="1"/>
  <c r="M26" i="11"/>
  <c r="I61" i="4" s="1"/>
  <c r="AL25" i="11"/>
  <c r="AI25" i="11"/>
  <c r="S25" i="11"/>
  <c r="J60" i="4" s="1"/>
  <c r="M25" i="11"/>
  <c r="I60" i="4" s="1"/>
  <c r="AL24" i="11"/>
  <c r="AI24" i="11"/>
  <c r="S24" i="11"/>
  <c r="J59" i="4" s="1"/>
  <c r="M24" i="11"/>
  <c r="I59" i="4" s="1"/>
  <c r="AL23" i="11"/>
  <c r="AI23" i="11"/>
  <c r="S23" i="11"/>
  <c r="J58" i="4" s="1"/>
  <c r="M23" i="11"/>
  <c r="I58" i="4" s="1"/>
  <c r="AL22" i="11"/>
  <c r="AI22" i="11"/>
  <c r="S22" i="11"/>
  <c r="J57" i="4" s="1"/>
  <c r="M22" i="11"/>
  <c r="I57" i="4" s="1"/>
  <c r="AL21" i="11"/>
  <c r="AI21" i="11"/>
  <c r="S21" i="11"/>
  <c r="J56" i="4" s="1"/>
  <c r="M21" i="11"/>
  <c r="I56" i="4" s="1"/>
  <c r="AL20" i="11"/>
  <c r="AI20" i="11"/>
  <c r="S20" i="11"/>
  <c r="J55" i="4" s="1"/>
  <c r="M20" i="11"/>
  <c r="I55" i="4" s="1"/>
  <c r="AL19" i="11"/>
  <c r="AI19" i="11"/>
  <c r="S19" i="11"/>
  <c r="J54" i="4" s="1"/>
  <c r="M19" i="11"/>
  <c r="I54" i="4" s="1"/>
  <c r="AL18" i="11"/>
  <c r="AK18" i="11"/>
  <c r="AJ18" i="11"/>
  <c r="AI18" i="11"/>
  <c r="AP18" i="11" s="1"/>
  <c r="S18" i="11"/>
  <c r="J53" i="4" s="1"/>
  <c r="M18" i="11"/>
  <c r="I53" i="4" s="1"/>
  <c r="AL17" i="11"/>
  <c r="AI17" i="11"/>
  <c r="S17" i="11"/>
  <c r="J52" i="4" s="1"/>
  <c r="M17" i="11"/>
  <c r="I52" i="4" s="1"/>
  <c r="AL16" i="11"/>
  <c r="AI16" i="11"/>
  <c r="S16" i="11"/>
  <c r="J51" i="4" s="1"/>
  <c r="M16" i="11"/>
  <c r="I51" i="4" s="1"/>
  <c r="AL15" i="11"/>
  <c r="AI15" i="11"/>
  <c r="S15" i="11"/>
  <c r="J50" i="4" s="1"/>
  <c r="M15" i="11"/>
  <c r="I50" i="4" s="1"/>
  <c r="AL14" i="11"/>
  <c r="AI14" i="11"/>
  <c r="S14" i="11"/>
  <c r="J49" i="4" s="1"/>
  <c r="M14" i="11"/>
  <c r="I49" i="4" s="1"/>
  <c r="AL13" i="11"/>
  <c r="AI13" i="11"/>
  <c r="S13" i="11"/>
  <c r="J48" i="4" s="1"/>
  <c r="M13" i="11"/>
  <c r="I48" i="4" s="1"/>
  <c r="AL12" i="11"/>
  <c r="AI12" i="11"/>
  <c r="S12" i="11"/>
  <c r="J47" i="4" s="1"/>
  <c r="M12" i="11"/>
  <c r="I47" i="4" s="1"/>
  <c r="AL11" i="11"/>
  <c r="AJ11" i="11"/>
  <c r="AI11" i="11"/>
  <c r="S11" i="11"/>
  <c r="J46" i="4" s="1"/>
  <c r="M11" i="11"/>
  <c r="I46" i="4" s="1"/>
  <c r="AL10" i="11"/>
  <c r="AI10" i="11"/>
  <c r="S10" i="11"/>
  <c r="J45" i="4" s="1"/>
  <c r="M10" i="11"/>
  <c r="I45" i="4" s="1"/>
  <c r="AL9" i="11"/>
  <c r="AI9" i="11"/>
  <c r="S9" i="11"/>
  <c r="J44" i="4" s="1"/>
  <c r="M9" i="11"/>
  <c r="I44" i="4" s="1"/>
  <c r="AL8" i="11"/>
  <c r="AI8" i="11"/>
  <c r="S8" i="11"/>
  <c r="J43" i="4" s="1"/>
  <c r="M8" i="11"/>
  <c r="I43" i="4" s="1"/>
  <c r="K3" i="11"/>
  <c r="I3" i="11"/>
  <c r="G3" i="11"/>
  <c r="E3" i="11"/>
  <c r="C3" i="11"/>
  <c r="A3" i="11"/>
  <c r="R1" i="11"/>
  <c r="C65" i="10"/>
  <c r="C67" i="10" s="1"/>
  <c r="C64" i="10"/>
  <c r="C59" i="10"/>
  <c r="C58" i="10"/>
  <c r="E9" i="41" s="1"/>
  <c r="C57" i="10"/>
  <c r="C56" i="10"/>
  <c r="C55" i="10"/>
  <c r="F9" i="41" s="1"/>
  <c r="C54" i="10"/>
  <c r="G50" i="10"/>
  <c r="E48" i="10"/>
  <c r="C48" i="10"/>
  <c r="G48" i="10" s="1"/>
  <c r="V4" i="7" s="1"/>
  <c r="E47" i="10"/>
  <c r="E49" i="10" s="1"/>
  <c r="C47" i="10"/>
  <c r="E46" i="10"/>
  <c r="B37" i="3" s="1"/>
  <c r="D9" i="3" s="1"/>
  <c r="C46" i="10"/>
  <c r="AL42" i="10"/>
  <c r="AI42" i="10"/>
  <c r="S42" i="10"/>
  <c r="J42" i="4" s="1"/>
  <c r="M42" i="10"/>
  <c r="I42" i="4" s="1"/>
  <c r="AL41" i="10"/>
  <c r="AI41" i="10"/>
  <c r="S41" i="10"/>
  <c r="J41" i="4" s="1"/>
  <c r="M41" i="10"/>
  <c r="I41" i="4" s="1"/>
  <c r="AL40" i="10"/>
  <c r="AI40" i="10"/>
  <c r="S40" i="10"/>
  <c r="J40" i="4" s="1"/>
  <c r="M40" i="10"/>
  <c r="I40" i="4" s="1"/>
  <c r="AL39" i="10"/>
  <c r="AI39" i="10"/>
  <c r="S39" i="10"/>
  <c r="J39" i="4" s="1"/>
  <c r="M39" i="10"/>
  <c r="I39" i="4" s="1"/>
  <c r="AL38" i="10"/>
  <c r="AI38" i="10"/>
  <c r="S38" i="10"/>
  <c r="J38" i="4" s="1"/>
  <c r="M38" i="10"/>
  <c r="I38" i="4" s="1"/>
  <c r="AL37" i="10"/>
  <c r="AI37" i="10"/>
  <c r="S37" i="10"/>
  <c r="J37" i="4" s="1"/>
  <c r="M37" i="10"/>
  <c r="I37" i="4" s="1"/>
  <c r="AL36" i="10"/>
  <c r="AI36" i="10"/>
  <c r="S36" i="10"/>
  <c r="J36" i="4" s="1"/>
  <c r="M36" i="10"/>
  <c r="I36" i="4" s="1"/>
  <c r="AL35" i="10"/>
  <c r="AI35" i="10"/>
  <c r="S35" i="10"/>
  <c r="J35" i="4" s="1"/>
  <c r="M35" i="10"/>
  <c r="I35" i="4" s="1"/>
  <c r="AL34" i="10"/>
  <c r="AI34" i="10"/>
  <c r="S34" i="10"/>
  <c r="J34" i="4" s="1"/>
  <c r="M34" i="10"/>
  <c r="I34" i="4" s="1"/>
  <c r="AL33" i="10"/>
  <c r="AI33" i="10"/>
  <c r="S33" i="10"/>
  <c r="J33" i="4" s="1"/>
  <c r="M33" i="10"/>
  <c r="I33" i="4" s="1"/>
  <c r="AL32" i="10"/>
  <c r="AI32" i="10"/>
  <c r="S32" i="10"/>
  <c r="J32" i="4" s="1"/>
  <c r="M32" i="10"/>
  <c r="I32" i="4" s="1"/>
  <c r="AL31" i="10"/>
  <c r="AI31" i="10"/>
  <c r="S31" i="10"/>
  <c r="J31" i="4" s="1"/>
  <c r="M31" i="10"/>
  <c r="I31" i="4" s="1"/>
  <c r="AL30" i="10"/>
  <c r="AI30" i="10"/>
  <c r="S30" i="10"/>
  <c r="J30" i="4" s="1"/>
  <c r="M30" i="10"/>
  <c r="I30" i="4" s="1"/>
  <c r="AL29" i="10"/>
  <c r="AI29" i="10"/>
  <c r="S29" i="10"/>
  <c r="J29" i="4" s="1"/>
  <c r="M29" i="10"/>
  <c r="I29" i="4" s="1"/>
  <c r="AL28" i="10"/>
  <c r="AI28" i="10"/>
  <c r="S28" i="10"/>
  <c r="J28" i="4" s="1"/>
  <c r="M28" i="10"/>
  <c r="I28" i="4" s="1"/>
  <c r="AL27" i="10"/>
  <c r="AI27" i="10"/>
  <c r="S27" i="10"/>
  <c r="J27" i="4" s="1"/>
  <c r="M27" i="10"/>
  <c r="I27" i="4" s="1"/>
  <c r="AL26" i="10"/>
  <c r="AI26" i="10"/>
  <c r="S26" i="10"/>
  <c r="J26" i="4" s="1"/>
  <c r="M26" i="10"/>
  <c r="I26" i="4" s="1"/>
  <c r="AL25" i="10"/>
  <c r="AI25" i="10"/>
  <c r="S25" i="10"/>
  <c r="J25" i="4" s="1"/>
  <c r="M25" i="10"/>
  <c r="I25" i="4" s="1"/>
  <c r="AL24" i="10"/>
  <c r="AI24" i="10"/>
  <c r="S24" i="10"/>
  <c r="J24" i="4" s="1"/>
  <c r="M24" i="10"/>
  <c r="I24" i="4" s="1"/>
  <c r="AL23" i="10"/>
  <c r="AI23" i="10"/>
  <c r="S23" i="10"/>
  <c r="J23" i="4" s="1"/>
  <c r="M23" i="10"/>
  <c r="I23" i="4" s="1"/>
  <c r="AL22" i="10"/>
  <c r="AI22" i="10"/>
  <c r="S22" i="10"/>
  <c r="J22" i="4" s="1"/>
  <c r="M22" i="10"/>
  <c r="I22" i="4" s="1"/>
  <c r="AL21" i="10"/>
  <c r="AI21" i="10"/>
  <c r="S21" i="10"/>
  <c r="J21" i="4" s="1"/>
  <c r="M21" i="10"/>
  <c r="I21" i="4" s="1"/>
  <c r="AL20" i="10"/>
  <c r="AI20" i="10"/>
  <c r="S20" i="10"/>
  <c r="J20" i="4" s="1"/>
  <c r="M20" i="10"/>
  <c r="I20" i="4" s="1"/>
  <c r="AL19" i="10"/>
  <c r="AI19" i="10"/>
  <c r="S19" i="10"/>
  <c r="J19" i="4" s="1"/>
  <c r="M19" i="10"/>
  <c r="I19" i="4" s="1"/>
  <c r="AL18" i="10"/>
  <c r="AI18" i="10"/>
  <c r="S18" i="10"/>
  <c r="J18" i="4" s="1"/>
  <c r="M18" i="10"/>
  <c r="I18" i="4" s="1"/>
  <c r="AL17" i="10"/>
  <c r="AI17" i="10"/>
  <c r="S17" i="10"/>
  <c r="J17" i="4" s="1"/>
  <c r="M17" i="10"/>
  <c r="I17" i="4" s="1"/>
  <c r="AL16" i="10"/>
  <c r="AI16" i="10"/>
  <c r="S16" i="10"/>
  <c r="J16" i="4" s="1"/>
  <c r="M16" i="10"/>
  <c r="I16" i="4" s="1"/>
  <c r="AL15" i="10"/>
  <c r="AI15" i="10"/>
  <c r="S15" i="10"/>
  <c r="J15" i="4" s="1"/>
  <c r="M15" i="10"/>
  <c r="I15" i="4" s="1"/>
  <c r="AL14" i="10"/>
  <c r="AI14" i="10"/>
  <c r="S14" i="10"/>
  <c r="J14" i="4" s="1"/>
  <c r="M14" i="10"/>
  <c r="I14" i="4" s="1"/>
  <c r="AL13" i="10"/>
  <c r="AI13" i="10"/>
  <c r="S13" i="10"/>
  <c r="J13" i="4" s="1"/>
  <c r="M13" i="10"/>
  <c r="I13" i="4" s="1"/>
  <c r="AL12" i="10"/>
  <c r="AI12" i="10"/>
  <c r="S12" i="10"/>
  <c r="J12" i="4" s="1"/>
  <c r="M12" i="10"/>
  <c r="I12" i="4" s="1"/>
  <c r="AL11" i="10"/>
  <c r="AI11" i="10"/>
  <c r="S11" i="10"/>
  <c r="J11" i="4" s="1"/>
  <c r="M11" i="10"/>
  <c r="I11" i="4" s="1"/>
  <c r="AL10" i="10"/>
  <c r="AI10" i="10"/>
  <c r="S10" i="10"/>
  <c r="J10" i="4" s="1"/>
  <c r="M10" i="10"/>
  <c r="I10" i="4" s="1"/>
  <c r="AL9" i="10"/>
  <c r="AI9" i="10"/>
  <c r="S9" i="10"/>
  <c r="J9" i="4" s="1"/>
  <c r="M9" i="10"/>
  <c r="I9" i="4" s="1"/>
  <c r="AL8" i="10"/>
  <c r="AI8" i="10"/>
  <c r="S8" i="10"/>
  <c r="J8" i="4" s="1"/>
  <c r="M8" i="10"/>
  <c r="I8" i="4" s="1"/>
  <c r="K3" i="10"/>
  <c r="I3" i="10"/>
  <c r="G3" i="10"/>
  <c r="E3" i="10"/>
  <c r="C3" i="10"/>
  <c r="A3" i="10"/>
  <c r="R1" i="10"/>
  <c r="F1" i="9"/>
  <c r="V37" i="8"/>
  <c r="U37" i="8"/>
  <c r="T37" i="8"/>
  <c r="S37" i="8"/>
  <c r="R37" i="8"/>
  <c r="Q37" i="8"/>
  <c r="V36" i="8"/>
  <c r="U36" i="8"/>
  <c r="T36" i="8"/>
  <c r="S36" i="8"/>
  <c r="R36" i="8"/>
  <c r="Q36" i="8"/>
  <c r="V35" i="8"/>
  <c r="U35" i="8"/>
  <c r="T35" i="8"/>
  <c r="S35" i="8"/>
  <c r="R35" i="8"/>
  <c r="Q35" i="8"/>
  <c r="V34" i="8"/>
  <c r="U34" i="8"/>
  <c r="T34" i="8"/>
  <c r="S34" i="8"/>
  <c r="R34" i="8"/>
  <c r="Q34" i="8"/>
  <c r="V33" i="8"/>
  <c r="U33" i="8"/>
  <c r="T33" i="8"/>
  <c r="S33" i="8"/>
  <c r="R33" i="8"/>
  <c r="Q33" i="8"/>
  <c r="V32" i="8"/>
  <c r="U32" i="8"/>
  <c r="T32" i="8"/>
  <c r="S32" i="8"/>
  <c r="R32" i="8"/>
  <c r="Q32" i="8"/>
  <c r="V31" i="8"/>
  <c r="U31" i="8"/>
  <c r="T31" i="8"/>
  <c r="S31" i="8"/>
  <c r="R31" i="8"/>
  <c r="Q31" i="8"/>
  <c r="V30" i="8"/>
  <c r="U30" i="8"/>
  <c r="T30" i="8"/>
  <c r="S30" i="8"/>
  <c r="R30" i="8"/>
  <c r="Q30" i="8"/>
  <c r="V29" i="8"/>
  <c r="U29" i="8"/>
  <c r="T29" i="8"/>
  <c r="S29" i="8"/>
  <c r="R29" i="8"/>
  <c r="Q29" i="8"/>
  <c r="V28" i="8"/>
  <c r="U28" i="8"/>
  <c r="T28" i="8"/>
  <c r="S28" i="8"/>
  <c r="R28" i="8"/>
  <c r="Q28" i="8"/>
  <c r="V27" i="8"/>
  <c r="U27" i="8"/>
  <c r="T27" i="8"/>
  <c r="S27" i="8"/>
  <c r="R27" i="8"/>
  <c r="Q27" i="8"/>
  <c r="V26" i="8"/>
  <c r="U26" i="8"/>
  <c r="T26" i="8"/>
  <c r="S26" i="8"/>
  <c r="R26" i="8"/>
  <c r="Q26" i="8"/>
  <c r="V25" i="8"/>
  <c r="U25" i="8"/>
  <c r="T25" i="8"/>
  <c r="S25" i="8"/>
  <c r="R25" i="8"/>
  <c r="Q25" i="8"/>
  <c r="V24" i="8"/>
  <c r="U24" i="8"/>
  <c r="T24" i="8"/>
  <c r="S24" i="8"/>
  <c r="R24" i="8"/>
  <c r="Q24" i="8"/>
  <c r="V23" i="8"/>
  <c r="U23" i="8"/>
  <c r="T23" i="8"/>
  <c r="S23" i="8"/>
  <c r="R23" i="8"/>
  <c r="Q23" i="8"/>
  <c r="V22" i="8"/>
  <c r="U22" i="8"/>
  <c r="T22" i="8"/>
  <c r="S22" i="8"/>
  <c r="R22" i="8"/>
  <c r="Q22" i="8"/>
  <c r="A22" i="8"/>
  <c r="V21" i="8"/>
  <c r="U21" i="8"/>
  <c r="T21" i="8"/>
  <c r="S21" i="8"/>
  <c r="R21" i="8"/>
  <c r="Q21" i="8"/>
  <c r="V20" i="8"/>
  <c r="U20" i="8"/>
  <c r="T20" i="8"/>
  <c r="S20" i="8"/>
  <c r="R20" i="8"/>
  <c r="Q20" i="8"/>
  <c r="V19" i="8"/>
  <c r="U19" i="8"/>
  <c r="T19" i="8"/>
  <c r="S19" i="8"/>
  <c r="R19" i="8"/>
  <c r="Q19" i="8"/>
  <c r="V18" i="8"/>
  <c r="U18" i="8"/>
  <c r="T18" i="8"/>
  <c r="S18" i="8"/>
  <c r="R18" i="8"/>
  <c r="Q18" i="8"/>
  <c r="B18" i="8"/>
  <c r="V17" i="8"/>
  <c r="U17" i="8"/>
  <c r="T17" i="8"/>
  <c r="S17" i="8"/>
  <c r="R17" i="8"/>
  <c r="Q17" i="8"/>
  <c r="V16" i="8"/>
  <c r="U16" i="8"/>
  <c r="T16" i="8"/>
  <c r="S16" i="8"/>
  <c r="R16" i="8"/>
  <c r="Q16" i="8"/>
  <c r="V15" i="8"/>
  <c r="U15" i="8"/>
  <c r="T15" i="8"/>
  <c r="S15" i="8"/>
  <c r="R15" i="8"/>
  <c r="Q15" i="8"/>
  <c r="V14" i="8"/>
  <c r="U14" i="8"/>
  <c r="T14" i="8"/>
  <c r="S14" i="8"/>
  <c r="R14" i="8"/>
  <c r="Q14" i="8"/>
  <c r="V13" i="8"/>
  <c r="U13" i="8"/>
  <c r="T13" i="8"/>
  <c r="S13" i="8"/>
  <c r="R13" i="8"/>
  <c r="Q13" i="8"/>
  <c r="B13" i="8"/>
  <c r="V12" i="8"/>
  <c r="U12" i="8"/>
  <c r="T12" i="8"/>
  <c r="S12" i="8"/>
  <c r="R12" i="8"/>
  <c r="Q12" i="8"/>
  <c r="H12" i="8"/>
  <c r="E12" i="8"/>
  <c r="V11" i="8"/>
  <c r="U11" i="8"/>
  <c r="T11" i="8"/>
  <c r="S11" i="8"/>
  <c r="R11" i="8"/>
  <c r="Q11" i="8"/>
  <c r="H11" i="8"/>
  <c r="E11" i="8"/>
  <c r="B11" i="8"/>
  <c r="V10" i="8"/>
  <c r="U10" i="8"/>
  <c r="T10" i="8"/>
  <c r="S10" i="8"/>
  <c r="R10" i="8"/>
  <c r="Q10" i="8"/>
  <c r="H10" i="8"/>
  <c r="E10" i="8"/>
  <c r="B10" i="8"/>
  <c r="V9" i="8"/>
  <c r="U9" i="8"/>
  <c r="T9" i="8"/>
  <c r="S9" i="8"/>
  <c r="R9" i="8"/>
  <c r="Q9" i="8"/>
  <c r="V8" i="8"/>
  <c r="U8" i="8"/>
  <c r="T8" i="8"/>
  <c r="S8" i="8"/>
  <c r="R8" i="8"/>
  <c r="Q8" i="8"/>
  <c r="B8" i="8"/>
  <c r="V7" i="8"/>
  <c r="U7" i="8"/>
  <c r="T7" i="8"/>
  <c r="S7" i="8"/>
  <c r="R7" i="8"/>
  <c r="Q7" i="8"/>
  <c r="A2" i="8"/>
  <c r="BI45" i="7"/>
  <c r="BH45" i="7"/>
  <c r="BG45" i="7"/>
  <c r="BF45" i="7"/>
  <c r="BE45" i="7"/>
  <c r="BD45" i="7"/>
  <c r="BC45" i="7"/>
  <c r="BB45" i="7"/>
  <c r="BA45" i="7"/>
  <c r="AZ45" i="7"/>
  <c r="AY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K45" i="7"/>
  <c r="AJ45" i="7"/>
  <c r="AI45" i="7"/>
  <c r="AH45" i="7"/>
  <c r="AG45" i="7"/>
  <c r="AF45" i="7"/>
  <c r="AE45" i="7"/>
  <c r="BK45" i="7" s="1"/>
  <c r="P32" i="7" s="1"/>
  <c r="BI44" i="7"/>
  <c r="BH44" i="7"/>
  <c r="BG44" i="7"/>
  <c r="BF44" i="7"/>
  <c r="BE44" i="7"/>
  <c r="BD44" i="7"/>
  <c r="BC44" i="7"/>
  <c r="BB44" i="7"/>
  <c r="BA44" i="7"/>
  <c r="AZ44" i="7"/>
  <c r="AY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K44" i="7"/>
  <c r="AJ44" i="7"/>
  <c r="AI44" i="7"/>
  <c r="AH44" i="7"/>
  <c r="AG44" i="7"/>
  <c r="AF44" i="7"/>
  <c r="AE44" i="7"/>
  <c r="BK44" i="7" s="1"/>
  <c r="P31" i="7" s="1"/>
  <c r="BI43" i="7"/>
  <c r="BH43" i="7"/>
  <c r="BG43" i="7"/>
  <c r="BF43" i="7"/>
  <c r="BE43" i="7"/>
  <c r="BD43" i="7"/>
  <c r="BC43" i="7"/>
  <c r="BB43" i="7"/>
  <c r="BA43" i="7"/>
  <c r="AZ43" i="7"/>
  <c r="AY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K43" i="7"/>
  <c r="AJ43" i="7"/>
  <c r="AI43" i="7"/>
  <c r="AH43" i="7"/>
  <c r="AG43" i="7"/>
  <c r="AF43" i="7"/>
  <c r="AE43" i="7"/>
  <c r="BK43" i="7" s="1"/>
  <c r="P30" i="7" s="1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BK42" i="7" s="1"/>
  <c r="P29" i="7" s="1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BK41" i="7" s="1"/>
  <c r="AB34" i="7"/>
  <c r="AA34" i="7"/>
  <c r="Z34" i="7"/>
  <c r="Y34" i="7"/>
  <c r="X34" i="7"/>
  <c r="W34" i="7"/>
  <c r="AB33" i="7"/>
  <c r="AA33" i="7"/>
  <c r="Z33" i="7"/>
  <c r="Y33" i="7"/>
  <c r="X33" i="7"/>
  <c r="W33" i="7"/>
  <c r="AB32" i="7"/>
  <c r="AA32" i="7"/>
  <c r="Z32" i="7"/>
  <c r="Y32" i="7"/>
  <c r="X32" i="7"/>
  <c r="W32" i="7"/>
  <c r="N32" i="7"/>
  <c r="AB31" i="7"/>
  <c r="AA31" i="7"/>
  <c r="Z31" i="7"/>
  <c r="Y31" i="7"/>
  <c r="X31" i="7"/>
  <c r="W31" i="7"/>
  <c r="N31" i="7"/>
  <c r="AB30" i="7"/>
  <c r="AA30" i="7"/>
  <c r="Z30" i="7"/>
  <c r="Y30" i="7"/>
  <c r="X30" i="7"/>
  <c r="W30" i="7"/>
  <c r="N30" i="7"/>
  <c r="AB29" i="7"/>
  <c r="AA29" i="7"/>
  <c r="Z29" i="7"/>
  <c r="Y29" i="7"/>
  <c r="X29" i="7"/>
  <c r="W29" i="7"/>
  <c r="N29" i="7"/>
  <c r="AB28" i="7"/>
  <c r="AA28" i="7"/>
  <c r="Z28" i="7"/>
  <c r="Y28" i="7"/>
  <c r="X28" i="7"/>
  <c r="W28" i="7"/>
  <c r="N28" i="7"/>
  <c r="AB27" i="7"/>
  <c r="AA27" i="7"/>
  <c r="Z27" i="7"/>
  <c r="Y27" i="7"/>
  <c r="X27" i="7"/>
  <c r="W27" i="7"/>
  <c r="AB26" i="7"/>
  <c r="AA26" i="7"/>
  <c r="Z26" i="7"/>
  <c r="Y26" i="7"/>
  <c r="X26" i="7"/>
  <c r="W26" i="7"/>
  <c r="AB25" i="7"/>
  <c r="AA25" i="7"/>
  <c r="Z25" i="7"/>
  <c r="Y25" i="7"/>
  <c r="X25" i="7"/>
  <c r="W25" i="7"/>
  <c r="AB24" i="7"/>
  <c r="AA24" i="7"/>
  <c r="Z24" i="7"/>
  <c r="Y24" i="7"/>
  <c r="X24" i="7"/>
  <c r="W24" i="7"/>
  <c r="AB23" i="7"/>
  <c r="AA23" i="7"/>
  <c r="Z23" i="7"/>
  <c r="Y23" i="7"/>
  <c r="X23" i="7"/>
  <c r="W23" i="7"/>
  <c r="L23" i="7"/>
  <c r="J23" i="7"/>
  <c r="H23" i="7"/>
  <c r="F23" i="7"/>
  <c r="D23" i="7"/>
  <c r="B23" i="7"/>
  <c r="AB22" i="7"/>
  <c r="AA22" i="7"/>
  <c r="Z22" i="7"/>
  <c r="AB21" i="7"/>
  <c r="AA21" i="7"/>
  <c r="Z21" i="7"/>
  <c r="Y21" i="7"/>
  <c r="X21" i="7"/>
  <c r="W21" i="7"/>
  <c r="N21" i="7"/>
  <c r="L21" i="7"/>
  <c r="J21" i="7"/>
  <c r="H21" i="7"/>
  <c r="F21" i="7"/>
  <c r="D21" i="7"/>
  <c r="B21" i="7"/>
  <c r="AB20" i="7"/>
  <c r="AA20" i="7"/>
  <c r="Z20" i="7"/>
  <c r="Y20" i="7"/>
  <c r="X20" i="7"/>
  <c r="W20" i="7"/>
  <c r="AB19" i="7"/>
  <c r="AA19" i="7"/>
  <c r="Z19" i="7"/>
  <c r="Y19" i="7"/>
  <c r="X19" i="7"/>
  <c r="W19" i="7"/>
  <c r="N19" i="7"/>
  <c r="L19" i="7"/>
  <c r="J19" i="7"/>
  <c r="H19" i="7"/>
  <c r="F19" i="7"/>
  <c r="D19" i="7"/>
  <c r="B19" i="7"/>
  <c r="AB18" i="7"/>
  <c r="AA18" i="7"/>
  <c r="Z18" i="7"/>
  <c r="Y18" i="7"/>
  <c r="X18" i="7"/>
  <c r="W18" i="7"/>
  <c r="AB17" i="7"/>
  <c r="AA17" i="7"/>
  <c r="Z17" i="7"/>
  <c r="Y17" i="7"/>
  <c r="X17" i="7"/>
  <c r="W17" i="7"/>
  <c r="N17" i="7"/>
  <c r="L17" i="7"/>
  <c r="J17" i="7"/>
  <c r="H17" i="7"/>
  <c r="F17" i="7"/>
  <c r="D17" i="7"/>
  <c r="B17" i="7"/>
  <c r="AB16" i="7"/>
  <c r="AA16" i="7"/>
  <c r="Z16" i="7"/>
  <c r="Y16" i="7"/>
  <c r="X16" i="7"/>
  <c r="W16" i="7"/>
  <c r="AB15" i="7"/>
  <c r="AA15" i="7"/>
  <c r="Z15" i="7"/>
  <c r="Y15" i="7"/>
  <c r="X15" i="7"/>
  <c r="W15" i="7"/>
  <c r="N15" i="7"/>
  <c r="L15" i="7"/>
  <c r="J15" i="7"/>
  <c r="H15" i="7"/>
  <c r="AB14" i="7"/>
  <c r="AA14" i="7"/>
  <c r="Z14" i="7"/>
  <c r="Y14" i="7"/>
  <c r="X14" i="7"/>
  <c r="W14" i="7"/>
  <c r="AB13" i="7"/>
  <c r="AA13" i="7"/>
  <c r="Z13" i="7"/>
  <c r="Y13" i="7"/>
  <c r="X13" i="7"/>
  <c r="W13" i="7"/>
  <c r="AB12" i="7"/>
  <c r="AA12" i="7"/>
  <c r="Z12" i="7"/>
  <c r="Y12" i="7"/>
  <c r="X12" i="7"/>
  <c r="W12" i="7"/>
  <c r="AB11" i="7"/>
  <c r="AA11" i="7"/>
  <c r="Z11" i="7"/>
  <c r="Y11" i="7"/>
  <c r="X11" i="7"/>
  <c r="W11" i="7"/>
  <c r="M11" i="7"/>
  <c r="I11" i="7"/>
  <c r="F11" i="7"/>
  <c r="D11" i="7"/>
  <c r="B11" i="7"/>
  <c r="AB10" i="7"/>
  <c r="AA10" i="7"/>
  <c r="Z10" i="7"/>
  <c r="Y10" i="7"/>
  <c r="X10" i="7"/>
  <c r="W10" i="7"/>
  <c r="AB9" i="7"/>
  <c r="AA9" i="7"/>
  <c r="Z9" i="7"/>
  <c r="Y9" i="7"/>
  <c r="X9" i="7"/>
  <c r="W9" i="7"/>
  <c r="AB8" i="7"/>
  <c r="AA8" i="7"/>
  <c r="Z8" i="7"/>
  <c r="Y8" i="7"/>
  <c r="X8" i="7"/>
  <c r="W8" i="7"/>
  <c r="AB7" i="7"/>
  <c r="AA7" i="7"/>
  <c r="Z7" i="7"/>
  <c r="Y7" i="7"/>
  <c r="X7" i="7"/>
  <c r="W7" i="7"/>
  <c r="AB6" i="7"/>
  <c r="AA6" i="7"/>
  <c r="Z6" i="7"/>
  <c r="Y6" i="7"/>
  <c r="X6" i="7"/>
  <c r="W6" i="7"/>
  <c r="BT5" i="7"/>
  <c r="AB5" i="7"/>
  <c r="AA5" i="7"/>
  <c r="Z5" i="7"/>
  <c r="Y5" i="7"/>
  <c r="X5" i="7"/>
  <c r="W5" i="7"/>
  <c r="BT4" i="7"/>
  <c r="E8" i="8" s="1"/>
  <c r="AB4" i="7"/>
  <c r="Q37" i="7" s="1"/>
  <c r="AA4" i="7"/>
  <c r="Q36" i="7" s="1"/>
  <c r="Z4" i="7"/>
  <c r="Q35" i="7" s="1"/>
  <c r="Y4" i="7"/>
  <c r="L7" i="7" s="1"/>
  <c r="X4" i="7"/>
  <c r="W4" i="7"/>
  <c r="N1" i="7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BE14" i="5" s="1"/>
  <c r="D17" i="5" s="1"/>
  <c r="AC33" i="5"/>
  <c r="AB33" i="5"/>
  <c r="AA33" i="5"/>
  <c r="Z33" i="5"/>
  <c r="Y33" i="5"/>
  <c r="X33" i="5"/>
  <c r="W33" i="5"/>
  <c r="V33" i="5"/>
  <c r="U33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BE7" i="5" s="1"/>
  <c r="D10" i="5" s="1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N23" i="5"/>
  <c r="B22" i="5"/>
  <c r="B21" i="5"/>
  <c r="B20" i="5"/>
  <c r="BE19" i="5"/>
  <c r="D22" i="5" s="1"/>
  <c r="BC19" i="5"/>
  <c r="J22" i="5" s="1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B19" i="5"/>
  <c r="BE18" i="5"/>
  <c r="D21" i="5" s="1"/>
  <c r="BC18" i="5"/>
  <c r="J21" i="5" s="1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B18" i="5"/>
  <c r="BE17" i="5"/>
  <c r="D20" i="5" s="1"/>
  <c r="BC17" i="5"/>
  <c r="J20" i="5" s="1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B17" i="5"/>
  <c r="BE16" i="5"/>
  <c r="D19" i="5" s="1"/>
  <c r="BC16" i="5"/>
  <c r="J19" i="5" s="1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B16" i="5"/>
  <c r="BE15" i="5"/>
  <c r="D18" i="5" s="1"/>
  <c r="BC15" i="5"/>
  <c r="J18" i="5" s="1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B15" i="5"/>
  <c r="BC14" i="5"/>
  <c r="J17" i="5" s="1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B14" i="5"/>
  <c r="BE13" i="5"/>
  <c r="D16" i="5" s="1"/>
  <c r="BC13" i="5"/>
  <c r="J16" i="5" s="1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B13" i="5"/>
  <c r="BE12" i="5"/>
  <c r="D15" i="5" s="1"/>
  <c r="BC12" i="5"/>
  <c r="J15" i="5" s="1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B12" i="5"/>
  <c r="BE11" i="5"/>
  <c r="D14" i="5" s="1"/>
  <c r="BC11" i="5"/>
  <c r="J14" i="5" s="1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J11" i="5"/>
  <c r="B11" i="5"/>
  <c r="BE10" i="5"/>
  <c r="D13" i="5" s="1"/>
  <c r="BC10" i="5"/>
  <c r="J13" i="5" s="1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J10" i="5"/>
  <c r="B10" i="5"/>
  <c r="BE9" i="5"/>
  <c r="D12" i="5" s="1"/>
  <c r="BC9" i="5"/>
  <c r="J12" i="5" s="1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D9" i="5"/>
  <c r="B9" i="5"/>
  <c r="BE8" i="5"/>
  <c r="D11" i="5" s="1"/>
  <c r="BD8" i="5"/>
  <c r="BC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BA8" i="5" s="1"/>
  <c r="I11" i="5" s="1"/>
  <c r="B8" i="5"/>
  <c r="BC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B7" i="5"/>
  <c r="BE6" i="5"/>
  <c r="BC6" i="5"/>
  <c r="J9" i="5" s="1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BH5" i="5"/>
  <c r="BE5" i="5"/>
  <c r="D8" i="5" s="1"/>
  <c r="BC5" i="5"/>
  <c r="J8" i="5" s="1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BH4" i="5"/>
  <c r="BE4" i="5"/>
  <c r="D7" i="5" s="1"/>
  <c r="D23" i="5" s="1"/>
  <c r="BC4" i="5"/>
  <c r="J7" i="5" s="1"/>
  <c r="J23" i="5" s="1"/>
  <c r="I29" i="5" s="1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N1" i="5"/>
  <c r="L1092" i="4"/>
  <c r="K1092" i="4"/>
  <c r="J1092" i="4"/>
  <c r="I1092" i="4"/>
  <c r="H1092" i="4"/>
  <c r="G1092" i="4"/>
  <c r="F1092" i="4"/>
  <c r="E1092" i="4"/>
  <c r="D1092" i="4"/>
  <c r="C1092" i="4"/>
  <c r="A1092" i="4"/>
  <c r="L1091" i="4"/>
  <c r="K1091" i="4"/>
  <c r="J1091" i="4"/>
  <c r="I1091" i="4"/>
  <c r="H1091" i="4"/>
  <c r="G1091" i="4"/>
  <c r="F1091" i="4"/>
  <c r="E1091" i="4"/>
  <c r="D1091" i="4"/>
  <c r="C1091" i="4"/>
  <c r="A1091" i="4"/>
  <c r="L1090" i="4"/>
  <c r="K1090" i="4"/>
  <c r="J1090" i="4"/>
  <c r="I1090" i="4"/>
  <c r="H1090" i="4"/>
  <c r="G1090" i="4"/>
  <c r="F1090" i="4"/>
  <c r="E1090" i="4"/>
  <c r="D1090" i="4"/>
  <c r="C1090" i="4"/>
  <c r="A1090" i="4"/>
  <c r="L1089" i="4"/>
  <c r="K1089" i="4"/>
  <c r="J1089" i="4"/>
  <c r="I1089" i="4"/>
  <c r="H1089" i="4"/>
  <c r="G1089" i="4"/>
  <c r="F1089" i="4"/>
  <c r="E1089" i="4"/>
  <c r="D1089" i="4"/>
  <c r="C1089" i="4"/>
  <c r="A1089" i="4"/>
  <c r="L1088" i="4"/>
  <c r="K1088" i="4"/>
  <c r="J1088" i="4"/>
  <c r="I1088" i="4"/>
  <c r="H1088" i="4"/>
  <c r="G1088" i="4"/>
  <c r="F1088" i="4"/>
  <c r="E1088" i="4"/>
  <c r="D1088" i="4"/>
  <c r="C1088" i="4"/>
  <c r="A1088" i="4"/>
  <c r="L1087" i="4"/>
  <c r="K1087" i="4"/>
  <c r="J1087" i="4"/>
  <c r="I1087" i="4"/>
  <c r="H1087" i="4"/>
  <c r="G1087" i="4"/>
  <c r="F1087" i="4"/>
  <c r="E1087" i="4"/>
  <c r="D1087" i="4"/>
  <c r="C1087" i="4"/>
  <c r="A1087" i="4"/>
  <c r="L1086" i="4"/>
  <c r="K1086" i="4"/>
  <c r="J1086" i="4"/>
  <c r="I1086" i="4"/>
  <c r="H1086" i="4"/>
  <c r="G1086" i="4"/>
  <c r="F1086" i="4"/>
  <c r="E1086" i="4"/>
  <c r="D1086" i="4"/>
  <c r="C1086" i="4"/>
  <c r="A1086" i="4" s="1"/>
  <c r="L1085" i="4"/>
  <c r="K1085" i="4"/>
  <c r="J1085" i="4"/>
  <c r="I1085" i="4"/>
  <c r="H1085" i="4"/>
  <c r="G1085" i="4"/>
  <c r="F1085" i="4"/>
  <c r="E1085" i="4"/>
  <c r="D1085" i="4"/>
  <c r="C1085" i="4"/>
  <c r="A1085" i="4" s="1"/>
  <c r="L1084" i="4"/>
  <c r="K1084" i="4"/>
  <c r="J1084" i="4"/>
  <c r="I1084" i="4"/>
  <c r="H1084" i="4"/>
  <c r="G1084" i="4"/>
  <c r="F1084" i="4"/>
  <c r="E1084" i="4"/>
  <c r="D1084" i="4"/>
  <c r="C1084" i="4"/>
  <c r="A1084" i="4" s="1"/>
  <c r="L1083" i="4"/>
  <c r="K1083" i="4"/>
  <c r="J1083" i="4"/>
  <c r="I1083" i="4"/>
  <c r="H1083" i="4"/>
  <c r="G1083" i="4"/>
  <c r="F1083" i="4"/>
  <c r="E1083" i="4"/>
  <c r="D1083" i="4"/>
  <c r="C1083" i="4"/>
  <c r="A1083" i="4"/>
  <c r="L1082" i="4"/>
  <c r="K1082" i="4"/>
  <c r="J1082" i="4"/>
  <c r="I1082" i="4"/>
  <c r="H1082" i="4"/>
  <c r="G1082" i="4"/>
  <c r="F1082" i="4"/>
  <c r="E1082" i="4"/>
  <c r="D1082" i="4"/>
  <c r="C1082" i="4"/>
  <c r="A1082" i="4" s="1"/>
  <c r="L1081" i="4"/>
  <c r="K1081" i="4"/>
  <c r="J1081" i="4"/>
  <c r="I1081" i="4"/>
  <c r="H1081" i="4"/>
  <c r="G1081" i="4"/>
  <c r="F1081" i="4"/>
  <c r="E1081" i="4"/>
  <c r="D1081" i="4"/>
  <c r="C1081" i="4"/>
  <c r="A1081" i="4" s="1"/>
  <c r="L1080" i="4"/>
  <c r="K1080" i="4"/>
  <c r="J1080" i="4"/>
  <c r="I1080" i="4"/>
  <c r="H1080" i="4"/>
  <c r="G1080" i="4"/>
  <c r="F1080" i="4"/>
  <c r="E1080" i="4"/>
  <c r="D1080" i="4"/>
  <c r="C1080" i="4"/>
  <c r="A1080" i="4" s="1"/>
  <c r="L1079" i="4"/>
  <c r="K1079" i="4"/>
  <c r="J1079" i="4"/>
  <c r="I1079" i="4"/>
  <c r="H1079" i="4"/>
  <c r="G1079" i="4"/>
  <c r="F1079" i="4"/>
  <c r="E1079" i="4"/>
  <c r="D1079" i="4"/>
  <c r="C1079" i="4"/>
  <c r="A1079" i="4"/>
  <c r="L1078" i="4"/>
  <c r="K1078" i="4"/>
  <c r="J1078" i="4"/>
  <c r="I1078" i="4"/>
  <c r="H1078" i="4"/>
  <c r="G1078" i="4"/>
  <c r="F1078" i="4"/>
  <c r="E1078" i="4"/>
  <c r="D1078" i="4"/>
  <c r="C1078" i="4"/>
  <c r="A1078" i="4" s="1"/>
  <c r="L1077" i="4"/>
  <c r="K1077" i="4"/>
  <c r="J1077" i="4"/>
  <c r="I1077" i="4"/>
  <c r="H1077" i="4"/>
  <c r="G1077" i="4"/>
  <c r="F1077" i="4"/>
  <c r="E1077" i="4"/>
  <c r="D1077" i="4"/>
  <c r="C1077" i="4"/>
  <c r="A1077" i="4" s="1"/>
  <c r="L1076" i="4"/>
  <c r="K1076" i="4"/>
  <c r="J1076" i="4"/>
  <c r="I1076" i="4"/>
  <c r="H1076" i="4"/>
  <c r="G1076" i="4"/>
  <c r="F1076" i="4"/>
  <c r="E1076" i="4"/>
  <c r="D1076" i="4"/>
  <c r="C1076" i="4"/>
  <c r="A1076" i="4"/>
  <c r="L1075" i="4"/>
  <c r="K1075" i="4"/>
  <c r="J1075" i="4"/>
  <c r="I1075" i="4"/>
  <c r="H1075" i="4"/>
  <c r="G1075" i="4"/>
  <c r="F1075" i="4"/>
  <c r="E1075" i="4"/>
  <c r="D1075" i="4"/>
  <c r="C1075" i="4"/>
  <c r="A1075" i="4" s="1"/>
  <c r="L1074" i="4"/>
  <c r="K1074" i="4"/>
  <c r="J1074" i="4"/>
  <c r="I1074" i="4"/>
  <c r="H1074" i="4"/>
  <c r="G1074" i="4"/>
  <c r="F1074" i="4"/>
  <c r="E1074" i="4"/>
  <c r="D1074" i="4"/>
  <c r="C1074" i="4"/>
  <c r="A1074" i="4" s="1"/>
  <c r="L1073" i="4"/>
  <c r="K1073" i="4"/>
  <c r="J1073" i="4"/>
  <c r="I1073" i="4"/>
  <c r="H1073" i="4"/>
  <c r="G1073" i="4"/>
  <c r="F1073" i="4"/>
  <c r="E1073" i="4"/>
  <c r="D1073" i="4"/>
  <c r="C1073" i="4"/>
  <c r="A1073" i="4" s="1"/>
  <c r="L1072" i="4"/>
  <c r="K1072" i="4"/>
  <c r="J1072" i="4"/>
  <c r="I1072" i="4"/>
  <c r="H1072" i="4"/>
  <c r="G1072" i="4"/>
  <c r="F1072" i="4"/>
  <c r="E1072" i="4"/>
  <c r="D1072" i="4"/>
  <c r="C1072" i="4"/>
  <c r="A1072" i="4"/>
  <c r="L1071" i="4"/>
  <c r="K1071" i="4"/>
  <c r="J1071" i="4"/>
  <c r="I1071" i="4"/>
  <c r="H1071" i="4"/>
  <c r="G1071" i="4"/>
  <c r="F1071" i="4"/>
  <c r="E1071" i="4"/>
  <c r="D1071" i="4"/>
  <c r="C1071" i="4"/>
  <c r="A1071" i="4"/>
  <c r="L1070" i="4"/>
  <c r="K1070" i="4"/>
  <c r="J1070" i="4"/>
  <c r="I1070" i="4"/>
  <c r="H1070" i="4"/>
  <c r="G1070" i="4"/>
  <c r="F1070" i="4"/>
  <c r="E1070" i="4"/>
  <c r="D1070" i="4"/>
  <c r="C1070" i="4"/>
  <c r="A1070" i="4" s="1"/>
  <c r="L1069" i="4"/>
  <c r="K1069" i="4"/>
  <c r="J1069" i="4"/>
  <c r="I1069" i="4"/>
  <c r="H1069" i="4"/>
  <c r="G1069" i="4"/>
  <c r="F1069" i="4"/>
  <c r="E1069" i="4"/>
  <c r="D1069" i="4"/>
  <c r="C1069" i="4"/>
  <c r="A1069" i="4" s="1"/>
  <c r="L1068" i="4"/>
  <c r="K1068" i="4"/>
  <c r="J1068" i="4"/>
  <c r="I1068" i="4"/>
  <c r="H1068" i="4"/>
  <c r="G1068" i="4"/>
  <c r="F1068" i="4"/>
  <c r="E1068" i="4"/>
  <c r="D1068" i="4"/>
  <c r="C1068" i="4"/>
  <c r="A1068" i="4" s="1"/>
  <c r="L1067" i="4"/>
  <c r="K1067" i="4"/>
  <c r="J1067" i="4"/>
  <c r="I1067" i="4"/>
  <c r="H1067" i="4"/>
  <c r="G1067" i="4"/>
  <c r="F1067" i="4"/>
  <c r="E1067" i="4"/>
  <c r="D1067" i="4"/>
  <c r="C1067" i="4"/>
  <c r="A1067" i="4" s="1"/>
  <c r="L1066" i="4"/>
  <c r="K1066" i="4"/>
  <c r="J1066" i="4"/>
  <c r="I1066" i="4"/>
  <c r="H1066" i="4"/>
  <c r="G1066" i="4"/>
  <c r="F1066" i="4"/>
  <c r="E1066" i="4"/>
  <c r="D1066" i="4"/>
  <c r="C1066" i="4"/>
  <c r="A1066" i="4" s="1"/>
  <c r="L1065" i="4"/>
  <c r="K1065" i="4"/>
  <c r="J1065" i="4"/>
  <c r="I1065" i="4"/>
  <c r="H1065" i="4"/>
  <c r="G1065" i="4"/>
  <c r="F1065" i="4"/>
  <c r="E1065" i="4"/>
  <c r="D1065" i="4"/>
  <c r="C1065" i="4"/>
  <c r="A1065" i="4" s="1"/>
  <c r="L1064" i="4"/>
  <c r="K1064" i="4"/>
  <c r="J1064" i="4"/>
  <c r="I1064" i="4"/>
  <c r="H1064" i="4"/>
  <c r="G1064" i="4"/>
  <c r="F1064" i="4"/>
  <c r="E1064" i="4"/>
  <c r="D1064" i="4"/>
  <c r="C1064" i="4"/>
  <c r="A1064" i="4" s="1"/>
  <c r="L1063" i="4"/>
  <c r="K1063" i="4"/>
  <c r="J1063" i="4"/>
  <c r="I1063" i="4"/>
  <c r="H1063" i="4"/>
  <c r="G1063" i="4"/>
  <c r="F1063" i="4"/>
  <c r="E1063" i="4"/>
  <c r="D1063" i="4"/>
  <c r="C1063" i="4"/>
  <c r="A1063" i="4" s="1"/>
  <c r="L1062" i="4"/>
  <c r="K1062" i="4"/>
  <c r="J1062" i="4"/>
  <c r="I1062" i="4"/>
  <c r="H1062" i="4"/>
  <c r="G1062" i="4"/>
  <c r="F1062" i="4"/>
  <c r="E1062" i="4"/>
  <c r="D1062" i="4"/>
  <c r="C1062" i="4"/>
  <c r="A1062" i="4" s="1"/>
  <c r="L1061" i="4"/>
  <c r="K1061" i="4"/>
  <c r="J1061" i="4"/>
  <c r="I1061" i="4"/>
  <c r="H1061" i="4"/>
  <c r="G1061" i="4"/>
  <c r="F1061" i="4"/>
  <c r="E1061" i="4"/>
  <c r="D1061" i="4"/>
  <c r="C1061" i="4"/>
  <c r="A1061" i="4"/>
  <c r="L1060" i="4"/>
  <c r="K1060" i="4"/>
  <c r="J1060" i="4"/>
  <c r="I1060" i="4"/>
  <c r="H1060" i="4"/>
  <c r="G1060" i="4"/>
  <c r="F1060" i="4"/>
  <c r="E1060" i="4"/>
  <c r="D1060" i="4"/>
  <c r="C1060" i="4"/>
  <c r="A1060" i="4"/>
  <c r="L1059" i="4"/>
  <c r="K1059" i="4"/>
  <c r="J1059" i="4"/>
  <c r="I1059" i="4"/>
  <c r="H1059" i="4"/>
  <c r="G1059" i="4"/>
  <c r="F1059" i="4"/>
  <c r="E1059" i="4"/>
  <c r="D1059" i="4"/>
  <c r="C1059" i="4"/>
  <c r="A1059" i="4" s="1"/>
  <c r="L1058" i="4"/>
  <c r="K1058" i="4"/>
  <c r="J1058" i="4"/>
  <c r="I1058" i="4"/>
  <c r="H1058" i="4"/>
  <c r="G1058" i="4"/>
  <c r="F1058" i="4"/>
  <c r="E1058" i="4"/>
  <c r="D1058" i="4"/>
  <c r="C1058" i="4"/>
  <c r="A1058" i="4" s="1"/>
  <c r="L1057" i="4"/>
  <c r="K1057" i="4"/>
  <c r="J1057" i="4"/>
  <c r="I1057" i="4"/>
  <c r="H1057" i="4"/>
  <c r="G1057" i="4"/>
  <c r="F1057" i="4"/>
  <c r="E1057" i="4"/>
  <c r="D1057" i="4"/>
  <c r="C1057" i="4"/>
  <c r="A1057" i="4" s="1"/>
  <c r="L1056" i="4"/>
  <c r="K1056" i="4"/>
  <c r="J1056" i="4"/>
  <c r="I1056" i="4"/>
  <c r="H1056" i="4"/>
  <c r="G1056" i="4"/>
  <c r="F1056" i="4"/>
  <c r="E1056" i="4"/>
  <c r="D1056" i="4"/>
  <c r="C1056" i="4"/>
  <c r="A1056" i="4"/>
  <c r="L1055" i="4"/>
  <c r="K1055" i="4"/>
  <c r="J1055" i="4"/>
  <c r="I1055" i="4"/>
  <c r="H1055" i="4"/>
  <c r="G1055" i="4"/>
  <c r="F1055" i="4"/>
  <c r="E1055" i="4"/>
  <c r="D1055" i="4"/>
  <c r="C1055" i="4"/>
  <c r="A1055" i="4" s="1"/>
  <c r="L1054" i="4"/>
  <c r="K1054" i="4"/>
  <c r="J1054" i="4"/>
  <c r="I1054" i="4"/>
  <c r="H1054" i="4"/>
  <c r="G1054" i="4"/>
  <c r="F1054" i="4"/>
  <c r="E1054" i="4"/>
  <c r="D1054" i="4"/>
  <c r="C1054" i="4"/>
  <c r="A1054" i="4" s="1"/>
  <c r="L1053" i="4"/>
  <c r="K1053" i="4"/>
  <c r="J1053" i="4"/>
  <c r="I1053" i="4"/>
  <c r="H1053" i="4"/>
  <c r="G1053" i="4"/>
  <c r="F1053" i="4"/>
  <c r="E1053" i="4"/>
  <c r="D1053" i="4"/>
  <c r="C1053" i="4"/>
  <c r="A1053" i="4" s="1"/>
  <c r="L1052" i="4"/>
  <c r="K1052" i="4"/>
  <c r="J1052" i="4"/>
  <c r="I1052" i="4"/>
  <c r="H1052" i="4"/>
  <c r="G1052" i="4"/>
  <c r="F1052" i="4"/>
  <c r="E1052" i="4"/>
  <c r="D1052" i="4"/>
  <c r="C1052" i="4"/>
  <c r="A1052" i="4" s="1"/>
  <c r="L1051" i="4"/>
  <c r="K1051" i="4"/>
  <c r="J1051" i="4"/>
  <c r="I1051" i="4"/>
  <c r="H1051" i="4"/>
  <c r="G1051" i="4"/>
  <c r="F1051" i="4"/>
  <c r="E1051" i="4"/>
  <c r="D1051" i="4"/>
  <c r="C1051" i="4"/>
  <c r="A1051" i="4" s="1"/>
  <c r="L1050" i="4"/>
  <c r="K1050" i="4"/>
  <c r="J1050" i="4"/>
  <c r="I1050" i="4"/>
  <c r="H1050" i="4"/>
  <c r="G1050" i="4"/>
  <c r="F1050" i="4"/>
  <c r="E1050" i="4"/>
  <c r="D1050" i="4"/>
  <c r="C1050" i="4"/>
  <c r="A1050" i="4" s="1"/>
  <c r="L1049" i="4"/>
  <c r="K1049" i="4"/>
  <c r="J1049" i="4"/>
  <c r="I1049" i="4"/>
  <c r="H1049" i="4"/>
  <c r="G1049" i="4"/>
  <c r="F1049" i="4"/>
  <c r="E1049" i="4"/>
  <c r="D1049" i="4"/>
  <c r="C1049" i="4"/>
  <c r="A1049" i="4" s="1"/>
  <c r="L1048" i="4"/>
  <c r="K1048" i="4"/>
  <c r="J1048" i="4"/>
  <c r="I1048" i="4"/>
  <c r="H1048" i="4"/>
  <c r="G1048" i="4"/>
  <c r="F1048" i="4"/>
  <c r="E1048" i="4"/>
  <c r="D1048" i="4"/>
  <c r="C1048" i="4"/>
  <c r="A1048" i="4" s="1"/>
  <c r="L1047" i="4"/>
  <c r="K1047" i="4"/>
  <c r="J1047" i="4"/>
  <c r="I1047" i="4"/>
  <c r="H1047" i="4"/>
  <c r="G1047" i="4"/>
  <c r="F1047" i="4"/>
  <c r="E1047" i="4"/>
  <c r="D1047" i="4"/>
  <c r="C1047" i="4"/>
  <c r="A1047" i="4"/>
  <c r="L1046" i="4"/>
  <c r="K1046" i="4"/>
  <c r="J1046" i="4"/>
  <c r="I1046" i="4"/>
  <c r="H1046" i="4"/>
  <c r="G1046" i="4"/>
  <c r="F1046" i="4"/>
  <c r="E1046" i="4"/>
  <c r="D1046" i="4"/>
  <c r="C1046" i="4"/>
  <c r="A1046" i="4" s="1"/>
  <c r="L1045" i="4"/>
  <c r="K1045" i="4"/>
  <c r="J1045" i="4"/>
  <c r="I1045" i="4"/>
  <c r="H1045" i="4"/>
  <c r="G1045" i="4"/>
  <c r="F1045" i="4"/>
  <c r="E1045" i="4"/>
  <c r="D1045" i="4"/>
  <c r="C1045" i="4"/>
  <c r="A1045" i="4" s="1"/>
  <c r="L1044" i="4"/>
  <c r="K1044" i="4"/>
  <c r="J1044" i="4"/>
  <c r="I1044" i="4"/>
  <c r="H1044" i="4"/>
  <c r="G1044" i="4"/>
  <c r="F1044" i="4"/>
  <c r="E1044" i="4"/>
  <c r="D1044" i="4"/>
  <c r="C1044" i="4"/>
  <c r="A1044" i="4" s="1"/>
  <c r="L1043" i="4"/>
  <c r="K1043" i="4"/>
  <c r="J1043" i="4"/>
  <c r="I1043" i="4"/>
  <c r="H1043" i="4"/>
  <c r="G1043" i="4"/>
  <c r="F1043" i="4"/>
  <c r="E1043" i="4"/>
  <c r="D1043" i="4"/>
  <c r="C1043" i="4"/>
  <c r="A1043" i="4" s="1"/>
  <c r="L1042" i="4"/>
  <c r="K1042" i="4"/>
  <c r="J1042" i="4"/>
  <c r="I1042" i="4"/>
  <c r="H1042" i="4"/>
  <c r="G1042" i="4"/>
  <c r="F1042" i="4"/>
  <c r="E1042" i="4"/>
  <c r="D1042" i="4"/>
  <c r="C1042" i="4"/>
  <c r="A1042" i="4" s="1"/>
  <c r="L1041" i="4"/>
  <c r="K1041" i="4"/>
  <c r="J1041" i="4"/>
  <c r="I1041" i="4"/>
  <c r="H1041" i="4"/>
  <c r="G1041" i="4"/>
  <c r="F1041" i="4"/>
  <c r="E1041" i="4"/>
  <c r="D1041" i="4"/>
  <c r="C1041" i="4"/>
  <c r="A1041" i="4"/>
  <c r="L1040" i="4"/>
  <c r="K1040" i="4"/>
  <c r="J1040" i="4"/>
  <c r="I1040" i="4"/>
  <c r="H1040" i="4"/>
  <c r="G1040" i="4"/>
  <c r="F1040" i="4"/>
  <c r="E1040" i="4"/>
  <c r="D1040" i="4"/>
  <c r="C1040" i="4"/>
  <c r="A1040" i="4" s="1"/>
  <c r="L1039" i="4"/>
  <c r="K1039" i="4"/>
  <c r="J1039" i="4"/>
  <c r="I1039" i="4"/>
  <c r="H1039" i="4"/>
  <c r="G1039" i="4"/>
  <c r="F1039" i="4"/>
  <c r="E1039" i="4"/>
  <c r="D1039" i="4"/>
  <c r="C1039" i="4"/>
  <c r="A1039" i="4" s="1"/>
  <c r="L1038" i="4"/>
  <c r="K1038" i="4"/>
  <c r="J1038" i="4"/>
  <c r="I1038" i="4"/>
  <c r="H1038" i="4"/>
  <c r="G1038" i="4"/>
  <c r="F1038" i="4"/>
  <c r="E1038" i="4"/>
  <c r="D1038" i="4"/>
  <c r="C1038" i="4"/>
  <c r="A1038" i="4" s="1"/>
  <c r="L1037" i="4"/>
  <c r="K1037" i="4"/>
  <c r="J1037" i="4"/>
  <c r="I1037" i="4"/>
  <c r="H1037" i="4"/>
  <c r="G1037" i="4"/>
  <c r="F1037" i="4"/>
  <c r="E1037" i="4"/>
  <c r="D1037" i="4"/>
  <c r="C1037" i="4"/>
  <c r="A1037" i="4" s="1"/>
  <c r="L1036" i="4"/>
  <c r="K1036" i="4"/>
  <c r="J1036" i="4"/>
  <c r="I1036" i="4"/>
  <c r="H1036" i="4"/>
  <c r="G1036" i="4"/>
  <c r="F1036" i="4"/>
  <c r="E1036" i="4"/>
  <c r="D1036" i="4"/>
  <c r="C1036" i="4"/>
  <c r="A1036" i="4" s="1"/>
  <c r="L1035" i="4"/>
  <c r="K1035" i="4"/>
  <c r="J1035" i="4"/>
  <c r="I1035" i="4"/>
  <c r="H1035" i="4"/>
  <c r="G1035" i="4"/>
  <c r="F1035" i="4"/>
  <c r="E1035" i="4"/>
  <c r="D1035" i="4"/>
  <c r="C1035" i="4"/>
  <c r="A1035" i="4" s="1"/>
  <c r="L1034" i="4"/>
  <c r="K1034" i="4"/>
  <c r="J1034" i="4"/>
  <c r="I1034" i="4"/>
  <c r="H1034" i="4"/>
  <c r="G1034" i="4"/>
  <c r="F1034" i="4"/>
  <c r="E1034" i="4"/>
  <c r="D1034" i="4"/>
  <c r="C1034" i="4"/>
  <c r="A1034" i="4" s="1"/>
  <c r="L1033" i="4"/>
  <c r="K1033" i="4"/>
  <c r="J1033" i="4"/>
  <c r="I1033" i="4"/>
  <c r="H1033" i="4"/>
  <c r="G1033" i="4"/>
  <c r="F1033" i="4"/>
  <c r="E1033" i="4"/>
  <c r="D1033" i="4"/>
  <c r="C1033" i="4"/>
  <c r="A1033" i="4" s="1"/>
  <c r="L1032" i="4"/>
  <c r="K1032" i="4"/>
  <c r="J1032" i="4"/>
  <c r="I1032" i="4"/>
  <c r="A1032" i="4" s="1"/>
  <c r="H1032" i="4"/>
  <c r="G1032" i="4"/>
  <c r="F1032" i="4"/>
  <c r="E1032" i="4"/>
  <c r="D1032" i="4"/>
  <c r="C1032" i="4"/>
  <c r="L1031" i="4"/>
  <c r="K1031" i="4"/>
  <c r="J1031" i="4"/>
  <c r="I1031" i="4"/>
  <c r="H1031" i="4"/>
  <c r="G1031" i="4"/>
  <c r="F1031" i="4"/>
  <c r="E1031" i="4"/>
  <c r="D1031" i="4"/>
  <c r="C1031" i="4"/>
  <c r="A1031" i="4"/>
  <c r="L1030" i="4"/>
  <c r="K1030" i="4"/>
  <c r="J1030" i="4"/>
  <c r="I1030" i="4"/>
  <c r="H1030" i="4"/>
  <c r="G1030" i="4"/>
  <c r="F1030" i="4"/>
  <c r="E1030" i="4"/>
  <c r="D1030" i="4"/>
  <c r="C1030" i="4"/>
  <c r="A1030" i="4" s="1"/>
  <c r="L1029" i="4"/>
  <c r="K1029" i="4"/>
  <c r="J1029" i="4"/>
  <c r="I1029" i="4"/>
  <c r="H1029" i="4"/>
  <c r="G1029" i="4"/>
  <c r="F1029" i="4"/>
  <c r="E1029" i="4"/>
  <c r="D1029" i="4"/>
  <c r="C1029" i="4"/>
  <c r="A1029" i="4"/>
  <c r="L1028" i="4"/>
  <c r="K1028" i="4"/>
  <c r="J1028" i="4"/>
  <c r="I1028" i="4"/>
  <c r="H1028" i="4"/>
  <c r="G1028" i="4"/>
  <c r="F1028" i="4"/>
  <c r="E1028" i="4"/>
  <c r="D1028" i="4"/>
  <c r="C1028" i="4"/>
  <c r="A1028" i="4" s="1"/>
  <c r="L1027" i="4"/>
  <c r="K1027" i="4"/>
  <c r="J1027" i="4"/>
  <c r="I1027" i="4"/>
  <c r="H1027" i="4"/>
  <c r="G1027" i="4"/>
  <c r="F1027" i="4"/>
  <c r="E1027" i="4"/>
  <c r="D1027" i="4"/>
  <c r="C1027" i="4"/>
  <c r="A1027" i="4" s="1"/>
  <c r="L1026" i="4"/>
  <c r="K1026" i="4"/>
  <c r="J1026" i="4"/>
  <c r="I1026" i="4"/>
  <c r="H1026" i="4"/>
  <c r="G1026" i="4"/>
  <c r="F1026" i="4"/>
  <c r="E1026" i="4"/>
  <c r="D1026" i="4"/>
  <c r="C1026" i="4"/>
  <c r="A1026" i="4"/>
  <c r="L1025" i="4"/>
  <c r="K1025" i="4"/>
  <c r="J1025" i="4"/>
  <c r="I1025" i="4"/>
  <c r="H1025" i="4"/>
  <c r="G1025" i="4"/>
  <c r="F1025" i="4"/>
  <c r="E1025" i="4"/>
  <c r="D1025" i="4"/>
  <c r="C1025" i="4"/>
  <c r="A1025" i="4" s="1"/>
  <c r="L1024" i="4"/>
  <c r="K1024" i="4"/>
  <c r="J1024" i="4"/>
  <c r="I1024" i="4"/>
  <c r="H1024" i="4"/>
  <c r="G1024" i="4"/>
  <c r="F1024" i="4"/>
  <c r="E1024" i="4"/>
  <c r="D1024" i="4"/>
  <c r="C1024" i="4"/>
  <c r="A1024" i="4"/>
  <c r="L1023" i="4"/>
  <c r="K1023" i="4"/>
  <c r="J1023" i="4"/>
  <c r="I1023" i="4"/>
  <c r="H1023" i="4"/>
  <c r="G1023" i="4"/>
  <c r="F1023" i="4"/>
  <c r="E1023" i="4"/>
  <c r="D1023" i="4"/>
  <c r="C1023" i="4"/>
  <c r="A1023" i="4"/>
  <c r="L1022" i="4"/>
  <c r="K1022" i="4"/>
  <c r="J1022" i="4"/>
  <c r="I1022" i="4"/>
  <c r="H1022" i="4"/>
  <c r="G1022" i="4"/>
  <c r="F1022" i="4"/>
  <c r="E1022" i="4"/>
  <c r="D1022" i="4"/>
  <c r="C1022" i="4"/>
  <c r="A1022" i="4" s="1"/>
  <c r="L1021" i="4"/>
  <c r="K1021" i="4"/>
  <c r="J1021" i="4"/>
  <c r="I1021" i="4"/>
  <c r="H1021" i="4"/>
  <c r="G1021" i="4"/>
  <c r="F1021" i="4"/>
  <c r="E1021" i="4"/>
  <c r="D1021" i="4"/>
  <c r="C1021" i="4"/>
  <c r="A1021" i="4"/>
  <c r="L1020" i="4"/>
  <c r="K1020" i="4"/>
  <c r="J1020" i="4"/>
  <c r="I1020" i="4"/>
  <c r="H1020" i="4"/>
  <c r="G1020" i="4"/>
  <c r="F1020" i="4"/>
  <c r="E1020" i="4"/>
  <c r="D1020" i="4"/>
  <c r="C1020" i="4"/>
  <c r="A1020" i="4"/>
  <c r="L1019" i="4"/>
  <c r="K1019" i="4"/>
  <c r="J1019" i="4"/>
  <c r="I1019" i="4"/>
  <c r="H1019" i="4"/>
  <c r="G1019" i="4"/>
  <c r="F1019" i="4"/>
  <c r="E1019" i="4"/>
  <c r="D1019" i="4"/>
  <c r="C1019" i="4"/>
  <c r="A1019" i="4"/>
  <c r="L1018" i="4"/>
  <c r="K1018" i="4"/>
  <c r="J1018" i="4"/>
  <c r="I1018" i="4"/>
  <c r="H1018" i="4"/>
  <c r="G1018" i="4"/>
  <c r="F1018" i="4"/>
  <c r="E1018" i="4"/>
  <c r="D1018" i="4"/>
  <c r="C1018" i="4"/>
  <c r="A1018" i="4" s="1"/>
  <c r="L1017" i="4"/>
  <c r="K1017" i="4"/>
  <c r="J1017" i="4"/>
  <c r="I1017" i="4"/>
  <c r="H1017" i="4"/>
  <c r="G1017" i="4"/>
  <c r="F1017" i="4"/>
  <c r="E1017" i="4"/>
  <c r="D1017" i="4"/>
  <c r="C1017" i="4"/>
  <c r="A1017" i="4"/>
  <c r="L1016" i="4"/>
  <c r="K1016" i="4"/>
  <c r="J1016" i="4"/>
  <c r="I1016" i="4"/>
  <c r="H1016" i="4"/>
  <c r="G1016" i="4"/>
  <c r="F1016" i="4"/>
  <c r="E1016" i="4"/>
  <c r="D1016" i="4"/>
  <c r="C1016" i="4"/>
  <c r="A1016" i="4" s="1"/>
  <c r="L1015" i="4"/>
  <c r="K1015" i="4"/>
  <c r="J1015" i="4"/>
  <c r="I1015" i="4"/>
  <c r="H1015" i="4"/>
  <c r="G1015" i="4"/>
  <c r="F1015" i="4"/>
  <c r="E1015" i="4"/>
  <c r="D1015" i="4"/>
  <c r="C1015" i="4"/>
  <c r="A1015" i="4"/>
  <c r="L1014" i="4"/>
  <c r="K1014" i="4"/>
  <c r="J1014" i="4"/>
  <c r="I1014" i="4"/>
  <c r="H1014" i="4"/>
  <c r="G1014" i="4"/>
  <c r="F1014" i="4"/>
  <c r="E1014" i="4"/>
  <c r="D1014" i="4"/>
  <c r="C1014" i="4"/>
  <c r="A1014" i="4"/>
  <c r="L1013" i="4"/>
  <c r="K1013" i="4"/>
  <c r="J1013" i="4"/>
  <c r="I1013" i="4"/>
  <c r="H1013" i="4"/>
  <c r="G1013" i="4"/>
  <c r="F1013" i="4"/>
  <c r="E1013" i="4"/>
  <c r="D1013" i="4"/>
  <c r="C1013" i="4"/>
  <c r="A1013" i="4" s="1"/>
  <c r="L1012" i="4"/>
  <c r="K1012" i="4"/>
  <c r="J1012" i="4"/>
  <c r="I1012" i="4"/>
  <c r="H1012" i="4"/>
  <c r="G1012" i="4"/>
  <c r="F1012" i="4"/>
  <c r="E1012" i="4"/>
  <c r="D1012" i="4"/>
  <c r="C1012" i="4"/>
  <c r="A1012" i="4" s="1"/>
  <c r="L1011" i="4"/>
  <c r="K1011" i="4"/>
  <c r="J1011" i="4"/>
  <c r="I1011" i="4"/>
  <c r="H1011" i="4"/>
  <c r="G1011" i="4"/>
  <c r="F1011" i="4"/>
  <c r="E1011" i="4"/>
  <c r="D1011" i="4"/>
  <c r="C1011" i="4"/>
  <c r="A1011" i="4" s="1"/>
  <c r="L1010" i="4"/>
  <c r="K1010" i="4"/>
  <c r="J1010" i="4"/>
  <c r="I1010" i="4"/>
  <c r="H1010" i="4"/>
  <c r="G1010" i="4"/>
  <c r="F1010" i="4"/>
  <c r="E1010" i="4"/>
  <c r="D1010" i="4"/>
  <c r="C1010" i="4"/>
  <c r="A1010" i="4"/>
  <c r="L1009" i="4"/>
  <c r="K1009" i="4"/>
  <c r="J1009" i="4"/>
  <c r="I1009" i="4"/>
  <c r="H1009" i="4"/>
  <c r="G1009" i="4"/>
  <c r="F1009" i="4"/>
  <c r="E1009" i="4"/>
  <c r="D1009" i="4"/>
  <c r="C1009" i="4"/>
  <c r="A1009" i="4" s="1"/>
  <c r="L1008" i="4"/>
  <c r="K1008" i="4"/>
  <c r="J1008" i="4"/>
  <c r="I1008" i="4"/>
  <c r="H1008" i="4"/>
  <c r="G1008" i="4"/>
  <c r="F1008" i="4"/>
  <c r="E1008" i="4"/>
  <c r="D1008" i="4"/>
  <c r="C1008" i="4"/>
  <c r="A1008" i="4" s="1"/>
  <c r="L1007" i="4"/>
  <c r="K1007" i="4"/>
  <c r="J1007" i="4"/>
  <c r="I1007" i="4"/>
  <c r="H1007" i="4"/>
  <c r="G1007" i="4"/>
  <c r="F1007" i="4"/>
  <c r="E1007" i="4"/>
  <c r="D1007" i="4"/>
  <c r="C1007" i="4"/>
  <c r="A1007" i="4" s="1"/>
  <c r="L1006" i="4"/>
  <c r="K1006" i="4"/>
  <c r="J1006" i="4"/>
  <c r="I1006" i="4"/>
  <c r="H1006" i="4"/>
  <c r="G1006" i="4"/>
  <c r="F1006" i="4"/>
  <c r="E1006" i="4"/>
  <c r="D1006" i="4"/>
  <c r="C1006" i="4"/>
  <c r="A1006" i="4"/>
  <c r="L1005" i="4"/>
  <c r="K1005" i="4"/>
  <c r="J1005" i="4"/>
  <c r="I1005" i="4"/>
  <c r="H1005" i="4"/>
  <c r="G1005" i="4"/>
  <c r="F1005" i="4"/>
  <c r="E1005" i="4"/>
  <c r="D1005" i="4"/>
  <c r="C1005" i="4"/>
  <c r="A1005" i="4"/>
  <c r="L1004" i="4"/>
  <c r="K1004" i="4"/>
  <c r="J1004" i="4"/>
  <c r="I1004" i="4"/>
  <c r="H1004" i="4"/>
  <c r="G1004" i="4"/>
  <c r="F1004" i="4"/>
  <c r="E1004" i="4"/>
  <c r="D1004" i="4"/>
  <c r="C1004" i="4"/>
  <c r="A1004" i="4" s="1"/>
  <c r="L1003" i="4"/>
  <c r="K1003" i="4"/>
  <c r="J1003" i="4"/>
  <c r="I1003" i="4"/>
  <c r="H1003" i="4"/>
  <c r="G1003" i="4"/>
  <c r="F1003" i="4"/>
  <c r="E1003" i="4"/>
  <c r="D1003" i="4"/>
  <c r="C1003" i="4"/>
  <c r="A1003" i="4"/>
  <c r="L1002" i="4"/>
  <c r="K1002" i="4"/>
  <c r="J1002" i="4"/>
  <c r="I1002" i="4"/>
  <c r="H1002" i="4"/>
  <c r="G1002" i="4"/>
  <c r="F1002" i="4"/>
  <c r="E1002" i="4"/>
  <c r="D1002" i="4"/>
  <c r="C1002" i="4"/>
  <c r="A1002" i="4"/>
  <c r="L1001" i="4"/>
  <c r="K1001" i="4"/>
  <c r="J1001" i="4"/>
  <c r="I1001" i="4"/>
  <c r="H1001" i="4"/>
  <c r="G1001" i="4"/>
  <c r="F1001" i="4"/>
  <c r="E1001" i="4"/>
  <c r="D1001" i="4"/>
  <c r="C1001" i="4"/>
  <c r="A1001" i="4" s="1"/>
  <c r="L1000" i="4"/>
  <c r="K1000" i="4"/>
  <c r="J1000" i="4"/>
  <c r="I1000" i="4"/>
  <c r="H1000" i="4"/>
  <c r="G1000" i="4"/>
  <c r="A1000" i="4" s="1"/>
  <c r="F1000" i="4"/>
  <c r="E1000" i="4"/>
  <c r="D1000" i="4"/>
  <c r="C1000" i="4"/>
  <c r="L999" i="4"/>
  <c r="K999" i="4"/>
  <c r="H999" i="4"/>
  <c r="G999" i="4"/>
  <c r="F999" i="4"/>
  <c r="E999" i="4"/>
  <c r="D999" i="4"/>
  <c r="C999" i="4"/>
  <c r="L998" i="4"/>
  <c r="K998" i="4"/>
  <c r="H998" i="4"/>
  <c r="G998" i="4"/>
  <c r="F998" i="4"/>
  <c r="E998" i="4"/>
  <c r="D998" i="4"/>
  <c r="C998" i="4"/>
  <c r="L997" i="4"/>
  <c r="K997" i="4"/>
  <c r="H997" i="4"/>
  <c r="G997" i="4"/>
  <c r="F997" i="4"/>
  <c r="E997" i="4"/>
  <c r="D997" i="4"/>
  <c r="C997" i="4"/>
  <c r="L996" i="4"/>
  <c r="K996" i="4"/>
  <c r="H996" i="4"/>
  <c r="G996" i="4"/>
  <c r="F996" i="4"/>
  <c r="E996" i="4"/>
  <c r="D996" i="4"/>
  <c r="C996" i="4"/>
  <c r="L995" i="4"/>
  <c r="K995" i="4"/>
  <c r="H995" i="4"/>
  <c r="G995" i="4"/>
  <c r="F995" i="4"/>
  <c r="E995" i="4"/>
  <c r="D995" i="4"/>
  <c r="C995" i="4"/>
  <c r="L994" i="4"/>
  <c r="K994" i="4"/>
  <c r="H994" i="4"/>
  <c r="G994" i="4"/>
  <c r="F994" i="4"/>
  <c r="E994" i="4"/>
  <c r="D994" i="4"/>
  <c r="C994" i="4"/>
  <c r="L993" i="4"/>
  <c r="K993" i="4"/>
  <c r="H993" i="4"/>
  <c r="G993" i="4"/>
  <c r="F993" i="4"/>
  <c r="E993" i="4"/>
  <c r="D993" i="4"/>
  <c r="C993" i="4"/>
  <c r="L992" i="4"/>
  <c r="K992" i="4"/>
  <c r="H992" i="4"/>
  <c r="G992" i="4"/>
  <c r="F992" i="4"/>
  <c r="E992" i="4"/>
  <c r="D992" i="4"/>
  <c r="C992" i="4"/>
  <c r="L991" i="4"/>
  <c r="K991" i="4"/>
  <c r="H991" i="4"/>
  <c r="G991" i="4"/>
  <c r="F991" i="4"/>
  <c r="E991" i="4"/>
  <c r="D991" i="4"/>
  <c r="C991" i="4"/>
  <c r="L990" i="4"/>
  <c r="K990" i="4"/>
  <c r="H990" i="4"/>
  <c r="G990" i="4"/>
  <c r="F990" i="4"/>
  <c r="E990" i="4"/>
  <c r="D990" i="4"/>
  <c r="C990" i="4"/>
  <c r="L989" i="4"/>
  <c r="K989" i="4"/>
  <c r="H989" i="4"/>
  <c r="G989" i="4"/>
  <c r="F989" i="4"/>
  <c r="E989" i="4"/>
  <c r="D989" i="4"/>
  <c r="C989" i="4"/>
  <c r="L988" i="4"/>
  <c r="K988" i="4"/>
  <c r="H988" i="4"/>
  <c r="G988" i="4"/>
  <c r="F988" i="4"/>
  <c r="E988" i="4"/>
  <c r="D988" i="4"/>
  <c r="C988" i="4"/>
  <c r="L987" i="4"/>
  <c r="K987" i="4"/>
  <c r="H987" i="4"/>
  <c r="G987" i="4"/>
  <c r="F987" i="4"/>
  <c r="E987" i="4"/>
  <c r="D987" i="4"/>
  <c r="C987" i="4"/>
  <c r="L986" i="4"/>
  <c r="K986" i="4"/>
  <c r="H986" i="4"/>
  <c r="G986" i="4"/>
  <c r="F986" i="4"/>
  <c r="E986" i="4"/>
  <c r="D986" i="4"/>
  <c r="C986" i="4"/>
  <c r="L985" i="4"/>
  <c r="K985" i="4"/>
  <c r="H985" i="4"/>
  <c r="G985" i="4"/>
  <c r="F985" i="4"/>
  <c r="E985" i="4"/>
  <c r="D985" i="4"/>
  <c r="C985" i="4"/>
  <c r="L984" i="4"/>
  <c r="K984" i="4"/>
  <c r="H984" i="4"/>
  <c r="G984" i="4"/>
  <c r="F984" i="4"/>
  <c r="E984" i="4"/>
  <c r="D984" i="4"/>
  <c r="C984" i="4"/>
  <c r="L983" i="4"/>
  <c r="K983" i="4"/>
  <c r="H983" i="4"/>
  <c r="G983" i="4"/>
  <c r="F983" i="4"/>
  <c r="E983" i="4"/>
  <c r="D983" i="4"/>
  <c r="C983" i="4"/>
  <c r="L982" i="4"/>
  <c r="K982" i="4"/>
  <c r="H982" i="4"/>
  <c r="G982" i="4"/>
  <c r="F982" i="4"/>
  <c r="E982" i="4"/>
  <c r="D982" i="4"/>
  <c r="C982" i="4"/>
  <c r="L981" i="4"/>
  <c r="K981" i="4"/>
  <c r="H981" i="4"/>
  <c r="G981" i="4"/>
  <c r="F981" i="4"/>
  <c r="E981" i="4"/>
  <c r="D981" i="4"/>
  <c r="C981" i="4"/>
  <c r="L980" i="4"/>
  <c r="K980" i="4"/>
  <c r="H980" i="4"/>
  <c r="G980" i="4"/>
  <c r="F980" i="4"/>
  <c r="E980" i="4"/>
  <c r="D980" i="4"/>
  <c r="C980" i="4"/>
  <c r="L979" i="4"/>
  <c r="K979" i="4"/>
  <c r="H979" i="4"/>
  <c r="G979" i="4"/>
  <c r="F979" i="4"/>
  <c r="E979" i="4"/>
  <c r="D979" i="4"/>
  <c r="C979" i="4"/>
  <c r="L978" i="4"/>
  <c r="K978" i="4"/>
  <c r="H978" i="4"/>
  <c r="G978" i="4"/>
  <c r="F978" i="4"/>
  <c r="E978" i="4"/>
  <c r="D978" i="4"/>
  <c r="C978" i="4"/>
  <c r="L977" i="4"/>
  <c r="K977" i="4"/>
  <c r="H977" i="4"/>
  <c r="G977" i="4"/>
  <c r="F977" i="4"/>
  <c r="E977" i="4"/>
  <c r="D977" i="4"/>
  <c r="C977" i="4"/>
  <c r="L976" i="4"/>
  <c r="K976" i="4"/>
  <c r="H976" i="4"/>
  <c r="G976" i="4"/>
  <c r="F976" i="4"/>
  <c r="E976" i="4"/>
  <c r="D976" i="4"/>
  <c r="C976" i="4"/>
  <c r="L975" i="4"/>
  <c r="K975" i="4"/>
  <c r="H975" i="4"/>
  <c r="G975" i="4"/>
  <c r="F975" i="4"/>
  <c r="E975" i="4"/>
  <c r="D975" i="4"/>
  <c r="C975" i="4"/>
  <c r="L974" i="4"/>
  <c r="K974" i="4"/>
  <c r="H974" i="4"/>
  <c r="G974" i="4"/>
  <c r="F974" i="4"/>
  <c r="E974" i="4"/>
  <c r="D974" i="4"/>
  <c r="C974" i="4"/>
  <c r="L973" i="4"/>
  <c r="K973" i="4"/>
  <c r="H973" i="4"/>
  <c r="G973" i="4"/>
  <c r="F973" i="4"/>
  <c r="E973" i="4"/>
  <c r="D973" i="4"/>
  <c r="C973" i="4"/>
  <c r="L972" i="4"/>
  <c r="K972" i="4"/>
  <c r="H972" i="4"/>
  <c r="G972" i="4"/>
  <c r="F972" i="4"/>
  <c r="E972" i="4"/>
  <c r="D972" i="4"/>
  <c r="C972" i="4"/>
  <c r="L971" i="4"/>
  <c r="K971" i="4"/>
  <c r="H971" i="4"/>
  <c r="G971" i="4"/>
  <c r="F971" i="4"/>
  <c r="E971" i="4"/>
  <c r="D971" i="4"/>
  <c r="C971" i="4"/>
  <c r="L970" i="4"/>
  <c r="K970" i="4"/>
  <c r="H970" i="4"/>
  <c r="G970" i="4"/>
  <c r="F970" i="4"/>
  <c r="E970" i="4"/>
  <c r="D970" i="4"/>
  <c r="C970" i="4"/>
  <c r="L969" i="4"/>
  <c r="K969" i="4"/>
  <c r="H969" i="4"/>
  <c r="G969" i="4"/>
  <c r="F969" i="4"/>
  <c r="E969" i="4"/>
  <c r="D969" i="4"/>
  <c r="C969" i="4"/>
  <c r="L968" i="4"/>
  <c r="K968" i="4"/>
  <c r="H968" i="4"/>
  <c r="G968" i="4"/>
  <c r="F968" i="4"/>
  <c r="E968" i="4"/>
  <c r="D968" i="4"/>
  <c r="C968" i="4"/>
  <c r="L967" i="4"/>
  <c r="K967" i="4"/>
  <c r="H967" i="4"/>
  <c r="G967" i="4"/>
  <c r="F967" i="4"/>
  <c r="E967" i="4"/>
  <c r="D967" i="4"/>
  <c r="C967" i="4"/>
  <c r="L966" i="4"/>
  <c r="K966" i="4"/>
  <c r="H966" i="4"/>
  <c r="G966" i="4"/>
  <c r="F966" i="4"/>
  <c r="E966" i="4"/>
  <c r="D966" i="4"/>
  <c r="C966" i="4"/>
  <c r="L965" i="4"/>
  <c r="K965" i="4"/>
  <c r="H965" i="4"/>
  <c r="G965" i="4"/>
  <c r="F965" i="4"/>
  <c r="E965" i="4"/>
  <c r="D965" i="4"/>
  <c r="C965" i="4"/>
  <c r="L964" i="4"/>
  <c r="K964" i="4"/>
  <c r="H964" i="4"/>
  <c r="G964" i="4"/>
  <c r="F964" i="4"/>
  <c r="E964" i="4"/>
  <c r="D964" i="4"/>
  <c r="C964" i="4"/>
  <c r="L963" i="4"/>
  <c r="K963" i="4"/>
  <c r="H963" i="4"/>
  <c r="G963" i="4"/>
  <c r="F963" i="4"/>
  <c r="E963" i="4"/>
  <c r="D963" i="4"/>
  <c r="C963" i="4"/>
  <c r="L962" i="4"/>
  <c r="K962" i="4"/>
  <c r="H962" i="4"/>
  <c r="G962" i="4"/>
  <c r="F962" i="4"/>
  <c r="E962" i="4"/>
  <c r="D962" i="4"/>
  <c r="C962" i="4"/>
  <c r="L961" i="4"/>
  <c r="K961" i="4"/>
  <c r="H961" i="4"/>
  <c r="G961" i="4"/>
  <c r="F961" i="4"/>
  <c r="E961" i="4"/>
  <c r="D961" i="4"/>
  <c r="C961" i="4"/>
  <c r="L960" i="4"/>
  <c r="K960" i="4"/>
  <c r="H960" i="4"/>
  <c r="G960" i="4"/>
  <c r="F960" i="4"/>
  <c r="E960" i="4"/>
  <c r="D960" i="4"/>
  <c r="C960" i="4"/>
  <c r="L959" i="4"/>
  <c r="K959" i="4"/>
  <c r="H959" i="4"/>
  <c r="G959" i="4"/>
  <c r="F959" i="4"/>
  <c r="E959" i="4"/>
  <c r="D959" i="4"/>
  <c r="C959" i="4"/>
  <c r="L958" i="4"/>
  <c r="K958" i="4"/>
  <c r="H958" i="4"/>
  <c r="G958" i="4"/>
  <c r="F958" i="4"/>
  <c r="E958" i="4"/>
  <c r="D958" i="4"/>
  <c r="C958" i="4"/>
  <c r="L957" i="4"/>
  <c r="K957" i="4"/>
  <c r="H957" i="4"/>
  <c r="G957" i="4"/>
  <c r="F957" i="4"/>
  <c r="E957" i="4"/>
  <c r="D957" i="4"/>
  <c r="C957" i="4"/>
  <c r="L956" i="4"/>
  <c r="K956" i="4"/>
  <c r="H956" i="4"/>
  <c r="G956" i="4"/>
  <c r="F956" i="4"/>
  <c r="E956" i="4"/>
  <c r="D956" i="4"/>
  <c r="C956" i="4"/>
  <c r="L955" i="4"/>
  <c r="K955" i="4"/>
  <c r="H955" i="4"/>
  <c r="G955" i="4"/>
  <c r="F955" i="4"/>
  <c r="E955" i="4"/>
  <c r="D955" i="4"/>
  <c r="C955" i="4"/>
  <c r="L954" i="4"/>
  <c r="K954" i="4"/>
  <c r="H954" i="4"/>
  <c r="G954" i="4"/>
  <c r="F954" i="4"/>
  <c r="E954" i="4"/>
  <c r="D954" i="4"/>
  <c r="C954" i="4"/>
  <c r="L953" i="4"/>
  <c r="K953" i="4"/>
  <c r="H953" i="4"/>
  <c r="G953" i="4"/>
  <c r="F953" i="4"/>
  <c r="E953" i="4"/>
  <c r="D953" i="4"/>
  <c r="C953" i="4"/>
  <c r="L952" i="4"/>
  <c r="K952" i="4"/>
  <c r="H952" i="4"/>
  <c r="G952" i="4"/>
  <c r="F952" i="4"/>
  <c r="E952" i="4"/>
  <c r="D952" i="4"/>
  <c r="C952" i="4"/>
  <c r="L951" i="4"/>
  <c r="K951" i="4"/>
  <c r="H951" i="4"/>
  <c r="G951" i="4"/>
  <c r="F951" i="4"/>
  <c r="E951" i="4"/>
  <c r="D951" i="4"/>
  <c r="C951" i="4"/>
  <c r="L950" i="4"/>
  <c r="K950" i="4"/>
  <c r="H950" i="4"/>
  <c r="G950" i="4"/>
  <c r="F950" i="4"/>
  <c r="E950" i="4"/>
  <c r="D950" i="4"/>
  <c r="C950" i="4"/>
  <c r="L949" i="4"/>
  <c r="K949" i="4"/>
  <c r="H949" i="4"/>
  <c r="G949" i="4"/>
  <c r="F949" i="4"/>
  <c r="E949" i="4"/>
  <c r="D949" i="4"/>
  <c r="C949" i="4"/>
  <c r="L948" i="4"/>
  <c r="K948" i="4"/>
  <c r="H948" i="4"/>
  <c r="G948" i="4"/>
  <c r="F948" i="4"/>
  <c r="E948" i="4"/>
  <c r="D948" i="4"/>
  <c r="C948" i="4"/>
  <c r="L947" i="4"/>
  <c r="K947" i="4"/>
  <c r="H947" i="4"/>
  <c r="G947" i="4"/>
  <c r="F947" i="4"/>
  <c r="E947" i="4"/>
  <c r="D947" i="4"/>
  <c r="C947" i="4"/>
  <c r="L946" i="4"/>
  <c r="K946" i="4"/>
  <c r="H946" i="4"/>
  <c r="G946" i="4"/>
  <c r="F946" i="4"/>
  <c r="E946" i="4"/>
  <c r="D946" i="4"/>
  <c r="C946" i="4"/>
  <c r="L945" i="4"/>
  <c r="K945" i="4"/>
  <c r="H945" i="4"/>
  <c r="G945" i="4"/>
  <c r="F945" i="4"/>
  <c r="E945" i="4"/>
  <c r="D945" i="4"/>
  <c r="C945" i="4"/>
  <c r="L944" i="4"/>
  <c r="K944" i="4"/>
  <c r="H944" i="4"/>
  <c r="G944" i="4"/>
  <c r="F944" i="4"/>
  <c r="E944" i="4"/>
  <c r="D944" i="4"/>
  <c r="C944" i="4"/>
  <c r="L943" i="4"/>
  <c r="K943" i="4"/>
  <c r="H943" i="4"/>
  <c r="G943" i="4"/>
  <c r="F943" i="4"/>
  <c r="E943" i="4"/>
  <c r="D943" i="4"/>
  <c r="C943" i="4"/>
  <c r="L942" i="4"/>
  <c r="K942" i="4"/>
  <c r="H942" i="4"/>
  <c r="G942" i="4"/>
  <c r="F942" i="4"/>
  <c r="E942" i="4"/>
  <c r="D942" i="4"/>
  <c r="C942" i="4"/>
  <c r="L941" i="4"/>
  <c r="K941" i="4"/>
  <c r="H941" i="4"/>
  <c r="G941" i="4"/>
  <c r="F941" i="4"/>
  <c r="E941" i="4"/>
  <c r="D941" i="4"/>
  <c r="C941" i="4"/>
  <c r="L940" i="4"/>
  <c r="K940" i="4"/>
  <c r="H940" i="4"/>
  <c r="G940" i="4"/>
  <c r="F940" i="4"/>
  <c r="E940" i="4"/>
  <c r="D940" i="4"/>
  <c r="C940" i="4"/>
  <c r="L939" i="4"/>
  <c r="K939" i="4"/>
  <c r="H939" i="4"/>
  <c r="G939" i="4"/>
  <c r="F939" i="4"/>
  <c r="E939" i="4"/>
  <c r="D939" i="4"/>
  <c r="C939" i="4"/>
  <c r="L938" i="4"/>
  <c r="K938" i="4"/>
  <c r="H938" i="4"/>
  <c r="G938" i="4"/>
  <c r="F938" i="4"/>
  <c r="E938" i="4"/>
  <c r="D938" i="4"/>
  <c r="C938" i="4"/>
  <c r="L937" i="4"/>
  <c r="K937" i="4"/>
  <c r="H937" i="4"/>
  <c r="G937" i="4"/>
  <c r="F937" i="4"/>
  <c r="E937" i="4"/>
  <c r="D937" i="4"/>
  <c r="C937" i="4"/>
  <c r="L936" i="4"/>
  <c r="K936" i="4"/>
  <c r="H936" i="4"/>
  <c r="G936" i="4"/>
  <c r="F936" i="4"/>
  <c r="E936" i="4"/>
  <c r="D936" i="4"/>
  <c r="C936" i="4"/>
  <c r="L935" i="4"/>
  <c r="K935" i="4"/>
  <c r="H935" i="4"/>
  <c r="G935" i="4"/>
  <c r="F935" i="4"/>
  <c r="E935" i="4"/>
  <c r="D935" i="4"/>
  <c r="C935" i="4"/>
  <c r="L934" i="4"/>
  <c r="K934" i="4"/>
  <c r="H934" i="4"/>
  <c r="G934" i="4"/>
  <c r="F934" i="4"/>
  <c r="E934" i="4"/>
  <c r="D934" i="4"/>
  <c r="C934" i="4"/>
  <c r="L933" i="4"/>
  <c r="K933" i="4"/>
  <c r="H933" i="4"/>
  <c r="G933" i="4"/>
  <c r="F933" i="4"/>
  <c r="E933" i="4"/>
  <c r="D933" i="4"/>
  <c r="C933" i="4"/>
  <c r="L932" i="4"/>
  <c r="K932" i="4"/>
  <c r="H932" i="4"/>
  <c r="G932" i="4"/>
  <c r="F932" i="4"/>
  <c r="E932" i="4"/>
  <c r="D932" i="4"/>
  <c r="C932" i="4"/>
  <c r="L931" i="4"/>
  <c r="K931" i="4"/>
  <c r="H931" i="4"/>
  <c r="G931" i="4"/>
  <c r="F931" i="4"/>
  <c r="E931" i="4"/>
  <c r="D931" i="4"/>
  <c r="C931" i="4"/>
  <c r="L930" i="4"/>
  <c r="K930" i="4"/>
  <c r="H930" i="4"/>
  <c r="G930" i="4"/>
  <c r="F930" i="4"/>
  <c r="E930" i="4"/>
  <c r="D930" i="4"/>
  <c r="C930" i="4"/>
  <c r="L929" i="4"/>
  <c r="K929" i="4"/>
  <c r="H929" i="4"/>
  <c r="G929" i="4"/>
  <c r="F929" i="4"/>
  <c r="E929" i="4"/>
  <c r="D929" i="4"/>
  <c r="C929" i="4"/>
  <c r="L928" i="4"/>
  <c r="K928" i="4"/>
  <c r="H928" i="4"/>
  <c r="G928" i="4"/>
  <c r="F928" i="4"/>
  <c r="E928" i="4"/>
  <c r="D928" i="4"/>
  <c r="C928" i="4"/>
  <c r="L927" i="4"/>
  <c r="K927" i="4"/>
  <c r="H927" i="4"/>
  <c r="G927" i="4"/>
  <c r="F927" i="4"/>
  <c r="E927" i="4"/>
  <c r="D927" i="4"/>
  <c r="C927" i="4"/>
  <c r="L926" i="4"/>
  <c r="K926" i="4"/>
  <c r="H926" i="4"/>
  <c r="G926" i="4"/>
  <c r="F926" i="4"/>
  <c r="E926" i="4"/>
  <c r="D926" i="4"/>
  <c r="C926" i="4"/>
  <c r="L925" i="4"/>
  <c r="K925" i="4"/>
  <c r="H925" i="4"/>
  <c r="G925" i="4"/>
  <c r="F925" i="4"/>
  <c r="E925" i="4"/>
  <c r="D925" i="4"/>
  <c r="C925" i="4"/>
  <c r="L924" i="4"/>
  <c r="K924" i="4"/>
  <c r="H924" i="4"/>
  <c r="G924" i="4"/>
  <c r="F924" i="4"/>
  <c r="E924" i="4"/>
  <c r="D924" i="4"/>
  <c r="C924" i="4"/>
  <c r="L923" i="4"/>
  <c r="K923" i="4"/>
  <c r="H923" i="4"/>
  <c r="G923" i="4"/>
  <c r="F923" i="4"/>
  <c r="E923" i="4"/>
  <c r="D923" i="4"/>
  <c r="C923" i="4"/>
  <c r="L922" i="4"/>
  <c r="K922" i="4"/>
  <c r="H922" i="4"/>
  <c r="G922" i="4"/>
  <c r="F922" i="4"/>
  <c r="E922" i="4"/>
  <c r="D922" i="4"/>
  <c r="C922" i="4"/>
  <c r="L921" i="4"/>
  <c r="K921" i="4"/>
  <c r="H921" i="4"/>
  <c r="G921" i="4"/>
  <c r="F921" i="4"/>
  <c r="E921" i="4"/>
  <c r="D921" i="4"/>
  <c r="C921" i="4"/>
  <c r="L920" i="4"/>
  <c r="K920" i="4"/>
  <c r="H920" i="4"/>
  <c r="G920" i="4"/>
  <c r="F920" i="4"/>
  <c r="E920" i="4"/>
  <c r="D920" i="4"/>
  <c r="C920" i="4"/>
  <c r="L919" i="4"/>
  <c r="K919" i="4"/>
  <c r="H919" i="4"/>
  <c r="G919" i="4"/>
  <c r="F919" i="4"/>
  <c r="E919" i="4"/>
  <c r="D919" i="4"/>
  <c r="C919" i="4"/>
  <c r="L918" i="4"/>
  <c r="K918" i="4"/>
  <c r="H918" i="4"/>
  <c r="G918" i="4"/>
  <c r="F918" i="4"/>
  <c r="E918" i="4"/>
  <c r="D918" i="4"/>
  <c r="C918" i="4"/>
  <c r="L917" i="4"/>
  <c r="K917" i="4"/>
  <c r="H917" i="4"/>
  <c r="G917" i="4"/>
  <c r="F917" i="4"/>
  <c r="E917" i="4"/>
  <c r="D917" i="4"/>
  <c r="C917" i="4"/>
  <c r="L916" i="4"/>
  <c r="K916" i="4"/>
  <c r="H916" i="4"/>
  <c r="G916" i="4"/>
  <c r="F916" i="4"/>
  <c r="E916" i="4"/>
  <c r="D916" i="4"/>
  <c r="C916" i="4"/>
  <c r="L915" i="4"/>
  <c r="K915" i="4"/>
  <c r="H915" i="4"/>
  <c r="G915" i="4"/>
  <c r="F915" i="4"/>
  <c r="E915" i="4"/>
  <c r="D915" i="4"/>
  <c r="C915" i="4"/>
  <c r="L914" i="4"/>
  <c r="K914" i="4"/>
  <c r="H914" i="4"/>
  <c r="G914" i="4"/>
  <c r="F914" i="4"/>
  <c r="E914" i="4"/>
  <c r="D914" i="4"/>
  <c r="C914" i="4"/>
  <c r="L913" i="4"/>
  <c r="K913" i="4"/>
  <c r="H913" i="4"/>
  <c r="G913" i="4"/>
  <c r="F913" i="4"/>
  <c r="E913" i="4"/>
  <c r="D913" i="4"/>
  <c r="C913" i="4"/>
  <c r="L912" i="4"/>
  <c r="K912" i="4"/>
  <c r="H912" i="4"/>
  <c r="G912" i="4"/>
  <c r="F912" i="4"/>
  <c r="E912" i="4"/>
  <c r="D912" i="4"/>
  <c r="C912" i="4"/>
  <c r="L911" i="4"/>
  <c r="K911" i="4"/>
  <c r="H911" i="4"/>
  <c r="G911" i="4"/>
  <c r="F911" i="4"/>
  <c r="E911" i="4"/>
  <c r="D911" i="4"/>
  <c r="C911" i="4"/>
  <c r="L910" i="4"/>
  <c r="K910" i="4"/>
  <c r="H910" i="4"/>
  <c r="G910" i="4"/>
  <c r="F910" i="4"/>
  <c r="E910" i="4"/>
  <c r="D910" i="4"/>
  <c r="C910" i="4"/>
  <c r="L909" i="4"/>
  <c r="K909" i="4"/>
  <c r="H909" i="4"/>
  <c r="G909" i="4"/>
  <c r="F909" i="4"/>
  <c r="E909" i="4"/>
  <c r="D909" i="4"/>
  <c r="C909" i="4"/>
  <c r="L908" i="4"/>
  <c r="K908" i="4"/>
  <c r="H908" i="4"/>
  <c r="G908" i="4"/>
  <c r="F908" i="4"/>
  <c r="E908" i="4"/>
  <c r="D908" i="4"/>
  <c r="C908" i="4"/>
  <c r="L907" i="4"/>
  <c r="K907" i="4"/>
  <c r="H907" i="4"/>
  <c r="G907" i="4"/>
  <c r="F907" i="4"/>
  <c r="E907" i="4"/>
  <c r="D907" i="4"/>
  <c r="C907" i="4"/>
  <c r="L906" i="4"/>
  <c r="K906" i="4"/>
  <c r="H906" i="4"/>
  <c r="G906" i="4"/>
  <c r="F906" i="4"/>
  <c r="E906" i="4"/>
  <c r="D906" i="4"/>
  <c r="C906" i="4"/>
  <c r="L905" i="4"/>
  <c r="K905" i="4"/>
  <c r="H905" i="4"/>
  <c r="G905" i="4"/>
  <c r="F905" i="4"/>
  <c r="E905" i="4"/>
  <c r="D905" i="4"/>
  <c r="C905" i="4"/>
  <c r="L904" i="4"/>
  <c r="K904" i="4"/>
  <c r="H904" i="4"/>
  <c r="G904" i="4"/>
  <c r="F904" i="4"/>
  <c r="E904" i="4"/>
  <c r="D904" i="4"/>
  <c r="C904" i="4"/>
  <c r="L903" i="4"/>
  <c r="K903" i="4"/>
  <c r="H903" i="4"/>
  <c r="G903" i="4"/>
  <c r="F903" i="4"/>
  <c r="E903" i="4"/>
  <c r="D903" i="4"/>
  <c r="C903" i="4"/>
  <c r="L902" i="4"/>
  <c r="K902" i="4"/>
  <c r="H902" i="4"/>
  <c r="G902" i="4"/>
  <c r="F902" i="4"/>
  <c r="E902" i="4"/>
  <c r="D902" i="4"/>
  <c r="C902" i="4"/>
  <c r="L901" i="4"/>
  <c r="K901" i="4"/>
  <c r="H901" i="4"/>
  <c r="G901" i="4"/>
  <c r="F901" i="4"/>
  <c r="E901" i="4"/>
  <c r="D901" i="4"/>
  <c r="C901" i="4"/>
  <c r="L900" i="4"/>
  <c r="K900" i="4"/>
  <c r="H900" i="4"/>
  <c r="G900" i="4"/>
  <c r="F900" i="4"/>
  <c r="E900" i="4"/>
  <c r="D900" i="4"/>
  <c r="C900" i="4"/>
  <c r="L899" i="4"/>
  <c r="K899" i="4"/>
  <c r="H899" i="4"/>
  <c r="G899" i="4"/>
  <c r="F899" i="4"/>
  <c r="E899" i="4"/>
  <c r="D899" i="4"/>
  <c r="C899" i="4"/>
  <c r="L898" i="4"/>
  <c r="K898" i="4"/>
  <c r="H898" i="4"/>
  <c r="G898" i="4"/>
  <c r="F898" i="4"/>
  <c r="E898" i="4"/>
  <c r="D898" i="4"/>
  <c r="C898" i="4"/>
  <c r="L897" i="4"/>
  <c r="K897" i="4"/>
  <c r="H897" i="4"/>
  <c r="G897" i="4"/>
  <c r="F897" i="4"/>
  <c r="E897" i="4"/>
  <c r="D897" i="4"/>
  <c r="C897" i="4"/>
  <c r="L896" i="4"/>
  <c r="K896" i="4"/>
  <c r="H896" i="4"/>
  <c r="G896" i="4"/>
  <c r="F896" i="4"/>
  <c r="E896" i="4"/>
  <c r="D896" i="4"/>
  <c r="C896" i="4"/>
  <c r="L895" i="4"/>
  <c r="K895" i="4"/>
  <c r="H895" i="4"/>
  <c r="G895" i="4"/>
  <c r="F895" i="4"/>
  <c r="E895" i="4"/>
  <c r="D895" i="4"/>
  <c r="C895" i="4"/>
  <c r="L894" i="4"/>
  <c r="K894" i="4"/>
  <c r="H894" i="4"/>
  <c r="G894" i="4"/>
  <c r="F894" i="4"/>
  <c r="E894" i="4"/>
  <c r="D894" i="4"/>
  <c r="C894" i="4"/>
  <c r="L893" i="4"/>
  <c r="K893" i="4"/>
  <c r="H893" i="4"/>
  <c r="G893" i="4"/>
  <c r="F893" i="4"/>
  <c r="E893" i="4"/>
  <c r="D893" i="4"/>
  <c r="C893" i="4"/>
  <c r="L892" i="4"/>
  <c r="K892" i="4"/>
  <c r="H892" i="4"/>
  <c r="G892" i="4"/>
  <c r="F892" i="4"/>
  <c r="E892" i="4"/>
  <c r="D892" i="4"/>
  <c r="C892" i="4"/>
  <c r="L891" i="4"/>
  <c r="K891" i="4"/>
  <c r="H891" i="4"/>
  <c r="G891" i="4"/>
  <c r="F891" i="4"/>
  <c r="E891" i="4"/>
  <c r="D891" i="4"/>
  <c r="C891" i="4"/>
  <c r="L890" i="4"/>
  <c r="K890" i="4"/>
  <c r="H890" i="4"/>
  <c r="G890" i="4"/>
  <c r="F890" i="4"/>
  <c r="E890" i="4"/>
  <c r="D890" i="4"/>
  <c r="C890" i="4"/>
  <c r="L889" i="4"/>
  <c r="K889" i="4"/>
  <c r="H889" i="4"/>
  <c r="G889" i="4"/>
  <c r="F889" i="4"/>
  <c r="E889" i="4"/>
  <c r="D889" i="4"/>
  <c r="C889" i="4"/>
  <c r="L888" i="4"/>
  <c r="K888" i="4"/>
  <c r="H888" i="4"/>
  <c r="G888" i="4"/>
  <c r="F888" i="4"/>
  <c r="E888" i="4"/>
  <c r="D888" i="4"/>
  <c r="C888" i="4"/>
  <c r="L887" i="4"/>
  <c r="K887" i="4"/>
  <c r="H887" i="4"/>
  <c r="G887" i="4"/>
  <c r="F887" i="4"/>
  <c r="E887" i="4"/>
  <c r="D887" i="4"/>
  <c r="C887" i="4"/>
  <c r="L886" i="4"/>
  <c r="K886" i="4"/>
  <c r="H886" i="4"/>
  <c r="G886" i="4"/>
  <c r="F886" i="4"/>
  <c r="E886" i="4"/>
  <c r="D886" i="4"/>
  <c r="C886" i="4"/>
  <c r="L885" i="4"/>
  <c r="K885" i="4"/>
  <c r="H885" i="4"/>
  <c r="G885" i="4"/>
  <c r="F885" i="4"/>
  <c r="E885" i="4"/>
  <c r="D885" i="4"/>
  <c r="C885" i="4"/>
  <c r="L884" i="4"/>
  <c r="K884" i="4"/>
  <c r="H884" i="4"/>
  <c r="G884" i="4"/>
  <c r="F884" i="4"/>
  <c r="E884" i="4"/>
  <c r="D884" i="4"/>
  <c r="C884" i="4"/>
  <c r="L883" i="4"/>
  <c r="K883" i="4"/>
  <c r="H883" i="4"/>
  <c r="G883" i="4"/>
  <c r="F883" i="4"/>
  <c r="E883" i="4"/>
  <c r="D883" i="4"/>
  <c r="C883" i="4"/>
  <c r="L882" i="4"/>
  <c r="K882" i="4"/>
  <c r="H882" i="4"/>
  <c r="G882" i="4"/>
  <c r="F882" i="4"/>
  <c r="E882" i="4"/>
  <c r="D882" i="4"/>
  <c r="C882" i="4"/>
  <c r="L881" i="4"/>
  <c r="K881" i="4"/>
  <c r="H881" i="4"/>
  <c r="G881" i="4"/>
  <c r="F881" i="4"/>
  <c r="E881" i="4"/>
  <c r="D881" i="4"/>
  <c r="C881" i="4"/>
  <c r="L880" i="4"/>
  <c r="K880" i="4"/>
  <c r="H880" i="4"/>
  <c r="G880" i="4"/>
  <c r="F880" i="4"/>
  <c r="E880" i="4"/>
  <c r="D880" i="4"/>
  <c r="C880" i="4"/>
  <c r="L879" i="4"/>
  <c r="K879" i="4"/>
  <c r="H879" i="4"/>
  <c r="G879" i="4"/>
  <c r="F879" i="4"/>
  <c r="E879" i="4"/>
  <c r="D879" i="4"/>
  <c r="C879" i="4"/>
  <c r="L878" i="4"/>
  <c r="K878" i="4"/>
  <c r="H878" i="4"/>
  <c r="G878" i="4"/>
  <c r="F878" i="4"/>
  <c r="E878" i="4"/>
  <c r="D878" i="4"/>
  <c r="C878" i="4"/>
  <c r="L877" i="4"/>
  <c r="K877" i="4"/>
  <c r="H877" i="4"/>
  <c r="G877" i="4"/>
  <c r="F877" i="4"/>
  <c r="E877" i="4"/>
  <c r="D877" i="4"/>
  <c r="C877" i="4"/>
  <c r="L876" i="4"/>
  <c r="K876" i="4"/>
  <c r="H876" i="4"/>
  <c r="G876" i="4"/>
  <c r="F876" i="4"/>
  <c r="E876" i="4"/>
  <c r="D876" i="4"/>
  <c r="C876" i="4"/>
  <c r="L875" i="4"/>
  <c r="K875" i="4"/>
  <c r="H875" i="4"/>
  <c r="G875" i="4"/>
  <c r="F875" i="4"/>
  <c r="E875" i="4"/>
  <c r="D875" i="4"/>
  <c r="C875" i="4"/>
  <c r="L874" i="4"/>
  <c r="K874" i="4"/>
  <c r="H874" i="4"/>
  <c r="G874" i="4"/>
  <c r="F874" i="4"/>
  <c r="E874" i="4"/>
  <c r="D874" i="4"/>
  <c r="C874" i="4"/>
  <c r="L873" i="4"/>
  <c r="K873" i="4"/>
  <c r="H873" i="4"/>
  <c r="G873" i="4"/>
  <c r="F873" i="4"/>
  <c r="E873" i="4"/>
  <c r="D873" i="4"/>
  <c r="C873" i="4"/>
  <c r="L872" i="4"/>
  <c r="K872" i="4"/>
  <c r="H872" i="4"/>
  <c r="G872" i="4"/>
  <c r="F872" i="4"/>
  <c r="E872" i="4"/>
  <c r="D872" i="4"/>
  <c r="C872" i="4"/>
  <c r="L871" i="4"/>
  <c r="K871" i="4"/>
  <c r="H871" i="4"/>
  <c r="G871" i="4"/>
  <c r="F871" i="4"/>
  <c r="E871" i="4"/>
  <c r="D871" i="4"/>
  <c r="C871" i="4"/>
  <c r="L870" i="4"/>
  <c r="K870" i="4"/>
  <c r="H870" i="4"/>
  <c r="G870" i="4"/>
  <c r="F870" i="4"/>
  <c r="E870" i="4"/>
  <c r="D870" i="4"/>
  <c r="C870" i="4"/>
  <c r="L869" i="4"/>
  <c r="K869" i="4"/>
  <c r="H869" i="4"/>
  <c r="G869" i="4"/>
  <c r="F869" i="4"/>
  <c r="E869" i="4"/>
  <c r="D869" i="4"/>
  <c r="C869" i="4"/>
  <c r="L868" i="4"/>
  <c r="K868" i="4"/>
  <c r="H868" i="4"/>
  <c r="G868" i="4"/>
  <c r="F868" i="4"/>
  <c r="E868" i="4"/>
  <c r="D868" i="4"/>
  <c r="C868" i="4"/>
  <c r="L867" i="4"/>
  <c r="K867" i="4"/>
  <c r="H867" i="4"/>
  <c r="G867" i="4"/>
  <c r="F867" i="4"/>
  <c r="E867" i="4"/>
  <c r="D867" i="4"/>
  <c r="C867" i="4"/>
  <c r="L866" i="4"/>
  <c r="K866" i="4"/>
  <c r="H866" i="4"/>
  <c r="G866" i="4"/>
  <c r="F866" i="4"/>
  <c r="E866" i="4"/>
  <c r="D866" i="4"/>
  <c r="C866" i="4"/>
  <c r="L865" i="4"/>
  <c r="K865" i="4"/>
  <c r="H865" i="4"/>
  <c r="G865" i="4"/>
  <c r="F865" i="4"/>
  <c r="E865" i="4"/>
  <c r="D865" i="4"/>
  <c r="C865" i="4"/>
  <c r="L864" i="4"/>
  <c r="K864" i="4"/>
  <c r="H864" i="4"/>
  <c r="G864" i="4"/>
  <c r="F864" i="4"/>
  <c r="E864" i="4"/>
  <c r="D864" i="4"/>
  <c r="C864" i="4"/>
  <c r="L863" i="4"/>
  <c r="K863" i="4"/>
  <c r="H863" i="4"/>
  <c r="G863" i="4"/>
  <c r="F863" i="4"/>
  <c r="E863" i="4"/>
  <c r="D863" i="4"/>
  <c r="C863" i="4"/>
  <c r="L862" i="4"/>
  <c r="K862" i="4"/>
  <c r="H862" i="4"/>
  <c r="G862" i="4"/>
  <c r="F862" i="4"/>
  <c r="E862" i="4"/>
  <c r="D862" i="4"/>
  <c r="C862" i="4"/>
  <c r="L861" i="4"/>
  <c r="K861" i="4"/>
  <c r="H861" i="4"/>
  <c r="G861" i="4"/>
  <c r="F861" i="4"/>
  <c r="E861" i="4"/>
  <c r="D861" i="4"/>
  <c r="C861" i="4"/>
  <c r="L860" i="4"/>
  <c r="K860" i="4"/>
  <c r="H860" i="4"/>
  <c r="G860" i="4"/>
  <c r="F860" i="4"/>
  <c r="E860" i="4"/>
  <c r="D860" i="4"/>
  <c r="C860" i="4"/>
  <c r="L859" i="4"/>
  <c r="K859" i="4"/>
  <c r="H859" i="4"/>
  <c r="G859" i="4"/>
  <c r="F859" i="4"/>
  <c r="E859" i="4"/>
  <c r="D859" i="4"/>
  <c r="C859" i="4"/>
  <c r="L858" i="4"/>
  <c r="K858" i="4"/>
  <c r="H858" i="4"/>
  <c r="G858" i="4"/>
  <c r="F858" i="4"/>
  <c r="E858" i="4"/>
  <c r="D858" i="4"/>
  <c r="C858" i="4"/>
  <c r="L857" i="4"/>
  <c r="K857" i="4"/>
  <c r="H857" i="4"/>
  <c r="G857" i="4"/>
  <c r="F857" i="4"/>
  <c r="E857" i="4"/>
  <c r="D857" i="4"/>
  <c r="C857" i="4"/>
  <c r="L856" i="4"/>
  <c r="K856" i="4"/>
  <c r="H856" i="4"/>
  <c r="G856" i="4"/>
  <c r="F856" i="4"/>
  <c r="E856" i="4"/>
  <c r="D856" i="4"/>
  <c r="C856" i="4"/>
  <c r="L855" i="4"/>
  <c r="K855" i="4"/>
  <c r="H855" i="4"/>
  <c r="G855" i="4"/>
  <c r="F855" i="4"/>
  <c r="E855" i="4"/>
  <c r="D855" i="4"/>
  <c r="C855" i="4"/>
  <c r="L854" i="4"/>
  <c r="K854" i="4"/>
  <c r="H854" i="4"/>
  <c r="G854" i="4"/>
  <c r="F854" i="4"/>
  <c r="E854" i="4"/>
  <c r="D854" i="4"/>
  <c r="C854" i="4"/>
  <c r="L853" i="4"/>
  <c r="K853" i="4"/>
  <c r="H853" i="4"/>
  <c r="G853" i="4"/>
  <c r="F853" i="4"/>
  <c r="E853" i="4"/>
  <c r="D853" i="4"/>
  <c r="C853" i="4"/>
  <c r="L852" i="4"/>
  <c r="K852" i="4"/>
  <c r="H852" i="4"/>
  <c r="G852" i="4"/>
  <c r="F852" i="4"/>
  <c r="E852" i="4"/>
  <c r="D852" i="4"/>
  <c r="C852" i="4"/>
  <c r="L851" i="4"/>
  <c r="K851" i="4"/>
  <c r="H851" i="4"/>
  <c r="G851" i="4"/>
  <c r="F851" i="4"/>
  <c r="E851" i="4"/>
  <c r="D851" i="4"/>
  <c r="C851" i="4"/>
  <c r="L850" i="4"/>
  <c r="K850" i="4"/>
  <c r="H850" i="4"/>
  <c r="G850" i="4"/>
  <c r="F850" i="4"/>
  <c r="E850" i="4"/>
  <c r="D850" i="4"/>
  <c r="C850" i="4"/>
  <c r="L849" i="4"/>
  <c r="K849" i="4"/>
  <c r="H849" i="4"/>
  <c r="G849" i="4"/>
  <c r="F849" i="4"/>
  <c r="E849" i="4"/>
  <c r="D849" i="4"/>
  <c r="C849" i="4"/>
  <c r="L848" i="4"/>
  <c r="K848" i="4"/>
  <c r="H848" i="4"/>
  <c r="G848" i="4"/>
  <c r="F848" i="4"/>
  <c r="E848" i="4"/>
  <c r="D848" i="4"/>
  <c r="C848" i="4"/>
  <c r="L847" i="4"/>
  <c r="K847" i="4"/>
  <c r="H847" i="4"/>
  <c r="G847" i="4"/>
  <c r="F847" i="4"/>
  <c r="E847" i="4"/>
  <c r="D847" i="4"/>
  <c r="C847" i="4"/>
  <c r="L846" i="4"/>
  <c r="K846" i="4"/>
  <c r="H846" i="4"/>
  <c r="G846" i="4"/>
  <c r="F846" i="4"/>
  <c r="E846" i="4"/>
  <c r="D846" i="4"/>
  <c r="C846" i="4"/>
  <c r="L845" i="4"/>
  <c r="K845" i="4"/>
  <c r="H845" i="4"/>
  <c r="G845" i="4"/>
  <c r="F845" i="4"/>
  <c r="E845" i="4"/>
  <c r="D845" i="4"/>
  <c r="C845" i="4"/>
  <c r="L844" i="4"/>
  <c r="K844" i="4"/>
  <c r="H844" i="4"/>
  <c r="G844" i="4"/>
  <c r="F844" i="4"/>
  <c r="E844" i="4"/>
  <c r="D844" i="4"/>
  <c r="C844" i="4"/>
  <c r="L843" i="4"/>
  <c r="K843" i="4"/>
  <c r="H843" i="4"/>
  <c r="G843" i="4"/>
  <c r="F843" i="4"/>
  <c r="E843" i="4"/>
  <c r="D843" i="4"/>
  <c r="C843" i="4"/>
  <c r="L842" i="4"/>
  <c r="K842" i="4"/>
  <c r="H842" i="4"/>
  <c r="G842" i="4"/>
  <c r="F842" i="4"/>
  <c r="E842" i="4"/>
  <c r="D842" i="4"/>
  <c r="C842" i="4"/>
  <c r="L841" i="4"/>
  <c r="K841" i="4"/>
  <c r="H841" i="4"/>
  <c r="G841" i="4"/>
  <c r="F841" i="4"/>
  <c r="E841" i="4"/>
  <c r="D841" i="4"/>
  <c r="C841" i="4"/>
  <c r="L840" i="4"/>
  <c r="K840" i="4"/>
  <c r="H840" i="4"/>
  <c r="G840" i="4"/>
  <c r="F840" i="4"/>
  <c r="E840" i="4"/>
  <c r="D840" i="4"/>
  <c r="C840" i="4"/>
  <c r="L839" i="4"/>
  <c r="K839" i="4"/>
  <c r="H839" i="4"/>
  <c r="G839" i="4"/>
  <c r="F839" i="4"/>
  <c r="E839" i="4"/>
  <c r="D839" i="4"/>
  <c r="C839" i="4"/>
  <c r="L838" i="4"/>
  <c r="K838" i="4"/>
  <c r="H838" i="4"/>
  <c r="G838" i="4"/>
  <c r="F838" i="4"/>
  <c r="E838" i="4"/>
  <c r="D838" i="4"/>
  <c r="C838" i="4"/>
  <c r="L837" i="4"/>
  <c r="K837" i="4"/>
  <c r="H837" i="4"/>
  <c r="G837" i="4"/>
  <c r="F837" i="4"/>
  <c r="E837" i="4"/>
  <c r="D837" i="4"/>
  <c r="C837" i="4"/>
  <c r="L836" i="4"/>
  <c r="K836" i="4"/>
  <c r="H836" i="4"/>
  <c r="G836" i="4"/>
  <c r="F836" i="4"/>
  <c r="E836" i="4"/>
  <c r="D836" i="4"/>
  <c r="C836" i="4"/>
  <c r="L835" i="4"/>
  <c r="K835" i="4"/>
  <c r="H835" i="4"/>
  <c r="G835" i="4"/>
  <c r="F835" i="4"/>
  <c r="E835" i="4"/>
  <c r="D835" i="4"/>
  <c r="C835" i="4"/>
  <c r="L834" i="4"/>
  <c r="K834" i="4"/>
  <c r="H834" i="4"/>
  <c r="G834" i="4"/>
  <c r="F834" i="4"/>
  <c r="E834" i="4"/>
  <c r="D834" i="4"/>
  <c r="C834" i="4"/>
  <c r="L833" i="4"/>
  <c r="K833" i="4"/>
  <c r="H833" i="4"/>
  <c r="G833" i="4"/>
  <c r="F833" i="4"/>
  <c r="E833" i="4"/>
  <c r="D833" i="4"/>
  <c r="C833" i="4"/>
  <c r="L832" i="4"/>
  <c r="K832" i="4"/>
  <c r="H832" i="4"/>
  <c r="G832" i="4"/>
  <c r="F832" i="4"/>
  <c r="E832" i="4"/>
  <c r="D832" i="4"/>
  <c r="C832" i="4"/>
  <c r="L831" i="4"/>
  <c r="K831" i="4"/>
  <c r="H831" i="4"/>
  <c r="G831" i="4"/>
  <c r="F831" i="4"/>
  <c r="E831" i="4"/>
  <c r="D831" i="4"/>
  <c r="C831" i="4"/>
  <c r="L830" i="4"/>
  <c r="K830" i="4"/>
  <c r="H830" i="4"/>
  <c r="G830" i="4"/>
  <c r="F830" i="4"/>
  <c r="E830" i="4"/>
  <c r="D830" i="4"/>
  <c r="C830" i="4"/>
  <c r="L829" i="4"/>
  <c r="K829" i="4"/>
  <c r="H829" i="4"/>
  <c r="G829" i="4"/>
  <c r="F829" i="4"/>
  <c r="E829" i="4"/>
  <c r="D829" i="4"/>
  <c r="C829" i="4"/>
  <c r="L828" i="4"/>
  <c r="K828" i="4"/>
  <c r="H828" i="4"/>
  <c r="G828" i="4"/>
  <c r="F828" i="4"/>
  <c r="E828" i="4"/>
  <c r="D828" i="4"/>
  <c r="C828" i="4"/>
  <c r="L827" i="4"/>
  <c r="K827" i="4"/>
  <c r="H827" i="4"/>
  <c r="G827" i="4"/>
  <c r="F827" i="4"/>
  <c r="E827" i="4"/>
  <c r="D827" i="4"/>
  <c r="C827" i="4"/>
  <c r="L826" i="4"/>
  <c r="K826" i="4"/>
  <c r="H826" i="4"/>
  <c r="G826" i="4"/>
  <c r="F826" i="4"/>
  <c r="E826" i="4"/>
  <c r="D826" i="4"/>
  <c r="C826" i="4"/>
  <c r="L825" i="4"/>
  <c r="K825" i="4"/>
  <c r="H825" i="4"/>
  <c r="G825" i="4"/>
  <c r="F825" i="4"/>
  <c r="E825" i="4"/>
  <c r="D825" i="4"/>
  <c r="C825" i="4"/>
  <c r="L824" i="4"/>
  <c r="K824" i="4"/>
  <c r="H824" i="4"/>
  <c r="G824" i="4"/>
  <c r="F824" i="4"/>
  <c r="E824" i="4"/>
  <c r="D824" i="4"/>
  <c r="C824" i="4"/>
  <c r="L823" i="4"/>
  <c r="K823" i="4"/>
  <c r="H823" i="4"/>
  <c r="G823" i="4"/>
  <c r="F823" i="4"/>
  <c r="E823" i="4"/>
  <c r="D823" i="4"/>
  <c r="C823" i="4"/>
  <c r="L822" i="4"/>
  <c r="K822" i="4"/>
  <c r="H822" i="4"/>
  <c r="G822" i="4"/>
  <c r="F822" i="4"/>
  <c r="E822" i="4"/>
  <c r="D822" i="4"/>
  <c r="C822" i="4"/>
  <c r="L821" i="4"/>
  <c r="K821" i="4"/>
  <c r="H821" i="4"/>
  <c r="G821" i="4"/>
  <c r="F821" i="4"/>
  <c r="E821" i="4"/>
  <c r="D821" i="4"/>
  <c r="C821" i="4"/>
  <c r="L820" i="4"/>
  <c r="K820" i="4"/>
  <c r="H820" i="4"/>
  <c r="G820" i="4"/>
  <c r="F820" i="4"/>
  <c r="E820" i="4"/>
  <c r="D820" i="4"/>
  <c r="C820" i="4"/>
  <c r="L819" i="4"/>
  <c r="K819" i="4"/>
  <c r="H819" i="4"/>
  <c r="G819" i="4"/>
  <c r="F819" i="4"/>
  <c r="E819" i="4"/>
  <c r="D819" i="4"/>
  <c r="C819" i="4"/>
  <c r="L818" i="4"/>
  <c r="K818" i="4"/>
  <c r="H818" i="4"/>
  <c r="G818" i="4"/>
  <c r="F818" i="4"/>
  <c r="E818" i="4"/>
  <c r="D818" i="4"/>
  <c r="C818" i="4"/>
  <c r="L817" i="4"/>
  <c r="K817" i="4"/>
  <c r="H817" i="4"/>
  <c r="G817" i="4"/>
  <c r="F817" i="4"/>
  <c r="E817" i="4"/>
  <c r="D817" i="4"/>
  <c r="C817" i="4"/>
  <c r="L816" i="4"/>
  <c r="K816" i="4"/>
  <c r="H816" i="4"/>
  <c r="G816" i="4"/>
  <c r="F816" i="4"/>
  <c r="E816" i="4"/>
  <c r="D816" i="4"/>
  <c r="C816" i="4"/>
  <c r="L815" i="4"/>
  <c r="K815" i="4"/>
  <c r="H815" i="4"/>
  <c r="G815" i="4"/>
  <c r="F815" i="4"/>
  <c r="E815" i="4"/>
  <c r="D815" i="4"/>
  <c r="C815" i="4"/>
  <c r="L814" i="4"/>
  <c r="K814" i="4"/>
  <c r="H814" i="4"/>
  <c r="G814" i="4"/>
  <c r="F814" i="4"/>
  <c r="E814" i="4"/>
  <c r="D814" i="4"/>
  <c r="C814" i="4"/>
  <c r="L813" i="4"/>
  <c r="K813" i="4"/>
  <c r="H813" i="4"/>
  <c r="G813" i="4"/>
  <c r="F813" i="4"/>
  <c r="E813" i="4"/>
  <c r="D813" i="4"/>
  <c r="C813" i="4"/>
  <c r="L812" i="4"/>
  <c r="K812" i="4"/>
  <c r="H812" i="4"/>
  <c r="G812" i="4"/>
  <c r="F812" i="4"/>
  <c r="E812" i="4"/>
  <c r="D812" i="4"/>
  <c r="C812" i="4"/>
  <c r="L811" i="4"/>
  <c r="K811" i="4"/>
  <c r="H811" i="4"/>
  <c r="G811" i="4"/>
  <c r="F811" i="4"/>
  <c r="E811" i="4"/>
  <c r="D811" i="4"/>
  <c r="C811" i="4"/>
  <c r="L810" i="4"/>
  <c r="K810" i="4"/>
  <c r="H810" i="4"/>
  <c r="G810" i="4"/>
  <c r="F810" i="4"/>
  <c r="E810" i="4"/>
  <c r="D810" i="4"/>
  <c r="C810" i="4"/>
  <c r="L809" i="4"/>
  <c r="K809" i="4"/>
  <c r="H809" i="4"/>
  <c r="G809" i="4"/>
  <c r="F809" i="4"/>
  <c r="E809" i="4"/>
  <c r="D809" i="4"/>
  <c r="C809" i="4"/>
  <c r="L808" i="4"/>
  <c r="K808" i="4"/>
  <c r="H808" i="4"/>
  <c r="G808" i="4"/>
  <c r="F808" i="4"/>
  <c r="E808" i="4"/>
  <c r="D808" i="4"/>
  <c r="C808" i="4"/>
  <c r="L807" i="4"/>
  <c r="K807" i="4"/>
  <c r="H807" i="4"/>
  <c r="G807" i="4"/>
  <c r="F807" i="4"/>
  <c r="E807" i="4"/>
  <c r="D807" i="4"/>
  <c r="C807" i="4"/>
  <c r="L806" i="4"/>
  <c r="K806" i="4"/>
  <c r="H806" i="4"/>
  <c r="G806" i="4"/>
  <c r="F806" i="4"/>
  <c r="E806" i="4"/>
  <c r="D806" i="4"/>
  <c r="C806" i="4"/>
  <c r="L805" i="4"/>
  <c r="K805" i="4"/>
  <c r="H805" i="4"/>
  <c r="G805" i="4"/>
  <c r="F805" i="4"/>
  <c r="E805" i="4"/>
  <c r="D805" i="4"/>
  <c r="C805" i="4"/>
  <c r="L804" i="4"/>
  <c r="K804" i="4"/>
  <c r="H804" i="4"/>
  <c r="G804" i="4"/>
  <c r="F804" i="4"/>
  <c r="E804" i="4"/>
  <c r="D804" i="4"/>
  <c r="C804" i="4"/>
  <c r="L803" i="4"/>
  <c r="K803" i="4"/>
  <c r="H803" i="4"/>
  <c r="G803" i="4"/>
  <c r="F803" i="4"/>
  <c r="E803" i="4"/>
  <c r="D803" i="4"/>
  <c r="C803" i="4"/>
  <c r="L802" i="4"/>
  <c r="K802" i="4"/>
  <c r="H802" i="4"/>
  <c r="G802" i="4"/>
  <c r="F802" i="4"/>
  <c r="E802" i="4"/>
  <c r="D802" i="4"/>
  <c r="C802" i="4"/>
  <c r="L801" i="4"/>
  <c r="K801" i="4"/>
  <c r="H801" i="4"/>
  <c r="G801" i="4"/>
  <c r="F801" i="4"/>
  <c r="E801" i="4"/>
  <c r="D801" i="4"/>
  <c r="C801" i="4"/>
  <c r="L800" i="4"/>
  <c r="K800" i="4"/>
  <c r="H800" i="4"/>
  <c r="G800" i="4"/>
  <c r="F800" i="4"/>
  <c r="E800" i="4"/>
  <c r="D800" i="4"/>
  <c r="C800" i="4"/>
  <c r="L799" i="4"/>
  <c r="K799" i="4"/>
  <c r="H799" i="4"/>
  <c r="G799" i="4"/>
  <c r="F799" i="4"/>
  <c r="E799" i="4"/>
  <c r="D799" i="4"/>
  <c r="C799" i="4"/>
  <c r="L798" i="4"/>
  <c r="K798" i="4"/>
  <c r="H798" i="4"/>
  <c r="G798" i="4"/>
  <c r="F798" i="4"/>
  <c r="E798" i="4"/>
  <c r="D798" i="4"/>
  <c r="C798" i="4"/>
  <c r="L797" i="4"/>
  <c r="K797" i="4"/>
  <c r="H797" i="4"/>
  <c r="G797" i="4"/>
  <c r="F797" i="4"/>
  <c r="E797" i="4"/>
  <c r="D797" i="4"/>
  <c r="C797" i="4"/>
  <c r="L796" i="4"/>
  <c r="K796" i="4"/>
  <c r="H796" i="4"/>
  <c r="G796" i="4"/>
  <c r="F796" i="4"/>
  <c r="E796" i="4"/>
  <c r="D796" i="4"/>
  <c r="C796" i="4"/>
  <c r="L795" i="4"/>
  <c r="K795" i="4"/>
  <c r="H795" i="4"/>
  <c r="G795" i="4"/>
  <c r="F795" i="4"/>
  <c r="E795" i="4"/>
  <c r="D795" i="4"/>
  <c r="C795" i="4"/>
  <c r="L794" i="4"/>
  <c r="K794" i="4"/>
  <c r="H794" i="4"/>
  <c r="G794" i="4"/>
  <c r="F794" i="4"/>
  <c r="E794" i="4"/>
  <c r="D794" i="4"/>
  <c r="C794" i="4"/>
  <c r="L793" i="4"/>
  <c r="K793" i="4"/>
  <c r="H793" i="4"/>
  <c r="G793" i="4"/>
  <c r="F793" i="4"/>
  <c r="E793" i="4"/>
  <c r="D793" i="4"/>
  <c r="C793" i="4"/>
  <c r="L792" i="4"/>
  <c r="K792" i="4"/>
  <c r="H792" i="4"/>
  <c r="G792" i="4"/>
  <c r="F792" i="4"/>
  <c r="E792" i="4"/>
  <c r="D792" i="4"/>
  <c r="C792" i="4"/>
  <c r="L791" i="4"/>
  <c r="K791" i="4"/>
  <c r="H791" i="4"/>
  <c r="G791" i="4"/>
  <c r="F791" i="4"/>
  <c r="E791" i="4"/>
  <c r="D791" i="4"/>
  <c r="C791" i="4"/>
  <c r="L790" i="4"/>
  <c r="K790" i="4"/>
  <c r="H790" i="4"/>
  <c r="G790" i="4"/>
  <c r="F790" i="4"/>
  <c r="E790" i="4"/>
  <c r="D790" i="4"/>
  <c r="C790" i="4"/>
  <c r="L789" i="4"/>
  <c r="K789" i="4"/>
  <c r="H789" i="4"/>
  <c r="G789" i="4"/>
  <c r="F789" i="4"/>
  <c r="E789" i="4"/>
  <c r="D789" i="4"/>
  <c r="C789" i="4"/>
  <c r="L788" i="4"/>
  <c r="K788" i="4"/>
  <c r="H788" i="4"/>
  <c r="G788" i="4"/>
  <c r="F788" i="4"/>
  <c r="E788" i="4"/>
  <c r="D788" i="4"/>
  <c r="C788" i="4"/>
  <c r="L787" i="4"/>
  <c r="K787" i="4"/>
  <c r="H787" i="4"/>
  <c r="G787" i="4"/>
  <c r="F787" i="4"/>
  <c r="E787" i="4"/>
  <c r="D787" i="4"/>
  <c r="C787" i="4"/>
  <c r="L786" i="4"/>
  <c r="K786" i="4"/>
  <c r="H786" i="4"/>
  <c r="G786" i="4"/>
  <c r="F786" i="4"/>
  <c r="E786" i="4"/>
  <c r="D786" i="4"/>
  <c r="C786" i="4"/>
  <c r="L785" i="4"/>
  <c r="K785" i="4"/>
  <c r="H785" i="4"/>
  <c r="G785" i="4"/>
  <c r="F785" i="4"/>
  <c r="E785" i="4"/>
  <c r="D785" i="4"/>
  <c r="C785" i="4"/>
  <c r="L784" i="4"/>
  <c r="K784" i="4"/>
  <c r="H784" i="4"/>
  <c r="G784" i="4"/>
  <c r="F784" i="4"/>
  <c r="E784" i="4"/>
  <c r="D784" i="4"/>
  <c r="C784" i="4"/>
  <c r="L783" i="4"/>
  <c r="K783" i="4"/>
  <c r="H783" i="4"/>
  <c r="G783" i="4"/>
  <c r="F783" i="4"/>
  <c r="E783" i="4"/>
  <c r="D783" i="4"/>
  <c r="C783" i="4"/>
  <c r="L782" i="4"/>
  <c r="K782" i="4"/>
  <c r="H782" i="4"/>
  <c r="G782" i="4"/>
  <c r="F782" i="4"/>
  <c r="E782" i="4"/>
  <c r="D782" i="4"/>
  <c r="C782" i="4"/>
  <c r="L781" i="4"/>
  <c r="K781" i="4"/>
  <c r="H781" i="4"/>
  <c r="G781" i="4"/>
  <c r="F781" i="4"/>
  <c r="E781" i="4"/>
  <c r="D781" i="4"/>
  <c r="C781" i="4"/>
  <c r="L780" i="4"/>
  <c r="K780" i="4"/>
  <c r="H780" i="4"/>
  <c r="G780" i="4"/>
  <c r="F780" i="4"/>
  <c r="E780" i="4"/>
  <c r="D780" i="4"/>
  <c r="C780" i="4"/>
  <c r="L779" i="4"/>
  <c r="K779" i="4"/>
  <c r="H779" i="4"/>
  <c r="G779" i="4"/>
  <c r="F779" i="4"/>
  <c r="E779" i="4"/>
  <c r="D779" i="4"/>
  <c r="C779" i="4"/>
  <c r="L778" i="4"/>
  <c r="K778" i="4"/>
  <c r="H778" i="4"/>
  <c r="G778" i="4"/>
  <c r="F778" i="4"/>
  <c r="E778" i="4"/>
  <c r="D778" i="4"/>
  <c r="C778" i="4"/>
  <c r="L777" i="4"/>
  <c r="K777" i="4"/>
  <c r="H777" i="4"/>
  <c r="G777" i="4"/>
  <c r="F777" i="4"/>
  <c r="E777" i="4"/>
  <c r="D777" i="4"/>
  <c r="C777" i="4"/>
  <c r="L776" i="4"/>
  <c r="K776" i="4"/>
  <c r="H776" i="4"/>
  <c r="G776" i="4"/>
  <c r="F776" i="4"/>
  <c r="E776" i="4"/>
  <c r="D776" i="4"/>
  <c r="C776" i="4"/>
  <c r="L775" i="4"/>
  <c r="K775" i="4"/>
  <c r="H775" i="4"/>
  <c r="G775" i="4"/>
  <c r="F775" i="4"/>
  <c r="E775" i="4"/>
  <c r="D775" i="4"/>
  <c r="C775" i="4"/>
  <c r="L774" i="4"/>
  <c r="K774" i="4"/>
  <c r="H774" i="4"/>
  <c r="G774" i="4"/>
  <c r="F774" i="4"/>
  <c r="E774" i="4"/>
  <c r="D774" i="4"/>
  <c r="C774" i="4"/>
  <c r="L773" i="4"/>
  <c r="K773" i="4"/>
  <c r="H773" i="4"/>
  <c r="G773" i="4"/>
  <c r="F773" i="4"/>
  <c r="E773" i="4"/>
  <c r="D773" i="4"/>
  <c r="C773" i="4"/>
  <c r="L772" i="4"/>
  <c r="K772" i="4"/>
  <c r="H772" i="4"/>
  <c r="G772" i="4"/>
  <c r="F772" i="4"/>
  <c r="E772" i="4"/>
  <c r="D772" i="4"/>
  <c r="C772" i="4"/>
  <c r="L771" i="4"/>
  <c r="K771" i="4"/>
  <c r="H771" i="4"/>
  <c r="G771" i="4"/>
  <c r="F771" i="4"/>
  <c r="E771" i="4"/>
  <c r="D771" i="4"/>
  <c r="C771" i="4"/>
  <c r="L770" i="4"/>
  <c r="K770" i="4"/>
  <c r="H770" i="4"/>
  <c r="G770" i="4"/>
  <c r="F770" i="4"/>
  <c r="E770" i="4"/>
  <c r="D770" i="4"/>
  <c r="C770" i="4"/>
  <c r="L769" i="4"/>
  <c r="K769" i="4"/>
  <c r="H769" i="4"/>
  <c r="G769" i="4"/>
  <c r="F769" i="4"/>
  <c r="E769" i="4"/>
  <c r="D769" i="4"/>
  <c r="C769" i="4"/>
  <c r="L768" i="4"/>
  <c r="K768" i="4"/>
  <c r="H768" i="4"/>
  <c r="G768" i="4"/>
  <c r="F768" i="4"/>
  <c r="E768" i="4"/>
  <c r="D768" i="4"/>
  <c r="C768" i="4"/>
  <c r="L767" i="4"/>
  <c r="K767" i="4"/>
  <c r="H767" i="4"/>
  <c r="G767" i="4"/>
  <c r="F767" i="4"/>
  <c r="E767" i="4"/>
  <c r="D767" i="4"/>
  <c r="C767" i="4"/>
  <c r="L766" i="4"/>
  <c r="K766" i="4"/>
  <c r="H766" i="4"/>
  <c r="G766" i="4"/>
  <c r="F766" i="4"/>
  <c r="E766" i="4"/>
  <c r="D766" i="4"/>
  <c r="C766" i="4"/>
  <c r="L765" i="4"/>
  <c r="K765" i="4"/>
  <c r="H765" i="4"/>
  <c r="G765" i="4"/>
  <c r="F765" i="4"/>
  <c r="E765" i="4"/>
  <c r="D765" i="4"/>
  <c r="C765" i="4"/>
  <c r="L764" i="4"/>
  <c r="K764" i="4"/>
  <c r="H764" i="4"/>
  <c r="G764" i="4"/>
  <c r="F764" i="4"/>
  <c r="E764" i="4"/>
  <c r="D764" i="4"/>
  <c r="C764" i="4"/>
  <c r="L763" i="4"/>
  <c r="K763" i="4"/>
  <c r="H763" i="4"/>
  <c r="G763" i="4"/>
  <c r="F763" i="4"/>
  <c r="E763" i="4"/>
  <c r="D763" i="4"/>
  <c r="C763" i="4"/>
  <c r="L762" i="4"/>
  <c r="K762" i="4"/>
  <c r="H762" i="4"/>
  <c r="G762" i="4"/>
  <c r="F762" i="4"/>
  <c r="E762" i="4"/>
  <c r="D762" i="4"/>
  <c r="C762" i="4"/>
  <c r="L761" i="4"/>
  <c r="K761" i="4"/>
  <c r="H761" i="4"/>
  <c r="G761" i="4"/>
  <c r="F761" i="4"/>
  <c r="E761" i="4"/>
  <c r="D761" i="4"/>
  <c r="C761" i="4"/>
  <c r="L760" i="4"/>
  <c r="K760" i="4"/>
  <c r="H760" i="4"/>
  <c r="G760" i="4"/>
  <c r="F760" i="4"/>
  <c r="E760" i="4"/>
  <c r="D760" i="4"/>
  <c r="C760" i="4"/>
  <c r="L759" i="4"/>
  <c r="K759" i="4"/>
  <c r="H759" i="4"/>
  <c r="G759" i="4"/>
  <c r="F759" i="4"/>
  <c r="E759" i="4"/>
  <c r="D759" i="4"/>
  <c r="C759" i="4"/>
  <c r="L758" i="4"/>
  <c r="K758" i="4"/>
  <c r="H758" i="4"/>
  <c r="G758" i="4"/>
  <c r="F758" i="4"/>
  <c r="E758" i="4"/>
  <c r="D758" i="4"/>
  <c r="C758" i="4"/>
  <c r="L757" i="4"/>
  <c r="K757" i="4"/>
  <c r="H757" i="4"/>
  <c r="G757" i="4"/>
  <c r="F757" i="4"/>
  <c r="E757" i="4"/>
  <c r="D757" i="4"/>
  <c r="C757" i="4"/>
  <c r="L756" i="4"/>
  <c r="K756" i="4"/>
  <c r="H756" i="4"/>
  <c r="G756" i="4"/>
  <c r="F756" i="4"/>
  <c r="E756" i="4"/>
  <c r="D756" i="4"/>
  <c r="C756" i="4"/>
  <c r="L755" i="4"/>
  <c r="K755" i="4"/>
  <c r="H755" i="4"/>
  <c r="G755" i="4"/>
  <c r="F755" i="4"/>
  <c r="E755" i="4"/>
  <c r="D755" i="4"/>
  <c r="C755" i="4"/>
  <c r="L754" i="4"/>
  <c r="K754" i="4"/>
  <c r="H754" i="4"/>
  <c r="G754" i="4"/>
  <c r="F754" i="4"/>
  <c r="E754" i="4"/>
  <c r="D754" i="4"/>
  <c r="C754" i="4"/>
  <c r="L753" i="4"/>
  <c r="K753" i="4"/>
  <c r="H753" i="4"/>
  <c r="G753" i="4"/>
  <c r="F753" i="4"/>
  <c r="E753" i="4"/>
  <c r="D753" i="4"/>
  <c r="C753" i="4"/>
  <c r="L752" i="4"/>
  <c r="K752" i="4"/>
  <c r="H752" i="4"/>
  <c r="G752" i="4"/>
  <c r="F752" i="4"/>
  <c r="E752" i="4"/>
  <c r="D752" i="4"/>
  <c r="C752" i="4"/>
  <c r="L751" i="4"/>
  <c r="K751" i="4"/>
  <c r="H751" i="4"/>
  <c r="G751" i="4"/>
  <c r="F751" i="4"/>
  <c r="E751" i="4"/>
  <c r="D751" i="4"/>
  <c r="C751" i="4"/>
  <c r="L750" i="4"/>
  <c r="K750" i="4"/>
  <c r="H750" i="4"/>
  <c r="G750" i="4"/>
  <c r="F750" i="4"/>
  <c r="E750" i="4"/>
  <c r="D750" i="4"/>
  <c r="C750" i="4"/>
  <c r="L749" i="4"/>
  <c r="K749" i="4"/>
  <c r="H749" i="4"/>
  <c r="G749" i="4"/>
  <c r="F749" i="4"/>
  <c r="E749" i="4"/>
  <c r="D749" i="4"/>
  <c r="C749" i="4"/>
  <c r="L748" i="4"/>
  <c r="K748" i="4"/>
  <c r="H748" i="4"/>
  <c r="G748" i="4"/>
  <c r="F748" i="4"/>
  <c r="E748" i="4"/>
  <c r="D748" i="4"/>
  <c r="C748" i="4"/>
  <c r="L747" i="4"/>
  <c r="K747" i="4"/>
  <c r="H747" i="4"/>
  <c r="G747" i="4"/>
  <c r="F747" i="4"/>
  <c r="E747" i="4"/>
  <c r="D747" i="4"/>
  <c r="C747" i="4"/>
  <c r="L746" i="4"/>
  <c r="K746" i="4"/>
  <c r="H746" i="4"/>
  <c r="G746" i="4"/>
  <c r="F746" i="4"/>
  <c r="E746" i="4"/>
  <c r="D746" i="4"/>
  <c r="C746" i="4"/>
  <c r="L745" i="4"/>
  <c r="K745" i="4"/>
  <c r="H745" i="4"/>
  <c r="G745" i="4"/>
  <c r="F745" i="4"/>
  <c r="E745" i="4"/>
  <c r="D745" i="4"/>
  <c r="C745" i="4"/>
  <c r="L744" i="4"/>
  <c r="K744" i="4"/>
  <c r="H744" i="4"/>
  <c r="G744" i="4"/>
  <c r="F744" i="4"/>
  <c r="E744" i="4"/>
  <c r="D744" i="4"/>
  <c r="C744" i="4"/>
  <c r="L743" i="4"/>
  <c r="K743" i="4"/>
  <c r="H743" i="4"/>
  <c r="G743" i="4"/>
  <c r="F743" i="4"/>
  <c r="E743" i="4"/>
  <c r="D743" i="4"/>
  <c r="C743" i="4"/>
  <c r="L742" i="4"/>
  <c r="K742" i="4"/>
  <c r="H742" i="4"/>
  <c r="G742" i="4"/>
  <c r="F742" i="4"/>
  <c r="E742" i="4"/>
  <c r="D742" i="4"/>
  <c r="C742" i="4"/>
  <c r="L741" i="4"/>
  <c r="K741" i="4"/>
  <c r="H741" i="4"/>
  <c r="G741" i="4"/>
  <c r="F741" i="4"/>
  <c r="E741" i="4"/>
  <c r="D741" i="4"/>
  <c r="C741" i="4"/>
  <c r="L740" i="4"/>
  <c r="K740" i="4"/>
  <c r="H740" i="4"/>
  <c r="G740" i="4"/>
  <c r="F740" i="4"/>
  <c r="E740" i="4"/>
  <c r="D740" i="4"/>
  <c r="C740" i="4"/>
  <c r="L739" i="4"/>
  <c r="K739" i="4"/>
  <c r="H739" i="4"/>
  <c r="G739" i="4"/>
  <c r="F739" i="4"/>
  <c r="E739" i="4"/>
  <c r="D739" i="4"/>
  <c r="C739" i="4"/>
  <c r="L738" i="4"/>
  <c r="K738" i="4"/>
  <c r="H738" i="4"/>
  <c r="G738" i="4"/>
  <c r="F738" i="4"/>
  <c r="E738" i="4"/>
  <c r="D738" i="4"/>
  <c r="C738" i="4"/>
  <c r="L737" i="4"/>
  <c r="K737" i="4"/>
  <c r="H737" i="4"/>
  <c r="G737" i="4"/>
  <c r="F737" i="4"/>
  <c r="E737" i="4"/>
  <c r="D737" i="4"/>
  <c r="C737" i="4"/>
  <c r="L736" i="4"/>
  <c r="K736" i="4"/>
  <c r="H736" i="4"/>
  <c r="G736" i="4"/>
  <c r="F736" i="4"/>
  <c r="E736" i="4"/>
  <c r="D736" i="4"/>
  <c r="C736" i="4"/>
  <c r="L735" i="4"/>
  <c r="K735" i="4"/>
  <c r="H735" i="4"/>
  <c r="G735" i="4"/>
  <c r="F735" i="4"/>
  <c r="E735" i="4"/>
  <c r="D735" i="4"/>
  <c r="C735" i="4"/>
  <c r="L734" i="4"/>
  <c r="K734" i="4"/>
  <c r="H734" i="4"/>
  <c r="G734" i="4"/>
  <c r="F734" i="4"/>
  <c r="E734" i="4"/>
  <c r="D734" i="4"/>
  <c r="C734" i="4"/>
  <c r="L733" i="4"/>
  <c r="K733" i="4"/>
  <c r="H733" i="4"/>
  <c r="G733" i="4"/>
  <c r="F733" i="4"/>
  <c r="E733" i="4"/>
  <c r="D733" i="4"/>
  <c r="C733" i="4"/>
  <c r="L732" i="4"/>
  <c r="K732" i="4"/>
  <c r="H732" i="4"/>
  <c r="G732" i="4"/>
  <c r="F732" i="4"/>
  <c r="E732" i="4"/>
  <c r="D732" i="4"/>
  <c r="C732" i="4"/>
  <c r="L731" i="4"/>
  <c r="K731" i="4"/>
  <c r="H731" i="4"/>
  <c r="G731" i="4"/>
  <c r="F731" i="4"/>
  <c r="E731" i="4"/>
  <c r="D731" i="4"/>
  <c r="C731" i="4"/>
  <c r="L730" i="4"/>
  <c r="K730" i="4"/>
  <c r="H730" i="4"/>
  <c r="G730" i="4"/>
  <c r="F730" i="4"/>
  <c r="E730" i="4"/>
  <c r="D730" i="4"/>
  <c r="C730" i="4"/>
  <c r="L729" i="4"/>
  <c r="K729" i="4"/>
  <c r="H729" i="4"/>
  <c r="G729" i="4"/>
  <c r="F729" i="4"/>
  <c r="E729" i="4"/>
  <c r="D729" i="4"/>
  <c r="C729" i="4"/>
  <c r="L728" i="4"/>
  <c r="K728" i="4"/>
  <c r="H728" i="4"/>
  <c r="G728" i="4"/>
  <c r="F728" i="4"/>
  <c r="E728" i="4"/>
  <c r="D728" i="4"/>
  <c r="C728" i="4"/>
  <c r="L727" i="4"/>
  <c r="K727" i="4"/>
  <c r="H727" i="4"/>
  <c r="G727" i="4"/>
  <c r="F727" i="4"/>
  <c r="E727" i="4"/>
  <c r="D727" i="4"/>
  <c r="C727" i="4"/>
  <c r="L726" i="4"/>
  <c r="K726" i="4"/>
  <c r="H726" i="4"/>
  <c r="G726" i="4"/>
  <c r="F726" i="4"/>
  <c r="E726" i="4"/>
  <c r="D726" i="4"/>
  <c r="C726" i="4"/>
  <c r="L725" i="4"/>
  <c r="K725" i="4"/>
  <c r="H725" i="4"/>
  <c r="G725" i="4"/>
  <c r="F725" i="4"/>
  <c r="E725" i="4"/>
  <c r="D725" i="4"/>
  <c r="C725" i="4"/>
  <c r="L724" i="4"/>
  <c r="K724" i="4"/>
  <c r="H724" i="4"/>
  <c r="G724" i="4"/>
  <c r="F724" i="4"/>
  <c r="E724" i="4"/>
  <c r="D724" i="4"/>
  <c r="C724" i="4"/>
  <c r="L723" i="4"/>
  <c r="K723" i="4"/>
  <c r="H723" i="4"/>
  <c r="G723" i="4"/>
  <c r="F723" i="4"/>
  <c r="E723" i="4"/>
  <c r="D723" i="4"/>
  <c r="C723" i="4"/>
  <c r="L722" i="4"/>
  <c r="K722" i="4"/>
  <c r="H722" i="4"/>
  <c r="G722" i="4"/>
  <c r="F722" i="4"/>
  <c r="E722" i="4"/>
  <c r="D722" i="4"/>
  <c r="C722" i="4"/>
  <c r="L721" i="4"/>
  <c r="K721" i="4"/>
  <c r="H721" i="4"/>
  <c r="G721" i="4"/>
  <c r="F721" i="4"/>
  <c r="E721" i="4"/>
  <c r="D721" i="4"/>
  <c r="C721" i="4"/>
  <c r="L720" i="4"/>
  <c r="K720" i="4"/>
  <c r="H720" i="4"/>
  <c r="G720" i="4"/>
  <c r="F720" i="4"/>
  <c r="E720" i="4"/>
  <c r="D720" i="4"/>
  <c r="C720" i="4"/>
  <c r="L719" i="4"/>
  <c r="K719" i="4"/>
  <c r="H719" i="4"/>
  <c r="G719" i="4"/>
  <c r="F719" i="4"/>
  <c r="E719" i="4"/>
  <c r="D719" i="4"/>
  <c r="C719" i="4"/>
  <c r="L718" i="4"/>
  <c r="K718" i="4"/>
  <c r="H718" i="4"/>
  <c r="G718" i="4"/>
  <c r="F718" i="4"/>
  <c r="E718" i="4"/>
  <c r="D718" i="4"/>
  <c r="C718" i="4"/>
  <c r="L717" i="4"/>
  <c r="K717" i="4"/>
  <c r="H717" i="4"/>
  <c r="G717" i="4"/>
  <c r="F717" i="4"/>
  <c r="E717" i="4"/>
  <c r="D717" i="4"/>
  <c r="C717" i="4"/>
  <c r="L716" i="4"/>
  <c r="K716" i="4"/>
  <c r="H716" i="4"/>
  <c r="G716" i="4"/>
  <c r="F716" i="4"/>
  <c r="E716" i="4"/>
  <c r="D716" i="4"/>
  <c r="C716" i="4"/>
  <c r="L715" i="4"/>
  <c r="K715" i="4"/>
  <c r="H715" i="4"/>
  <c r="G715" i="4"/>
  <c r="F715" i="4"/>
  <c r="E715" i="4"/>
  <c r="D715" i="4"/>
  <c r="C715" i="4"/>
  <c r="L714" i="4"/>
  <c r="K714" i="4"/>
  <c r="H714" i="4"/>
  <c r="G714" i="4"/>
  <c r="F714" i="4"/>
  <c r="E714" i="4"/>
  <c r="D714" i="4"/>
  <c r="C714" i="4"/>
  <c r="L713" i="4"/>
  <c r="K713" i="4"/>
  <c r="H713" i="4"/>
  <c r="G713" i="4"/>
  <c r="F713" i="4"/>
  <c r="E713" i="4"/>
  <c r="D713" i="4"/>
  <c r="C713" i="4"/>
  <c r="L712" i="4"/>
  <c r="K712" i="4"/>
  <c r="H712" i="4"/>
  <c r="G712" i="4"/>
  <c r="F712" i="4"/>
  <c r="E712" i="4"/>
  <c r="D712" i="4"/>
  <c r="C712" i="4"/>
  <c r="L711" i="4"/>
  <c r="K711" i="4"/>
  <c r="H711" i="4"/>
  <c r="G711" i="4"/>
  <c r="F711" i="4"/>
  <c r="E711" i="4"/>
  <c r="D711" i="4"/>
  <c r="C711" i="4"/>
  <c r="L710" i="4"/>
  <c r="K710" i="4"/>
  <c r="H710" i="4"/>
  <c r="G710" i="4"/>
  <c r="F710" i="4"/>
  <c r="E710" i="4"/>
  <c r="D710" i="4"/>
  <c r="C710" i="4"/>
  <c r="L709" i="4"/>
  <c r="K709" i="4"/>
  <c r="H709" i="4"/>
  <c r="G709" i="4"/>
  <c r="F709" i="4"/>
  <c r="E709" i="4"/>
  <c r="D709" i="4"/>
  <c r="C709" i="4"/>
  <c r="L708" i="4"/>
  <c r="K708" i="4"/>
  <c r="H708" i="4"/>
  <c r="G708" i="4"/>
  <c r="F708" i="4"/>
  <c r="E708" i="4"/>
  <c r="D708" i="4"/>
  <c r="C708" i="4"/>
  <c r="L707" i="4"/>
  <c r="K707" i="4"/>
  <c r="H707" i="4"/>
  <c r="G707" i="4"/>
  <c r="F707" i="4"/>
  <c r="E707" i="4"/>
  <c r="D707" i="4"/>
  <c r="C707" i="4"/>
  <c r="L706" i="4"/>
  <c r="K706" i="4"/>
  <c r="H706" i="4"/>
  <c r="G706" i="4"/>
  <c r="F706" i="4"/>
  <c r="E706" i="4"/>
  <c r="D706" i="4"/>
  <c r="C706" i="4"/>
  <c r="L705" i="4"/>
  <c r="K705" i="4"/>
  <c r="H705" i="4"/>
  <c r="G705" i="4"/>
  <c r="F705" i="4"/>
  <c r="E705" i="4"/>
  <c r="D705" i="4"/>
  <c r="C705" i="4"/>
  <c r="L704" i="4"/>
  <c r="K704" i="4"/>
  <c r="H704" i="4"/>
  <c r="G704" i="4"/>
  <c r="F704" i="4"/>
  <c r="E704" i="4"/>
  <c r="D704" i="4"/>
  <c r="C704" i="4"/>
  <c r="L703" i="4"/>
  <c r="K703" i="4"/>
  <c r="H703" i="4"/>
  <c r="G703" i="4"/>
  <c r="F703" i="4"/>
  <c r="E703" i="4"/>
  <c r="D703" i="4"/>
  <c r="C703" i="4"/>
  <c r="L702" i="4"/>
  <c r="K702" i="4"/>
  <c r="H702" i="4"/>
  <c r="G702" i="4"/>
  <c r="F702" i="4"/>
  <c r="E702" i="4"/>
  <c r="D702" i="4"/>
  <c r="C702" i="4"/>
  <c r="L701" i="4"/>
  <c r="K701" i="4"/>
  <c r="H701" i="4"/>
  <c r="G701" i="4"/>
  <c r="F701" i="4"/>
  <c r="E701" i="4"/>
  <c r="D701" i="4"/>
  <c r="C701" i="4"/>
  <c r="L700" i="4"/>
  <c r="K700" i="4"/>
  <c r="H700" i="4"/>
  <c r="G700" i="4"/>
  <c r="F700" i="4"/>
  <c r="E700" i="4"/>
  <c r="D700" i="4"/>
  <c r="C700" i="4"/>
  <c r="L699" i="4"/>
  <c r="K699" i="4"/>
  <c r="H699" i="4"/>
  <c r="G699" i="4"/>
  <c r="F699" i="4"/>
  <c r="E699" i="4"/>
  <c r="D699" i="4"/>
  <c r="C699" i="4"/>
  <c r="L698" i="4"/>
  <c r="K698" i="4"/>
  <c r="H698" i="4"/>
  <c r="G698" i="4"/>
  <c r="F698" i="4"/>
  <c r="E698" i="4"/>
  <c r="D698" i="4"/>
  <c r="C698" i="4"/>
  <c r="L697" i="4"/>
  <c r="K697" i="4"/>
  <c r="H697" i="4"/>
  <c r="G697" i="4"/>
  <c r="F697" i="4"/>
  <c r="E697" i="4"/>
  <c r="D697" i="4"/>
  <c r="C697" i="4"/>
  <c r="L696" i="4"/>
  <c r="K696" i="4"/>
  <c r="H696" i="4"/>
  <c r="G696" i="4"/>
  <c r="F696" i="4"/>
  <c r="E696" i="4"/>
  <c r="D696" i="4"/>
  <c r="C696" i="4"/>
  <c r="L695" i="4"/>
  <c r="K695" i="4"/>
  <c r="H695" i="4"/>
  <c r="G695" i="4"/>
  <c r="F695" i="4"/>
  <c r="E695" i="4"/>
  <c r="D695" i="4"/>
  <c r="C695" i="4"/>
  <c r="L694" i="4"/>
  <c r="K694" i="4"/>
  <c r="H694" i="4"/>
  <c r="G694" i="4"/>
  <c r="F694" i="4"/>
  <c r="E694" i="4"/>
  <c r="D694" i="4"/>
  <c r="C694" i="4"/>
  <c r="L693" i="4"/>
  <c r="K693" i="4"/>
  <c r="H693" i="4"/>
  <c r="G693" i="4"/>
  <c r="F693" i="4"/>
  <c r="E693" i="4"/>
  <c r="D693" i="4"/>
  <c r="C693" i="4"/>
  <c r="L692" i="4"/>
  <c r="K692" i="4"/>
  <c r="H692" i="4"/>
  <c r="G692" i="4"/>
  <c r="F692" i="4"/>
  <c r="E692" i="4"/>
  <c r="D692" i="4"/>
  <c r="C692" i="4"/>
  <c r="L691" i="4"/>
  <c r="K691" i="4"/>
  <c r="H691" i="4"/>
  <c r="G691" i="4"/>
  <c r="F691" i="4"/>
  <c r="E691" i="4"/>
  <c r="D691" i="4"/>
  <c r="C691" i="4"/>
  <c r="A691" i="4" s="1"/>
  <c r="L690" i="4"/>
  <c r="K690" i="4"/>
  <c r="H690" i="4"/>
  <c r="G690" i="4"/>
  <c r="F690" i="4"/>
  <c r="E690" i="4"/>
  <c r="D690" i="4"/>
  <c r="C690" i="4"/>
  <c r="L689" i="4"/>
  <c r="K689" i="4"/>
  <c r="H689" i="4"/>
  <c r="G689" i="4"/>
  <c r="F689" i="4"/>
  <c r="E689" i="4"/>
  <c r="D689" i="4"/>
  <c r="C689" i="4"/>
  <c r="A689" i="4" s="1"/>
  <c r="L688" i="4"/>
  <c r="K688" i="4"/>
  <c r="H688" i="4"/>
  <c r="G688" i="4"/>
  <c r="F688" i="4"/>
  <c r="E688" i="4"/>
  <c r="D688" i="4"/>
  <c r="C688" i="4"/>
  <c r="L687" i="4"/>
  <c r="K687" i="4"/>
  <c r="H687" i="4"/>
  <c r="G687" i="4"/>
  <c r="F687" i="4"/>
  <c r="E687" i="4"/>
  <c r="D687" i="4"/>
  <c r="C687" i="4"/>
  <c r="A687" i="4" s="1"/>
  <c r="L686" i="4"/>
  <c r="K686" i="4"/>
  <c r="H686" i="4"/>
  <c r="G686" i="4"/>
  <c r="F686" i="4"/>
  <c r="E686" i="4"/>
  <c r="D686" i="4"/>
  <c r="C686" i="4"/>
  <c r="L685" i="4"/>
  <c r="K685" i="4"/>
  <c r="H685" i="4"/>
  <c r="G685" i="4"/>
  <c r="F685" i="4"/>
  <c r="E685" i="4"/>
  <c r="D685" i="4"/>
  <c r="C685" i="4"/>
  <c r="L684" i="4"/>
  <c r="K684" i="4"/>
  <c r="H684" i="4"/>
  <c r="G684" i="4"/>
  <c r="F684" i="4"/>
  <c r="E684" i="4"/>
  <c r="D684" i="4"/>
  <c r="C684" i="4"/>
  <c r="L683" i="4"/>
  <c r="K683" i="4"/>
  <c r="H683" i="4"/>
  <c r="G683" i="4"/>
  <c r="F683" i="4"/>
  <c r="E683" i="4"/>
  <c r="D683" i="4"/>
  <c r="C683" i="4"/>
  <c r="L682" i="4"/>
  <c r="K682" i="4"/>
  <c r="H682" i="4"/>
  <c r="G682" i="4"/>
  <c r="F682" i="4"/>
  <c r="E682" i="4"/>
  <c r="D682" i="4"/>
  <c r="C682" i="4"/>
  <c r="L681" i="4"/>
  <c r="K681" i="4"/>
  <c r="H681" i="4"/>
  <c r="G681" i="4"/>
  <c r="F681" i="4"/>
  <c r="E681" i="4"/>
  <c r="D681" i="4"/>
  <c r="C681" i="4"/>
  <c r="A681" i="4" s="1"/>
  <c r="L680" i="4"/>
  <c r="K680" i="4"/>
  <c r="H680" i="4"/>
  <c r="G680" i="4"/>
  <c r="F680" i="4"/>
  <c r="E680" i="4"/>
  <c r="D680" i="4"/>
  <c r="C680" i="4"/>
  <c r="A680" i="4" s="1"/>
  <c r="L679" i="4"/>
  <c r="K679" i="4"/>
  <c r="H679" i="4"/>
  <c r="G679" i="4"/>
  <c r="F679" i="4"/>
  <c r="E679" i="4"/>
  <c r="D679" i="4"/>
  <c r="C679" i="4"/>
  <c r="L678" i="4"/>
  <c r="K678" i="4"/>
  <c r="H678" i="4"/>
  <c r="G678" i="4"/>
  <c r="F678" i="4"/>
  <c r="E678" i="4"/>
  <c r="D678" i="4"/>
  <c r="C678" i="4"/>
  <c r="A678" i="4" s="1"/>
  <c r="L677" i="4"/>
  <c r="K677" i="4"/>
  <c r="H677" i="4"/>
  <c r="G677" i="4"/>
  <c r="F677" i="4"/>
  <c r="E677" i="4"/>
  <c r="D677" i="4"/>
  <c r="C677" i="4"/>
  <c r="A677" i="4" s="1"/>
  <c r="L676" i="4"/>
  <c r="K676" i="4"/>
  <c r="H676" i="4"/>
  <c r="G676" i="4"/>
  <c r="F676" i="4"/>
  <c r="E676" i="4"/>
  <c r="D676" i="4"/>
  <c r="C676" i="4"/>
  <c r="L675" i="4"/>
  <c r="K675" i="4"/>
  <c r="H675" i="4"/>
  <c r="G675" i="4"/>
  <c r="F675" i="4"/>
  <c r="E675" i="4"/>
  <c r="D675" i="4"/>
  <c r="C675" i="4"/>
  <c r="L674" i="4"/>
  <c r="K674" i="4"/>
  <c r="H674" i="4"/>
  <c r="G674" i="4"/>
  <c r="F674" i="4"/>
  <c r="E674" i="4"/>
  <c r="D674" i="4"/>
  <c r="C674" i="4"/>
  <c r="L673" i="4"/>
  <c r="K673" i="4"/>
  <c r="H673" i="4"/>
  <c r="G673" i="4"/>
  <c r="F673" i="4"/>
  <c r="E673" i="4"/>
  <c r="D673" i="4"/>
  <c r="C673" i="4"/>
  <c r="L672" i="4"/>
  <c r="K672" i="4"/>
  <c r="H672" i="4"/>
  <c r="G672" i="4"/>
  <c r="F672" i="4"/>
  <c r="E672" i="4"/>
  <c r="D672" i="4"/>
  <c r="C672" i="4"/>
  <c r="L671" i="4"/>
  <c r="K671" i="4"/>
  <c r="H671" i="4"/>
  <c r="G671" i="4"/>
  <c r="F671" i="4"/>
  <c r="E671" i="4"/>
  <c r="D671" i="4"/>
  <c r="C671" i="4"/>
  <c r="A671" i="4" s="1"/>
  <c r="L670" i="4"/>
  <c r="K670" i="4"/>
  <c r="H670" i="4"/>
  <c r="G670" i="4"/>
  <c r="F670" i="4"/>
  <c r="E670" i="4"/>
  <c r="D670" i="4"/>
  <c r="C670" i="4"/>
  <c r="L669" i="4"/>
  <c r="K669" i="4"/>
  <c r="H669" i="4"/>
  <c r="G669" i="4"/>
  <c r="F669" i="4"/>
  <c r="E669" i="4"/>
  <c r="D669" i="4"/>
  <c r="C669" i="4"/>
  <c r="L668" i="4"/>
  <c r="K668" i="4"/>
  <c r="H668" i="4"/>
  <c r="G668" i="4"/>
  <c r="F668" i="4"/>
  <c r="E668" i="4"/>
  <c r="D668" i="4"/>
  <c r="C668" i="4"/>
  <c r="A668" i="4" s="1"/>
  <c r="L667" i="4"/>
  <c r="K667" i="4"/>
  <c r="H667" i="4"/>
  <c r="G667" i="4"/>
  <c r="F667" i="4"/>
  <c r="E667" i="4"/>
  <c r="D667" i="4"/>
  <c r="C667" i="4"/>
  <c r="L666" i="4"/>
  <c r="K666" i="4"/>
  <c r="H666" i="4"/>
  <c r="G666" i="4"/>
  <c r="F666" i="4"/>
  <c r="E666" i="4"/>
  <c r="D666" i="4"/>
  <c r="C666" i="4"/>
  <c r="L665" i="4"/>
  <c r="K665" i="4"/>
  <c r="H665" i="4"/>
  <c r="G665" i="4"/>
  <c r="A665" i="4" s="1"/>
  <c r="F665" i="4"/>
  <c r="E665" i="4"/>
  <c r="D665" i="4"/>
  <c r="C665" i="4"/>
  <c r="L664" i="4"/>
  <c r="K664" i="4"/>
  <c r="H664" i="4"/>
  <c r="G664" i="4"/>
  <c r="F664" i="4"/>
  <c r="E664" i="4"/>
  <c r="D664" i="4"/>
  <c r="C664" i="4"/>
  <c r="L663" i="4"/>
  <c r="K663" i="4"/>
  <c r="H663" i="4"/>
  <c r="G663" i="4"/>
  <c r="F663" i="4"/>
  <c r="E663" i="4"/>
  <c r="D663" i="4"/>
  <c r="C663" i="4"/>
  <c r="L662" i="4"/>
  <c r="K662" i="4"/>
  <c r="H662" i="4"/>
  <c r="G662" i="4"/>
  <c r="F662" i="4"/>
  <c r="E662" i="4"/>
  <c r="D662" i="4"/>
  <c r="C662" i="4"/>
  <c r="L661" i="4"/>
  <c r="K661" i="4"/>
  <c r="H661" i="4"/>
  <c r="G661" i="4"/>
  <c r="F661" i="4"/>
  <c r="E661" i="4"/>
  <c r="D661" i="4"/>
  <c r="C661" i="4"/>
  <c r="L660" i="4"/>
  <c r="K660" i="4"/>
  <c r="H660" i="4"/>
  <c r="G660" i="4"/>
  <c r="F660" i="4"/>
  <c r="E660" i="4"/>
  <c r="D660" i="4"/>
  <c r="C660" i="4"/>
  <c r="L659" i="4"/>
  <c r="K659" i="4"/>
  <c r="H659" i="4"/>
  <c r="G659" i="4"/>
  <c r="F659" i="4"/>
  <c r="E659" i="4"/>
  <c r="D659" i="4"/>
  <c r="C659" i="4"/>
  <c r="L658" i="4"/>
  <c r="K658" i="4"/>
  <c r="H658" i="4"/>
  <c r="G658" i="4"/>
  <c r="F658" i="4"/>
  <c r="E658" i="4"/>
  <c r="D658" i="4"/>
  <c r="C658" i="4"/>
  <c r="L657" i="4"/>
  <c r="K657" i="4"/>
  <c r="H657" i="4"/>
  <c r="G657" i="4"/>
  <c r="F657" i="4"/>
  <c r="E657" i="4"/>
  <c r="D657" i="4"/>
  <c r="C657" i="4"/>
  <c r="L656" i="4"/>
  <c r="K656" i="4"/>
  <c r="H656" i="4"/>
  <c r="G656" i="4"/>
  <c r="F656" i="4"/>
  <c r="E656" i="4"/>
  <c r="D656" i="4"/>
  <c r="C656" i="4"/>
  <c r="L655" i="4"/>
  <c r="K655" i="4"/>
  <c r="H655" i="4"/>
  <c r="G655" i="4"/>
  <c r="F655" i="4"/>
  <c r="E655" i="4"/>
  <c r="D655" i="4"/>
  <c r="C655" i="4"/>
  <c r="L654" i="4"/>
  <c r="K654" i="4"/>
  <c r="H654" i="4"/>
  <c r="G654" i="4"/>
  <c r="F654" i="4"/>
  <c r="E654" i="4"/>
  <c r="D654" i="4"/>
  <c r="C654" i="4"/>
  <c r="L653" i="4"/>
  <c r="K653" i="4"/>
  <c r="H653" i="4"/>
  <c r="G653" i="4"/>
  <c r="F653" i="4"/>
  <c r="E653" i="4"/>
  <c r="D653" i="4"/>
  <c r="C653" i="4"/>
  <c r="L652" i="4"/>
  <c r="K652" i="4"/>
  <c r="H652" i="4"/>
  <c r="G652" i="4"/>
  <c r="F652" i="4"/>
  <c r="E652" i="4"/>
  <c r="D652" i="4"/>
  <c r="C652" i="4"/>
  <c r="L651" i="4"/>
  <c r="K651" i="4"/>
  <c r="H651" i="4"/>
  <c r="G651" i="4"/>
  <c r="F651" i="4"/>
  <c r="E651" i="4"/>
  <c r="D651" i="4"/>
  <c r="C651" i="4"/>
  <c r="L650" i="4"/>
  <c r="K650" i="4"/>
  <c r="H650" i="4"/>
  <c r="G650" i="4"/>
  <c r="F650" i="4"/>
  <c r="E650" i="4"/>
  <c r="D650" i="4"/>
  <c r="C650" i="4"/>
  <c r="L649" i="4"/>
  <c r="K649" i="4"/>
  <c r="H649" i="4"/>
  <c r="G649" i="4"/>
  <c r="F649" i="4"/>
  <c r="E649" i="4"/>
  <c r="D649" i="4"/>
  <c r="C649" i="4"/>
  <c r="L648" i="4"/>
  <c r="K648" i="4"/>
  <c r="H648" i="4"/>
  <c r="G648" i="4"/>
  <c r="F648" i="4"/>
  <c r="E648" i="4"/>
  <c r="D648" i="4"/>
  <c r="C648" i="4"/>
  <c r="L647" i="4"/>
  <c r="K647" i="4"/>
  <c r="H647" i="4"/>
  <c r="G647" i="4"/>
  <c r="F647" i="4"/>
  <c r="E647" i="4"/>
  <c r="D647" i="4"/>
  <c r="C647" i="4"/>
  <c r="L646" i="4"/>
  <c r="K646" i="4"/>
  <c r="H646" i="4"/>
  <c r="G646" i="4"/>
  <c r="F646" i="4"/>
  <c r="E646" i="4"/>
  <c r="D646" i="4"/>
  <c r="C646" i="4"/>
  <c r="L645" i="4"/>
  <c r="K645" i="4"/>
  <c r="H645" i="4"/>
  <c r="G645" i="4"/>
  <c r="F645" i="4"/>
  <c r="E645" i="4"/>
  <c r="D645" i="4"/>
  <c r="C645" i="4"/>
  <c r="L644" i="4"/>
  <c r="K644" i="4"/>
  <c r="H644" i="4"/>
  <c r="G644" i="4"/>
  <c r="F644" i="4"/>
  <c r="E644" i="4"/>
  <c r="D644" i="4"/>
  <c r="C644" i="4"/>
  <c r="L643" i="4"/>
  <c r="K643" i="4"/>
  <c r="H643" i="4"/>
  <c r="G643" i="4"/>
  <c r="F643" i="4"/>
  <c r="E643" i="4"/>
  <c r="D643" i="4"/>
  <c r="C643" i="4"/>
  <c r="L642" i="4"/>
  <c r="K642" i="4"/>
  <c r="H642" i="4"/>
  <c r="G642" i="4"/>
  <c r="F642" i="4"/>
  <c r="E642" i="4"/>
  <c r="D642" i="4"/>
  <c r="C642" i="4"/>
  <c r="L641" i="4"/>
  <c r="K641" i="4"/>
  <c r="H641" i="4"/>
  <c r="G641" i="4"/>
  <c r="F641" i="4"/>
  <c r="E641" i="4"/>
  <c r="D641" i="4"/>
  <c r="C641" i="4"/>
  <c r="L640" i="4"/>
  <c r="K640" i="4"/>
  <c r="H640" i="4"/>
  <c r="G640" i="4"/>
  <c r="F640" i="4"/>
  <c r="E640" i="4"/>
  <c r="D640" i="4"/>
  <c r="C640" i="4"/>
  <c r="L639" i="4"/>
  <c r="K639" i="4"/>
  <c r="H639" i="4"/>
  <c r="G639" i="4"/>
  <c r="F639" i="4"/>
  <c r="E639" i="4"/>
  <c r="D639" i="4"/>
  <c r="C639" i="4"/>
  <c r="L638" i="4"/>
  <c r="K638" i="4"/>
  <c r="H638" i="4"/>
  <c r="G638" i="4"/>
  <c r="F638" i="4"/>
  <c r="E638" i="4"/>
  <c r="D638" i="4"/>
  <c r="C638" i="4"/>
  <c r="L637" i="4"/>
  <c r="K637" i="4"/>
  <c r="H637" i="4"/>
  <c r="G637" i="4"/>
  <c r="F637" i="4"/>
  <c r="E637" i="4"/>
  <c r="D637" i="4"/>
  <c r="C637" i="4"/>
  <c r="L636" i="4"/>
  <c r="K636" i="4"/>
  <c r="H636" i="4"/>
  <c r="G636" i="4"/>
  <c r="F636" i="4"/>
  <c r="E636" i="4"/>
  <c r="D636" i="4"/>
  <c r="C636" i="4"/>
  <c r="L635" i="4"/>
  <c r="K635" i="4"/>
  <c r="H635" i="4"/>
  <c r="G635" i="4"/>
  <c r="F635" i="4"/>
  <c r="E635" i="4"/>
  <c r="D635" i="4"/>
  <c r="C635" i="4"/>
  <c r="L634" i="4"/>
  <c r="K634" i="4"/>
  <c r="H634" i="4"/>
  <c r="G634" i="4"/>
  <c r="F634" i="4"/>
  <c r="E634" i="4"/>
  <c r="D634" i="4"/>
  <c r="C634" i="4"/>
  <c r="L633" i="4"/>
  <c r="K633" i="4"/>
  <c r="H633" i="4"/>
  <c r="G633" i="4"/>
  <c r="F633" i="4"/>
  <c r="E633" i="4"/>
  <c r="D633" i="4"/>
  <c r="C633" i="4"/>
  <c r="L632" i="4"/>
  <c r="K632" i="4"/>
  <c r="H632" i="4"/>
  <c r="G632" i="4"/>
  <c r="F632" i="4"/>
  <c r="E632" i="4"/>
  <c r="D632" i="4"/>
  <c r="C632" i="4"/>
  <c r="L631" i="4"/>
  <c r="K631" i="4"/>
  <c r="H631" i="4"/>
  <c r="G631" i="4"/>
  <c r="F631" i="4"/>
  <c r="E631" i="4"/>
  <c r="D631" i="4"/>
  <c r="C631" i="4"/>
  <c r="L630" i="4"/>
  <c r="K630" i="4"/>
  <c r="H630" i="4"/>
  <c r="G630" i="4"/>
  <c r="F630" i="4"/>
  <c r="E630" i="4"/>
  <c r="D630" i="4"/>
  <c r="C630" i="4"/>
  <c r="L629" i="4"/>
  <c r="K629" i="4"/>
  <c r="H629" i="4"/>
  <c r="G629" i="4"/>
  <c r="F629" i="4"/>
  <c r="E629" i="4"/>
  <c r="D629" i="4"/>
  <c r="C629" i="4"/>
  <c r="L628" i="4"/>
  <c r="K628" i="4"/>
  <c r="H628" i="4"/>
  <c r="G628" i="4"/>
  <c r="F628" i="4"/>
  <c r="E628" i="4"/>
  <c r="D628" i="4"/>
  <c r="C628" i="4"/>
  <c r="L627" i="4"/>
  <c r="K627" i="4"/>
  <c r="H627" i="4"/>
  <c r="G627" i="4"/>
  <c r="F627" i="4"/>
  <c r="E627" i="4"/>
  <c r="D627" i="4"/>
  <c r="C627" i="4"/>
  <c r="L626" i="4"/>
  <c r="K626" i="4"/>
  <c r="H626" i="4"/>
  <c r="G626" i="4"/>
  <c r="F626" i="4"/>
  <c r="E626" i="4"/>
  <c r="D626" i="4"/>
  <c r="C626" i="4"/>
  <c r="L625" i="4"/>
  <c r="K625" i="4"/>
  <c r="H625" i="4"/>
  <c r="G625" i="4"/>
  <c r="F625" i="4"/>
  <c r="E625" i="4"/>
  <c r="D625" i="4"/>
  <c r="C625" i="4"/>
  <c r="L624" i="4"/>
  <c r="K624" i="4"/>
  <c r="H624" i="4"/>
  <c r="G624" i="4"/>
  <c r="F624" i="4"/>
  <c r="E624" i="4"/>
  <c r="D624" i="4"/>
  <c r="C624" i="4"/>
  <c r="L623" i="4"/>
  <c r="K623" i="4"/>
  <c r="H623" i="4"/>
  <c r="G623" i="4"/>
  <c r="F623" i="4"/>
  <c r="E623" i="4"/>
  <c r="D623" i="4"/>
  <c r="C623" i="4"/>
  <c r="L622" i="4"/>
  <c r="K622" i="4"/>
  <c r="H622" i="4"/>
  <c r="G622" i="4"/>
  <c r="F622" i="4"/>
  <c r="E622" i="4"/>
  <c r="D622" i="4"/>
  <c r="C622" i="4"/>
  <c r="L621" i="4"/>
  <c r="K621" i="4"/>
  <c r="H621" i="4"/>
  <c r="G621" i="4"/>
  <c r="F621" i="4"/>
  <c r="E621" i="4"/>
  <c r="D621" i="4"/>
  <c r="C621" i="4"/>
  <c r="L620" i="4"/>
  <c r="K620" i="4"/>
  <c r="H620" i="4"/>
  <c r="G620" i="4"/>
  <c r="F620" i="4"/>
  <c r="E620" i="4"/>
  <c r="D620" i="4"/>
  <c r="C620" i="4"/>
  <c r="L619" i="4"/>
  <c r="K619" i="4"/>
  <c r="H619" i="4"/>
  <c r="G619" i="4"/>
  <c r="F619" i="4"/>
  <c r="E619" i="4"/>
  <c r="D619" i="4"/>
  <c r="C619" i="4"/>
  <c r="L618" i="4"/>
  <c r="K618" i="4"/>
  <c r="H618" i="4"/>
  <c r="G618" i="4"/>
  <c r="F618" i="4"/>
  <c r="E618" i="4"/>
  <c r="D618" i="4"/>
  <c r="C618" i="4"/>
  <c r="L617" i="4"/>
  <c r="K617" i="4"/>
  <c r="H617" i="4"/>
  <c r="G617" i="4"/>
  <c r="F617" i="4"/>
  <c r="E617" i="4"/>
  <c r="D617" i="4"/>
  <c r="C617" i="4"/>
  <c r="L616" i="4"/>
  <c r="K616" i="4"/>
  <c r="H616" i="4"/>
  <c r="G616" i="4"/>
  <c r="F616" i="4"/>
  <c r="E616" i="4"/>
  <c r="D616" i="4"/>
  <c r="C616" i="4"/>
  <c r="L615" i="4"/>
  <c r="K615" i="4"/>
  <c r="H615" i="4"/>
  <c r="G615" i="4"/>
  <c r="F615" i="4"/>
  <c r="E615" i="4"/>
  <c r="D615" i="4"/>
  <c r="C615" i="4"/>
  <c r="L614" i="4"/>
  <c r="K614" i="4"/>
  <c r="H614" i="4"/>
  <c r="G614" i="4"/>
  <c r="F614" i="4"/>
  <c r="E614" i="4"/>
  <c r="D614" i="4"/>
  <c r="C614" i="4"/>
  <c r="L613" i="4"/>
  <c r="K613" i="4"/>
  <c r="H613" i="4"/>
  <c r="G613" i="4"/>
  <c r="F613" i="4"/>
  <c r="E613" i="4"/>
  <c r="D613" i="4"/>
  <c r="C613" i="4"/>
  <c r="L612" i="4"/>
  <c r="K612" i="4"/>
  <c r="H612" i="4"/>
  <c r="G612" i="4"/>
  <c r="F612" i="4"/>
  <c r="E612" i="4"/>
  <c r="D612" i="4"/>
  <c r="C612" i="4"/>
  <c r="L611" i="4"/>
  <c r="K611" i="4"/>
  <c r="H611" i="4"/>
  <c r="G611" i="4"/>
  <c r="F611" i="4"/>
  <c r="E611" i="4"/>
  <c r="D611" i="4"/>
  <c r="C611" i="4"/>
  <c r="L610" i="4"/>
  <c r="K610" i="4"/>
  <c r="H610" i="4"/>
  <c r="G610" i="4"/>
  <c r="F610" i="4"/>
  <c r="E610" i="4"/>
  <c r="D610" i="4"/>
  <c r="C610" i="4"/>
  <c r="L609" i="4"/>
  <c r="K609" i="4"/>
  <c r="H609" i="4"/>
  <c r="G609" i="4"/>
  <c r="F609" i="4"/>
  <c r="E609" i="4"/>
  <c r="D609" i="4"/>
  <c r="C609" i="4"/>
  <c r="L608" i="4"/>
  <c r="K608" i="4"/>
  <c r="H608" i="4"/>
  <c r="G608" i="4"/>
  <c r="F608" i="4"/>
  <c r="E608" i="4"/>
  <c r="D608" i="4"/>
  <c r="C608" i="4"/>
  <c r="L607" i="4"/>
  <c r="K607" i="4"/>
  <c r="H607" i="4"/>
  <c r="G607" i="4"/>
  <c r="F607" i="4"/>
  <c r="E607" i="4"/>
  <c r="D607" i="4"/>
  <c r="C607" i="4"/>
  <c r="L606" i="4"/>
  <c r="K606" i="4"/>
  <c r="H606" i="4"/>
  <c r="G606" i="4"/>
  <c r="F606" i="4"/>
  <c r="E606" i="4"/>
  <c r="D606" i="4"/>
  <c r="C606" i="4"/>
  <c r="L605" i="4"/>
  <c r="K605" i="4"/>
  <c r="H605" i="4"/>
  <c r="G605" i="4"/>
  <c r="F605" i="4"/>
  <c r="E605" i="4"/>
  <c r="D605" i="4"/>
  <c r="C605" i="4"/>
  <c r="L604" i="4"/>
  <c r="K604" i="4"/>
  <c r="H604" i="4"/>
  <c r="G604" i="4"/>
  <c r="F604" i="4"/>
  <c r="E604" i="4"/>
  <c r="D604" i="4"/>
  <c r="C604" i="4"/>
  <c r="L603" i="4"/>
  <c r="K603" i="4"/>
  <c r="H603" i="4"/>
  <c r="G603" i="4"/>
  <c r="F603" i="4"/>
  <c r="E603" i="4"/>
  <c r="D603" i="4"/>
  <c r="C603" i="4"/>
  <c r="L602" i="4"/>
  <c r="K602" i="4"/>
  <c r="H602" i="4"/>
  <c r="G602" i="4"/>
  <c r="F602" i="4"/>
  <c r="E602" i="4"/>
  <c r="D602" i="4"/>
  <c r="C602" i="4"/>
  <c r="L601" i="4"/>
  <c r="K601" i="4"/>
  <c r="H601" i="4"/>
  <c r="G601" i="4"/>
  <c r="F601" i="4"/>
  <c r="E601" i="4"/>
  <c r="D601" i="4"/>
  <c r="C601" i="4"/>
  <c r="L600" i="4"/>
  <c r="K600" i="4"/>
  <c r="H600" i="4"/>
  <c r="G600" i="4"/>
  <c r="F600" i="4"/>
  <c r="E600" i="4"/>
  <c r="D600" i="4"/>
  <c r="C600" i="4"/>
  <c r="L599" i="4"/>
  <c r="K599" i="4"/>
  <c r="H599" i="4"/>
  <c r="G599" i="4"/>
  <c r="F599" i="4"/>
  <c r="E599" i="4"/>
  <c r="D599" i="4"/>
  <c r="C599" i="4"/>
  <c r="L598" i="4"/>
  <c r="K598" i="4"/>
  <c r="H598" i="4"/>
  <c r="G598" i="4"/>
  <c r="F598" i="4"/>
  <c r="E598" i="4"/>
  <c r="D598" i="4"/>
  <c r="C598" i="4"/>
  <c r="L597" i="4"/>
  <c r="K597" i="4"/>
  <c r="H597" i="4"/>
  <c r="G597" i="4"/>
  <c r="F597" i="4"/>
  <c r="E597" i="4"/>
  <c r="D597" i="4"/>
  <c r="C597" i="4"/>
  <c r="L596" i="4"/>
  <c r="K596" i="4"/>
  <c r="H596" i="4"/>
  <c r="G596" i="4"/>
  <c r="F596" i="4"/>
  <c r="E596" i="4"/>
  <c r="D596" i="4"/>
  <c r="C596" i="4"/>
  <c r="L595" i="4"/>
  <c r="K595" i="4"/>
  <c r="H595" i="4"/>
  <c r="G595" i="4"/>
  <c r="F595" i="4"/>
  <c r="E595" i="4"/>
  <c r="D595" i="4"/>
  <c r="C595" i="4"/>
  <c r="L594" i="4"/>
  <c r="K594" i="4"/>
  <c r="H594" i="4"/>
  <c r="G594" i="4"/>
  <c r="F594" i="4"/>
  <c r="E594" i="4"/>
  <c r="D594" i="4"/>
  <c r="C594" i="4"/>
  <c r="L593" i="4"/>
  <c r="K593" i="4"/>
  <c r="H593" i="4"/>
  <c r="G593" i="4"/>
  <c r="F593" i="4"/>
  <c r="E593" i="4"/>
  <c r="D593" i="4"/>
  <c r="C593" i="4"/>
  <c r="L592" i="4"/>
  <c r="K592" i="4"/>
  <c r="H592" i="4"/>
  <c r="G592" i="4"/>
  <c r="F592" i="4"/>
  <c r="E592" i="4"/>
  <c r="D592" i="4"/>
  <c r="C592" i="4"/>
  <c r="L591" i="4"/>
  <c r="K591" i="4"/>
  <c r="H591" i="4"/>
  <c r="G591" i="4"/>
  <c r="F591" i="4"/>
  <c r="E591" i="4"/>
  <c r="D591" i="4"/>
  <c r="C591" i="4"/>
  <c r="L590" i="4"/>
  <c r="K590" i="4"/>
  <c r="H590" i="4"/>
  <c r="G590" i="4"/>
  <c r="F590" i="4"/>
  <c r="E590" i="4"/>
  <c r="D590" i="4"/>
  <c r="C590" i="4"/>
  <c r="L589" i="4"/>
  <c r="K589" i="4"/>
  <c r="H589" i="4"/>
  <c r="G589" i="4"/>
  <c r="F589" i="4"/>
  <c r="E589" i="4"/>
  <c r="D589" i="4"/>
  <c r="C589" i="4"/>
  <c r="L588" i="4"/>
  <c r="K588" i="4"/>
  <c r="H588" i="4"/>
  <c r="G588" i="4"/>
  <c r="F588" i="4"/>
  <c r="E588" i="4"/>
  <c r="D588" i="4"/>
  <c r="C588" i="4"/>
  <c r="L587" i="4"/>
  <c r="K587" i="4"/>
  <c r="H587" i="4"/>
  <c r="G587" i="4"/>
  <c r="F587" i="4"/>
  <c r="E587" i="4"/>
  <c r="D587" i="4"/>
  <c r="C587" i="4"/>
  <c r="L586" i="4"/>
  <c r="K586" i="4"/>
  <c r="H586" i="4"/>
  <c r="G586" i="4"/>
  <c r="F586" i="4"/>
  <c r="E586" i="4"/>
  <c r="D586" i="4"/>
  <c r="C586" i="4"/>
  <c r="L585" i="4"/>
  <c r="K585" i="4"/>
  <c r="H585" i="4"/>
  <c r="G585" i="4"/>
  <c r="F585" i="4"/>
  <c r="E585" i="4"/>
  <c r="D585" i="4"/>
  <c r="C585" i="4"/>
  <c r="L584" i="4"/>
  <c r="K584" i="4"/>
  <c r="H584" i="4"/>
  <c r="G584" i="4"/>
  <c r="F584" i="4"/>
  <c r="E584" i="4"/>
  <c r="D584" i="4"/>
  <c r="C584" i="4"/>
  <c r="L583" i="4"/>
  <c r="K583" i="4"/>
  <c r="H583" i="4"/>
  <c r="G583" i="4"/>
  <c r="F583" i="4"/>
  <c r="E583" i="4"/>
  <c r="D583" i="4"/>
  <c r="C583" i="4"/>
  <c r="L582" i="4"/>
  <c r="K582" i="4"/>
  <c r="H582" i="4"/>
  <c r="G582" i="4"/>
  <c r="F582" i="4"/>
  <c r="E582" i="4"/>
  <c r="D582" i="4"/>
  <c r="C582" i="4"/>
  <c r="L581" i="4"/>
  <c r="K581" i="4"/>
  <c r="H581" i="4"/>
  <c r="G581" i="4"/>
  <c r="F581" i="4"/>
  <c r="E581" i="4"/>
  <c r="D581" i="4"/>
  <c r="C581" i="4"/>
  <c r="L580" i="4"/>
  <c r="K580" i="4"/>
  <c r="H580" i="4"/>
  <c r="G580" i="4"/>
  <c r="F580" i="4"/>
  <c r="E580" i="4"/>
  <c r="D580" i="4"/>
  <c r="C580" i="4"/>
  <c r="L579" i="4"/>
  <c r="K579" i="4"/>
  <c r="H579" i="4"/>
  <c r="G579" i="4"/>
  <c r="F579" i="4"/>
  <c r="E579" i="4"/>
  <c r="D579" i="4"/>
  <c r="C579" i="4"/>
  <c r="L578" i="4"/>
  <c r="K578" i="4"/>
  <c r="H578" i="4"/>
  <c r="G578" i="4"/>
  <c r="F578" i="4"/>
  <c r="E578" i="4"/>
  <c r="D578" i="4"/>
  <c r="C578" i="4"/>
  <c r="L577" i="4"/>
  <c r="K577" i="4"/>
  <c r="H577" i="4"/>
  <c r="G577" i="4"/>
  <c r="F577" i="4"/>
  <c r="E577" i="4"/>
  <c r="D577" i="4"/>
  <c r="C577" i="4"/>
  <c r="L576" i="4"/>
  <c r="K576" i="4"/>
  <c r="H576" i="4"/>
  <c r="G576" i="4"/>
  <c r="F576" i="4"/>
  <c r="E576" i="4"/>
  <c r="D576" i="4"/>
  <c r="C576" i="4"/>
  <c r="L575" i="4"/>
  <c r="K575" i="4"/>
  <c r="H575" i="4"/>
  <c r="G575" i="4"/>
  <c r="F575" i="4"/>
  <c r="E575" i="4"/>
  <c r="D575" i="4"/>
  <c r="C575" i="4"/>
  <c r="L574" i="4"/>
  <c r="K574" i="4"/>
  <c r="H574" i="4"/>
  <c r="G574" i="4"/>
  <c r="F574" i="4"/>
  <c r="E574" i="4"/>
  <c r="D574" i="4"/>
  <c r="C574" i="4"/>
  <c r="L573" i="4"/>
  <c r="K573" i="4"/>
  <c r="H573" i="4"/>
  <c r="G573" i="4"/>
  <c r="F573" i="4"/>
  <c r="E573" i="4"/>
  <c r="D573" i="4"/>
  <c r="C573" i="4"/>
  <c r="L572" i="4"/>
  <c r="K572" i="4"/>
  <c r="H572" i="4"/>
  <c r="G572" i="4"/>
  <c r="F572" i="4"/>
  <c r="E572" i="4"/>
  <c r="D572" i="4"/>
  <c r="C572" i="4"/>
  <c r="L571" i="4"/>
  <c r="K571" i="4"/>
  <c r="H571" i="4"/>
  <c r="G571" i="4"/>
  <c r="F571" i="4"/>
  <c r="E571" i="4"/>
  <c r="D571" i="4"/>
  <c r="C571" i="4"/>
  <c r="L570" i="4"/>
  <c r="K570" i="4"/>
  <c r="H570" i="4"/>
  <c r="G570" i="4"/>
  <c r="F570" i="4"/>
  <c r="E570" i="4"/>
  <c r="D570" i="4"/>
  <c r="C570" i="4"/>
  <c r="L569" i="4"/>
  <c r="K569" i="4"/>
  <c r="H569" i="4"/>
  <c r="G569" i="4"/>
  <c r="F569" i="4"/>
  <c r="E569" i="4"/>
  <c r="D569" i="4"/>
  <c r="C569" i="4"/>
  <c r="L568" i="4"/>
  <c r="K568" i="4"/>
  <c r="H568" i="4"/>
  <c r="G568" i="4"/>
  <c r="F568" i="4"/>
  <c r="E568" i="4"/>
  <c r="D568" i="4"/>
  <c r="C568" i="4"/>
  <c r="L567" i="4"/>
  <c r="K567" i="4"/>
  <c r="H567" i="4"/>
  <c r="G567" i="4"/>
  <c r="F567" i="4"/>
  <c r="E567" i="4"/>
  <c r="D567" i="4"/>
  <c r="C567" i="4"/>
  <c r="L566" i="4"/>
  <c r="K566" i="4"/>
  <c r="H566" i="4"/>
  <c r="G566" i="4"/>
  <c r="F566" i="4"/>
  <c r="E566" i="4"/>
  <c r="D566" i="4"/>
  <c r="C566" i="4"/>
  <c r="L565" i="4"/>
  <c r="K565" i="4"/>
  <c r="H565" i="4"/>
  <c r="G565" i="4"/>
  <c r="F565" i="4"/>
  <c r="E565" i="4"/>
  <c r="D565" i="4"/>
  <c r="C565" i="4"/>
  <c r="L564" i="4"/>
  <c r="K564" i="4"/>
  <c r="H564" i="4"/>
  <c r="G564" i="4"/>
  <c r="F564" i="4"/>
  <c r="E564" i="4"/>
  <c r="D564" i="4"/>
  <c r="C564" i="4"/>
  <c r="L563" i="4"/>
  <c r="K563" i="4"/>
  <c r="H563" i="4"/>
  <c r="G563" i="4"/>
  <c r="F563" i="4"/>
  <c r="E563" i="4"/>
  <c r="D563" i="4"/>
  <c r="C563" i="4"/>
  <c r="L562" i="4"/>
  <c r="K562" i="4"/>
  <c r="H562" i="4"/>
  <c r="G562" i="4"/>
  <c r="F562" i="4"/>
  <c r="E562" i="4"/>
  <c r="D562" i="4"/>
  <c r="C562" i="4"/>
  <c r="L561" i="4"/>
  <c r="K561" i="4"/>
  <c r="H561" i="4"/>
  <c r="G561" i="4"/>
  <c r="F561" i="4"/>
  <c r="E561" i="4"/>
  <c r="D561" i="4"/>
  <c r="C561" i="4"/>
  <c r="L560" i="4"/>
  <c r="K560" i="4"/>
  <c r="H560" i="4"/>
  <c r="G560" i="4"/>
  <c r="F560" i="4"/>
  <c r="E560" i="4"/>
  <c r="D560" i="4"/>
  <c r="C560" i="4"/>
  <c r="L559" i="4"/>
  <c r="K559" i="4"/>
  <c r="H559" i="4"/>
  <c r="G559" i="4"/>
  <c r="F559" i="4"/>
  <c r="E559" i="4"/>
  <c r="D559" i="4"/>
  <c r="C559" i="4"/>
  <c r="L558" i="4"/>
  <c r="K558" i="4"/>
  <c r="H558" i="4"/>
  <c r="G558" i="4"/>
  <c r="F558" i="4"/>
  <c r="E558" i="4"/>
  <c r="D558" i="4"/>
  <c r="C558" i="4"/>
  <c r="L557" i="4"/>
  <c r="K557" i="4"/>
  <c r="H557" i="4"/>
  <c r="G557" i="4"/>
  <c r="F557" i="4"/>
  <c r="E557" i="4"/>
  <c r="D557" i="4"/>
  <c r="C557" i="4"/>
  <c r="L556" i="4"/>
  <c r="K556" i="4"/>
  <c r="H556" i="4"/>
  <c r="G556" i="4"/>
  <c r="F556" i="4"/>
  <c r="E556" i="4"/>
  <c r="D556" i="4"/>
  <c r="C556" i="4"/>
  <c r="L555" i="4"/>
  <c r="K555" i="4"/>
  <c r="H555" i="4"/>
  <c r="G555" i="4"/>
  <c r="F555" i="4"/>
  <c r="E555" i="4"/>
  <c r="D555" i="4"/>
  <c r="C555" i="4"/>
  <c r="L554" i="4"/>
  <c r="K554" i="4"/>
  <c r="H554" i="4"/>
  <c r="G554" i="4"/>
  <c r="F554" i="4"/>
  <c r="E554" i="4"/>
  <c r="D554" i="4"/>
  <c r="C554" i="4"/>
  <c r="L553" i="4"/>
  <c r="K553" i="4"/>
  <c r="H553" i="4"/>
  <c r="G553" i="4"/>
  <c r="F553" i="4"/>
  <c r="E553" i="4"/>
  <c r="D553" i="4"/>
  <c r="C553" i="4"/>
  <c r="L552" i="4"/>
  <c r="K552" i="4"/>
  <c r="H552" i="4"/>
  <c r="G552" i="4"/>
  <c r="F552" i="4"/>
  <c r="E552" i="4"/>
  <c r="D552" i="4"/>
  <c r="C552" i="4"/>
  <c r="L551" i="4"/>
  <c r="K551" i="4"/>
  <c r="H551" i="4"/>
  <c r="G551" i="4"/>
  <c r="F551" i="4"/>
  <c r="E551" i="4"/>
  <c r="D551" i="4"/>
  <c r="C551" i="4"/>
  <c r="L550" i="4"/>
  <c r="K550" i="4"/>
  <c r="H550" i="4"/>
  <c r="G550" i="4"/>
  <c r="F550" i="4"/>
  <c r="E550" i="4"/>
  <c r="D550" i="4"/>
  <c r="C550" i="4"/>
  <c r="L549" i="4"/>
  <c r="K549" i="4"/>
  <c r="H549" i="4"/>
  <c r="G549" i="4"/>
  <c r="F549" i="4"/>
  <c r="E549" i="4"/>
  <c r="D549" i="4"/>
  <c r="C549" i="4"/>
  <c r="L548" i="4"/>
  <c r="K548" i="4"/>
  <c r="H548" i="4"/>
  <c r="G548" i="4"/>
  <c r="F548" i="4"/>
  <c r="E548" i="4"/>
  <c r="D548" i="4"/>
  <c r="C548" i="4"/>
  <c r="L547" i="4"/>
  <c r="K547" i="4"/>
  <c r="H547" i="4"/>
  <c r="G547" i="4"/>
  <c r="F547" i="4"/>
  <c r="E547" i="4"/>
  <c r="D547" i="4"/>
  <c r="C547" i="4"/>
  <c r="L546" i="4"/>
  <c r="K546" i="4"/>
  <c r="H546" i="4"/>
  <c r="G546" i="4"/>
  <c r="F546" i="4"/>
  <c r="E546" i="4"/>
  <c r="D546" i="4"/>
  <c r="C546" i="4"/>
  <c r="L545" i="4"/>
  <c r="K545" i="4"/>
  <c r="H545" i="4"/>
  <c r="G545" i="4"/>
  <c r="F545" i="4"/>
  <c r="E545" i="4"/>
  <c r="D545" i="4"/>
  <c r="C545" i="4"/>
  <c r="L544" i="4"/>
  <c r="K544" i="4"/>
  <c r="H544" i="4"/>
  <c r="G544" i="4"/>
  <c r="F544" i="4"/>
  <c r="E544" i="4"/>
  <c r="D544" i="4"/>
  <c r="C544" i="4"/>
  <c r="L543" i="4"/>
  <c r="K543" i="4"/>
  <c r="H543" i="4"/>
  <c r="G543" i="4"/>
  <c r="F543" i="4"/>
  <c r="E543" i="4"/>
  <c r="D543" i="4"/>
  <c r="C543" i="4"/>
  <c r="L542" i="4"/>
  <c r="K542" i="4"/>
  <c r="H542" i="4"/>
  <c r="G542" i="4"/>
  <c r="F542" i="4"/>
  <c r="E542" i="4"/>
  <c r="D542" i="4"/>
  <c r="C542" i="4"/>
  <c r="L541" i="4"/>
  <c r="K541" i="4"/>
  <c r="H541" i="4"/>
  <c r="G541" i="4"/>
  <c r="F541" i="4"/>
  <c r="E541" i="4"/>
  <c r="D541" i="4"/>
  <c r="C541" i="4"/>
  <c r="L540" i="4"/>
  <c r="K540" i="4"/>
  <c r="H540" i="4"/>
  <c r="G540" i="4"/>
  <c r="F540" i="4"/>
  <c r="E540" i="4"/>
  <c r="D540" i="4"/>
  <c r="C540" i="4"/>
  <c r="L539" i="4"/>
  <c r="K539" i="4"/>
  <c r="H539" i="4"/>
  <c r="G539" i="4"/>
  <c r="F539" i="4"/>
  <c r="E539" i="4"/>
  <c r="D539" i="4"/>
  <c r="C539" i="4"/>
  <c r="L538" i="4"/>
  <c r="K538" i="4"/>
  <c r="H538" i="4"/>
  <c r="G538" i="4"/>
  <c r="F538" i="4"/>
  <c r="E538" i="4"/>
  <c r="D538" i="4"/>
  <c r="C538" i="4"/>
  <c r="L537" i="4"/>
  <c r="K537" i="4"/>
  <c r="H537" i="4"/>
  <c r="G537" i="4"/>
  <c r="F537" i="4"/>
  <c r="E537" i="4"/>
  <c r="D537" i="4"/>
  <c r="C537" i="4"/>
  <c r="L536" i="4"/>
  <c r="K536" i="4"/>
  <c r="H536" i="4"/>
  <c r="G536" i="4"/>
  <c r="F536" i="4"/>
  <c r="E536" i="4"/>
  <c r="D536" i="4"/>
  <c r="C536" i="4"/>
  <c r="L535" i="4"/>
  <c r="K535" i="4"/>
  <c r="H535" i="4"/>
  <c r="G535" i="4"/>
  <c r="F535" i="4"/>
  <c r="E535" i="4"/>
  <c r="D535" i="4"/>
  <c r="C535" i="4"/>
  <c r="L534" i="4"/>
  <c r="K534" i="4"/>
  <c r="H534" i="4"/>
  <c r="G534" i="4"/>
  <c r="F534" i="4"/>
  <c r="E534" i="4"/>
  <c r="D534" i="4"/>
  <c r="C534" i="4"/>
  <c r="L533" i="4"/>
  <c r="K533" i="4"/>
  <c r="H533" i="4"/>
  <c r="G533" i="4"/>
  <c r="F533" i="4"/>
  <c r="E533" i="4"/>
  <c r="D533" i="4"/>
  <c r="C533" i="4"/>
  <c r="L532" i="4"/>
  <c r="K532" i="4"/>
  <c r="H532" i="4"/>
  <c r="G532" i="4"/>
  <c r="F532" i="4"/>
  <c r="E532" i="4"/>
  <c r="D532" i="4"/>
  <c r="C532" i="4"/>
  <c r="L531" i="4"/>
  <c r="K531" i="4"/>
  <c r="H531" i="4"/>
  <c r="G531" i="4"/>
  <c r="F531" i="4"/>
  <c r="E531" i="4"/>
  <c r="D531" i="4"/>
  <c r="C531" i="4"/>
  <c r="L530" i="4"/>
  <c r="K530" i="4"/>
  <c r="H530" i="4"/>
  <c r="G530" i="4"/>
  <c r="F530" i="4"/>
  <c r="E530" i="4"/>
  <c r="D530" i="4"/>
  <c r="C530" i="4"/>
  <c r="L529" i="4"/>
  <c r="K529" i="4"/>
  <c r="H529" i="4"/>
  <c r="G529" i="4"/>
  <c r="F529" i="4"/>
  <c r="E529" i="4"/>
  <c r="D529" i="4"/>
  <c r="C529" i="4"/>
  <c r="L528" i="4"/>
  <c r="K528" i="4"/>
  <c r="H528" i="4"/>
  <c r="G528" i="4"/>
  <c r="F528" i="4"/>
  <c r="E528" i="4"/>
  <c r="D528" i="4"/>
  <c r="C528" i="4"/>
  <c r="L527" i="4"/>
  <c r="K527" i="4"/>
  <c r="H527" i="4"/>
  <c r="G527" i="4"/>
  <c r="F527" i="4"/>
  <c r="E527" i="4"/>
  <c r="D527" i="4"/>
  <c r="C527" i="4"/>
  <c r="L526" i="4"/>
  <c r="K526" i="4"/>
  <c r="H526" i="4"/>
  <c r="G526" i="4"/>
  <c r="F526" i="4"/>
  <c r="E526" i="4"/>
  <c r="D526" i="4"/>
  <c r="C526" i="4"/>
  <c r="L525" i="4"/>
  <c r="K525" i="4"/>
  <c r="H525" i="4"/>
  <c r="G525" i="4"/>
  <c r="F525" i="4"/>
  <c r="E525" i="4"/>
  <c r="D525" i="4"/>
  <c r="C525" i="4"/>
  <c r="L524" i="4"/>
  <c r="K524" i="4"/>
  <c r="H524" i="4"/>
  <c r="G524" i="4"/>
  <c r="F524" i="4"/>
  <c r="E524" i="4"/>
  <c r="D524" i="4"/>
  <c r="C524" i="4"/>
  <c r="L523" i="4"/>
  <c r="K523" i="4"/>
  <c r="H523" i="4"/>
  <c r="G523" i="4"/>
  <c r="F523" i="4"/>
  <c r="E523" i="4"/>
  <c r="D523" i="4"/>
  <c r="C523" i="4"/>
  <c r="L522" i="4"/>
  <c r="K522" i="4"/>
  <c r="H522" i="4"/>
  <c r="G522" i="4"/>
  <c r="F522" i="4"/>
  <c r="E522" i="4"/>
  <c r="D522" i="4"/>
  <c r="C522" i="4"/>
  <c r="L521" i="4"/>
  <c r="K521" i="4"/>
  <c r="H521" i="4"/>
  <c r="G521" i="4"/>
  <c r="F521" i="4"/>
  <c r="E521" i="4"/>
  <c r="D521" i="4"/>
  <c r="C521" i="4"/>
  <c r="L520" i="4"/>
  <c r="K520" i="4"/>
  <c r="H520" i="4"/>
  <c r="G520" i="4"/>
  <c r="F520" i="4"/>
  <c r="E520" i="4"/>
  <c r="D520" i="4"/>
  <c r="C520" i="4"/>
  <c r="L519" i="4"/>
  <c r="K519" i="4"/>
  <c r="H519" i="4"/>
  <c r="G519" i="4"/>
  <c r="F519" i="4"/>
  <c r="E519" i="4"/>
  <c r="D519" i="4"/>
  <c r="C519" i="4"/>
  <c r="L518" i="4"/>
  <c r="K518" i="4"/>
  <c r="H518" i="4"/>
  <c r="G518" i="4"/>
  <c r="F518" i="4"/>
  <c r="E518" i="4"/>
  <c r="D518" i="4"/>
  <c r="C518" i="4"/>
  <c r="L517" i="4"/>
  <c r="K517" i="4"/>
  <c r="H517" i="4"/>
  <c r="G517" i="4"/>
  <c r="F517" i="4"/>
  <c r="E517" i="4"/>
  <c r="D517" i="4"/>
  <c r="C517" i="4"/>
  <c r="L516" i="4"/>
  <c r="K516" i="4"/>
  <c r="H516" i="4"/>
  <c r="G516" i="4"/>
  <c r="F516" i="4"/>
  <c r="E516" i="4"/>
  <c r="D516" i="4"/>
  <c r="C516" i="4"/>
  <c r="L515" i="4"/>
  <c r="K515" i="4"/>
  <c r="H515" i="4"/>
  <c r="G515" i="4"/>
  <c r="F515" i="4"/>
  <c r="E515" i="4"/>
  <c r="D515" i="4"/>
  <c r="C515" i="4"/>
  <c r="L514" i="4"/>
  <c r="K514" i="4"/>
  <c r="H514" i="4"/>
  <c r="G514" i="4"/>
  <c r="F514" i="4"/>
  <c r="E514" i="4"/>
  <c r="D514" i="4"/>
  <c r="C514" i="4"/>
  <c r="L513" i="4"/>
  <c r="K513" i="4"/>
  <c r="H513" i="4"/>
  <c r="G513" i="4"/>
  <c r="F513" i="4"/>
  <c r="E513" i="4"/>
  <c r="D513" i="4"/>
  <c r="C513" i="4"/>
  <c r="L512" i="4"/>
  <c r="K512" i="4"/>
  <c r="H512" i="4"/>
  <c r="G512" i="4"/>
  <c r="F512" i="4"/>
  <c r="E512" i="4"/>
  <c r="D512" i="4"/>
  <c r="C512" i="4"/>
  <c r="L511" i="4"/>
  <c r="K511" i="4"/>
  <c r="H511" i="4"/>
  <c r="G511" i="4"/>
  <c r="F511" i="4"/>
  <c r="E511" i="4"/>
  <c r="D511" i="4"/>
  <c r="C511" i="4"/>
  <c r="L510" i="4"/>
  <c r="K510" i="4"/>
  <c r="H510" i="4"/>
  <c r="G510" i="4"/>
  <c r="F510" i="4"/>
  <c r="E510" i="4"/>
  <c r="D510" i="4"/>
  <c r="C510" i="4"/>
  <c r="L509" i="4"/>
  <c r="K509" i="4"/>
  <c r="H509" i="4"/>
  <c r="G509" i="4"/>
  <c r="F509" i="4"/>
  <c r="E509" i="4"/>
  <c r="D509" i="4"/>
  <c r="C509" i="4"/>
  <c r="L508" i="4"/>
  <c r="K508" i="4"/>
  <c r="H508" i="4"/>
  <c r="G508" i="4"/>
  <c r="F508" i="4"/>
  <c r="E508" i="4"/>
  <c r="D508" i="4"/>
  <c r="C508" i="4"/>
  <c r="L507" i="4"/>
  <c r="K507" i="4"/>
  <c r="H507" i="4"/>
  <c r="G507" i="4"/>
  <c r="F507" i="4"/>
  <c r="E507" i="4"/>
  <c r="D507" i="4"/>
  <c r="C507" i="4"/>
  <c r="L506" i="4"/>
  <c r="K506" i="4"/>
  <c r="H506" i="4"/>
  <c r="G506" i="4"/>
  <c r="F506" i="4"/>
  <c r="E506" i="4"/>
  <c r="D506" i="4"/>
  <c r="C506" i="4"/>
  <c r="L505" i="4"/>
  <c r="K505" i="4"/>
  <c r="H505" i="4"/>
  <c r="G505" i="4"/>
  <c r="F505" i="4"/>
  <c r="E505" i="4"/>
  <c r="D505" i="4"/>
  <c r="C505" i="4"/>
  <c r="L504" i="4"/>
  <c r="K504" i="4"/>
  <c r="H504" i="4"/>
  <c r="G504" i="4"/>
  <c r="F504" i="4"/>
  <c r="E504" i="4"/>
  <c r="D504" i="4"/>
  <c r="C504" i="4"/>
  <c r="L503" i="4"/>
  <c r="K503" i="4"/>
  <c r="H503" i="4"/>
  <c r="G503" i="4"/>
  <c r="F503" i="4"/>
  <c r="E503" i="4"/>
  <c r="D503" i="4"/>
  <c r="C503" i="4"/>
  <c r="L502" i="4"/>
  <c r="K502" i="4"/>
  <c r="H502" i="4"/>
  <c r="G502" i="4"/>
  <c r="F502" i="4"/>
  <c r="E502" i="4"/>
  <c r="D502" i="4"/>
  <c r="C502" i="4"/>
  <c r="L501" i="4"/>
  <c r="K501" i="4"/>
  <c r="H501" i="4"/>
  <c r="G501" i="4"/>
  <c r="F501" i="4"/>
  <c r="E501" i="4"/>
  <c r="D501" i="4"/>
  <c r="C501" i="4"/>
  <c r="L500" i="4"/>
  <c r="K500" i="4"/>
  <c r="H500" i="4"/>
  <c r="G500" i="4"/>
  <c r="F500" i="4"/>
  <c r="E500" i="4"/>
  <c r="D500" i="4"/>
  <c r="C500" i="4"/>
  <c r="L499" i="4"/>
  <c r="K499" i="4"/>
  <c r="H499" i="4"/>
  <c r="G499" i="4"/>
  <c r="F499" i="4"/>
  <c r="E499" i="4"/>
  <c r="D499" i="4"/>
  <c r="C499" i="4"/>
  <c r="L498" i="4"/>
  <c r="K498" i="4"/>
  <c r="H498" i="4"/>
  <c r="G498" i="4"/>
  <c r="F498" i="4"/>
  <c r="E498" i="4"/>
  <c r="D498" i="4"/>
  <c r="C498" i="4"/>
  <c r="L497" i="4"/>
  <c r="K497" i="4"/>
  <c r="H497" i="4"/>
  <c r="G497" i="4"/>
  <c r="F497" i="4"/>
  <c r="E497" i="4"/>
  <c r="D497" i="4"/>
  <c r="C497" i="4"/>
  <c r="L496" i="4"/>
  <c r="K496" i="4"/>
  <c r="H496" i="4"/>
  <c r="G496" i="4"/>
  <c r="F496" i="4"/>
  <c r="E496" i="4"/>
  <c r="D496" i="4"/>
  <c r="C496" i="4"/>
  <c r="L495" i="4"/>
  <c r="K495" i="4"/>
  <c r="H495" i="4"/>
  <c r="G495" i="4"/>
  <c r="F495" i="4"/>
  <c r="E495" i="4"/>
  <c r="D495" i="4"/>
  <c r="C495" i="4"/>
  <c r="L494" i="4"/>
  <c r="K494" i="4"/>
  <c r="H494" i="4"/>
  <c r="G494" i="4"/>
  <c r="F494" i="4"/>
  <c r="E494" i="4"/>
  <c r="D494" i="4"/>
  <c r="C494" i="4"/>
  <c r="L493" i="4"/>
  <c r="K493" i="4"/>
  <c r="H493" i="4"/>
  <c r="G493" i="4"/>
  <c r="F493" i="4"/>
  <c r="E493" i="4"/>
  <c r="D493" i="4"/>
  <c r="C493" i="4"/>
  <c r="L492" i="4"/>
  <c r="K492" i="4"/>
  <c r="H492" i="4"/>
  <c r="G492" i="4"/>
  <c r="F492" i="4"/>
  <c r="E492" i="4"/>
  <c r="D492" i="4"/>
  <c r="C492" i="4"/>
  <c r="L491" i="4"/>
  <c r="K491" i="4"/>
  <c r="H491" i="4"/>
  <c r="G491" i="4"/>
  <c r="F491" i="4"/>
  <c r="E491" i="4"/>
  <c r="D491" i="4"/>
  <c r="C491" i="4"/>
  <c r="L490" i="4"/>
  <c r="K490" i="4"/>
  <c r="H490" i="4"/>
  <c r="G490" i="4"/>
  <c r="F490" i="4"/>
  <c r="E490" i="4"/>
  <c r="D490" i="4"/>
  <c r="C490" i="4"/>
  <c r="L489" i="4"/>
  <c r="K489" i="4"/>
  <c r="H489" i="4"/>
  <c r="G489" i="4"/>
  <c r="F489" i="4"/>
  <c r="E489" i="4"/>
  <c r="D489" i="4"/>
  <c r="C489" i="4"/>
  <c r="L488" i="4"/>
  <c r="K488" i="4"/>
  <c r="H488" i="4"/>
  <c r="G488" i="4"/>
  <c r="F488" i="4"/>
  <c r="E488" i="4"/>
  <c r="D488" i="4"/>
  <c r="C488" i="4"/>
  <c r="L487" i="4"/>
  <c r="K487" i="4"/>
  <c r="H487" i="4"/>
  <c r="G487" i="4"/>
  <c r="F487" i="4"/>
  <c r="E487" i="4"/>
  <c r="D487" i="4"/>
  <c r="C487" i="4"/>
  <c r="L486" i="4"/>
  <c r="K486" i="4"/>
  <c r="H486" i="4"/>
  <c r="G486" i="4"/>
  <c r="F486" i="4"/>
  <c r="E486" i="4"/>
  <c r="D486" i="4"/>
  <c r="C486" i="4"/>
  <c r="L485" i="4"/>
  <c r="K485" i="4"/>
  <c r="H485" i="4"/>
  <c r="G485" i="4"/>
  <c r="F485" i="4"/>
  <c r="E485" i="4"/>
  <c r="D485" i="4"/>
  <c r="C485" i="4"/>
  <c r="L484" i="4"/>
  <c r="K484" i="4"/>
  <c r="H484" i="4"/>
  <c r="G484" i="4"/>
  <c r="F484" i="4"/>
  <c r="E484" i="4"/>
  <c r="D484" i="4"/>
  <c r="C484" i="4"/>
  <c r="L483" i="4"/>
  <c r="K483" i="4"/>
  <c r="H483" i="4"/>
  <c r="G483" i="4"/>
  <c r="F483" i="4"/>
  <c r="E483" i="4"/>
  <c r="D483" i="4"/>
  <c r="C483" i="4"/>
  <c r="L482" i="4"/>
  <c r="K482" i="4"/>
  <c r="H482" i="4"/>
  <c r="G482" i="4"/>
  <c r="F482" i="4"/>
  <c r="E482" i="4"/>
  <c r="D482" i="4"/>
  <c r="C482" i="4"/>
  <c r="L481" i="4"/>
  <c r="K481" i="4"/>
  <c r="H481" i="4"/>
  <c r="G481" i="4"/>
  <c r="F481" i="4"/>
  <c r="E481" i="4"/>
  <c r="D481" i="4"/>
  <c r="C481" i="4"/>
  <c r="L480" i="4"/>
  <c r="K480" i="4"/>
  <c r="H480" i="4"/>
  <c r="G480" i="4"/>
  <c r="F480" i="4"/>
  <c r="E480" i="4"/>
  <c r="D480" i="4"/>
  <c r="C480" i="4"/>
  <c r="L479" i="4"/>
  <c r="K479" i="4"/>
  <c r="H479" i="4"/>
  <c r="G479" i="4"/>
  <c r="F479" i="4"/>
  <c r="E479" i="4"/>
  <c r="D479" i="4"/>
  <c r="C479" i="4"/>
  <c r="L478" i="4"/>
  <c r="K478" i="4"/>
  <c r="H478" i="4"/>
  <c r="G478" i="4"/>
  <c r="F478" i="4"/>
  <c r="E478" i="4"/>
  <c r="D478" i="4"/>
  <c r="C478" i="4"/>
  <c r="L477" i="4"/>
  <c r="K477" i="4"/>
  <c r="H477" i="4"/>
  <c r="G477" i="4"/>
  <c r="F477" i="4"/>
  <c r="E477" i="4"/>
  <c r="D477" i="4"/>
  <c r="C477" i="4"/>
  <c r="L476" i="4"/>
  <c r="K476" i="4"/>
  <c r="H476" i="4"/>
  <c r="G476" i="4"/>
  <c r="F476" i="4"/>
  <c r="E476" i="4"/>
  <c r="D476" i="4"/>
  <c r="C476" i="4"/>
  <c r="L475" i="4"/>
  <c r="K475" i="4"/>
  <c r="H475" i="4"/>
  <c r="G475" i="4"/>
  <c r="F475" i="4"/>
  <c r="E475" i="4"/>
  <c r="D475" i="4"/>
  <c r="C475" i="4"/>
  <c r="L474" i="4"/>
  <c r="K474" i="4"/>
  <c r="H474" i="4"/>
  <c r="G474" i="4"/>
  <c r="F474" i="4"/>
  <c r="E474" i="4"/>
  <c r="D474" i="4"/>
  <c r="C474" i="4"/>
  <c r="L473" i="4"/>
  <c r="K473" i="4"/>
  <c r="H473" i="4"/>
  <c r="G473" i="4"/>
  <c r="F473" i="4"/>
  <c r="E473" i="4"/>
  <c r="D473" i="4"/>
  <c r="C473" i="4"/>
  <c r="L472" i="4"/>
  <c r="K472" i="4"/>
  <c r="H472" i="4"/>
  <c r="G472" i="4"/>
  <c r="F472" i="4"/>
  <c r="E472" i="4"/>
  <c r="D472" i="4"/>
  <c r="C472" i="4"/>
  <c r="L471" i="4"/>
  <c r="K471" i="4"/>
  <c r="H471" i="4"/>
  <c r="G471" i="4"/>
  <c r="F471" i="4"/>
  <c r="E471" i="4"/>
  <c r="D471" i="4"/>
  <c r="C471" i="4"/>
  <c r="L470" i="4"/>
  <c r="K470" i="4"/>
  <c r="H470" i="4"/>
  <c r="G470" i="4"/>
  <c r="F470" i="4"/>
  <c r="E470" i="4"/>
  <c r="D470" i="4"/>
  <c r="C470" i="4"/>
  <c r="L469" i="4"/>
  <c r="K469" i="4"/>
  <c r="H469" i="4"/>
  <c r="G469" i="4"/>
  <c r="F469" i="4"/>
  <c r="E469" i="4"/>
  <c r="D469" i="4"/>
  <c r="C469" i="4"/>
  <c r="L468" i="4"/>
  <c r="K468" i="4"/>
  <c r="H468" i="4"/>
  <c r="G468" i="4"/>
  <c r="F468" i="4"/>
  <c r="E468" i="4"/>
  <c r="D468" i="4"/>
  <c r="C468" i="4"/>
  <c r="L467" i="4"/>
  <c r="K467" i="4"/>
  <c r="H467" i="4"/>
  <c r="G467" i="4"/>
  <c r="F467" i="4"/>
  <c r="E467" i="4"/>
  <c r="D467" i="4"/>
  <c r="C467" i="4"/>
  <c r="L466" i="4"/>
  <c r="K466" i="4"/>
  <c r="H466" i="4"/>
  <c r="G466" i="4"/>
  <c r="F466" i="4"/>
  <c r="E466" i="4"/>
  <c r="D466" i="4"/>
  <c r="C466" i="4"/>
  <c r="L465" i="4"/>
  <c r="K465" i="4"/>
  <c r="H465" i="4"/>
  <c r="G465" i="4"/>
  <c r="F465" i="4"/>
  <c r="E465" i="4"/>
  <c r="D465" i="4"/>
  <c r="C465" i="4"/>
  <c r="L464" i="4"/>
  <c r="K464" i="4"/>
  <c r="H464" i="4"/>
  <c r="G464" i="4"/>
  <c r="F464" i="4"/>
  <c r="E464" i="4"/>
  <c r="D464" i="4"/>
  <c r="C464" i="4"/>
  <c r="L463" i="4"/>
  <c r="K463" i="4"/>
  <c r="H463" i="4"/>
  <c r="G463" i="4"/>
  <c r="F463" i="4"/>
  <c r="E463" i="4"/>
  <c r="D463" i="4"/>
  <c r="C463" i="4"/>
  <c r="L462" i="4"/>
  <c r="K462" i="4"/>
  <c r="H462" i="4"/>
  <c r="G462" i="4"/>
  <c r="F462" i="4"/>
  <c r="E462" i="4"/>
  <c r="D462" i="4"/>
  <c r="C462" i="4"/>
  <c r="L461" i="4"/>
  <c r="K461" i="4"/>
  <c r="H461" i="4"/>
  <c r="G461" i="4"/>
  <c r="F461" i="4"/>
  <c r="E461" i="4"/>
  <c r="D461" i="4"/>
  <c r="C461" i="4"/>
  <c r="L460" i="4"/>
  <c r="K460" i="4"/>
  <c r="H460" i="4"/>
  <c r="G460" i="4"/>
  <c r="F460" i="4"/>
  <c r="E460" i="4"/>
  <c r="D460" i="4"/>
  <c r="C460" i="4"/>
  <c r="L459" i="4"/>
  <c r="K459" i="4"/>
  <c r="H459" i="4"/>
  <c r="G459" i="4"/>
  <c r="F459" i="4"/>
  <c r="E459" i="4"/>
  <c r="D459" i="4"/>
  <c r="C459" i="4"/>
  <c r="L458" i="4"/>
  <c r="K458" i="4"/>
  <c r="H458" i="4"/>
  <c r="G458" i="4"/>
  <c r="F458" i="4"/>
  <c r="E458" i="4"/>
  <c r="D458" i="4"/>
  <c r="C458" i="4"/>
  <c r="L457" i="4"/>
  <c r="K457" i="4"/>
  <c r="H457" i="4"/>
  <c r="G457" i="4"/>
  <c r="F457" i="4"/>
  <c r="E457" i="4"/>
  <c r="D457" i="4"/>
  <c r="C457" i="4"/>
  <c r="L456" i="4"/>
  <c r="K456" i="4"/>
  <c r="H456" i="4"/>
  <c r="G456" i="4"/>
  <c r="F456" i="4"/>
  <c r="E456" i="4"/>
  <c r="D456" i="4"/>
  <c r="C456" i="4"/>
  <c r="L455" i="4"/>
  <c r="K455" i="4"/>
  <c r="H455" i="4"/>
  <c r="G455" i="4"/>
  <c r="F455" i="4"/>
  <c r="E455" i="4"/>
  <c r="D455" i="4"/>
  <c r="C455" i="4"/>
  <c r="L454" i="4"/>
  <c r="K454" i="4"/>
  <c r="H454" i="4"/>
  <c r="G454" i="4"/>
  <c r="F454" i="4"/>
  <c r="E454" i="4"/>
  <c r="D454" i="4"/>
  <c r="C454" i="4"/>
  <c r="L453" i="4"/>
  <c r="K453" i="4"/>
  <c r="H453" i="4"/>
  <c r="G453" i="4"/>
  <c r="F453" i="4"/>
  <c r="E453" i="4"/>
  <c r="D453" i="4"/>
  <c r="C453" i="4"/>
  <c r="L452" i="4"/>
  <c r="K452" i="4"/>
  <c r="H452" i="4"/>
  <c r="G452" i="4"/>
  <c r="F452" i="4"/>
  <c r="E452" i="4"/>
  <c r="D452" i="4"/>
  <c r="C452" i="4"/>
  <c r="L451" i="4"/>
  <c r="K451" i="4"/>
  <c r="H451" i="4"/>
  <c r="G451" i="4"/>
  <c r="F451" i="4"/>
  <c r="E451" i="4"/>
  <c r="D451" i="4"/>
  <c r="C451" i="4"/>
  <c r="L450" i="4"/>
  <c r="K450" i="4"/>
  <c r="H450" i="4"/>
  <c r="G450" i="4"/>
  <c r="F450" i="4"/>
  <c r="E450" i="4"/>
  <c r="D450" i="4"/>
  <c r="C450" i="4"/>
  <c r="L449" i="4"/>
  <c r="K449" i="4"/>
  <c r="H449" i="4"/>
  <c r="G449" i="4"/>
  <c r="F449" i="4"/>
  <c r="E449" i="4"/>
  <c r="D449" i="4"/>
  <c r="C449" i="4"/>
  <c r="L448" i="4"/>
  <c r="K448" i="4"/>
  <c r="H448" i="4"/>
  <c r="G448" i="4"/>
  <c r="F448" i="4"/>
  <c r="E448" i="4"/>
  <c r="D448" i="4"/>
  <c r="C448" i="4"/>
  <c r="L447" i="4"/>
  <c r="K447" i="4"/>
  <c r="H447" i="4"/>
  <c r="G447" i="4"/>
  <c r="F447" i="4"/>
  <c r="E447" i="4"/>
  <c r="D447" i="4"/>
  <c r="C447" i="4"/>
  <c r="L446" i="4"/>
  <c r="K446" i="4"/>
  <c r="H446" i="4"/>
  <c r="G446" i="4"/>
  <c r="F446" i="4"/>
  <c r="E446" i="4"/>
  <c r="D446" i="4"/>
  <c r="C446" i="4"/>
  <c r="L445" i="4"/>
  <c r="K445" i="4"/>
  <c r="H445" i="4"/>
  <c r="G445" i="4"/>
  <c r="F445" i="4"/>
  <c r="E445" i="4"/>
  <c r="D445" i="4"/>
  <c r="C445" i="4"/>
  <c r="L444" i="4"/>
  <c r="K444" i="4"/>
  <c r="H444" i="4"/>
  <c r="G444" i="4"/>
  <c r="F444" i="4"/>
  <c r="E444" i="4"/>
  <c r="D444" i="4"/>
  <c r="C444" i="4"/>
  <c r="L443" i="4"/>
  <c r="K443" i="4"/>
  <c r="H443" i="4"/>
  <c r="G443" i="4"/>
  <c r="F443" i="4"/>
  <c r="E443" i="4"/>
  <c r="D443" i="4"/>
  <c r="C443" i="4"/>
  <c r="L442" i="4"/>
  <c r="K442" i="4"/>
  <c r="H442" i="4"/>
  <c r="G442" i="4"/>
  <c r="F442" i="4"/>
  <c r="E442" i="4"/>
  <c r="D442" i="4"/>
  <c r="C442" i="4"/>
  <c r="L441" i="4"/>
  <c r="K441" i="4"/>
  <c r="H441" i="4"/>
  <c r="G441" i="4"/>
  <c r="F441" i="4"/>
  <c r="E441" i="4"/>
  <c r="D441" i="4"/>
  <c r="C441" i="4"/>
  <c r="L440" i="4"/>
  <c r="K440" i="4"/>
  <c r="H440" i="4"/>
  <c r="G440" i="4"/>
  <c r="F440" i="4"/>
  <c r="E440" i="4"/>
  <c r="D440" i="4"/>
  <c r="C440" i="4"/>
  <c r="L439" i="4"/>
  <c r="K439" i="4"/>
  <c r="H439" i="4"/>
  <c r="G439" i="4"/>
  <c r="F439" i="4"/>
  <c r="E439" i="4"/>
  <c r="D439" i="4"/>
  <c r="C439" i="4"/>
  <c r="L438" i="4"/>
  <c r="K438" i="4"/>
  <c r="H438" i="4"/>
  <c r="G438" i="4"/>
  <c r="F438" i="4"/>
  <c r="E438" i="4"/>
  <c r="D438" i="4"/>
  <c r="C438" i="4"/>
  <c r="L437" i="4"/>
  <c r="K437" i="4"/>
  <c r="H437" i="4"/>
  <c r="G437" i="4"/>
  <c r="F437" i="4"/>
  <c r="E437" i="4"/>
  <c r="D437" i="4"/>
  <c r="C437" i="4"/>
  <c r="L436" i="4"/>
  <c r="K436" i="4"/>
  <c r="H436" i="4"/>
  <c r="G436" i="4"/>
  <c r="F436" i="4"/>
  <c r="E436" i="4"/>
  <c r="D436" i="4"/>
  <c r="C436" i="4"/>
  <c r="L435" i="4"/>
  <c r="K435" i="4"/>
  <c r="H435" i="4"/>
  <c r="G435" i="4"/>
  <c r="F435" i="4"/>
  <c r="E435" i="4"/>
  <c r="D435" i="4"/>
  <c r="C435" i="4"/>
  <c r="L434" i="4"/>
  <c r="K434" i="4"/>
  <c r="H434" i="4"/>
  <c r="G434" i="4"/>
  <c r="F434" i="4"/>
  <c r="E434" i="4"/>
  <c r="D434" i="4"/>
  <c r="C434" i="4"/>
  <c r="L433" i="4"/>
  <c r="K433" i="4"/>
  <c r="H433" i="4"/>
  <c r="G433" i="4"/>
  <c r="F433" i="4"/>
  <c r="E433" i="4"/>
  <c r="D433" i="4"/>
  <c r="C433" i="4"/>
  <c r="L432" i="4"/>
  <c r="K432" i="4"/>
  <c r="H432" i="4"/>
  <c r="G432" i="4"/>
  <c r="F432" i="4"/>
  <c r="E432" i="4"/>
  <c r="D432" i="4"/>
  <c r="C432" i="4"/>
  <c r="L431" i="4"/>
  <c r="K431" i="4"/>
  <c r="H431" i="4"/>
  <c r="G431" i="4"/>
  <c r="F431" i="4"/>
  <c r="E431" i="4"/>
  <c r="D431" i="4"/>
  <c r="C431" i="4"/>
  <c r="L430" i="4"/>
  <c r="K430" i="4"/>
  <c r="H430" i="4"/>
  <c r="G430" i="4"/>
  <c r="F430" i="4"/>
  <c r="E430" i="4"/>
  <c r="D430" i="4"/>
  <c r="C430" i="4"/>
  <c r="L429" i="4"/>
  <c r="K429" i="4"/>
  <c r="H429" i="4"/>
  <c r="G429" i="4"/>
  <c r="F429" i="4"/>
  <c r="E429" i="4"/>
  <c r="D429" i="4"/>
  <c r="C429" i="4"/>
  <c r="L428" i="4"/>
  <c r="K428" i="4"/>
  <c r="H428" i="4"/>
  <c r="G428" i="4"/>
  <c r="F428" i="4"/>
  <c r="E428" i="4"/>
  <c r="D428" i="4"/>
  <c r="C428" i="4"/>
  <c r="L427" i="4"/>
  <c r="K427" i="4"/>
  <c r="H427" i="4"/>
  <c r="G427" i="4"/>
  <c r="F427" i="4"/>
  <c r="E427" i="4"/>
  <c r="D427" i="4"/>
  <c r="C427" i="4"/>
  <c r="L426" i="4"/>
  <c r="K426" i="4"/>
  <c r="H426" i="4"/>
  <c r="G426" i="4"/>
  <c r="F426" i="4"/>
  <c r="E426" i="4"/>
  <c r="D426" i="4"/>
  <c r="C426" i="4"/>
  <c r="L425" i="4"/>
  <c r="K425" i="4"/>
  <c r="H425" i="4"/>
  <c r="G425" i="4"/>
  <c r="F425" i="4"/>
  <c r="E425" i="4"/>
  <c r="D425" i="4"/>
  <c r="C425" i="4"/>
  <c r="L424" i="4"/>
  <c r="K424" i="4"/>
  <c r="H424" i="4"/>
  <c r="G424" i="4"/>
  <c r="F424" i="4"/>
  <c r="E424" i="4"/>
  <c r="D424" i="4"/>
  <c r="C424" i="4"/>
  <c r="L423" i="4"/>
  <c r="K423" i="4"/>
  <c r="H423" i="4"/>
  <c r="G423" i="4"/>
  <c r="F423" i="4"/>
  <c r="E423" i="4"/>
  <c r="D423" i="4"/>
  <c r="C423" i="4"/>
  <c r="L422" i="4"/>
  <c r="K422" i="4"/>
  <c r="H422" i="4"/>
  <c r="G422" i="4"/>
  <c r="F422" i="4"/>
  <c r="E422" i="4"/>
  <c r="D422" i="4"/>
  <c r="C422" i="4"/>
  <c r="L421" i="4"/>
  <c r="K421" i="4"/>
  <c r="H421" i="4"/>
  <c r="G421" i="4"/>
  <c r="F421" i="4"/>
  <c r="E421" i="4"/>
  <c r="D421" i="4"/>
  <c r="C421" i="4"/>
  <c r="L420" i="4"/>
  <c r="K420" i="4"/>
  <c r="H420" i="4"/>
  <c r="G420" i="4"/>
  <c r="F420" i="4"/>
  <c r="E420" i="4"/>
  <c r="D420" i="4"/>
  <c r="C420" i="4"/>
  <c r="L419" i="4"/>
  <c r="K419" i="4"/>
  <c r="H419" i="4"/>
  <c r="G419" i="4"/>
  <c r="F419" i="4"/>
  <c r="E419" i="4"/>
  <c r="D419" i="4"/>
  <c r="C419" i="4"/>
  <c r="L418" i="4"/>
  <c r="K418" i="4"/>
  <c r="H418" i="4"/>
  <c r="G418" i="4"/>
  <c r="F418" i="4"/>
  <c r="E418" i="4"/>
  <c r="D418" i="4"/>
  <c r="C418" i="4"/>
  <c r="L417" i="4"/>
  <c r="K417" i="4"/>
  <c r="H417" i="4"/>
  <c r="G417" i="4"/>
  <c r="F417" i="4"/>
  <c r="E417" i="4"/>
  <c r="D417" i="4"/>
  <c r="C417" i="4"/>
  <c r="L416" i="4"/>
  <c r="K416" i="4"/>
  <c r="H416" i="4"/>
  <c r="G416" i="4"/>
  <c r="F416" i="4"/>
  <c r="E416" i="4"/>
  <c r="D416" i="4"/>
  <c r="C416" i="4"/>
  <c r="L415" i="4"/>
  <c r="K415" i="4"/>
  <c r="H415" i="4"/>
  <c r="G415" i="4"/>
  <c r="F415" i="4"/>
  <c r="E415" i="4"/>
  <c r="D415" i="4"/>
  <c r="C415" i="4"/>
  <c r="L414" i="4"/>
  <c r="K414" i="4"/>
  <c r="H414" i="4"/>
  <c r="G414" i="4"/>
  <c r="F414" i="4"/>
  <c r="E414" i="4"/>
  <c r="D414" i="4"/>
  <c r="C414" i="4"/>
  <c r="L413" i="4"/>
  <c r="K413" i="4"/>
  <c r="H413" i="4"/>
  <c r="G413" i="4"/>
  <c r="F413" i="4"/>
  <c r="E413" i="4"/>
  <c r="D413" i="4"/>
  <c r="C413" i="4"/>
  <c r="L412" i="4"/>
  <c r="K412" i="4"/>
  <c r="H412" i="4"/>
  <c r="G412" i="4"/>
  <c r="F412" i="4"/>
  <c r="E412" i="4"/>
  <c r="D412" i="4"/>
  <c r="C412" i="4"/>
  <c r="L411" i="4"/>
  <c r="K411" i="4"/>
  <c r="H411" i="4"/>
  <c r="G411" i="4"/>
  <c r="F411" i="4"/>
  <c r="E411" i="4"/>
  <c r="D411" i="4"/>
  <c r="C411" i="4"/>
  <c r="L410" i="4"/>
  <c r="K410" i="4"/>
  <c r="H410" i="4"/>
  <c r="G410" i="4"/>
  <c r="F410" i="4"/>
  <c r="E410" i="4"/>
  <c r="D410" i="4"/>
  <c r="C410" i="4"/>
  <c r="L409" i="4"/>
  <c r="K409" i="4"/>
  <c r="H409" i="4"/>
  <c r="G409" i="4"/>
  <c r="F409" i="4"/>
  <c r="E409" i="4"/>
  <c r="D409" i="4"/>
  <c r="C409" i="4"/>
  <c r="L408" i="4"/>
  <c r="K408" i="4"/>
  <c r="H408" i="4"/>
  <c r="G408" i="4"/>
  <c r="F408" i="4"/>
  <c r="E408" i="4"/>
  <c r="D408" i="4"/>
  <c r="C408" i="4"/>
  <c r="L407" i="4"/>
  <c r="K407" i="4"/>
  <c r="H407" i="4"/>
  <c r="G407" i="4"/>
  <c r="F407" i="4"/>
  <c r="E407" i="4"/>
  <c r="D407" i="4"/>
  <c r="C407" i="4"/>
  <c r="L406" i="4"/>
  <c r="K406" i="4"/>
  <c r="H406" i="4"/>
  <c r="G406" i="4"/>
  <c r="F406" i="4"/>
  <c r="E406" i="4"/>
  <c r="D406" i="4"/>
  <c r="C406" i="4"/>
  <c r="L405" i="4"/>
  <c r="K405" i="4"/>
  <c r="H405" i="4"/>
  <c r="G405" i="4"/>
  <c r="F405" i="4"/>
  <c r="E405" i="4"/>
  <c r="D405" i="4"/>
  <c r="C405" i="4"/>
  <c r="L404" i="4"/>
  <c r="K404" i="4"/>
  <c r="H404" i="4"/>
  <c r="G404" i="4"/>
  <c r="F404" i="4"/>
  <c r="E404" i="4"/>
  <c r="D404" i="4"/>
  <c r="C404" i="4"/>
  <c r="L403" i="4"/>
  <c r="K403" i="4"/>
  <c r="H403" i="4"/>
  <c r="G403" i="4"/>
  <c r="F403" i="4"/>
  <c r="E403" i="4"/>
  <c r="D403" i="4"/>
  <c r="C403" i="4"/>
  <c r="L402" i="4"/>
  <c r="K402" i="4"/>
  <c r="H402" i="4"/>
  <c r="G402" i="4"/>
  <c r="F402" i="4"/>
  <c r="E402" i="4"/>
  <c r="D402" i="4"/>
  <c r="C402" i="4"/>
  <c r="L401" i="4"/>
  <c r="K401" i="4"/>
  <c r="H401" i="4"/>
  <c r="G401" i="4"/>
  <c r="F401" i="4"/>
  <c r="E401" i="4"/>
  <c r="D401" i="4"/>
  <c r="C401" i="4"/>
  <c r="L400" i="4"/>
  <c r="K400" i="4"/>
  <c r="H400" i="4"/>
  <c r="G400" i="4"/>
  <c r="F400" i="4"/>
  <c r="E400" i="4"/>
  <c r="D400" i="4"/>
  <c r="C400" i="4"/>
  <c r="L399" i="4"/>
  <c r="K399" i="4"/>
  <c r="H399" i="4"/>
  <c r="G399" i="4"/>
  <c r="F399" i="4"/>
  <c r="E399" i="4"/>
  <c r="D399" i="4"/>
  <c r="C399" i="4"/>
  <c r="L398" i="4"/>
  <c r="K398" i="4"/>
  <c r="H398" i="4"/>
  <c r="G398" i="4"/>
  <c r="F398" i="4"/>
  <c r="E398" i="4"/>
  <c r="D398" i="4"/>
  <c r="C398" i="4"/>
  <c r="L397" i="4"/>
  <c r="K397" i="4"/>
  <c r="H397" i="4"/>
  <c r="G397" i="4"/>
  <c r="F397" i="4"/>
  <c r="E397" i="4"/>
  <c r="D397" i="4"/>
  <c r="C397" i="4"/>
  <c r="L396" i="4"/>
  <c r="K396" i="4"/>
  <c r="H396" i="4"/>
  <c r="G396" i="4"/>
  <c r="F396" i="4"/>
  <c r="E396" i="4"/>
  <c r="D396" i="4"/>
  <c r="C396" i="4"/>
  <c r="L395" i="4"/>
  <c r="K395" i="4"/>
  <c r="H395" i="4"/>
  <c r="G395" i="4"/>
  <c r="F395" i="4"/>
  <c r="E395" i="4"/>
  <c r="D395" i="4"/>
  <c r="C395" i="4"/>
  <c r="L394" i="4"/>
  <c r="K394" i="4"/>
  <c r="H394" i="4"/>
  <c r="G394" i="4"/>
  <c r="F394" i="4"/>
  <c r="E394" i="4"/>
  <c r="D394" i="4"/>
  <c r="C394" i="4"/>
  <c r="L393" i="4"/>
  <c r="K393" i="4"/>
  <c r="H393" i="4"/>
  <c r="G393" i="4"/>
  <c r="F393" i="4"/>
  <c r="E393" i="4"/>
  <c r="D393" i="4"/>
  <c r="C393" i="4"/>
  <c r="L392" i="4"/>
  <c r="K392" i="4"/>
  <c r="H392" i="4"/>
  <c r="G392" i="4"/>
  <c r="F392" i="4"/>
  <c r="E392" i="4"/>
  <c r="D392" i="4"/>
  <c r="C392" i="4"/>
  <c r="L391" i="4"/>
  <c r="K391" i="4"/>
  <c r="H391" i="4"/>
  <c r="G391" i="4"/>
  <c r="F391" i="4"/>
  <c r="E391" i="4"/>
  <c r="D391" i="4"/>
  <c r="C391" i="4"/>
  <c r="L390" i="4"/>
  <c r="K390" i="4"/>
  <c r="H390" i="4"/>
  <c r="G390" i="4"/>
  <c r="F390" i="4"/>
  <c r="E390" i="4"/>
  <c r="D390" i="4"/>
  <c r="C390" i="4"/>
  <c r="L389" i="4"/>
  <c r="K389" i="4"/>
  <c r="H389" i="4"/>
  <c r="G389" i="4"/>
  <c r="F389" i="4"/>
  <c r="E389" i="4"/>
  <c r="D389" i="4"/>
  <c r="C389" i="4"/>
  <c r="L388" i="4"/>
  <c r="K388" i="4"/>
  <c r="H388" i="4"/>
  <c r="G388" i="4"/>
  <c r="F388" i="4"/>
  <c r="E388" i="4"/>
  <c r="D388" i="4"/>
  <c r="C388" i="4"/>
  <c r="L387" i="4"/>
  <c r="K387" i="4"/>
  <c r="H387" i="4"/>
  <c r="G387" i="4"/>
  <c r="F387" i="4"/>
  <c r="E387" i="4"/>
  <c r="D387" i="4"/>
  <c r="C387" i="4"/>
  <c r="L386" i="4"/>
  <c r="K386" i="4"/>
  <c r="H386" i="4"/>
  <c r="G386" i="4"/>
  <c r="F386" i="4"/>
  <c r="E386" i="4"/>
  <c r="D386" i="4"/>
  <c r="C386" i="4"/>
  <c r="L385" i="4"/>
  <c r="K385" i="4"/>
  <c r="H385" i="4"/>
  <c r="G385" i="4"/>
  <c r="F385" i="4"/>
  <c r="E385" i="4"/>
  <c r="D385" i="4"/>
  <c r="C385" i="4"/>
  <c r="L384" i="4"/>
  <c r="K384" i="4"/>
  <c r="H384" i="4"/>
  <c r="G384" i="4"/>
  <c r="F384" i="4"/>
  <c r="E384" i="4"/>
  <c r="D384" i="4"/>
  <c r="C384" i="4"/>
  <c r="L383" i="4"/>
  <c r="K383" i="4"/>
  <c r="H383" i="4"/>
  <c r="G383" i="4"/>
  <c r="F383" i="4"/>
  <c r="E383" i="4"/>
  <c r="D383" i="4"/>
  <c r="C383" i="4"/>
  <c r="L382" i="4"/>
  <c r="K382" i="4"/>
  <c r="H382" i="4"/>
  <c r="G382" i="4"/>
  <c r="F382" i="4"/>
  <c r="E382" i="4"/>
  <c r="D382" i="4"/>
  <c r="C382" i="4"/>
  <c r="L381" i="4"/>
  <c r="K381" i="4"/>
  <c r="H381" i="4"/>
  <c r="G381" i="4"/>
  <c r="F381" i="4"/>
  <c r="E381" i="4"/>
  <c r="D381" i="4"/>
  <c r="C381" i="4"/>
  <c r="L380" i="4"/>
  <c r="K380" i="4"/>
  <c r="H380" i="4"/>
  <c r="G380" i="4"/>
  <c r="F380" i="4"/>
  <c r="E380" i="4"/>
  <c r="D380" i="4"/>
  <c r="C380" i="4"/>
  <c r="L379" i="4"/>
  <c r="K379" i="4"/>
  <c r="H379" i="4"/>
  <c r="G379" i="4"/>
  <c r="F379" i="4"/>
  <c r="E379" i="4"/>
  <c r="D379" i="4"/>
  <c r="C379" i="4"/>
  <c r="L378" i="4"/>
  <c r="K378" i="4"/>
  <c r="H378" i="4"/>
  <c r="G378" i="4"/>
  <c r="F378" i="4"/>
  <c r="E378" i="4"/>
  <c r="D378" i="4"/>
  <c r="C378" i="4"/>
  <c r="L377" i="4"/>
  <c r="K377" i="4"/>
  <c r="H377" i="4"/>
  <c r="G377" i="4"/>
  <c r="F377" i="4"/>
  <c r="E377" i="4"/>
  <c r="D377" i="4"/>
  <c r="C377" i="4"/>
  <c r="L376" i="4"/>
  <c r="K376" i="4"/>
  <c r="H376" i="4"/>
  <c r="G376" i="4"/>
  <c r="F376" i="4"/>
  <c r="E376" i="4"/>
  <c r="D376" i="4"/>
  <c r="C376" i="4"/>
  <c r="L375" i="4"/>
  <c r="K375" i="4"/>
  <c r="H375" i="4"/>
  <c r="G375" i="4"/>
  <c r="F375" i="4"/>
  <c r="E375" i="4"/>
  <c r="D375" i="4"/>
  <c r="C375" i="4"/>
  <c r="L374" i="4"/>
  <c r="K374" i="4"/>
  <c r="H374" i="4"/>
  <c r="G374" i="4"/>
  <c r="F374" i="4"/>
  <c r="E374" i="4"/>
  <c r="D374" i="4"/>
  <c r="C374" i="4"/>
  <c r="L373" i="4"/>
  <c r="K373" i="4"/>
  <c r="H373" i="4"/>
  <c r="G373" i="4"/>
  <c r="F373" i="4"/>
  <c r="E373" i="4"/>
  <c r="D373" i="4"/>
  <c r="C373" i="4"/>
  <c r="L372" i="4"/>
  <c r="K372" i="4"/>
  <c r="H372" i="4"/>
  <c r="G372" i="4"/>
  <c r="F372" i="4"/>
  <c r="E372" i="4"/>
  <c r="D372" i="4"/>
  <c r="C372" i="4"/>
  <c r="L371" i="4"/>
  <c r="K371" i="4"/>
  <c r="H371" i="4"/>
  <c r="G371" i="4"/>
  <c r="F371" i="4"/>
  <c r="E371" i="4"/>
  <c r="D371" i="4"/>
  <c r="C371" i="4"/>
  <c r="L370" i="4"/>
  <c r="K370" i="4"/>
  <c r="H370" i="4"/>
  <c r="G370" i="4"/>
  <c r="F370" i="4"/>
  <c r="E370" i="4"/>
  <c r="D370" i="4"/>
  <c r="C370" i="4"/>
  <c r="L369" i="4"/>
  <c r="K369" i="4"/>
  <c r="H369" i="4"/>
  <c r="G369" i="4"/>
  <c r="F369" i="4"/>
  <c r="E369" i="4"/>
  <c r="D369" i="4"/>
  <c r="C369" i="4"/>
  <c r="L368" i="4"/>
  <c r="K368" i="4"/>
  <c r="H368" i="4"/>
  <c r="G368" i="4"/>
  <c r="F368" i="4"/>
  <c r="E368" i="4"/>
  <c r="D368" i="4"/>
  <c r="C368" i="4"/>
  <c r="L367" i="4"/>
  <c r="K367" i="4"/>
  <c r="H367" i="4"/>
  <c r="G367" i="4"/>
  <c r="F367" i="4"/>
  <c r="E367" i="4"/>
  <c r="D367" i="4"/>
  <c r="C367" i="4"/>
  <c r="L366" i="4"/>
  <c r="K366" i="4"/>
  <c r="H366" i="4"/>
  <c r="G366" i="4"/>
  <c r="F366" i="4"/>
  <c r="E366" i="4"/>
  <c r="D366" i="4"/>
  <c r="C366" i="4"/>
  <c r="L365" i="4"/>
  <c r="K365" i="4"/>
  <c r="H365" i="4"/>
  <c r="G365" i="4"/>
  <c r="F365" i="4"/>
  <c r="E365" i="4"/>
  <c r="D365" i="4"/>
  <c r="C365" i="4"/>
  <c r="L364" i="4"/>
  <c r="K364" i="4"/>
  <c r="H364" i="4"/>
  <c r="G364" i="4"/>
  <c r="F364" i="4"/>
  <c r="E364" i="4"/>
  <c r="D364" i="4"/>
  <c r="C364" i="4"/>
  <c r="L363" i="4"/>
  <c r="K363" i="4"/>
  <c r="H363" i="4"/>
  <c r="G363" i="4"/>
  <c r="F363" i="4"/>
  <c r="E363" i="4"/>
  <c r="D363" i="4"/>
  <c r="C363" i="4"/>
  <c r="L362" i="4"/>
  <c r="K362" i="4"/>
  <c r="H362" i="4"/>
  <c r="G362" i="4"/>
  <c r="F362" i="4"/>
  <c r="E362" i="4"/>
  <c r="D362" i="4"/>
  <c r="C362" i="4"/>
  <c r="L361" i="4"/>
  <c r="K361" i="4"/>
  <c r="H361" i="4"/>
  <c r="G361" i="4"/>
  <c r="F361" i="4"/>
  <c r="E361" i="4"/>
  <c r="D361" i="4"/>
  <c r="C361" i="4"/>
  <c r="L360" i="4"/>
  <c r="K360" i="4"/>
  <c r="H360" i="4"/>
  <c r="G360" i="4"/>
  <c r="F360" i="4"/>
  <c r="E360" i="4"/>
  <c r="D360" i="4"/>
  <c r="C360" i="4"/>
  <c r="L359" i="4"/>
  <c r="K359" i="4"/>
  <c r="H359" i="4"/>
  <c r="G359" i="4"/>
  <c r="F359" i="4"/>
  <c r="E359" i="4"/>
  <c r="D359" i="4"/>
  <c r="C359" i="4"/>
  <c r="L358" i="4"/>
  <c r="K358" i="4"/>
  <c r="H358" i="4"/>
  <c r="G358" i="4"/>
  <c r="F358" i="4"/>
  <c r="E358" i="4"/>
  <c r="D358" i="4"/>
  <c r="C358" i="4"/>
  <c r="L357" i="4"/>
  <c r="K357" i="4"/>
  <c r="H357" i="4"/>
  <c r="G357" i="4"/>
  <c r="F357" i="4"/>
  <c r="E357" i="4"/>
  <c r="D357" i="4"/>
  <c r="C357" i="4"/>
  <c r="L356" i="4"/>
  <c r="K356" i="4"/>
  <c r="H356" i="4"/>
  <c r="G356" i="4"/>
  <c r="F356" i="4"/>
  <c r="E356" i="4"/>
  <c r="D356" i="4"/>
  <c r="C356" i="4"/>
  <c r="L355" i="4"/>
  <c r="K355" i="4"/>
  <c r="H355" i="4"/>
  <c r="G355" i="4"/>
  <c r="F355" i="4"/>
  <c r="E355" i="4"/>
  <c r="D355" i="4"/>
  <c r="C355" i="4"/>
  <c r="L354" i="4"/>
  <c r="K354" i="4"/>
  <c r="H354" i="4"/>
  <c r="G354" i="4"/>
  <c r="F354" i="4"/>
  <c r="E354" i="4"/>
  <c r="D354" i="4"/>
  <c r="C354" i="4"/>
  <c r="L353" i="4"/>
  <c r="K353" i="4"/>
  <c r="H353" i="4"/>
  <c r="G353" i="4"/>
  <c r="F353" i="4"/>
  <c r="E353" i="4"/>
  <c r="D353" i="4"/>
  <c r="C353" i="4"/>
  <c r="L352" i="4"/>
  <c r="K352" i="4"/>
  <c r="H352" i="4"/>
  <c r="G352" i="4"/>
  <c r="F352" i="4"/>
  <c r="E352" i="4"/>
  <c r="D352" i="4"/>
  <c r="C352" i="4"/>
  <c r="L351" i="4"/>
  <c r="K351" i="4"/>
  <c r="H351" i="4"/>
  <c r="G351" i="4"/>
  <c r="F351" i="4"/>
  <c r="E351" i="4"/>
  <c r="D351" i="4"/>
  <c r="C351" i="4"/>
  <c r="L350" i="4"/>
  <c r="K350" i="4"/>
  <c r="H350" i="4"/>
  <c r="G350" i="4"/>
  <c r="F350" i="4"/>
  <c r="E350" i="4"/>
  <c r="D350" i="4"/>
  <c r="C350" i="4"/>
  <c r="L349" i="4"/>
  <c r="K349" i="4"/>
  <c r="H349" i="4"/>
  <c r="G349" i="4"/>
  <c r="F349" i="4"/>
  <c r="E349" i="4"/>
  <c r="D349" i="4"/>
  <c r="C349" i="4"/>
  <c r="L348" i="4"/>
  <c r="K348" i="4"/>
  <c r="H348" i="4"/>
  <c r="G348" i="4"/>
  <c r="F348" i="4"/>
  <c r="E348" i="4"/>
  <c r="D348" i="4"/>
  <c r="C348" i="4"/>
  <c r="L347" i="4"/>
  <c r="K347" i="4"/>
  <c r="H347" i="4"/>
  <c r="G347" i="4"/>
  <c r="F347" i="4"/>
  <c r="E347" i="4"/>
  <c r="D347" i="4"/>
  <c r="C347" i="4"/>
  <c r="L346" i="4"/>
  <c r="K346" i="4"/>
  <c r="H346" i="4"/>
  <c r="G346" i="4"/>
  <c r="F346" i="4"/>
  <c r="E346" i="4"/>
  <c r="D346" i="4"/>
  <c r="C346" i="4"/>
  <c r="L345" i="4"/>
  <c r="K345" i="4"/>
  <c r="J345" i="4"/>
  <c r="H345" i="4"/>
  <c r="G345" i="4"/>
  <c r="F345" i="4"/>
  <c r="E345" i="4"/>
  <c r="D345" i="4"/>
  <c r="C345" i="4"/>
  <c r="L344" i="4"/>
  <c r="K344" i="4"/>
  <c r="H344" i="4"/>
  <c r="G344" i="4"/>
  <c r="F344" i="4"/>
  <c r="E344" i="4"/>
  <c r="D344" i="4"/>
  <c r="C344" i="4"/>
  <c r="L343" i="4"/>
  <c r="K343" i="4"/>
  <c r="H343" i="4"/>
  <c r="G343" i="4"/>
  <c r="F343" i="4"/>
  <c r="E343" i="4"/>
  <c r="D343" i="4"/>
  <c r="C343" i="4"/>
  <c r="L342" i="4"/>
  <c r="K342" i="4"/>
  <c r="H342" i="4"/>
  <c r="G342" i="4"/>
  <c r="F342" i="4"/>
  <c r="E342" i="4"/>
  <c r="D342" i="4"/>
  <c r="C342" i="4"/>
  <c r="L341" i="4"/>
  <c r="K341" i="4"/>
  <c r="H341" i="4"/>
  <c r="G341" i="4"/>
  <c r="F341" i="4"/>
  <c r="E341" i="4"/>
  <c r="D341" i="4"/>
  <c r="C341" i="4"/>
  <c r="L340" i="4"/>
  <c r="K340" i="4"/>
  <c r="H340" i="4"/>
  <c r="G340" i="4"/>
  <c r="F340" i="4"/>
  <c r="E340" i="4"/>
  <c r="D340" i="4"/>
  <c r="C340" i="4"/>
  <c r="L339" i="4"/>
  <c r="K339" i="4"/>
  <c r="H339" i="4"/>
  <c r="G339" i="4"/>
  <c r="F339" i="4"/>
  <c r="E339" i="4"/>
  <c r="D339" i="4"/>
  <c r="C339" i="4"/>
  <c r="L338" i="4"/>
  <c r="K338" i="4"/>
  <c r="H338" i="4"/>
  <c r="G338" i="4"/>
  <c r="F338" i="4"/>
  <c r="E338" i="4"/>
  <c r="D338" i="4"/>
  <c r="C338" i="4"/>
  <c r="L337" i="4"/>
  <c r="K337" i="4"/>
  <c r="H337" i="4"/>
  <c r="G337" i="4"/>
  <c r="F337" i="4"/>
  <c r="E337" i="4"/>
  <c r="D337" i="4"/>
  <c r="C337" i="4"/>
  <c r="L336" i="4"/>
  <c r="K336" i="4"/>
  <c r="H336" i="4"/>
  <c r="G336" i="4"/>
  <c r="F336" i="4"/>
  <c r="E336" i="4"/>
  <c r="D336" i="4"/>
  <c r="C336" i="4"/>
  <c r="L335" i="4"/>
  <c r="K335" i="4"/>
  <c r="H335" i="4"/>
  <c r="G335" i="4"/>
  <c r="F335" i="4"/>
  <c r="E335" i="4"/>
  <c r="D335" i="4"/>
  <c r="C335" i="4"/>
  <c r="L334" i="4"/>
  <c r="K334" i="4"/>
  <c r="H334" i="4"/>
  <c r="G334" i="4"/>
  <c r="F334" i="4"/>
  <c r="E334" i="4"/>
  <c r="D334" i="4"/>
  <c r="C334" i="4"/>
  <c r="L333" i="4"/>
  <c r="K333" i="4"/>
  <c r="H333" i="4"/>
  <c r="G333" i="4"/>
  <c r="F333" i="4"/>
  <c r="E333" i="4"/>
  <c r="D333" i="4"/>
  <c r="C333" i="4"/>
  <c r="L332" i="4"/>
  <c r="K332" i="4"/>
  <c r="H332" i="4"/>
  <c r="G332" i="4"/>
  <c r="F332" i="4"/>
  <c r="E332" i="4"/>
  <c r="D332" i="4"/>
  <c r="C332" i="4"/>
  <c r="L331" i="4"/>
  <c r="K331" i="4"/>
  <c r="H331" i="4"/>
  <c r="G331" i="4"/>
  <c r="F331" i="4"/>
  <c r="E331" i="4"/>
  <c r="D331" i="4"/>
  <c r="C331" i="4"/>
  <c r="L330" i="4"/>
  <c r="K330" i="4"/>
  <c r="H330" i="4"/>
  <c r="G330" i="4"/>
  <c r="F330" i="4"/>
  <c r="E330" i="4"/>
  <c r="D330" i="4"/>
  <c r="C330" i="4"/>
  <c r="L329" i="4"/>
  <c r="K329" i="4"/>
  <c r="H329" i="4"/>
  <c r="G329" i="4"/>
  <c r="F329" i="4"/>
  <c r="E329" i="4"/>
  <c r="D329" i="4"/>
  <c r="C329" i="4"/>
  <c r="L328" i="4"/>
  <c r="K328" i="4"/>
  <c r="H328" i="4"/>
  <c r="G328" i="4"/>
  <c r="F328" i="4"/>
  <c r="E328" i="4"/>
  <c r="D328" i="4"/>
  <c r="C328" i="4"/>
  <c r="L327" i="4"/>
  <c r="K327" i="4"/>
  <c r="H327" i="4"/>
  <c r="G327" i="4"/>
  <c r="F327" i="4"/>
  <c r="E327" i="4"/>
  <c r="D327" i="4"/>
  <c r="C327" i="4"/>
  <c r="L326" i="4"/>
  <c r="K326" i="4"/>
  <c r="H326" i="4"/>
  <c r="G326" i="4"/>
  <c r="F326" i="4"/>
  <c r="E326" i="4"/>
  <c r="D326" i="4"/>
  <c r="C326" i="4"/>
  <c r="L325" i="4"/>
  <c r="K325" i="4"/>
  <c r="H325" i="4"/>
  <c r="G325" i="4"/>
  <c r="F325" i="4"/>
  <c r="E325" i="4"/>
  <c r="D325" i="4"/>
  <c r="C325" i="4"/>
  <c r="L324" i="4"/>
  <c r="K324" i="4"/>
  <c r="H324" i="4"/>
  <c r="G324" i="4"/>
  <c r="F324" i="4"/>
  <c r="E324" i="4"/>
  <c r="D324" i="4"/>
  <c r="C324" i="4"/>
  <c r="L323" i="4"/>
  <c r="K323" i="4"/>
  <c r="H323" i="4"/>
  <c r="G323" i="4"/>
  <c r="F323" i="4"/>
  <c r="E323" i="4"/>
  <c r="D323" i="4"/>
  <c r="C323" i="4"/>
  <c r="L322" i="4"/>
  <c r="K322" i="4"/>
  <c r="H322" i="4"/>
  <c r="G322" i="4"/>
  <c r="F322" i="4"/>
  <c r="E322" i="4"/>
  <c r="D322" i="4"/>
  <c r="C322" i="4"/>
  <c r="L321" i="4"/>
  <c r="K321" i="4"/>
  <c r="H321" i="4"/>
  <c r="G321" i="4"/>
  <c r="F321" i="4"/>
  <c r="E321" i="4"/>
  <c r="D321" i="4"/>
  <c r="C321" i="4"/>
  <c r="L320" i="4"/>
  <c r="K320" i="4"/>
  <c r="H320" i="4"/>
  <c r="G320" i="4"/>
  <c r="F320" i="4"/>
  <c r="E320" i="4"/>
  <c r="D320" i="4"/>
  <c r="C320" i="4"/>
  <c r="L319" i="4"/>
  <c r="K319" i="4"/>
  <c r="H319" i="4"/>
  <c r="G319" i="4"/>
  <c r="F319" i="4"/>
  <c r="E319" i="4"/>
  <c r="D319" i="4"/>
  <c r="C319" i="4"/>
  <c r="L318" i="4"/>
  <c r="K318" i="4"/>
  <c r="H318" i="4"/>
  <c r="G318" i="4"/>
  <c r="F318" i="4"/>
  <c r="E318" i="4"/>
  <c r="D318" i="4"/>
  <c r="C318" i="4"/>
  <c r="L317" i="4"/>
  <c r="K317" i="4"/>
  <c r="H317" i="4"/>
  <c r="G317" i="4"/>
  <c r="F317" i="4"/>
  <c r="E317" i="4"/>
  <c r="D317" i="4"/>
  <c r="C317" i="4"/>
  <c r="L316" i="4"/>
  <c r="K316" i="4"/>
  <c r="H316" i="4"/>
  <c r="G316" i="4"/>
  <c r="F316" i="4"/>
  <c r="E316" i="4"/>
  <c r="D316" i="4"/>
  <c r="C316" i="4"/>
  <c r="L315" i="4"/>
  <c r="K315" i="4"/>
  <c r="H315" i="4"/>
  <c r="G315" i="4"/>
  <c r="F315" i="4"/>
  <c r="E315" i="4"/>
  <c r="D315" i="4"/>
  <c r="C315" i="4"/>
  <c r="L314" i="4"/>
  <c r="K314" i="4"/>
  <c r="H314" i="4"/>
  <c r="G314" i="4"/>
  <c r="F314" i="4"/>
  <c r="E314" i="4"/>
  <c r="D314" i="4"/>
  <c r="C314" i="4"/>
  <c r="L313" i="4"/>
  <c r="K313" i="4"/>
  <c r="H313" i="4"/>
  <c r="G313" i="4"/>
  <c r="F313" i="4"/>
  <c r="E313" i="4"/>
  <c r="D313" i="4"/>
  <c r="C313" i="4"/>
  <c r="L312" i="4"/>
  <c r="K312" i="4"/>
  <c r="H312" i="4"/>
  <c r="G312" i="4"/>
  <c r="F312" i="4"/>
  <c r="E312" i="4"/>
  <c r="D312" i="4"/>
  <c r="C312" i="4"/>
  <c r="L311" i="4"/>
  <c r="K311" i="4"/>
  <c r="H311" i="4"/>
  <c r="G311" i="4"/>
  <c r="F311" i="4"/>
  <c r="E311" i="4"/>
  <c r="D311" i="4"/>
  <c r="C311" i="4"/>
  <c r="L310" i="4"/>
  <c r="K310" i="4"/>
  <c r="H310" i="4"/>
  <c r="G310" i="4"/>
  <c r="F310" i="4"/>
  <c r="E310" i="4"/>
  <c r="D310" i="4"/>
  <c r="C310" i="4"/>
  <c r="L309" i="4"/>
  <c r="K309" i="4"/>
  <c r="H309" i="4"/>
  <c r="G309" i="4"/>
  <c r="F309" i="4"/>
  <c r="E309" i="4"/>
  <c r="D309" i="4"/>
  <c r="C309" i="4"/>
  <c r="L308" i="4"/>
  <c r="K308" i="4"/>
  <c r="H308" i="4"/>
  <c r="G308" i="4"/>
  <c r="F308" i="4"/>
  <c r="E308" i="4"/>
  <c r="D308" i="4"/>
  <c r="C308" i="4"/>
  <c r="L307" i="4"/>
  <c r="K307" i="4"/>
  <c r="H307" i="4"/>
  <c r="G307" i="4"/>
  <c r="F307" i="4"/>
  <c r="E307" i="4"/>
  <c r="D307" i="4"/>
  <c r="C307" i="4"/>
  <c r="L306" i="4"/>
  <c r="K306" i="4"/>
  <c r="H306" i="4"/>
  <c r="G306" i="4"/>
  <c r="F306" i="4"/>
  <c r="E306" i="4"/>
  <c r="D306" i="4"/>
  <c r="C306" i="4"/>
  <c r="L305" i="4"/>
  <c r="K305" i="4"/>
  <c r="H305" i="4"/>
  <c r="G305" i="4"/>
  <c r="F305" i="4"/>
  <c r="E305" i="4"/>
  <c r="D305" i="4"/>
  <c r="C305" i="4"/>
  <c r="L304" i="4"/>
  <c r="K304" i="4"/>
  <c r="H304" i="4"/>
  <c r="G304" i="4"/>
  <c r="F304" i="4"/>
  <c r="E304" i="4"/>
  <c r="D304" i="4"/>
  <c r="C304" i="4"/>
  <c r="L303" i="4"/>
  <c r="K303" i="4"/>
  <c r="H303" i="4"/>
  <c r="G303" i="4"/>
  <c r="F303" i="4"/>
  <c r="E303" i="4"/>
  <c r="D303" i="4"/>
  <c r="C303" i="4"/>
  <c r="L302" i="4"/>
  <c r="K302" i="4"/>
  <c r="H302" i="4"/>
  <c r="G302" i="4"/>
  <c r="F302" i="4"/>
  <c r="E302" i="4"/>
  <c r="D302" i="4"/>
  <c r="C302" i="4"/>
  <c r="L301" i="4"/>
  <c r="K301" i="4"/>
  <c r="H301" i="4"/>
  <c r="G301" i="4"/>
  <c r="F301" i="4"/>
  <c r="E301" i="4"/>
  <c r="D301" i="4"/>
  <c r="C301" i="4"/>
  <c r="L300" i="4"/>
  <c r="K300" i="4"/>
  <c r="H300" i="4"/>
  <c r="G300" i="4"/>
  <c r="F300" i="4"/>
  <c r="E300" i="4"/>
  <c r="D300" i="4"/>
  <c r="C300" i="4"/>
  <c r="L299" i="4"/>
  <c r="K299" i="4"/>
  <c r="H299" i="4"/>
  <c r="G299" i="4"/>
  <c r="F299" i="4"/>
  <c r="E299" i="4"/>
  <c r="D299" i="4"/>
  <c r="C299" i="4"/>
  <c r="L298" i="4"/>
  <c r="K298" i="4"/>
  <c r="H298" i="4"/>
  <c r="G298" i="4"/>
  <c r="F298" i="4"/>
  <c r="E298" i="4"/>
  <c r="D298" i="4"/>
  <c r="C298" i="4"/>
  <c r="L297" i="4"/>
  <c r="K297" i="4"/>
  <c r="H297" i="4"/>
  <c r="G297" i="4"/>
  <c r="F297" i="4"/>
  <c r="E297" i="4"/>
  <c r="D297" i="4"/>
  <c r="C297" i="4"/>
  <c r="L296" i="4"/>
  <c r="K296" i="4"/>
  <c r="H296" i="4"/>
  <c r="G296" i="4"/>
  <c r="F296" i="4"/>
  <c r="E296" i="4"/>
  <c r="D296" i="4"/>
  <c r="C296" i="4"/>
  <c r="L295" i="4"/>
  <c r="K295" i="4"/>
  <c r="H295" i="4"/>
  <c r="G295" i="4"/>
  <c r="F295" i="4"/>
  <c r="E295" i="4"/>
  <c r="D295" i="4"/>
  <c r="C295" i="4"/>
  <c r="L294" i="4"/>
  <c r="K294" i="4"/>
  <c r="H294" i="4"/>
  <c r="G294" i="4"/>
  <c r="F294" i="4"/>
  <c r="E294" i="4"/>
  <c r="D294" i="4"/>
  <c r="C294" i="4"/>
  <c r="L293" i="4"/>
  <c r="K293" i="4"/>
  <c r="H293" i="4"/>
  <c r="G293" i="4"/>
  <c r="F293" i="4"/>
  <c r="E293" i="4"/>
  <c r="D293" i="4"/>
  <c r="C293" i="4"/>
  <c r="L292" i="4"/>
  <c r="K292" i="4"/>
  <c r="H292" i="4"/>
  <c r="G292" i="4"/>
  <c r="F292" i="4"/>
  <c r="E292" i="4"/>
  <c r="D292" i="4"/>
  <c r="C292" i="4"/>
  <c r="L291" i="4"/>
  <c r="K291" i="4"/>
  <c r="H291" i="4"/>
  <c r="G291" i="4"/>
  <c r="F291" i="4"/>
  <c r="E291" i="4"/>
  <c r="D291" i="4"/>
  <c r="C291" i="4"/>
  <c r="L290" i="4"/>
  <c r="K290" i="4"/>
  <c r="H290" i="4"/>
  <c r="G290" i="4"/>
  <c r="F290" i="4"/>
  <c r="E290" i="4"/>
  <c r="D290" i="4"/>
  <c r="C290" i="4"/>
  <c r="L289" i="4"/>
  <c r="K289" i="4"/>
  <c r="H289" i="4"/>
  <c r="G289" i="4"/>
  <c r="F289" i="4"/>
  <c r="E289" i="4"/>
  <c r="D289" i="4"/>
  <c r="C289" i="4"/>
  <c r="L288" i="4"/>
  <c r="K288" i="4"/>
  <c r="H288" i="4"/>
  <c r="G288" i="4"/>
  <c r="F288" i="4"/>
  <c r="E288" i="4"/>
  <c r="D288" i="4"/>
  <c r="C288" i="4"/>
  <c r="L287" i="4"/>
  <c r="K287" i="4"/>
  <c r="H287" i="4"/>
  <c r="G287" i="4"/>
  <c r="F287" i="4"/>
  <c r="E287" i="4"/>
  <c r="D287" i="4"/>
  <c r="C287" i="4"/>
  <c r="L286" i="4"/>
  <c r="K286" i="4"/>
  <c r="H286" i="4"/>
  <c r="G286" i="4"/>
  <c r="F286" i="4"/>
  <c r="E286" i="4"/>
  <c r="D286" i="4"/>
  <c r="C286" i="4"/>
  <c r="L285" i="4"/>
  <c r="K285" i="4"/>
  <c r="H285" i="4"/>
  <c r="G285" i="4"/>
  <c r="F285" i="4"/>
  <c r="E285" i="4"/>
  <c r="D285" i="4"/>
  <c r="C285" i="4"/>
  <c r="L284" i="4"/>
  <c r="K284" i="4"/>
  <c r="H284" i="4"/>
  <c r="G284" i="4"/>
  <c r="F284" i="4"/>
  <c r="E284" i="4"/>
  <c r="D284" i="4"/>
  <c r="C284" i="4"/>
  <c r="L283" i="4"/>
  <c r="K283" i="4"/>
  <c r="H283" i="4"/>
  <c r="G283" i="4"/>
  <c r="F283" i="4"/>
  <c r="E283" i="4"/>
  <c r="D283" i="4"/>
  <c r="C283" i="4"/>
  <c r="L282" i="4"/>
  <c r="K282" i="4"/>
  <c r="H282" i="4"/>
  <c r="G282" i="4"/>
  <c r="F282" i="4"/>
  <c r="E282" i="4"/>
  <c r="D282" i="4"/>
  <c r="C282" i="4"/>
  <c r="L281" i="4"/>
  <c r="K281" i="4"/>
  <c r="H281" i="4"/>
  <c r="G281" i="4"/>
  <c r="F281" i="4"/>
  <c r="E281" i="4"/>
  <c r="D281" i="4"/>
  <c r="C281" i="4"/>
  <c r="L280" i="4"/>
  <c r="K280" i="4"/>
  <c r="H280" i="4"/>
  <c r="G280" i="4"/>
  <c r="F280" i="4"/>
  <c r="E280" i="4"/>
  <c r="D280" i="4"/>
  <c r="C280" i="4"/>
  <c r="L279" i="4"/>
  <c r="K279" i="4"/>
  <c r="H279" i="4"/>
  <c r="G279" i="4"/>
  <c r="F279" i="4"/>
  <c r="E279" i="4"/>
  <c r="D279" i="4"/>
  <c r="C279" i="4"/>
  <c r="L278" i="4"/>
  <c r="K278" i="4"/>
  <c r="H278" i="4"/>
  <c r="G278" i="4"/>
  <c r="F278" i="4"/>
  <c r="E278" i="4"/>
  <c r="D278" i="4"/>
  <c r="C278" i="4"/>
  <c r="L277" i="4"/>
  <c r="K277" i="4"/>
  <c r="H277" i="4"/>
  <c r="G277" i="4"/>
  <c r="F277" i="4"/>
  <c r="E277" i="4"/>
  <c r="D277" i="4"/>
  <c r="C277" i="4"/>
  <c r="L276" i="4"/>
  <c r="K276" i="4"/>
  <c r="H276" i="4"/>
  <c r="G276" i="4"/>
  <c r="F276" i="4"/>
  <c r="E276" i="4"/>
  <c r="D276" i="4"/>
  <c r="C276" i="4"/>
  <c r="L275" i="4"/>
  <c r="K275" i="4"/>
  <c r="H275" i="4"/>
  <c r="G275" i="4"/>
  <c r="F275" i="4"/>
  <c r="E275" i="4"/>
  <c r="D275" i="4"/>
  <c r="C275" i="4"/>
  <c r="L274" i="4"/>
  <c r="K274" i="4"/>
  <c r="H274" i="4"/>
  <c r="G274" i="4"/>
  <c r="F274" i="4"/>
  <c r="E274" i="4"/>
  <c r="D274" i="4"/>
  <c r="C274" i="4"/>
  <c r="L273" i="4"/>
  <c r="K273" i="4"/>
  <c r="H273" i="4"/>
  <c r="G273" i="4"/>
  <c r="F273" i="4"/>
  <c r="E273" i="4"/>
  <c r="D273" i="4"/>
  <c r="C273" i="4"/>
  <c r="L272" i="4"/>
  <c r="K272" i="4"/>
  <c r="H272" i="4"/>
  <c r="G272" i="4"/>
  <c r="F272" i="4"/>
  <c r="E272" i="4"/>
  <c r="D272" i="4"/>
  <c r="C272" i="4"/>
  <c r="L271" i="4"/>
  <c r="K271" i="4"/>
  <c r="H271" i="4"/>
  <c r="G271" i="4"/>
  <c r="F271" i="4"/>
  <c r="E271" i="4"/>
  <c r="D271" i="4"/>
  <c r="C271" i="4"/>
  <c r="L270" i="4"/>
  <c r="K270" i="4"/>
  <c r="H270" i="4"/>
  <c r="G270" i="4"/>
  <c r="F270" i="4"/>
  <c r="E270" i="4"/>
  <c r="D270" i="4"/>
  <c r="C270" i="4"/>
  <c r="L269" i="4"/>
  <c r="K269" i="4"/>
  <c r="H269" i="4"/>
  <c r="G269" i="4"/>
  <c r="F269" i="4"/>
  <c r="E269" i="4"/>
  <c r="D269" i="4"/>
  <c r="C269" i="4"/>
  <c r="L268" i="4"/>
  <c r="K268" i="4"/>
  <c r="H268" i="4"/>
  <c r="G268" i="4"/>
  <c r="F268" i="4"/>
  <c r="E268" i="4"/>
  <c r="D268" i="4"/>
  <c r="C268" i="4"/>
  <c r="L267" i="4"/>
  <c r="K267" i="4"/>
  <c r="H267" i="4"/>
  <c r="G267" i="4"/>
  <c r="F267" i="4"/>
  <c r="E267" i="4"/>
  <c r="D267" i="4"/>
  <c r="C267" i="4"/>
  <c r="L266" i="4"/>
  <c r="K266" i="4"/>
  <c r="H266" i="4"/>
  <c r="G266" i="4"/>
  <c r="F266" i="4"/>
  <c r="E266" i="4"/>
  <c r="D266" i="4"/>
  <c r="C266" i="4"/>
  <c r="L265" i="4"/>
  <c r="K265" i="4"/>
  <c r="H265" i="4"/>
  <c r="G265" i="4"/>
  <c r="F265" i="4"/>
  <c r="E265" i="4"/>
  <c r="D265" i="4"/>
  <c r="C265" i="4"/>
  <c r="L264" i="4"/>
  <c r="K264" i="4"/>
  <c r="H264" i="4"/>
  <c r="G264" i="4"/>
  <c r="F264" i="4"/>
  <c r="E264" i="4"/>
  <c r="D264" i="4"/>
  <c r="C264" i="4"/>
  <c r="L263" i="4"/>
  <c r="K263" i="4"/>
  <c r="H263" i="4"/>
  <c r="G263" i="4"/>
  <c r="F263" i="4"/>
  <c r="E263" i="4"/>
  <c r="D263" i="4"/>
  <c r="C263" i="4"/>
  <c r="L262" i="4"/>
  <c r="K262" i="4"/>
  <c r="H262" i="4"/>
  <c r="G262" i="4"/>
  <c r="F262" i="4"/>
  <c r="E262" i="4"/>
  <c r="D262" i="4"/>
  <c r="C262" i="4"/>
  <c r="L261" i="4"/>
  <c r="K261" i="4"/>
  <c r="H261" i="4"/>
  <c r="G261" i="4"/>
  <c r="F261" i="4"/>
  <c r="E261" i="4"/>
  <c r="D261" i="4"/>
  <c r="C261" i="4"/>
  <c r="L260" i="4"/>
  <c r="K260" i="4"/>
  <c r="H260" i="4"/>
  <c r="G260" i="4"/>
  <c r="F260" i="4"/>
  <c r="E260" i="4"/>
  <c r="D260" i="4"/>
  <c r="C260" i="4"/>
  <c r="L259" i="4"/>
  <c r="K259" i="4"/>
  <c r="H259" i="4"/>
  <c r="G259" i="4"/>
  <c r="F259" i="4"/>
  <c r="E259" i="4"/>
  <c r="D259" i="4"/>
  <c r="C259" i="4"/>
  <c r="L258" i="4"/>
  <c r="K258" i="4"/>
  <c r="H258" i="4"/>
  <c r="G258" i="4"/>
  <c r="F258" i="4"/>
  <c r="E258" i="4"/>
  <c r="D258" i="4"/>
  <c r="C258" i="4"/>
  <c r="L257" i="4"/>
  <c r="K257" i="4"/>
  <c r="H257" i="4"/>
  <c r="G257" i="4"/>
  <c r="F257" i="4"/>
  <c r="E257" i="4"/>
  <c r="D257" i="4"/>
  <c r="C257" i="4"/>
  <c r="L256" i="4"/>
  <c r="K256" i="4"/>
  <c r="H256" i="4"/>
  <c r="G256" i="4"/>
  <c r="F256" i="4"/>
  <c r="E256" i="4"/>
  <c r="D256" i="4"/>
  <c r="C256" i="4"/>
  <c r="L255" i="4"/>
  <c r="K255" i="4"/>
  <c r="H255" i="4"/>
  <c r="G255" i="4"/>
  <c r="F255" i="4"/>
  <c r="E255" i="4"/>
  <c r="D255" i="4"/>
  <c r="C255" i="4"/>
  <c r="L254" i="4"/>
  <c r="K254" i="4"/>
  <c r="H254" i="4"/>
  <c r="G254" i="4"/>
  <c r="F254" i="4"/>
  <c r="E254" i="4"/>
  <c r="D254" i="4"/>
  <c r="C254" i="4"/>
  <c r="L253" i="4"/>
  <c r="K253" i="4"/>
  <c r="H253" i="4"/>
  <c r="G253" i="4"/>
  <c r="F253" i="4"/>
  <c r="E253" i="4"/>
  <c r="D253" i="4"/>
  <c r="C253" i="4"/>
  <c r="L252" i="4"/>
  <c r="K252" i="4"/>
  <c r="H252" i="4"/>
  <c r="G252" i="4"/>
  <c r="F252" i="4"/>
  <c r="E252" i="4"/>
  <c r="D252" i="4"/>
  <c r="C252" i="4"/>
  <c r="L251" i="4"/>
  <c r="K251" i="4"/>
  <c r="H251" i="4"/>
  <c r="G251" i="4"/>
  <c r="F251" i="4"/>
  <c r="E251" i="4"/>
  <c r="D251" i="4"/>
  <c r="C251" i="4"/>
  <c r="L250" i="4"/>
  <c r="K250" i="4"/>
  <c r="H250" i="4"/>
  <c r="G250" i="4"/>
  <c r="F250" i="4"/>
  <c r="E250" i="4"/>
  <c r="D250" i="4"/>
  <c r="C250" i="4"/>
  <c r="L249" i="4"/>
  <c r="K249" i="4"/>
  <c r="H249" i="4"/>
  <c r="G249" i="4"/>
  <c r="F249" i="4"/>
  <c r="E249" i="4"/>
  <c r="D249" i="4"/>
  <c r="C249" i="4"/>
  <c r="L248" i="4"/>
  <c r="K248" i="4"/>
  <c r="H248" i="4"/>
  <c r="G248" i="4"/>
  <c r="F248" i="4"/>
  <c r="E248" i="4"/>
  <c r="D248" i="4"/>
  <c r="C248" i="4"/>
  <c r="L247" i="4"/>
  <c r="K247" i="4"/>
  <c r="H247" i="4"/>
  <c r="G247" i="4"/>
  <c r="F247" i="4"/>
  <c r="E247" i="4"/>
  <c r="D247" i="4"/>
  <c r="C247" i="4"/>
  <c r="L246" i="4"/>
  <c r="K246" i="4"/>
  <c r="H246" i="4"/>
  <c r="G246" i="4"/>
  <c r="F246" i="4"/>
  <c r="E246" i="4"/>
  <c r="D246" i="4"/>
  <c r="C246" i="4"/>
  <c r="L245" i="4"/>
  <c r="K245" i="4"/>
  <c r="H245" i="4"/>
  <c r="G245" i="4"/>
  <c r="F245" i="4"/>
  <c r="E245" i="4"/>
  <c r="D245" i="4"/>
  <c r="C245" i="4"/>
  <c r="L244" i="4"/>
  <c r="K244" i="4"/>
  <c r="H244" i="4"/>
  <c r="G244" i="4"/>
  <c r="F244" i="4"/>
  <c r="E244" i="4"/>
  <c r="D244" i="4"/>
  <c r="C244" i="4"/>
  <c r="L243" i="4"/>
  <c r="K243" i="4"/>
  <c r="H243" i="4"/>
  <c r="G243" i="4"/>
  <c r="F243" i="4"/>
  <c r="E243" i="4"/>
  <c r="D243" i="4"/>
  <c r="C243" i="4"/>
  <c r="L242" i="4"/>
  <c r="K242" i="4"/>
  <c r="H242" i="4"/>
  <c r="G242" i="4"/>
  <c r="F242" i="4"/>
  <c r="E242" i="4"/>
  <c r="D242" i="4"/>
  <c r="C242" i="4"/>
  <c r="L241" i="4"/>
  <c r="K241" i="4"/>
  <c r="H241" i="4"/>
  <c r="G241" i="4"/>
  <c r="F241" i="4"/>
  <c r="E241" i="4"/>
  <c r="D241" i="4"/>
  <c r="C241" i="4"/>
  <c r="L240" i="4"/>
  <c r="K240" i="4"/>
  <c r="H240" i="4"/>
  <c r="G240" i="4"/>
  <c r="F240" i="4"/>
  <c r="E240" i="4"/>
  <c r="D240" i="4"/>
  <c r="C240" i="4"/>
  <c r="L239" i="4"/>
  <c r="K239" i="4"/>
  <c r="H239" i="4"/>
  <c r="G239" i="4"/>
  <c r="F239" i="4"/>
  <c r="E239" i="4"/>
  <c r="D239" i="4"/>
  <c r="C239" i="4"/>
  <c r="L238" i="4"/>
  <c r="K238" i="4"/>
  <c r="H238" i="4"/>
  <c r="G238" i="4"/>
  <c r="F238" i="4"/>
  <c r="E238" i="4"/>
  <c r="D238" i="4"/>
  <c r="C238" i="4"/>
  <c r="L237" i="4"/>
  <c r="K237" i="4"/>
  <c r="H237" i="4"/>
  <c r="G237" i="4"/>
  <c r="F237" i="4"/>
  <c r="E237" i="4"/>
  <c r="D237" i="4"/>
  <c r="C237" i="4"/>
  <c r="L236" i="4"/>
  <c r="K236" i="4"/>
  <c r="H236" i="4"/>
  <c r="G236" i="4"/>
  <c r="F236" i="4"/>
  <c r="E236" i="4"/>
  <c r="D236" i="4"/>
  <c r="C236" i="4"/>
  <c r="L235" i="4"/>
  <c r="K235" i="4"/>
  <c r="H235" i="4"/>
  <c r="G235" i="4"/>
  <c r="F235" i="4"/>
  <c r="E235" i="4"/>
  <c r="D235" i="4"/>
  <c r="C235" i="4"/>
  <c r="L234" i="4"/>
  <c r="K234" i="4"/>
  <c r="H234" i="4"/>
  <c r="G234" i="4"/>
  <c r="F234" i="4"/>
  <c r="E234" i="4"/>
  <c r="D234" i="4"/>
  <c r="C234" i="4"/>
  <c r="L233" i="4"/>
  <c r="K233" i="4"/>
  <c r="H233" i="4"/>
  <c r="G233" i="4"/>
  <c r="F233" i="4"/>
  <c r="E233" i="4"/>
  <c r="D233" i="4"/>
  <c r="C233" i="4"/>
  <c r="L232" i="4"/>
  <c r="K232" i="4"/>
  <c r="H232" i="4"/>
  <c r="G232" i="4"/>
  <c r="F232" i="4"/>
  <c r="E232" i="4"/>
  <c r="D232" i="4"/>
  <c r="C232" i="4"/>
  <c r="L231" i="4"/>
  <c r="K231" i="4"/>
  <c r="H231" i="4"/>
  <c r="G231" i="4"/>
  <c r="F231" i="4"/>
  <c r="E231" i="4"/>
  <c r="D231" i="4"/>
  <c r="C231" i="4"/>
  <c r="L230" i="4"/>
  <c r="K230" i="4"/>
  <c r="H230" i="4"/>
  <c r="G230" i="4"/>
  <c r="F230" i="4"/>
  <c r="E230" i="4"/>
  <c r="D230" i="4"/>
  <c r="C230" i="4"/>
  <c r="L229" i="4"/>
  <c r="K229" i="4"/>
  <c r="H229" i="4"/>
  <c r="G229" i="4"/>
  <c r="F229" i="4"/>
  <c r="E229" i="4"/>
  <c r="D229" i="4"/>
  <c r="C229" i="4"/>
  <c r="L228" i="4"/>
  <c r="K228" i="4"/>
  <c r="H228" i="4"/>
  <c r="G228" i="4"/>
  <c r="F228" i="4"/>
  <c r="E228" i="4"/>
  <c r="D228" i="4"/>
  <c r="C228" i="4"/>
  <c r="L227" i="4"/>
  <c r="K227" i="4"/>
  <c r="H227" i="4"/>
  <c r="G227" i="4"/>
  <c r="F227" i="4"/>
  <c r="E227" i="4"/>
  <c r="D227" i="4"/>
  <c r="C227" i="4"/>
  <c r="L226" i="4"/>
  <c r="K226" i="4"/>
  <c r="H226" i="4"/>
  <c r="G226" i="4"/>
  <c r="F226" i="4"/>
  <c r="E226" i="4"/>
  <c r="D226" i="4"/>
  <c r="C226" i="4"/>
  <c r="L225" i="4"/>
  <c r="K225" i="4"/>
  <c r="H225" i="4"/>
  <c r="G225" i="4"/>
  <c r="F225" i="4"/>
  <c r="E225" i="4"/>
  <c r="D225" i="4"/>
  <c r="C225" i="4"/>
  <c r="L224" i="4"/>
  <c r="K224" i="4"/>
  <c r="H224" i="4"/>
  <c r="G224" i="4"/>
  <c r="F224" i="4"/>
  <c r="E224" i="4"/>
  <c r="D224" i="4"/>
  <c r="C224" i="4"/>
  <c r="L223" i="4"/>
  <c r="K223" i="4"/>
  <c r="H223" i="4"/>
  <c r="G223" i="4"/>
  <c r="F223" i="4"/>
  <c r="E223" i="4"/>
  <c r="D223" i="4"/>
  <c r="C223" i="4"/>
  <c r="L222" i="4"/>
  <c r="K222" i="4"/>
  <c r="H222" i="4"/>
  <c r="G222" i="4"/>
  <c r="F222" i="4"/>
  <c r="E222" i="4"/>
  <c r="D222" i="4"/>
  <c r="C222" i="4"/>
  <c r="L221" i="4"/>
  <c r="K221" i="4"/>
  <c r="H221" i="4"/>
  <c r="G221" i="4"/>
  <c r="F221" i="4"/>
  <c r="E221" i="4"/>
  <c r="D221" i="4"/>
  <c r="C221" i="4"/>
  <c r="L220" i="4"/>
  <c r="K220" i="4"/>
  <c r="H220" i="4"/>
  <c r="G220" i="4"/>
  <c r="F220" i="4"/>
  <c r="E220" i="4"/>
  <c r="D220" i="4"/>
  <c r="C220" i="4"/>
  <c r="L219" i="4"/>
  <c r="K219" i="4"/>
  <c r="H219" i="4"/>
  <c r="G219" i="4"/>
  <c r="F219" i="4"/>
  <c r="E219" i="4"/>
  <c r="D219" i="4"/>
  <c r="C219" i="4"/>
  <c r="L218" i="4"/>
  <c r="K218" i="4"/>
  <c r="H218" i="4"/>
  <c r="G218" i="4"/>
  <c r="F218" i="4"/>
  <c r="E218" i="4"/>
  <c r="D218" i="4"/>
  <c r="C218" i="4"/>
  <c r="L217" i="4"/>
  <c r="K217" i="4"/>
  <c r="H217" i="4"/>
  <c r="G217" i="4"/>
  <c r="F217" i="4"/>
  <c r="E217" i="4"/>
  <c r="D217" i="4"/>
  <c r="C217" i="4"/>
  <c r="L216" i="4"/>
  <c r="K216" i="4"/>
  <c r="H216" i="4"/>
  <c r="G216" i="4"/>
  <c r="F216" i="4"/>
  <c r="E216" i="4"/>
  <c r="D216" i="4"/>
  <c r="C216" i="4"/>
  <c r="L215" i="4"/>
  <c r="K215" i="4"/>
  <c r="H215" i="4"/>
  <c r="G215" i="4"/>
  <c r="F215" i="4"/>
  <c r="E215" i="4"/>
  <c r="D215" i="4"/>
  <c r="C215" i="4"/>
  <c r="L214" i="4"/>
  <c r="K214" i="4"/>
  <c r="H214" i="4"/>
  <c r="G214" i="4"/>
  <c r="F214" i="4"/>
  <c r="E214" i="4"/>
  <c r="D214" i="4"/>
  <c r="C214" i="4"/>
  <c r="L213" i="4"/>
  <c r="K213" i="4"/>
  <c r="H213" i="4"/>
  <c r="G213" i="4"/>
  <c r="F213" i="4"/>
  <c r="E213" i="4"/>
  <c r="D213" i="4"/>
  <c r="C213" i="4"/>
  <c r="L212" i="4"/>
  <c r="K212" i="4"/>
  <c r="H212" i="4"/>
  <c r="G212" i="4"/>
  <c r="F212" i="4"/>
  <c r="E212" i="4"/>
  <c r="D212" i="4"/>
  <c r="C212" i="4"/>
  <c r="L211" i="4"/>
  <c r="K211" i="4"/>
  <c r="H211" i="4"/>
  <c r="G211" i="4"/>
  <c r="F211" i="4"/>
  <c r="E211" i="4"/>
  <c r="D211" i="4"/>
  <c r="C211" i="4"/>
  <c r="L210" i="4"/>
  <c r="K210" i="4"/>
  <c r="H210" i="4"/>
  <c r="G210" i="4"/>
  <c r="F210" i="4"/>
  <c r="E210" i="4"/>
  <c r="D210" i="4"/>
  <c r="C210" i="4"/>
  <c r="L209" i="4"/>
  <c r="K209" i="4"/>
  <c r="H209" i="4"/>
  <c r="G209" i="4"/>
  <c r="F209" i="4"/>
  <c r="E209" i="4"/>
  <c r="D209" i="4"/>
  <c r="C209" i="4"/>
  <c r="L208" i="4"/>
  <c r="K208" i="4"/>
  <c r="H208" i="4"/>
  <c r="G208" i="4"/>
  <c r="F208" i="4"/>
  <c r="E208" i="4"/>
  <c r="D208" i="4"/>
  <c r="C208" i="4"/>
  <c r="L207" i="4"/>
  <c r="K207" i="4"/>
  <c r="H207" i="4"/>
  <c r="G207" i="4"/>
  <c r="F207" i="4"/>
  <c r="E207" i="4"/>
  <c r="D207" i="4"/>
  <c r="C207" i="4"/>
  <c r="L206" i="4"/>
  <c r="K206" i="4"/>
  <c r="H206" i="4"/>
  <c r="G206" i="4"/>
  <c r="F206" i="4"/>
  <c r="E206" i="4"/>
  <c r="D206" i="4"/>
  <c r="C206" i="4"/>
  <c r="L205" i="4"/>
  <c r="K205" i="4"/>
  <c r="H205" i="4"/>
  <c r="G205" i="4"/>
  <c r="F205" i="4"/>
  <c r="E205" i="4"/>
  <c r="D205" i="4"/>
  <c r="C205" i="4"/>
  <c r="L204" i="4"/>
  <c r="K204" i="4"/>
  <c r="H204" i="4"/>
  <c r="G204" i="4"/>
  <c r="F204" i="4"/>
  <c r="E204" i="4"/>
  <c r="D204" i="4"/>
  <c r="C204" i="4"/>
  <c r="L203" i="4"/>
  <c r="K203" i="4"/>
  <c r="H203" i="4"/>
  <c r="G203" i="4"/>
  <c r="F203" i="4"/>
  <c r="E203" i="4"/>
  <c r="D203" i="4"/>
  <c r="C203" i="4"/>
  <c r="L202" i="4"/>
  <c r="K202" i="4"/>
  <c r="H202" i="4"/>
  <c r="G202" i="4"/>
  <c r="F202" i="4"/>
  <c r="E202" i="4"/>
  <c r="D202" i="4"/>
  <c r="C202" i="4"/>
  <c r="L201" i="4"/>
  <c r="K201" i="4"/>
  <c r="H201" i="4"/>
  <c r="G201" i="4"/>
  <c r="F201" i="4"/>
  <c r="E201" i="4"/>
  <c r="D201" i="4"/>
  <c r="C201" i="4"/>
  <c r="L200" i="4"/>
  <c r="K200" i="4"/>
  <c r="H200" i="4"/>
  <c r="G200" i="4"/>
  <c r="F200" i="4"/>
  <c r="E200" i="4"/>
  <c r="D200" i="4"/>
  <c r="C200" i="4"/>
  <c r="L199" i="4"/>
  <c r="K199" i="4"/>
  <c r="H199" i="4"/>
  <c r="G199" i="4"/>
  <c r="F199" i="4"/>
  <c r="E199" i="4"/>
  <c r="D199" i="4"/>
  <c r="C199" i="4"/>
  <c r="L198" i="4"/>
  <c r="K198" i="4"/>
  <c r="H198" i="4"/>
  <c r="G198" i="4"/>
  <c r="F198" i="4"/>
  <c r="E198" i="4"/>
  <c r="D198" i="4"/>
  <c r="C198" i="4"/>
  <c r="L197" i="4"/>
  <c r="K197" i="4"/>
  <c r="H197" i="4"/>
  <c r="G197" i="4"/>
  <c r="F197" i="4"/>
  <c r="E197" i="4"/>
  <c r="D197" i="4"/>
  <c r="C197" i="4"/>
  <c r="L196" i="4"/>
  <c r="K196" i="4"/>
  <c r="H196" i="4"/>
  <c r="G196" i="4"/>
  <c r="F196" i="4"/>
  <c r="E196" i="4"/>
  <c r="D196" i="4"/>
  <c r="C196" i="4"/>
  <c r="L195" i="4"/>
  <c r="K195" i="4"/>
  <c r="H195" i="4"/>
  <c r="G195" i="4"/>
  <c r="F195" i="4"/>
  <c r="E195" i="4"/>
  <c r="D195" i="4"/>
  <c r="C195" i="4"/>
  <c r="L194" i="4"/>
  <c r="K194" i="4"/>
  <c r="H194" i="4"/>
  <c r="G194" i="4"/>
  <c r="F194" i="4"/>
  <c r="E194" i="4"/>
  <c r="D194" i="4"/>
  <c r="C194" i="4"/>
  <c r="L193" i="4"/>
  <c r="K193" i="4"/>
  <c r="H193" i="4"/>
  <c r="G193" i="4"/>
  <c r="F193" i="4"/>
  <c r="E193" i="4"/>
  <c r="D193" i="4"/>
  <c r="C193" i="4"/>
  <c r="L192" i="4"/>
  <c r="K192" i="4"/>
  <c r="H192" i="4"/>
  <c r="G192" i="4"/>
  <c r="F192" i="4"/>
  <c r="E192" i="4"/>
  <c r="D192" i="4"/>
  <c r="C192" i="4"/>
  <c r="L191" i="4"/>
  <c r="K191" i="4"/>
  <c r="H191" i="4"/>
  <c r="G191" i="4"/>
  <c r="F191" i="4"/>
  <c r="E191" i="4"/>
  <c r="D191" i="4"/>
  <c r="C191" i="4"/>
  <c r="L190" i="4"/>
  <c r="K190" i="4"/>
  <c r="H190" i="4"/>
  <c r="G190" i="4"/>
  <c r="F190" i="4"/>
  <c r="E190" i="4"/>
  <c r="D190" i="4"/>
  <c r="C190" i="4"/>
  <c r="L189" i="4"/>
  <c r="K189" i="4"/>
  <c r="H189" i="4"/>
  <c r="G189" i="4"/>
  <c r="F189" i="4"/>
  <c r="E189" i="4"/>
  <c r="D189" i="4"/>
  <c r="C189" i="4"/>
  <c r="L188" i="4"/>
  <c r="K188" i="4"/>
  <c r="H188" i="4"/>
  <c r="G188" i="4"/>
  <c r="F188" i="4"/>
  <c r="E188" i="4"/>
  <c r="D188" i="4"/>
  <c r="C188" i="4"/>
  <c r="L187" i="4"/>
  <c r="K187" i="4"/>
  <c r="H187" i="4"/>
  <c r="G187" i="4"/>
  <c r="F187" i="4"/>
  <c r="E187" i="4"/>
  <c r="D187" i="4"/>
  <c r="C187" i="4"/>
  <c r="L186" i="4"/>
  <c r="K186" i="4"/>
  <c r="H186" i="4"/>
  <c r="G186" i="4"/>
  <c r="F186" i="4"/>
  <c r="E186" i="4"/>
  <c r="D186" i="4"/>
  <c r="C186" i="4"/>
  <c r="L185" i="4"/>
  <c r="K185" i="4"/>
  <c r="H185" i="4"/>
  <c r="G185" i="4"/>
  <c r="F185" i="4"/>
  <c r="E185" i="4"/>
  <c r="D185" i="4"/>
  <c r="C185" i="4"/>
  <c r="L184" i="4"/>
  <c r="K184" i="4"/>
  <c r="H184" i="4"/>
  <c r="G184" i="4"/>
  <c r="F184" i="4"/>
  <c r="E184" i="4"/>
  <c r="D184" i="4"/>
  <c r="C184" i="4"/>
  <c r="L183" i="4"/>
  <c r="K183" i="4"/>
  <c r="H183" i="4"/>
  <c r="G183" i="4"/>
  <c r="F183" i="4"/>
  <c r="E183" i="4"/>
  <c r="D183" i="4"/>
  <c r="C183" i="4"/>
  <c r="L182" i="4"/>
  <c r="K182" i="4"/>
  <c r="H182" i="4"/>
  <c r="G182" i="4"/>
  <c r="F182" i="4"/>
  <c r="E182" i="4"/>
  <c r="D182" i="4"/>
  <c r="C182" i="4"/>
  <c r="L181" i="4"/>
  <c r="K181" i="4"/>
  <c r="H181" i="4"/>
  <c r="G181" i="4"/>
  <c r="F181" i="4"/>
  <c r="E181" i="4"/>
  <c r="D181" i="4"/>
  <c r="C181" i="4"/>
  <c r="L180" i="4"/>
  <c r="K180" i="4"/>
  <c r="H180" i="4"/>
  <c r="G180" i="4"/>
  <c r="F180" i="4"/>
  <c r="E180" i="4"/>
  <c r="D180" i="4"/>
  <c r="C180" i="4"/>
  <c r="L179" i="4"/>
  <c r="K179" i="4"/>
  <c r="H179" i="4"/>
  <c r="G179" i="4"/>
  <c r="F179" i="4"/>
  <c r="E179" i="4"/>
  <c r="D179" i="4"/>
  <c r="C179" i="4"/>
  <c r="L178" i="4"/>
  <c r="K178" i="4"/>
  <c r="H178" i="4"/>
  <c r="G178" i="4"/>
  <c r="F178" i="4"/>
  <c r="E178" i="4"/>
  <c r="D178" i="4"/>
  <c r="C178" i="4"/>
  <c r="L177" i="4"/>
  <c r="K177" i="4"/>
  <c r="H177" i="4"/>
  <c r="G177" i="4"/>
  <c r="F177" i="4"/>
  <c r="E177" i="4"/>
  <c r="D177" i="4"/>
  <c r="C177" i="4"/>
  <c r="L176" i="4"/>
  <c r="K176" i="4"/>
  <c r="H176" i="4"/>
  <c r="G176" i="4"/>
  <c r="F176" i="4"/>
  <c r="E176" i="4"/>
  <c r="D176" i="4"/>
  <c r="C176" i="4"/>
  <c r="L175" i="4"/>
  <c r="K175" i="4"/>
  <c r="H175" i="4"/>
  <c r="G175" i="4"/>
  <c r="F175" i="4"/>
  <c r="E175" i="4"/>
  <c r="D175" i="4"/>
  <c r="C175" i="4"/>
  <c r="L174" i="4"/>
  <c r="K174" i="4"/>
  <c r="H174" i="4"/>
  <c r="G174" i="4"/>
  <c r="F174" i="4"/>
  <c r="E174" i="4"/>
  <c r="D174" i="4"/>
  <c r="C174" i="4"/>
  <c r="L173" i="4"/>
  <c r="K173" i="4"/>
  <c r="H173" i="4"/>
  <c r="G173" i="4"/>
  <c r="F173" i="4"/>
  <c r="E173" i="4"/>
  <c r="D173" i="4"/>
  <c r="C173" i="4"/>
  <c r="L172" i="4"/>
  <c r="K172" i="4"/>
  <c r="H172" i="4"/>
  <c r="G172" i="4"/>
  <c r="F172" i="4"/>
  <c r="E172" i="4"/>
  <c r="D172" i="4"/>
  <c r="C172" i="4"/>
  <c r="L171" i="4"/>
  <c r="K171" i="4"/>
  <c r="H171" i="4"/>
  <c r="G171" i="4"/>
  <c r="F171" i="4"/>
  <c r="E171" i="4"/>
  <c r="D171" i="4"/>
  <c r="C171" i="4"/>
  <c r="L170" i="4"/>
  <c r="K170" i="4"/>
  <c r="H170" i="4"/>
  <c r="G170" i="4"/>
  <c r="F170" i="4"/>
  <c r="E170" i="4"/>
  <c r="D170" i="4"/>
  <c r="C170" i="4"/>
  <c r="L169" i="4"/>
  <c r="K169" i="4"/>
  <c r="H169" i="4"/>
  <c r="G169" i="4"/>
  <c r="F169" i="4"/>
  <c r="E169" i="4"/>
  <c r="D169" i="4"/>
  <c r="C169" i="4"/>
  <c r="L168" i="4"/>
  <c r="K168" i="4"/>
  <c r="H168" i="4"/>
  <c r="G168" i="4"/>
  <c r="F168" i="4"/>
  <c r="E168" i="4"/>
  <c r="D168" i="4"/>
  <c r="C168" i="4"/>
  <c r="L167" i="4"/>
  <c r="K167" i="4"/>
  <c r="H167" i="4"/>
  <c r="G167" i="4"/>
  <c r="F167" i="4"/>
  <c r="E167" i="4"/>
  <c r="D167" i="4"/>
  <c r="C167" i="4"/>
  <c r="L166" i="4"/>
  <c r="K166" i="4"/>
  <c r="H166" i="4"/>
  <c r="G166" i="4"/>
  <c r="F166" i="4"/>
  <c r="E166" i="4"/>
  <c r="D166" i="4"/>
  <c r="C166" i="4"/>
  <c r="L165" i="4"/>
  <c r="K165" i="4"/>
  <c r="H165" i="4"/>
  <c r="G165" i="4"/>
  <c r="F165" i="4"/>
  <c r="E165" i="4"/>
  <c r="D165" i="4"/>
  <c r="C165" i="4"/>
  <c r="L164" i="4"/>
  <c r="K164" i="4"/>
  <c r="H164" i="4"/>
  <c r="G164" i="4"/>
  <c r="F164" i="4"/>
  <c r="E164" i="4"/>
  <c r="D164" i="4"/>
  <c r="C164" i="4"/>
  <c r="L163" i="4"/>
  <c r="K163" i="4"/>
  <c r="H163" i="4"/>
  <c r="G163" i="4"/>
  <c r="F163" i="4"/>
  <c r="E163" i="4"/>
  <c r="D163" i="4"/>
  <c r="C163" i="4"/>
  <c r="L162" i="4"/>
  <c r="K162" i="4"/>
  <c r="H162" i="4"/>
  <c r="G162" i="4"/>
  <c r="F162" i="4"/>
  <c r="E162" i="4"/>
  <c r="D162" i="4"/>
  <c r="C162" i="4"/>
  <c r="L161" i="4"/>
  <c r="K161" i="4"/>
  <c r="H161" i="4"/>
  <c r="G161" i="4"/>
  <c r="F161" i="4"/>
  <c r="E161" i="4"/>
  <c r="D161" i="4"/>
  <c r="C161" i="4"/>
  <c r="L160" i="4"/>
  <c r="K160" i="4"/>
  <c r="H160" i="4"/>
  <c r="G160" i="4"/>
  <c r="F160" i="4"/>
  <c r="E160" i="4"/>
  <c r="D160" i="4"/>
  <c r="C160" i="4"/>
  <c r="L159" i="4"/>
  <c r="K159" i="4"/>
  <c r="H159" i="4"/>
  <c r="G159" i="4"/>
  <c r="F159" i="4"/>
  <c r="E159" i="4"/>
  <c r="D159" i="4"/>
  <c r="C159" i="4"/>
  <c r="L158" i="4"/>
  <c r="K158" i="4"/>
  <c r="H158" i="4"/>
  <c r="G158" i="4"/>
  <c r="F158" i="4"/>
  <c r="E158" i="4"/>
  <c r="D158" i="4"/>
  <c r="C158" i="4"/>
  <c r="L157" i="4"/>
  <c r="K157" i="4"/>
  <c r="H157" i="4"/>
  <c r="G157" i="4"/>
  <c r="F157" i="4"/>
  <c r="E157" i="4"/>
  <c r="D157" i="4"/>
  <c r="C157" i="4"/>
  <c r="L156" i="4"/>
  <c r="K156" i="4"/>
  <c r="H156" i="4"/>
  <c r="G156" i="4"/>
  <c r="F156" i="4"/>
  <c r="E156" i="4"/>
  <c r="D156" i="4"/>
  <c r="C156" i="4"/>
  <c r="L155" i="4"/>
  <c r="K155" i="4"/>
  <c r="H155" i="4"/>
  <c r="G155" i="4"/>
  <c r="F155" i="4"/>
  <c r="E155" i="4"/>
  <c r="D155" i="4"/>
  <c r="C155" i="4"/>
  <c r="L154" i="4"/>
  <c r="K154" i="4"/>
  <c r="H154" i="4"/>
  <c r="G154" i="4"/>
  <c r="F154" i="4"/>
  <c r="E154" i="4"/>
  <c r="D154" i="4"/>
  <c r="C154" i="4"/>
  <c r="L153" i="4"/>
  <c r="K153" i="4"/>
  <c r="H153" i="4"/>
  <c r="G153" i="4"/>
  <c r="F153" i="4"/>
  <c r="E153" i="4"/>
  <c r="D153" i="4"/>
  <c r="C153" i="4"/>
  <c r="L152" i="4"/>
  <c r="K152" i="4"/>
  <c r="H152" i="4"/>
  <c r="G152" i="4"/>
  <c r="F152" i="4"/>
  <c r="E152" i="4"/>
  <c r="D152" i="4"/>
  <c r="C152" i="4"/>
  <c r="L151" i="4"/>
  <c r="K151" i="4"/>
  <c r="H151" i="4"/>
  <c r="G151" i="4"/>
  <c r="F151" i="4"/>
  <c r="E151" i="4"/>
  <c r="D151" i="4"/>
  <c r="C151" i="4"/>
  <c r="L150" i="4"/>
  <c r="K150" i="4"/>
  <c r="H150" i="4"/>
  <c r="G150" i="4"/>
  <c r="F150" i="4"/>
  <c r="E150" i="4"/>
  <c r="D150" i="4"/>
  <c r="C150" i="4"/>
  <c r="L149" i="4"/>
  <c r="K149" i="4"/>
  <c r="H149" i="4"/>
  <c r="G149" i="4"/>
  <c r="F149" i="4"/>
  <c r="E149" i="4"/>
  <c r="D149" i="4"/>
  <c r="C149" i="4"/>
  <c r="L148" i="4"/>
  <c r="K148" i="4"/>
  <c r="H148" i="4"/>
  <c r="G148" i="4"/>
  <c r="F148" i="4"/>
  <c r="E148" i="4"/>
  <c r="D148" i="4"/>
  <c r="C148" i="4"/>
  <c r="L147" i="4"/>
  <c r="K147" i="4"/>
  <c r="H147" i="4"/>
  <c r="G147" i="4"/>
  <c r="F147" i="4"/>
  <c r="E147" i="4"/>
  <c r="D147" i="4"/>
  <c r="C147" i="4"/>
  <c r="L146" i="4"/>
  <c r="K146" i="4"/>
  <c r="H146" i="4"/>
  <c r="G146" i="4"/>
  <c r="F146" i="4"/>
  <c r="E146" i="4"/>
  <c r="D146" i="4"/>
  <c r="C146" i="4"/>
  <c r="L145" i="4"/>
  <c r="K145" i="4"/>
  <c r="H145" i="4"/>
  <c r="G145" i="4"/>
  <c r="F145" i="4"/>
  <c r="E145" i="4"/>
  <c r="D145" i="4"/>
  <c r="C145" i="4"/>
  <c r="L144" i="4"/>
  <c r="K144" i="4"/>
  <c r="H144" i="4"/>
  <c r="G144" i="4"/>
  <c r="F144" i="4"/>
  <c r="E144" i="4"/>
  <c r="D144" i="4"/>
  <c r="C144" i="4"/>
  <c r="L143" i="4"/>
  <c r="K143" i="4"/>
  <c r="H143" i="4"/>
  <c r="G143" i="4"/>
  <c r="F143" i="4"/>
  <c r="E143" i="4"/>
  <c r="D143" i="4"/>
  <c r="C143" i="4"/>
  <c r="L142" i="4"/>
  <c r="K142" i="4"/>
  <c r="H142" i="4"/>
  <c r="G142" i="4"/>
  <c r="F142" i="4"/>
  <c r="E142" i="4"/>
  <c r="D142" i="4"/>
  <c r="C142" i="4"/>
  <c r="L141" i="4"/>
  <c r="K141" i="4"/>
  <c r="H141" i="4"/>
  <c r="G141" i="4"/>
  <c r="F141" i="4"/>
  <c r="E141" i="4"/>
  <c r="D141" i="4"/>
  <c r="C141" i="4"/>
  <c r="L140" i="4"/>
  <c r="K140" i="4"/>
  <c r="H140" i="4"/>
  <c r="G140" i="4"/>
  <c r="F140" i="4"/>
  <c r="E140" i="4"/>
  <c r="D140" i="4"/>
  <c r="C140" i="4"/>
  <c r="L139" i="4"/>
  <c r="K139" i="4"/>
  <c r="H139" i="4"/>
  <c r="G139" i="4"/>
  <c r="F139" i="4"/>
  <c r="E139" i="4"/>
  <c r="D139" i="4"/>
  <c r="C139" i="4"/>
  <c r="L138" i="4"/>
  <c r="K138" i="4"/>
  <c r="H138" i="4"/>
  <c r="G138" i="4"/>
  <c r="F138" i="4"/>
  <c r="E138" i="4"/>
  <c r="D138" i="4"/>
  <c r="C138" i="4"/>
  <c r="L137" i="4"/>
  <c r="K137" i="4"/>
  <c r="H137" i="4"/>
  <c r="G137" i="4"/>
  <c r="F137" i="4"/>
  <c r="E137" i="4"/>
  <c r="D137" i="4"/>
  <c r="C137" i="4"/>
  <c r="L136" i="4"/>
  <c r="K136" i="4"/>
  <c r="H136" i="4"/>
  <c r="G136" i="4"/>
  <c r="F136" i="4"/>
  <c r="E136" i="4"/>
  <c r="D136" i="4"/>
  <c r="C136" i="4"/>
  <c r="L135" i="4"/>
  <c r="K135" i="4"/>
  <c r="H135" i="4"/>
  <c r="G135" i="4"/>
  <c r="F135" i="4"/>
  <c r="E135" i="4"/>
  <c r="D135" i="4"/>
  <c r="C135" i="4"/>
  <c r="L134" i="4"/>
  <c r="K134" i="4"/>
  <c r="H134" i="4"/>
  <c r="G134" i="4"/>
  <c r="F134" i="4"/>
  <c r="E134" i="4"/>
  <c r="D134" i="4"/>
  <c r="C134" i="4"/>
  <c r="L133" i="4"/>
  <c r="K133" i="4"/>
  <c r="H133" i="4"/>
  <c r="G133" i="4"/>
  <c r="F133" i="4"/>
  <c r="E133" i="4"/>
  <c r="D133" i="4"/>
  <c r="C133" i="4"/>
  <c r="L132" i="4"/>
  <c r="K132" i="4"/>
  <c r="H132" i="4"/>
  <c r="G132" i="4"/>
  <c r="F132" i="4"/>
  <c r="E132" i="4"/>
  <c r="D132" i="4"/>
  <c r="C132" i="4"/>
  <c r="L131" i="4"/>
  <c r="K131" i="4"/>
  <c r="H131" i="4"/>
  <c r="G131" i="4"/>
  <c r="F131" i="4"/>
  <c r="E131" i="4"/>
  <c r="D131" i="4"/>
  <c r="C131" i="4"/>
  <c r="L130" i="4"/>
  <c r="K130" i="4"/>
  <c r="H130" i="4"/>
  <c r="G130" i="4"/>
  <c r="F130" i="4"/>
  <c r="E130" i="4"/>
  <c r="D130" i="4"/>
  <c r="C130" i="4"/>
  <c r="L129" i="4"/>
  <c r="K129" i="4"/>
  <c r="H129" i="4"/>
  <c r="G129" i="4"/>
  <c r="F129" i="4"/>
  <c r="E129" i="4"/>
  <c r="D129" i="4"/>
  <c r="C129" i="4"/>
  <c r="L128" i="4"/>
  <c r="K128" i="4"/>
  <c r="H128" i="4"/>
  <c r="G128" i="4"/>
  <c r="F128" i="4"/>
  <c r="E128" i="4"/>
  <c r="D128" i="4"/>
  <c r="C128" i="4"/>
  <c r="L127" i="4"/>
  <c r="K127" i="4"/>
  <c r="H127" i="4"/>
  <c r="G127" i="4"/>
  <c r="F127" i="4"/>
  <c r="E127" i="4"/>
  <c r="D127" i="4"/>
  <c r="C127" i="4"/>
  <c r="L126" i="4"/>
  <c r="K126" i="4"/>
  <c r="H126" i="4"/>
  <c r="G126" i="4"/>
  <c r="F126" i="4"/>
  <c r="E126" i="4"/>
  <c r="D126" i="4"/>
  <c r="C126" i="4"/>
  <c r="L125" i="4"/>
  <c r="K125" i="4"/>
  <c r="H125" i="4"/>
  <c r="G125" i="4"/>
  <c r="F125" i="4"/>
  <c r="E125" i="4"/>
  <c r="D125" i="4"/>
  <c r="C125" i="4"/>
  <c r="L124" i="4"/>
  <c r="K124" i="4"/>
  <c r="H124" i="4"/>
  <c r="G124" i="4"/>
  <c r="F124" i="4"/>
  <c r="E124" i="4"/>
  <c r="D124" i="4"/>
  <c r="C124" i="4"/>
  <c r="L123" i="4"/>
  <c r="K123" i="4"/>
  <c r="H123" i="4"/>
  <c r="G123" i="4"/>
  <c r="F123" i="4"/>
  <c r="E123" i="4"/>
  <c r="D123" i="4"/>
  <c r="C123" i="4"/>
  <c r="L122" i="4"/>
  <c r="K122" i="4"/>
  <c r="H122" i="4"/>
  <c r="G122" i="4"/>
  <c r="F122" i="4"/>
  <c r="E122" i="4"/>
  <c r="D122" i="4"/>
  <c r="C122" i="4"/>
  <c r="L121" i="4"/>
  <c r="K121" i="4"/>
  <c r="H121" i="4"/>
  <c r="G121" i="4"/>
  <c r="F121" i="4"/>
  <c r="E121" i="4"/>
  <c r="D121" i="4"/>
  <c r="C121" i="4"/>
  <c r="L120" i="4"/>
  <c r="K120" i="4"/>
  <c r="H120" i="4"/>
  <c r="G120" i="4"/>
  <c r="F120" i="4"/>
  <c r="E120" i="4"/>
  <c r="D120" i="4"/>
  <c r="C120" i="4"/>
  <c r="L119" i="4"/>
  <c r="K119" i="4"/>
  <c r="H119" i="4"/>
  <c r="G119" i="4"/>
  <c r="F119" i="4"/>
  <c r="E119" i="4"/>
  <c r="D119" i="4"/>
  <c r="C119" i="4"/>
  <c r="L118" i="4"/>
  <c r="K118" i="4"/>
  <c r="H118" i="4"/>
  <c r="G118" i="4"/>
  <c r="F118" i="4"/>
  <c r="E118" i="4"/>
  <c r="D118" i="4"/>
  <c r="C118" i="4"/>
  <c r="L117" i="4"/>
  <c r="K117" i="4"/>
  <c r="H117" i="4"/>
  <c r="G117" i="4"/>
  <c r="F117" i="4"/>
  <c r="E117" i="4"/>
  <c r="D117" i="4"/>
  <c r="C117" i="4"/>
  <c r="L116" i="4"/>
  <c r="K116" i="4"/>
  <c r="H116" i="4"/>
  <c r="G116" i="4"/>
  <c r="F116" i="4"/>
  <c r="E116" i="4"/>
  <c r="D116" i="4"/>
  <c r="C116" i="4"/>
  <c r="L115" i="4"/>
  <c r="K115" i="4"/>
  <c r="H115" i="4"/>
  <c r="G115" i="4"/>
  <c r="F115" i="4"/>
  <c r="E115" i="4"/>
  <c r="D115" i="4"/>
  <c r="C115" i="4"/>
  <c r="L114" i="4"/>
  <c r="K114" i="4"/>
  <c r="H114" i="4"/>
  <c r="G114" i="4"/>
  <c r="F114" i="4"/>
  <c r="E114" i="4"/>
  <c r="D114" i="4"/>
  <c r="C114" i="4"/>
  <c r="L113" i="4"/>
  <c r="K113" i="4"/>
  <c r="H113" i="4"/>
  <c r="G113" i="4"/>
  <c r="F113" i="4"/>
  <c r="E113" i="4"/>
  <c r="D113" i="4"/>
  <c r="C113" i="4"/>
  <c r="L112" i="4"/>
  <c r="K112" i="4"/>
  <c r="H112" i="4"/>
  <c r="G112" i="4"/>
  <c r="F112" i="4"/>
  <c r="E112" i="4"/>
  <c r="D112" i="4"/>
  <c r="C112" i="4"/>
  <c r="L111" i="4"/>
  <c r="K111" i="4"/>
  <c r="H111" i="4"/>
  <c r="G111" i="4"/>
  <c r="F111" i="4"/>
  <c r="E111" i="4"/>
  <c r="D111" i="4"/>
  <c r="C111" i="4"/>
  <c r="L110" i="4"/>
  <c r="K110" i="4"/>
  <c r="H110" i="4"/>
  <c r="G110" i="4"/>
  <c r="F110" i="4"/>
  <c r="E110" i="4"/>
  <c r="D110" i="4"/>
  <c r="C110" i="4"/>
  <c r="L109" i="4"/>
  <c r="K109" i="4"/>
  <c r="H109" i="4"/>
  <c r="G109" i="4"/>
  <c r="F109" i="4"/>
  <c r="E109" i="4"/>
  <c r="D109" i="4"/>
  <c r="C109" i="4"/>
  <c r="L108" i="4"/>
  <c r="K108" i="4"/>
  <c r="H108" i="4"/>
  <c r="G108" i="4"/>
  <c r="F108" i="4"/>
  <c r="E108" i="4"/>
  <c r="D108" i="4"/>
  <c r="C108" i="4"/>
  <c r="L107" i="4"/>
  <c r="K107" i="4"/>
  <c r="H107" i="4"/>
  <c r="G107" i="4"/>
  <c r="F107" i="4"/>
  <c r="E107" i="4"/>
  <c r="D107" i="4"/>
  <c r="C107" i="4"/>
  <c r="L106" i="4"/>
  <c r="K106" i="4"/>
  <c r="H106" i="4"/>
  <c r="G106" i="4"/>
  <c r="F106" i="4"/>
  <c r="E106" i="4"/>
  <c r="D106" i="4"/>
  <c r="C106" i="4"/>
  <c r="L105" i="4"/>
  <c r="K105" i="4"/>
  <c r="H105" i="4"/>
  <c r="G105" i="4"/>
  <c r="F105" i="4"/>
  <c r="E105" i="4"/>
  <c r="D105" i="4"/>
  <c r="C105" i="4"/>
  <c r="L104" i="4"/>
  <c r="K104" i="4"/>
  <c r="H104" i="4"/>
  <c r="G104" i="4"/>
  <c r="F104" i="4"/>
  <c r="E104" i="4"/>
  <c r="D104" i="4"/>
  <c r="C104" i="4"/>
  <c r="L103" i="4"/>
  <c r="K103" i="4"/>
  <c r="H103" i="4"/>
  <c r="G103" i="4"/>
  <c r="F103" i="4"/>
  <c r="E103" i="4"/>
  <c r="D103" i="4"/>
  <c r="C103" i="4"/>
  <c r="L102" i="4"/>
  <c r="K102" i="4"/>
  <c r="H102" i="4"/>
  <c r="G102" i="4"/>
  <c r="F102" i="4"/>
  <c r="E102" i="4"/>
  <c r="D102" i="4"/>
  <c r="C102" i="4"/>
  <c r="L101" i="4"/>
  <c r="K101" i="4"/>
  <c r="H101" i="4"/>
  <c r="G101" i="4"/>
  <c r="F101" i="4"/>
  <c r="E101" i="4"/>
  <c r="D101" i="4"/>
  <c r="C101" i="4"/>
  <c r="L100" i="4"/>
  <c r="K100" i="4"/>
  <c r="H100" i="4"/>
  <c r="G100" i="4"/>
  <c r="F100" i="4"/>
  <c r="E100" i="4"/>
  <c r="D100" i="4"/>
  <c r="C100" i="4"/>
  <c r="L99" i="4"/>
  <c r="K99" i="4"/>
  <c r="H99" i="4"/>
  <c r="G99" i="4"/>
  <c r="F99" i="4"/>
  <c r="E99" i="4"/>
  <c r="D99" i="4"/>
  <c r="C99" i="4"/>
  <c r="L98" i="4"/>
  <c r="K98" i="4"/>
  <c r="H98" i="4"/>
  <c r="G98" i="4"/>
  <c r="F98" i="4"/>
  <c r="E98" i="4"/>
  <c r="D98" i="4"/>
  <c r="C98" i="4"/>
  <c r="L97" i="4"/>
  <c r="K97" i="4"/>
  <c r="H97" i="4"/>
  <c r="G97" i="4"/>
  <c r="F97" i="4"/>
  <c r="E97" i="4"/>
  <c r="D97" i="4"/>
  <c r="C97" i="4"/>
  <c r="L96" i="4"/>
  <c r="K96" i="4"/>
  <c r="H96" i="4"/>
  <c r="G96" i="4"/>
  <c r="F96" i="4"/>
  <c r="E96" i="4"/>
  <c r="D96" i="4"/>
  <c r="C96" i="4"/>
  <c r="L95" i="4"/>
  <c r="K95" i="4"/>
  <c r="H95" i="4"/>
  <c r="G95" i="4"/>
  <c r="F95" i="4"/>
  <c r="E95" i="4"/>
  <c r="D95" i="4"/>
  <c r="C95" i="4"/>
  <c r="L94" i="4"/>
  <c r="K94" i="4"/>
  <c r="H94" i="4"/>
  <c r="G94" i="4"/>
  <c r="F94" i="4"/>
  <c r="E94" i="4"/>
  <c r="D94" i="4"/>
  <c r="C94" i="4"/>
  <c r="L93" i="4"/>
  <c r="K93" i="4"/>
  <c r="H93" i="4"/>
  <c r="G93" i="4"/>
  <c r="F93" i="4"/>
  <c r="E93" i="4"/>
  <c r="D93" i="4"/>
  <c r="C93" i="4"/>
  <c r="L92" i="4"/>
  <c r="K92" i="4"/>
  <c r="H92" i="4"/>
  <c r="G92" i="4"/>
  <c r="F92" i="4"/>
  <c r="E92" i="4"/>
  <c r="D92" i="4"/>
  <c r="C92" i="4"/>
  <c r="L91" i="4"/>
  <c r="K91" i="4"/>
  <c r="H91" i="4"/>
  <c r="G91" i="4"/>
  <c r="F91" i="4"/>
  <c r="E91" i="4"/>
  <c r="D91" i="4"/>
  <c r="C91" i="4"/>
  <c r="L90" i="4"/>
  <c r="K90" i="4"/>
  <c r="H90" i="4"/>
  <c r="G90" i="4"/>
  <c r="F90" i="4"/>
  <c r="E90" i="4"/>
  <c r="D90" i="4"/>
  <c r="C90" i="4"/>
  <c r="L89" i="4"/>
  <c r="K89" i="4"/>
  <c r="H89" i="4"/>
  <c r="G89" i="4"/>
  <c r="F89" i="4"/>
  <c r="E89" i="4"/>
  <c r="D89" i="4"/>
  <c r="C89" i="4"/>
  <c r="L88" i="4"/>
  <c r="K88" i="4"/>
  <c r="H88" i="4"/>
  <c r="G88" i="4"/>
  <c r="F88" i="4"/>
  <c r="E88" i="4"/>
  <c r="D88" i="4"/>
  <c r="C88" i="4"/>
  <c r="L87" i="4"/>
  <c r="K87" i="4"/>
  <c r="H87" i="4"/>
  <c r="G87" i="4"/>
  <c r="F87" i="4"/>
  <c r="E87" i="4"/>
  <c r="D87" i="4"/>
  <c r="C87" i="4"/>
  <c r="L86" i="4"/>
  <c r="K86" i="4"/>
  <c r="H86" i="4"/>
  <c r="G86" i="4"/>
  <c r="F86" i="4"/>
  <c r="E86" i="4"/>
  <c r="D86" i="4"/>
  <c r="C86" i="4"/>
  <c r="L85" i="4"/>
  <c r="K85" i="4"/>
  <c r="H85" i="4"/>
  <c r="G85" i="4"/>
  <c r="F85" i="4"/>
  <c r="E85" i="4"/>
  <c r="D85" i="4"/>
  <c r="C85" i="4"/>
  <c r="L84" i="4"/>
  <c r="K84" i="4"/>
  <c r="H84" i="4"/>
  <c r="G84" i="4"/>
  <c r="F84" i="4"/>
  <c r="E84" i="4"/>
  <c r="D84" i="4"/>
  <c r="C84" i="4"/>
  <c r="L83" i="4"/>
  <c r="K83" i="4"/>
  <c r="H83" i="4"/>
  <c r="G83" i="4"/>
  <c r="F83" i="4"/>
  <c r="E83" i="4"/>
  <c r="D83" i="4"/>
  <c r="C83" i="4"/>
  <c r="L82" i="4"/>
  <c r="K82" i="4"/>
  <c r="H82" i="4"/>
  <c r="G82" i="4"/>
  <c r="F82" i="4"/>
  <c r="E82" i="4"/>
  <c r="D82" i="4"/>
  <c r="C82" i="4"/>
  <c r="L81" i="4"/>
  <c r="K81" i="4"/>
  <c r="H81" i="4"/>
  <c r="G81" i="4"/>
  <c r="F81" i="4"/>
  <c r="E81" i="4"/>
  <c r="D81" i="4"/>
  <c r="C81" i="4"/>
  <c r="L80" i="4"/>
  <c r="K80" i="4"/>
  <c r="H80" i="4"/>
  <c r="G80" i="4"/>
  <c r="F80" i="4"/>
  <c r="E80" i="4"/>
  <c r="D80" i="4"/>
  <c r="C80" i="4"/>
  <c r="L79" i="4"/>
  <c r="K79" i="4"/>
  <c r="H79" i="4"/>
  <c r="G79" i="4"/>
  <c r="F79" i="4"/>
  <c r="E79" i="4"/>
  <c r="D79" i="4"/>
  <c r="C79" i="4"/>
  <c r="L78" i="4"/>
  <c r="K78" i="4"/>
  <c r="H78" i="4"/>
  <c r="G78" i="4"/>
  <c r="F78" i="4"/>
  <c r="E78" i="4"/>
  <c r="D78" i="4"/>
  <c r="C78" i="4"/>
  <c r="L77" i="4"/>
  <c r="K77" i="4"/>
  <c r="H77" i="4"/>
  <c r="G77" i="4"/>
  <c r="F77" i="4"/>
  <c r="E77" i="4"/>
  <c r="D77" i="4"/>
  <c r="C77" i="4"/>
  <c r="L76" i="4"/>
  <c r="K76" i="4"/>
  <c r="H76" i="4"/>
  <c r="G76" i="4"/>
  <c r="F76" i="4"/>
  <c r="E76" i="4"/>
  <c r="D76" i="4"/>
  <c r="C76" i="4"/>
  <c r="L75" i="4"/>
  <c r="K75" i="4"/>
  <c r="H75" i="4"/>
  <c r="G75" i="4"/>
  <c r="F75" i="4"/>
  <c r="E75" i="4"/>
  <c r="D75" i="4"/>
  <c r="C75" i="4"/>
  <c r="L74" i="4"/>
  <c r="K74" i="4"/>
  <c r="H74" i="4"/>
  <c r="G74" i="4"/>
  <c r="F74" i="4"/>
  <c r="E74" i="4"/>
  <c r="D74" i="4"/>
  <c r="C74" i="4"/>
  <c r="L73" i="4"/>
  <c r="K73" i="4"/>
  <c r="H73" i="4"/>
  <c r="G73" i="4"/>
  <c r="F73" i="4"/>
  <c r="E73" i="4"/>
  <c r="D73" i="4"/>
  <c r="C73" i="4"/>
  <c r="L72" i="4"/>
  <c r="K72" i="4"/>
  <c r="H72" i="4"/>
  <c r="G72" i="4"/>
  <c r="F72" i="4"/>
  <c r="E72" i="4"/>
  <c r="D72" i="4"/>
  <c r="C72" i="4"/>
  <c r="L71" i="4"/>
  <c r="K71" i="4"/>
  <c r="H71" i="4"/>
  <c r="G71" i="4"/>
  <c r="F71" i="4"/>
  <c r="E71" i="4"/>
  <c r="D71" i="4"/>
  <c r="C71" i="4"/>
  <c r="L70" i="4"/>
  <c r="K70" i="4"/>
  <c r="H70" i="4"/>
  <c r="G70" i="4"/>
  <c r="F70" i="4"/>
  <c r="E70" i="4"/>
  <c r="D70" i="4"/>
  <c r="C70" i="4"/>
  <c r="L69" i="4"/>
  <c r="K69" i="4"/>
  <c r="H69" i="4"/>
  <c r="G69" i="4"/>
  <c r="F69" i="4"/>
  <c r="E69" i="4"/>
  <c r="D69" i="4"/>
  <c r="C69" i="4"/>
  <c r="L68" i="4"/>
  <c r="K68" i="4"/>
  <c r="H68" i="4"/>
  <c r="G68" i="4"/>
  <c r="F68" i="4"/>
  <c r="E68" i="4"/>
  <c r="D68" i="4"/>
  <c r="C68" i="4"/>
  <c r="L67" i="4"/>
  <c r="K67" i="4"/>
  <c r="H67" i="4"/>
  <c r="G67" i="4"/>
  <c r="F67" i="4"/>
  <c r="E67" i="4"/>
  <c r="D67" i="4"/>
  <c r="C67" i="4"/>
  <c r="L66" i="4"/>
  <c r="K66" i="4"/>
  <c r="H66" i="4"/>
  <c r="G66" i="4"/>
  <c r="F66" i="4"/>
  <c r="E66" i="4"/>
  <c r="D66" i="4"/>
  <c r="C66" i="4"/>
  <c r="L65" i="4"/>
  <c r="K65" i="4"/>
  <c r="H65" i="4"/>
  <c r="G65" i="4"/>
  <c r="F65" i="4"/>
  <c r="E65" i="4"/>
  <c r="D65" i="4"/>
  <c r="C65" i="4"/>
  <c r="L64" i="4"/>
  <c r="K64" i="4"/>
  <c r="H64" i="4"/>
  <c r="G64" i="4"/>
  <c r="F64" i="4"/>
  <c r="E64" i="4"/>
  <c r="D64" i="4"/>
  <c r="C64" i="4"/>
  <c r="L63" i="4"/>
  <c r="K63" i="4"/>
  <c r="H63" i="4"/>
  <c r="G63" i="4"/>
  <c r="F63" i="4"/>
  <c r="E63" i="4"/>
  <c r="D63" i="4"/>
  <c r="C63" i="4"/>
  <c r="L62" i="4"/>
  <c r="K62" i="4"/>
  <c r="H62" i="4"/>
  <c r="G62" i="4"/>
  <c r="F62" i="4"/>
  <c r="E62" i="4"/>
  <c r="D62" i="4"/>
  <c r="C62" i="4"/>
  <c r="L61" i="4"/>
  <c r="K61" i="4"/>
  <c r="H61" i="4"/>
  <c r="G61" i="4"/>
  <c r="F61" i="4"/>
  <c r="E61" i="4"/>
  <c r="D61" i="4"/>
  <c r="C61" i="4"/>
  <c r="L60" i="4"/>
  <c r="K60" i="4"/>
  <c r="H60" i="4"/>
  <c r="G60" i="4"/>
  <c r="F60" i="4"/>
  <c r="E60" i="4"/>
  <c r="D60" i="4"/>
  <c r="C60" i="4"/>
  <c r="L59" i="4"/>
  <c r="K59" i="4"/>
  <c r="H59" i="4"/>
  <c r="G59" i="4"/>
  <c r="F59" i="4"/>
  <c r="E59" i="4"/>
  <c r="D59" i="4"/>
  <c r="C59" i="4"/>
  <c r="L58" i="4"/>
  <c r="K58" i="4"/>
  <c r="H58" i="4"/>
  <c r="G58" i="4"/>
  <c r="F58" i="4"/>
  <c r="E58" i="4"/>
  <c r="D58" i="4"/>
  <c r="C58" i="4"/>
  <c r="L57" i="4"/>
  <c r="K57" i="4"/>
  <c r="H57" i="4"/>
  <c r="G57" i="4"/>
  <c r="F57" i="4"/>
  <c r="E57" i="4"/>
  <c r="D57" i="4"/>
  <c r="C57" i="4"/>
  <c r="L56" i="4"/>
  <c r="K56" i="4"/>
  <c r="H56" i="4"/>
  <c r="G56" i="4"/>
  <c r="F56" i="4"/>
  <c r="E56" i="4"/>
  <c r="D56" i="4"/>
  <c r="C56" i="4"/>
  <c r="L55" i="4"/>
  <c r="K55" i="4"/>
  <c r="H55" i="4"/>
  <c r="G55" i="4"/>
  <c r="F55" i="4"/>
  <c r="E55" i="4"/>
  <c r="D55" i="4"/>
  <c r="C55" i="4"/>
  <c r="L54" i="4"/>
  <c r="K54" i="4"/>
  <c r="H54" i="4"/>
  <c r="G54" i="4"/>
  <c r="F54" i="4"/>
  <c r="E54" i="4"/>
  <c r="D54" i="4"/>
  <c r="C54" i="4"/>
  <c r="L53" i="4"/>
  <c r="K53" i="4"/>
  <c r="H53" i="4"/>
  <c r="G53" i="4"/>
  <c r="F53" i="4"/>
  <c r="E53" i="4"/>
  <c r="D53" i="4"/>
  <c r="C53" i="4"/>
  <c r="L52" i="4"/>
  <c r="K52" i="4"/>
  <c r="H52" i="4"/>
  <c r="G52" i="4"/>
  <c r="F52" i="4"/>
  <c r="E52" i="4"/>
  <c r="D52" i="4"/>
  <c r="C52" i="4"/>
  <c r="L51" i="4"/>
  <c r="K51" i="4"/>
  <c r="H51" i="4"/>
  <c r="G51" i="4"/>
  <c r="F51" i="4"/>
  <c r="E51" i="4"/>
  <c r="D51" i="4"/>
  <c r="C51" i="4"/>
  <c r="L50" i="4"/>
  <c r="K50" i="4"/>
  <c r="H50" i="4"/>
  <c r="G50" i="4"/>
  <c r="F50" i="4"/>
  <c r="E50" i="4"/>
  <c r="D50" i="4"/>
  <c r="C50" i="4"/>
  <c r="L49" i="4"/>
  <c r="K49" i="4"/>
  <c r="H49" i="4"/>
  <c r="G49" i="4"/>
  <c r="F49" i="4"/>
  <c r="E49" i="4"/>
  <c r="D49" i="4"/>
  <c r="C49" i="4"/>
  <c r="L48" i="4"/>
  <c r="K48" i="4"/>
  <c r="H48" i="4"/>
  <c r="G48" i="4"/>
  <c r="F48" i="4"/>
  <c r="E48" i="4"/>
  <c r="D48" i="4"/>
  <c r="C48" i="4"/>
  <c r="L47" i="4"/>
  <c r="K47" i="4"/>
  <c r="H47" i="4"/>
  <c r="G47" i="4"/>
  <c r="F47" i="4"/>
  <c r="E47" i="4"/>
  <c r="D47" i="4"/>
  <c r="C47" i="4"/>
  <c r="L46" i="4"/>
  <c r="K46" i="4"/>
  <c r="H46" i="4"/>
  <c r="G46" i="4"/>
  <c r="F46" i="4"/>
  <c r="E46" i="4"/>
  <c r="D46" i="4"/>
  <c r="C46" i="4"/>
  <c r="L45" i="4"/>
  <c r="K45" i="4"/>
  <c r="H45" i="4"/>
  <c r="G45" i="4"/>
  <c r="F45" i="4"/>
  <c r="E45" i="4"/>
  <c r="D45" i="4"/>
  <c r="C45" i="4"/>
  <c r="L44" i="4"/>
  <c r="K44" i="4"/>
  <c r="H44" i="4"/>
  <c r="G44" i="4"/>
  <c r="F44" i="4"/>
  <c r="E44" i="4"/>
  <c r="D44" i="4"/>
  <c r="C44" i="4"/>
  <c r="L43" i="4"/>
  <c r="K43" i="4"/>
  <c r="H43" i="4"/>
  <c r="G43" i="4"/>
  <c r="F43" i="4"/>
  <c r="E43" i="4"/>
  <c r="D43" i="4"/>
  <c r="C43" i="4"/>
  <c r="L42" i="4"/>
  <c r="K42" i="4"/>
  <c r="H42" i="4"/>
  <c r="G42" i="4"/>
  <c r="F42" i="4"/>
  <c r="E42" i="4"/>
  <c r="D42" i="4"/>
  <c r="C42" i="4"/>
  <c r="L41" i="4"/>
  <c r="K41" i="4"/>
  <c r="H41" i="4"/>
  <c r="G41" i="4"/>
  <c r="F41" i="4"/>
  <c r="E41" i="4"/>
  <c r="D41" i="4"/>
  <c r="C41" i="4"/>
  <c r="L40" i="4"/>
  <c r="K40" i="4"/>
  <c r="H40" i="4"/>
  <c r="G40" i="4"/>
  <c r="F40" i="4"/>
  <c r="E40" i="4"/>
  <c r="D40" i="4"/>
  <c r="C40" i="4"/>
  <c r="L39" i="4"/>
  <c r="K39" i="4"/>
  <c r="H39" i="4"/>
  <c r="G39" i="4"/>
  <c r="F39" i="4"/>
  <c r="E39" i="4"/>
  <c r="D39" i="4"/>
  <c r="C39" i="4"/>
  <c r="L38" i="4"/>
  <c r="K38" i="4"/>
  <c r="H38" i="4"/>
  <c r="G38" i="4"/>
  <c r="F38" i="4"/>
  <c r="E38" i="4"/>
  <c r="D38" i="4"/>
  <c r="C38" i="4"/>
  <c r="L37" i="4"/>
  <c r="K37" i="4"/>
  <c r="H37" i="4"/>
  <c r="G37" i="4"/>
  <c r="F37" i="4"/>
  <c r="E37" i="4"/>
  <c r="D37" i="4"/>
  <c r="C37" i="4"/>
  <c r="L36" i="4"/>
  <c r="K36" i="4"/>
  <c r="H36" i="4"/>
  <c r="G36" i="4"/>
  <c r="F36" i="4"/>
  <c r="E36" i="4"/>
  <c r="D36" i="4"/>
  <c r="C36" i="4"/>
  <c r="L35" i="4"/>
  <c r="K35" i="4"/>
  <c r="H35" i="4"/>
  <c r="G35" i="4"/>
  <c r="F35" i="4"/>
  <c r="E35" i="4"/>
  <c r="D35" i="4"/>
  <c r="C35" i="4"/>
  <c r="L34" i="4"/>
  <c r="K34" i="4"/>
  <c r="H34" i="4"/>
  <c r="G34" i="4"/>
  <c r="F34" i="4"/>
  <c r="E34" i="4"/>
  <c r="D34" i="4"/>
  <c r="C34" i="4"/>
  <c r="L33" i="4"/>
  <c r="K33" i="4"/>
  <c r="H33" i="4"/>
  <c r="G33" i="4"/>
  <c r="F33" i="4"/>
  <c r="E33" i="4"/>
  <c r="D33" i="4"/>
  <c r="C33" i="4"/>
  <c r="L32" i="4"/>
  <c r="K32" i="4"/>
  <c r="H32" i="4"/>
  <c r="G32" i="4"/>
  <c r="F32" i="4"/>
  <c r="E32" i="4"/>
  <c r="D32" i="4"/>
  <c r="C32" i="4"/>
  <c r="L31" i="4"/>
  <c r="K31" i="4"/>
  <c r="H31" i="4"/>
  <c r="G31" i="4"/>
  <c r="F31" i="4"/>
  <c r="E31" i="4"/>
  <c r="D31" i="4"/>
  <c r="C31" i="4"/>
  <c r="L30" i="4"/>
  <c r="K30" i="4"/>
  <c r="H30" i="4"/>
  <c r="G30" i="4"/>
  <c r="F30" i="4"/>
  <c r="E30" i="4"/>
  <c r="D30" i="4"/>
  <c r="C30" i="4"/>
  <c r="L29" i="4"/>
  <c r="K29" i="4"/>
  <c r="H29" i="4"/>
  <c r="G29" i="4"/>
  <c r="F29" i="4"/>
  <c r="E29" i="4"/>
  <c r="D29" i="4"/>
  <c r="C29" i="4"/>
  <c r="L28" i="4"/>
  <c r="K28" i="4"/>
  <c r="H28" i="4"/>
  <c r="G28" i="4"/>
  <c r="F28" i="4"/>
  <c r="E28" i="4"/>
  <c r="D28" i="4"/>
  <c r="C28" i="4"/>
  <c r="L27" i="4"/>
  <c r="K27" i="4"/>
  <c r="H27" i="4"/>
  <c r="G27" i="4"/>
  <c r="F27" i="4"/>
  <c r="E27" i="4"/>
  <c r="D27" i="4"/>
  <c r="C27" i="4"/>
  <c r="L26" i="4"/>
  <c r="K26" i="4"/>
  <c r="H26" i="4"/>
  <c r="G26" i="4"/>
  <c r="F26" i="4"/>
  <c r="E26" i="4"/>
  <c r="D26" i="4"/>
  <c r="C26" i="4"/>
  <c r="L25" i="4"/>
  <c r="K25" i="4"/>
  <c r="H25" i="4"/>
  <c r="G25" i="4"/>
  <c r="F25" i="4"/>
  <c r="E25" i="4"/>
  <c r="D25" i="4"/>
  <c r="C25" i="4"/>
  <c r="L24" i="4"/>
  <c r="K24" i="4"/>
  <c r="H24" i="4"/>
  <c r="G24" i="4"/>
  <c r="F24" i="4"/>
  <c r="E24" i="4"/>
  <c r="D24" i="4"/>
  <c r="C24" i="4"/>
  <c r="L23" i="4"/>
  <c r="K23" i="4"/>
  <c r="H23" i="4"/>
  <c r="G23" i="4"/>
  <c r="F23" i="4"/>
  <c r="E23" i="4"/>
  <c r="D23" i="4"/>
  <c r="C23" i="4"/>
  <c r="L22" i="4"/>
  <c r="K22" i="4"/>
  <c r="H22" i="4"/>
  <c r="G22" i="4"/>
  <c r="F22" i="4"/>
  <c r="E22" i="4"/>
  <c r="D22" i="4"/>
  <c r="C22" i="4"/>
  <c r="L21" i="4"/>
  <c r="K21" i="4"/>
  <c r="H21" i="4"/>
  <c r="G21" i="4"/>
  <c r="F21" i="4"/>
  <c r="E21" i="4"/>
  <c r="D21" i="4"/>
  <c r="C21" i="4"/>
  <c r="L20" i="4"/>
  <c r="K20" i="4"/>
  <c r="H20" i="4"/>
  <c r="G20" i="4"/>
  <c r="F20" i="4"/>
  <c r="E20" i="4"/>
  <c r="D20" i="4"/>
  <c r="C20" i="4"/>
  <c r="L19" i="4"/>
  <c r="K19" i="4"/>
  <c r="H19" i="4"/>
  <c r="G19" i="4"/>
  <c r="F19" i="4"/>
  <c r="E19" i="4"/>
  <c r="D19" i="4"/>
  <c r="C19" i="4"/>
  <c r="L18" i="4"/>
  <c r="K18" i="4"/>
  <c r="H18" i="4"/>
  <c r="G18" i="4"/>
  <c r="F18" i="4"/>
  <c r="E18" i="4"/>
  <c r="D18" i="4"/>
  <c r="C18" i="4"/>
  <c r="L17" i="4"/>
  <c r="K17" i="4"/>
  <c r="H17" i="4"/>
  <c r="G17" i="4"/>
  <c r="F17" i="4"/>
  <c r="E17" i="4"/>
  <c r="D17" i="4"/>
  <c r="C17" i="4"/>
  <c r="L16" i="4"/>
  <c r="K16" i="4"/>
  <c r="H16" i="4"/>
  <c r="G16" i="4"/>
  <c r="F16" i="4"/>
  <c r="E16" i="4"/>
  <c r="D16" i="4"/>
  <c r="C16" i="4"/>
  <c r="L15" i="4"/>
  <c r="K15" i="4"/>
  <c r="H15" i="4"/>
  <c r="G15" i="4"/>
  <c r="F15" i="4"/>
  <c r="E15" i="4"/>
  <c r="D15" i="4"/>
  <c r="C15" i="4"/>
  <c r="L14" i="4"/>
  <c r="K14" i="4"/>
  <c r="H14" i="4"/>
  <c r="G14" i="4"/>
  <c r="F14" i="4"/>
  <c r="E14" i="4"/>
  <c r="D14" i="4"/>
  <c r="C14" i="4"/>
  <c r="L13" i="4"/>
  <c r="K13" i="4"/>
  <c r="H13" i="4"/>
  <c r="G13" i="4"/>
  <c r="F13" i="4"/>
  <c r="E13" i="4"/>
  <c r="D13" i="4"/>
  <c r="C13" i="4"/>
  <c r="L12" i="4"/>
  <c r="K12" i="4"/>
  <c r="H12" i="4"/>
  <c r="G12" i="4"/>
  <c r="F12" i="4"/>
  <c r="E12" i="4"/>
  <c r="D12" i="4"/>
  <c r="C12" i="4"/>
  <c r="L11" i="4"/>
  <c r="K11" i="4"/>
  <c r="H11" i="4"/>
  <c r="G11" i="4"/>
  <c r="F11" i="4"/>
  <c r="E11" i="4"/>
  <c r="D11" i="4"/>
  <c r="C11" i="4"/>
  <c r="L10" i="4"/>
  <c r="K10" i="4"/>
  <c r="H10" i="4"/>
  <c r="G10" i="4"/>
  <c r="F10" i="4"/>
  <c r="E10" i="4"/>
  <c r="D10" i="4"/>
  <c r="C10" i="4"/>
  <c r="L9" i="4"/>
  <c r="K9" i="4"/>
  <c r="H9" i="4"/>
  <c r="G9" i="4"/>
  <c r="F9" i="4"/>
  <c r="E9" i="4"/>
  <c r="D9" i="4"/>
  <c r="C9" i="4"/>
  <c r="L8" i="4"/>
  <c r="K8" i="4"/>
  <c r="H8" i="4"/>
  <c r="G8" i="4"/>
  <c r="F8" i="4"/>
  <c r="E8" i="4"/>
  <c r="D8" i="4"/>
  <c r="C8" i="4"/>
  <c r="F15" i="3"/>
  <c r="E15" i="3"/>
  <c r="C15" i="3"/>
  <c r="F14" i="3"/>
  <c r="E14" i="3"/>
  <c r="C14" i="3"/>
  <c r="F9" i="3"/>
  <c r="E9" i="3"/>
  <c r="C9" i="3"/>
  <c r="F8" i="3"/>
  <c r="E8" i="3"/>
  <c r="C8" i="3"/>
  <c r="E1" i="3"/>
  <c r="B20" i="2"/>
  <c r="E19" i="3" s="1"/>
  <c r="C14" i="2"/>
  <c r="B14" i="2"/>
  <c r="G1" i="1"/>
  <c r="A23" i="8" l="1"/>
  <c r="E13" i="8"/>
  <c r="B12" i="8"/>
  <c r="C69" i="40"/>
  <c r="C66" i="40"/>
  <c r="D39" i="41"/>
  <c r="C39" i="41"/>
  <c r="G39" i="41" s="1"/>
  <c r="C49" i="40"/>
  <c r="G47" i="40"/>
  <c r="AP42" i="40"/>
  <c r="AJ42" i="40"/>
  <c r="AK42" i="40"/>
  <c r="AP41" i="40"/>
  <c r="AK41" i="40"/>
  <c r="AJ41" i="40"/>
  <c r="AJ40" i="40"/>
  <c r="AP40" i="40"/>
  <c r="AK40" i="40"/>
  <c r="AK39" i="40"/>
  <c r="AP39" i="40"/>
  <c r="AJ39" i="40"/>
  <c r="AP38" i="40"/>
  <c r="AJ38" i="40"/>
  <c r="AK38" i="40"/>
  <c r="AJ37" i="40"/>
  <c r="AP37" i="40"/>
  <c r="AK37" i="40"/>
  <c r="AP36" i="40"/>
  <c r="AJ36" i="40"/>
  <c r="AK36" i="40"/>
  <c r="AK35" i="40"/>
  <c r="AJ35" i="40"/>
  <c r="AP35" i="40"/>
  <c r="AJ34" i="40"/>
  <c r="AK34" i="40"/>
  <c r="AP34" i="40"/>
  <c r="AJ33" i="40"/>
  <c r="AK33" i="40"/>
  <c r="AP33" i="40"/>
  <c r="AJ32" i="40"/>
  <c r="AK32" i="40"/>
  <c r="AP32" i="40"/>
  <c r="AP31" i="40"/>
  <c r="AJ31" i="40"/>
  <c r="AK31" i="40"/>
  <c r="AJ30" i="40"/>
  <c r="AK30" i="40"/>
  <c r="AP30" i="40"/>
  <c r="AP29" i="40"/>
  <c r="AJ29" i="40"/>
  <c r="AK29" i="40"/>
  <c r="AJ28" i="40"/>
  <c r="AP28" i="40"/>
  <c r="AK28" i="40"/>
  <c r="AJ27" i="40"/>
  <c r="AP27" i="40"/>
  <c r="AK27" i="40"/>
  <c r="AJ26" i="40"/>
  <c r="AK26" i="40"/>
  <c r="AP26" i="40"/>
  <c r="AJ25" i="40"/>
  <c r="AK25" i="40"/>
  <c r="AP25" i="40"/>
  <c r="AP24" i="40"/>
  <c r="AK24" i="40"/>
  <c r="AJ24" i="40"/>
  <c r="AJ23" i="40"/>
  <c r="AK23" i="40"/>
  <c r="AP23" i="40"/>
  <c r="AP22" i="40"/>
  <c r="AK22" i="40"/>
  <c r="AJ22" i="40"/>
  <c r="AP21" i="40"/>
  <c r="AK21" i="40"/>
  <c r="AJ21" i="40"/>
  <c r="AK20" i="40"/>
  <c r="AJ20" i="40"/>
  <c r="AP20" i="40"/>
  <c r="AP19" i="40"/>
  <c r="AJ19" i="40"/>
  <c r="AK19" i="40"/>
  <c r="AP18" i="40"/>
  <c r="AK18" i="40"/>
  <c r="AJ18" i="40"/>
  <c r="AJ17" i="40"/>
  <c r="AK17" i="40"/>
  <c r="AP17" i="40"/>
  <c r="AJ16" i="40"/>
  <c r="AP16" i="40"/>
  <c r="AK16" i="40"/>
  <c r="AJ15" i="40"/>
  <c r="AP15" i="40"/>
  <c r="AK15" i="40"/>
  <c r="AK14" i="40"/>
  <c r="AP14" i="40"/>
  <c r="AJ14" i="40"/>
  <c r="AK13" i="40"/>
  <c r="AJ13" i="40"/>
  <c r="AP13" i="40"/>
  <c r="AJ12" i="40"/>
  <c r="AK12" i="40"/>
  <c r="AP12" i="40"/>
  <c r="AP11" i="40"/>
  <c r="AK11" i="40"/>
  <c r="AJ11" i="40"/>
  <c r="AP10" i="40"/>
  <c r="AK10" i="40"/>
  <c r="AJ10" i="40"/>
  <c r="AJ9" i="40"/>
  <c r="AK9" i="40"/>
  <c r="AP9" i="40"/>
  <c r="AP8" i="40"/>
  <c r="AJ8" i="40"/>
  <c r="AK8" i="40"/>
  <c r="C69" i="39"/>
  <c r="C66" i="39"/>
  <c r="C38" i="41"/>
  <c r="G38" i="41" s="1"/>
  <c r="D38" i="41"/>
  <c r="C49" i="39"/>
  <c r="G47" i="39"/>
  <c r="AP42" i="39"/>
  <c r="AK42" i="39"/>
  <c r="AJ42" i="39"/>
  <c r="AP41" i="39"/>
  <c r="AK41" i="39"/>
  <c r="AJ41" i="39"/>
  <c r="AP40" i="39"/>
  <c r="AK40" i="39"/>
  <c r="AJ40" i="39"/>
  <c r="AP39" i="39"/>
  <c r="AK39" i="39"/>
  <c r="AJ39" i="39"/>
  <c r="AP38" i="39"/>
  <c r="AK38" i="39"/>
  <c r="AJ38" i="39"/>
  <c r="AK37" i="39"/>
  <c r="AJ37" i="39"/>
  <c r="AP37" i="39"/>
  <c r="AP36" i="39"/>
  <c r="AK36" i="39"/>
  <c r="AJ36" i="39"/>
  <c r="AP35" i="39"/>
  <c r="AJ35" i="39"/>
  <c r="AK35" i="39"/>
  <c r="AP34" i="39"/>
  <c r="AK34" i="39"/>
  <c r="AJ34" i="39"/>
  <c r="AK33" i="39"/>
  <c r="AP33" i="39"/>
  <c r="AJ33" i="39"/>
  <c r="AK32" i="39"/>
  <c r="AP32" i="39"/>
  <c r="AJ32" i="39"/>
  <c r="AJ31" i="39"/>
  <c r="AK31" i="39"/>
  <c r="AP31" i="39"/>
  <c r="AK30" i="39"/>
  <c r="AJ30" i="39"/>
  <c r="AP30" i="39"/>
  <c r="AK29" i="39"/>
  <c r="AJ29" i="39"/>
  <c r="AP29" i="39"/>
  <c r="AP28" i="39"/>
  <c r="AJ28" i="39"/>
  <c r="AK28" i="39"/>
  <c r="AK27" i="39"/>
  <c r="AP27" i="39"/>
  <c r="AJ27" i="39"/>
  <c r="AJ26" i="39"/>
  <c r="AK26" i="39"/>
  <c r="AK25" i="39"/>
  <c r="AP25" i="39"/>
  <c r="AJ25" i="39"/>
  <c r="AJ24" i="39"/>
  <c r="AP24" i="39"/>
  <c r="AK24" i="39"/>
  <c r="AK23" i="39"/>
  <c r="AJ23" i="39"/>
  <c r="AP23" i="39"/>
  <c r="AP22" i="39"/>
  <c r="AJ22" i="39"/>
  <c r="AK22" i="39"/>
  <c r="AJ21" i="39"/>
  <c r="AP21" i="39"/>
  <c r="AK21" i="39"/>
  <c r="AK20" i="39"/>
  <c r="AP20" i="39"/>
  <c r="AJ20" i="39"/>
  <c r="AK19" i="39"/>
  <c r="AJ19" i="39"/>
  <c r="AP19" i="39"/>
  <c r="AK18" i="39"/>
  <c r="AP18" i="39"/>
  <c r="AJ18" i="39"/>
  <c r="AJ17" i="39"/>
  <c r="AK17" i="39"/>
  <c r="AP17" i="39"/>
  <c r="AK16" i="39"/>
  <c r="AP16" i="39"/>
  <c r="AJ16" i="39"/>
  <c r="AK15" i="39"/>
  <c r="AJ15" i="39"/>
  <c r="AP15" i="39"/>
  <c r="AP14" i="39"/>
  <c r="AK14" i="39"/>
  <c r="AK13" i="39"/>
  <c r="AJ13" i="39"/>
  <c r="AP13" i="39"/>
  <c r="AK12" i="39"/>
  <c r="AP12" i="39"/>
  <c r="AJ12" i="39"/>
  <c r="AJ11" i="39"/>
  <c r="AK11" i="39"/>
  <c r="AP11" i="39"/>
  <c r="AK10" i="39"/>
  <c r="AP10" i="39"/>
  <c r="AJ10" i="39"/>
  <c r="AK9" i="39"/>
  <c r="AJ9" i="39"/>
  <c r="AP9" i="39"/>
  <c r="AK8" i="39"/>
  <c r="AJ8" i="39"/>
  <c r="AP8" i="39"/>
  <c r="C66" i="38"/>
  <c r="C69" i="38"/>
  <c r="D37" i="41"/>
  <c r="C37" i="41"/>
  <c r="G37" i="41" s="1"/>
  <c r="C49" i="38"/>
  <c r="G47" i="38"/>
  <c r="AK42" i="38"/>
  <c r="AJ42" i="38"/>
  <c r="AP42" i="38"/>
  <c r="AP41" i="38"/>
  <c r="AK41" i="38"/>
  <c r="AJ41" i="38"/>
  <c r="AK40" i="38"/>
  <c r="AJ40" i="38"/>
  <c r="AP40" i="38"/>
  <c r="AK39" i="38"/>
  <c r="AJ39" i="38"/>
  <c r="AP39" i="38"/>
  <c r="AJ38" i="38"/>
  <c r="AK38" i="38"/>
  <c r="AP38" i="38"/>
  <c r="AK37" i="38"/>
  <c r="AP37" i="38"/>
  <c r="AJ37" i="38"/>
  <c r="AP36" i="38"/>
  <c r="AK36" i="38"/>
  <c r="AJ36" i="38"/>
  <c r="AP35" i="38"/>
  <c r="AK35" i="38"/>
  <c r="AJ35" i="38"/>
  <c r="AJ34" i="38"/>
  <c r="AK34" i="38"/>
  <c r="AP34" i="38"/>
  <c r="AK33" i="38"/>
  <c r="AP33" i="38"/>
  <c r="AJ33" i="38"/>
  <c r="AJ32" i="38"/>
  <c r="AK32" i="38"/>
  <c r="AP32" i="38"/>
  <c r="AJ31" i="38"/>
  <c r="AK31" i="38"/>
  <c r="AP31" i="38"/>
  <c r="AK30" i="38"/>
  <c r="AJ30" i="38"/>
  <c r="AP30" i="38"/>
  <c r="AP29" i="38"/>
  <c r="AK29" i="38"/>
  <c r="AJ29" i="38"/>
  <c r="AJ28" i="38"/>
  <c r="AK28" i="38"/>
  <c r="AP28" i="38"/>
  <c r="AJ27" i="38"/>
  <c r="AK27" i="38"/>
  <c r="AP27" i="38"/>
  <c r="AK26" i="38"/>
  <c r="AP26" i="38"/>
  <c r="AJ26" i="38"/>
  <c r="AK25" i="38"/>
  <c r="AP25" i="38"/>
  <c r="AJ25" i="38"/>
  <c r="AP24" i="38"/>
  <c r="AJ24" i="38"/>
  <c r="AK24" i="38"/>
  <c r="AJ23" i="38"/>
  <c r="AP23" i="38"/>
  <c r="AK23" i="38"/>
  <c r="AK22" i="38"/>
  <c r="AP22" i="38"/>
  <c r="AJ22" i="38"/>
  <c r="AK21" i="38"/>
  <c r="AJ21" i="38"/>
  <c r="AP21" i="38"/>
  <c r="AP20" i="38"/>
  <c r="AK20" i="38"/>
  <c r="AJ20" i="38"/>
  <c r="AK19" i="38"/>
  <c r="AP19" i="38"/>
  <c r="AP18" i="38"/>
  <c r="AK18" i="38"/>
  <c r="AJ18" i="38"/>
  <c r="AJ17" i="38"/>
  <c r="AP17" i="38"/>
  <c r="AK17" i="38"/>
  <c r="AK16" i="38"/>
  <c r="AJ16" i="38"/>
  <c r="AP16" i="38"/>
  <c r="AK15" i="38"/>
  <c r="AJ15" i="38"/>
  <c r="AP15" i="38"/>
  <c r="AP14" i="38"/>
  <c r="AK14" i="38"/>
  <c r="AJ14" i="38"/>
  <c r="AK13" i="38"/>
  <c r="AJ13" i="38"/>
  <c r="AP13" i="38"/>
  <c r="AJ12" i="38"/>
  <c r="AK12" i="38"/>
  <c r="AP12" i="38"/>
  <c r="AP11" i="38"/>
  <c r="AK11" i="38"/>
  <c r="AJ11" i="38"/>
  <c r="AP10" i="38"/>
  <c r="AK10" i="38"/>
  <c r="AJ10" i="38"/>
  <c r="AJ9" i="38"/>
  <c r="AK9" i="38"/>
  <c r="AP9" i="38"/>
  <c r="AK8" i="38"/>
  <c r="AP8" i="38"/>
  <c r="AJ8" i="38"/>
  <c r="C66" i="37"/>
  <c r="C69" i="37"/>
  <c r="C36" i="41"/>
  <c r="G36" i="41" s="1"/>
  <c r="D36" i="41"/>
  <c r="G47" i="37"/>
  <c r="C49" i="37"/>
  <c r="AJ42" i="37"/>
  <c r="AK42" i="37"/>
  <c r="AP42" i="37"/>
  <c r="AP41" i="37"/>
  <c r="AJ41" i="37"/>
  <c r="AK41" i="37"/>
  <c r="AJ40" i="37"/>
  <c r="AK40" i="37"/>
  <c r="AP40" i="37"/>
  <c r="AJ39" i="37"/>
  <c r="AK39" i="37"/>
  <c r="AP39" i="37"/>
  <c r="AP38" i="37"/>
  <c r="AK38" i="37"/>
  <c r="AJ38" i="37"/>
  <c r="AJ37" i="37"/>
  <c r="AK37" i="37"/>
  <c r="AP37" i="37"/>
  <c r="AK36" i="37"/>
  <c r="AP36" i="37"/>
  <c r="AJ36" i="37"/>
  <c r="AJ35" i="37"/>
  <c r="AK35" i="37"/>
  <c r="AP35" i="37"/>
  <c r="AK34" i="37"/>
  <c r="AJ34" i="37"/>
  <c r="AP34" i="37"/>
  <c r="AJ33" i="37"/>
  <c r="AK33" i="37"/>
  <c r="AP33" i="37"/>
  <c r="AP32" i="37"/>
  <c r="AK32" i="37"/>
  <c r="AJ32" i="37"/>
  <c r="AP31" i="37"/>
  <c r="AK31" i="37"/>
  <c r="AJ31" i="37"/>
  <c r="AJ30" i="37"/>
  <c r="AK30" i="37"/>
  <c r="AP30" i="37"/>
  <c r="AJ29" i="37"/>
  <c r="AK29" i="37"/>
  <c r="AP29" i="37"/>
  <c r="AK28" i="37"/>
  <c r="AJ28" i="37"/>
  <c r="AP28" i="37"/>
  <c r="AJ27" i="37"/>
  <c r="AK27" i="37"/>
  <c r="AP27" i="37"/>
  <c r="AJ26" i="37"/>
  <c r="AK26" i="37"/>
  <c r="AP26" i="37"/>
  <c r="AK25" i="37"/>
  <c r="AP25" i="37"/>
  <c r="AJ25" i="37"/>
  <c r="AP24" i="37"/>
  <c r="AK24" i="37"/>
  <c r="AJ24" i="37"/>
  <c r="AJ23" i="37"/>
  <c r="AP23" i="37"/>
  <c r="AK23" i="37"/>
  <c r="AJ22" i="37"/>
  <c r="AK22" i="37"/>
  <c r="AP22" i="37"/>
  <c r="AJ21" i="37"/>
  <c r="AK21" i="37"/>
  <c r="AP21" i="37"/>
  <c r="AK20" i="37"/>
  <c r="AP20" i="37"/>
  <c r="AJ20" i="37"/>
  <c r="AJ19" i="37"/>
  <c r="AK19" i="37"/>
  <c r="AP19" i="37"/>
  <c r="AP18" i="37"/>
  <c r="AK18" i="37"/>
  <c r="AJ18" i="37"/>
  <c r="AP17" i="37"/>
  <c r="AK17" i="37"/>
  <c r="AJ17" i="37"/>
  <c r="AK16" i="37"/>
  <c r="AJ16" i="37"/>
  <c r="AP16" i="37"/>
  <c r="AK15" i="37"/>
  <c r="AP15" i="37"/>
  <c r="AJ15" i="37"/>
  <c r="AJ14" i="37"/>
  <c r="AP14" i="37"/>
  <c r="AK14" i="37"/>
  <c r="AP13" i="37"/>
  <c r="AJ13" i="37"/>
  <c r="AK13" i="37"/>
  <c r="AJ12" i="37"/>
  <c r="AK12" i="37"/>
  <c r="AP12" i="37"/>
  <c r="AJ11" i="37"/>
  <c r="AK11" i="37"/>
  <c r="AP11" i="37"/>
  <c r="AP10" i="37"/>
  <c r="AK10" i="37"/>
  <c r="AJ10" i="37"/>
  <c r="AP9" i="37"/>
  <c r="AK9" i="37"/>
  <c r="AJ9" i="37"/>
  <c r="AP8" i="37"/>
  <c r="AK8" i="37"/>
  <c r="AJ8" i="37"/>
  <c r="C66" i="36"/>
  <c r="C69" i="36"/>
  <c r="D35" i="41"/>
  <c r="C35" i="41"/>
  <c r="G35" i="41" s="1"/>
  <c r="G47" i="36"/>
  <c r="C49" i="36"/>
  <c r="AJ42" i="36"/>
  <c r="AK42" i="36"/>
  <c r="AP42" i="36"/>
  <c r="AK41" i="36"/>
  <c r="AP41" i="36"/>
  <c r="AJ41" i="36"/>
  <c r="AP40" i="36"/>
  <c r="AK40" i="36"/>
  <c r="AJ40" i="36"/>
  <c r="AJ39" i="36"/>
  <c r="AK39" i="36"/>
  <c r="AP39" i="36"/>
  <c r="AJ38" i="36"/>
  <c r="AK38" i="36"/>
  <c r="AP38" i="36"/>
  <c r="AJ37" i="36"/>
  <c r="AK37" i="36"/>
  <c r="AP37" i="36"/>
  <c r="AJ36" i="36"/>
  <c r="AK36" i="36"/>
  <c r="AP36" i="36"/>
  <c r="AK35" i="36"/>
  <c r="AP35" i="36"/>
  <c r="AJ35" i="36"/>
  <c r="AJ34" i="36"/>
  <c r="AP34" i="36"/>
  <c r="AK34" i="36"/>
  <c r="AJ33" i="36"/>
  <c r="AK33" i="36"/>
  <c r="AP33" i="36"/>
  <c r="AK32" i="36"/>
  <c r="AP32" i="36"/>
  <c r="AJ32" i="36"/>
  <c r="AP31" i="36"/>
  <c r="AJ31" i="36"/>
  <c r="AK31" i="36"/>
  <c r="AP30" i="36"/>
  <c r="AK30" i="36"/>
  <c r="AJ30" i="36"/>
  <c r="AJ29" i="36"/>
  <c r="AK29" i="36"/>
  <c r="AP29" i="36"/>
  <c r="AK28" i="36"/>
  <c r="AP28" i="36"/>
  <c r="AJ28" i="36"/>
  <c r="AK27" i="36"/>
  <c r="AJ27" i="36"/>
  <c r="AP27" i="36"/>
  <c r="AK26" i="36"/>
  <c r="AJ26" i="36"/>
  <c r="AP26" i="36"/>
  <c r="AP25" i="36"/>
  <c r="AK25" i="36"/>
  <c r="AJ25" i="36"/>
  <c r="AP24" i="36"/>
  <c r="AK24" i="36"/>
  <c r="AJ24" i="36"/>
  <c r="AP23" i="36"/>
  <c r="AK23" i="36"/>
  <c r="AJ23" i="36"/>
  <c r="AP22" i="36"/>
  <c r="AK22" i="36"/>
  <c r="AJ22" i="36"/>
  <c r="AP21" i="36"/>
  <c r="AK21" i="36"/>
  <c r="AJ21" i="36"/>
  <c r="AP20" i="36"/>
  <c r="AK20" i="36"/>
  <c r="AJ20" i="36"/>
  <c r="AP19" i="36"/>
  <c r="AK19" i="36"/>
  <c r="AJ19" i="36"/>
  <c r="AK18" i="36"/>
  <c r="AJ18" i="36"/>
  <c r="AP18" i="36"/>
  <c r="AJ17" i="36"/>
  <c r="AK17" i="36"/>
  <c r="AP17" i="36"/>
  <c r="AK16" i="36"/>
  <c r="AP16" i="36"/>
  <c r="AJ16" i="36"/>
  <c r="AK15" i="36"/>
  <c r="AJ15" i="36"/>
  <c r="AP15" i="36"/>
  <c r="AJ14" i="36"/>
  <c r="AK14" i="36"/>
  <c r="AP14" i="36"/>
  <c r="AJ13" i="36"/>
  <c r="AK13" i="36"/>
  <c r="AP13" i="36"/>
  <c r="AJ12" i="36"/>
  <c r="AP12" i="36"/>
  <c r="AK12" i="36"/>
  <c r="AJ11" i="36"/>
  <c r="AK11" i="36"/>
  <c r="AP11" i="36"/>
  <c r="AJ10" i="36"/>
  <c r="AP10" i="36"/>
  <c r="AK10" i="36"/>
  <c r="AP9" i="36"/>
  <c r="AJ9" i="36"/>
  <c r="AK9" i="36"/>
  <c r="AP8" i="36"/>
  <c r="AJ8" i="36"/>
  <c r="AK8" i="36"/>
  <c r="C66" i="35"/>
  <c r="C69" i="35"/>
  <c r="D34" i="41"/>
  <c r="C34" i="41"/>
  <c r="G34" i="41" s="1"/>
  <c r="G47" i="35"/>
  <c r="C49" i="35"/>
  <c r="AJ42" i="35"/>
  <c r="AP42" i="35"/>
  <c r="AK42" i="35"/>
  <c r="AJ41" i="35"/>
  <c r="AP41" i="35"/>
  <c r="AK41" i="35"/>
  <c r="AJ40" i="35"/>
  <c r="AP40" i="35"/>
  <c r="AK40" i="35"/>
  <c r="AP39" i="35"/>
  <c r="AK39" i="35"/>
  <c r="AJ39" i="35"/>
  <c r="AK38" i="35"/>
  <c r="AJ38" i="35"/>
  <c r="AP38" i="35"/>
  <c r="AK37" i="35"/>
  <c r="AJ37" i="35"/>
  <c r="AP37" i="35"/>
  <c r="AK36" i="35"/>
  <c r="AP36" i="35"/>
  <c r="AJ36" i="35"/>
  <c r="AK35" i="35"/>
  <c r="AJ35" i="35"/>
  <c r="AP35" i="35"/>
  <c r="AJ34" i="35"/>
  <c r="AK34" i="35"/>
  <c r="AP34" i="35"/>
  <c r="AP33" i="35"/>
  <c r="AK33" i="35"/>
  <c r="AJ33" i="35"/>
  <c r="AJ32" i="35"/>
  <c r="AP32" i="35"/>
  <c r="AK32" i="35"/>
  <c r="AK31" i="35"/>
  <c r="AP31" i="35"/>
  <c r="AJ31" i="35"/>
  <c r="AK30" i="35"/>
  <c r="AJ30" i="35"/>
  <c r="AP30" i="35"/>
  <c r="AJ29" i="35"/>
  <c r="AK29" i="35"/>
  <c r="AP29" i="35"/>
  <c r="AP28" i="35"/>
  <c r="AK28" i="35"/>
  <c r="AJ28" i="35"/>
  <c r="AK27" i="35"/>
  <c r="AJ27" i="35"/>
  <c r="AP27" i="35"/>
  <c r="AP26" i="35"/>
  <c r="AK26" i="35"/>
  <c r="AJ26" i="35"/>
  <c r="AJ25" i="35"/>
  <c r="AP25" i="35"/>
  <c r="AK25" i="35"/>
  <c r="AJ24" i="35"/>
  <c r="AK24" i="35"/>
  <c r="AP24" i="35"/>
  <c r="AP23" i="35"/>
  <c r="AJ23" i="35"/>
  <c r="AK23" i="35"/>
  <c r="AK22" i="35"/>
  <c r="AP22" i="35"/>
  <c r="AJ22" i="35"/>
  <c r="AP21" i="35"/>
  <c r="AK21" i="35"/>
  <c r="AJ21" i="35"/>
  <c r="AJ20" i="35"/>
  <c r="AP20" i="35"/>
  <c r="AK20" i="35"/>
  <c r="AJ19" i="35"/>
  <c r="AP19" i="35"/>
  <c r="AK19" i="35"/>
  <c r="AK18" i="35"/>
  <c r="AJ18" i="35"/>
  <c r="AP18" i="35"/>
  <c r="AP17" i="35"/>
  <c r="AJ17" i="35"/>
  <c r="AK17" i="35"/>
  <c r="AP16" i="35"/>
  <c r="AJ16" i="35"/>
  <c r="AK16" i="35"/>
  <c r="AP15" i="35"/>
  <c r="AJ15" i="35"/>
  <c r="AK15" i="35"/>
  <c r="AK14" i="35"/>
  <c r="AP14" i="35"/>
  <c r="AJ14" i="35"/>
  <c r="AJ13" i="35"/>
  <c r="AP13" i="35"/>
  <c r="AK13" i="35"/>
  <c r="AK12" i="35"/>
  <c r="AJ12" i="35"/>
  <c r="AP12" i="35"/>
  <c r="AP11" i="35"/>
  <c r="AK11" i="35"/>
  <c r="AJ11" i="35"/>
  <c r="AK10" i="35"/>
  <c r="AJ10" i="35"/>
  <c r="AP10" i="35"/>
  <c r="AP9" i="35"/>
  <c r="AJ9" i="35"/>
  <c r="AK9" i="35"/>
  <c r="AK8" i="35"/>
  <c r="AJ8" i="35"/>
  <c r="AP8" i="35"/>
  <c r="C66" i="34"/>
  <c r="C69" i="34"/>
  <c r="D33" i="41"/>
  <c r="C33" i="41"/>
  <c r="G33" i="41" s="1"/>
  <c r="G47" i="34"/>
  <c r="C49" i="34"/>
  <c r="AK42" i="34"/>
  <c r="AJ42" i="34"/>
  <c r="AP42" i="34"/>
  <c r="AP41" i="34"/>
  <c r="AK41" i="34"/>
  <c r="AJ41" i="34"/>
  <c r="AP40" i="34"/>
  <c r="AK40" i="34"/>
  <c r="AJ40" i="34"/>
  <c r="AJ39" i="34"/>
  <c r="AP39" i="34"/>
  <c r="AK39" i="34"/>
  <c r="AJ38" i="34"/>
  <c r="AP38" i="34"/>
  <c r="AK38" i="34"/>
  <c r="AK37" i="34"/>
  <c r="AP37" i="34"/>
  <c r="AJ37" i="34"/>
  <c r="AJ36" i="34"/>
  <c r="AK36" i="34"/>
  <c r="AP36" i="34"/>
  <c r="AK35" i="34"/>
  <c r="AJ35" i="34"/>
  <c r="AP35" i="34"/>
  <c r="AP34" i="34"/>
  <c r="AJ34" i="34"/>
  <c r="AK34" i="34"/>
  <c r="AP33" i="34"/>
  <c r="AJ33" i="34"/>
  <c r="AK33" i="34"/>
  <c r="AP32" i="34"/>
  <c r="AK32" i="34"/>
  <c r="AJ32" i="34"/>
  <c r="AJ31" i="34"/>
  <c r="AK31" i="34"/>
  <c r="AP31" i="34"/>
  <c r="AJ30" i="34"/>
  <c r="AK30" i="34"/>
  <c r="AP30" i="34"/>
  <c r="AP29" i="34"/>
  <c r="AJ29" i="34"/>
  <c r="AK29" i="34"/>
  <c r="AK28" i="34"/>
  <c r="AP28" i="34"/>
  <c r="AJ28" i="34"/>
  <c r="AP27" i="34"/>
  <c r="AJ27" i="34"/>
  <c r="AK27" i="34"/>
  <c r="AJ26" i="34"/>
  <c r="AP26" i="34"/>
  <c r="AK26" i="34"/>
  <c r="AJ25" i="34"/>
  <c r="AP25" i="34"/>
  <c r="AK25" i="34"/>
  <c r="AK24" i="34"/>
  <c r="AP24" i="34"/>
  <c r="AJ24" i="34"/>
  <c r="AJ23" i="34"/>
  <c r="AK23" i="34"/>
  <c r="AP23" i="34"/>
  <c r="AJ22" i="34"/>
  <c r="AP22" i="34"/>
  <c r="AK22" i="34"/>
  <c r="AK21" i="34"/>
  <c r="AP21" i="34"/>
  <c r="AJ21" i="34"/>
  <c r="AK20" i="34"/>
  <c r="AP20" i="34"/>
  <c r="AJ20" i="34"/>
  <c r="AK19" i="34"/>
  <c r="AP19" i="34"/>
  <c r="AJ19" i="34"/>
  <c r="AJ18" i="34"/>
  <c r="AK18" i="34"/>
  <c r="AP18" i="34"/>
  <c r="AK17" i="34"/>
  <c r="AP17" i="34"/>
  <c r="AJ17" i="34"/>
  <c r="AK16" i="34"/>
  <c r="AJ16" i="34"/>
  <c r="AP16" i="34"/>
  <c r="AK15" i="34"/>
  <c r="AP15" i="34"/>
  <c r="AJ15" i="34"/>
  <c r="AJ14" i="34"/>
  <c r="AP14" i="34"/>
  <c r="AK14" i="34"/>
  <c r="AP13" i="34"/>
  <c r="AJ13" i="34"/>
  <c r="AK13" i="34"/>
  <c r="AJ12" i="34"/>
  <c r="AP12" i="34"/>
  <c r="AK12" i="34"/>
  <c r="AJ11" i="34"/>
  <c r="AK11" i="34"/>
  <c r="AP11" i="34"/>
  <c r="AJ10" i="34"/>
  <c r="AK10" i="34"/>
  <c r="AP10" i="34"/>
  <c r="AK9" i="34"/>
  <c r="AJ9" i="34"/>
  <c r="AP9" i="34"/>
  <c r="AK8" i="34"/>
  <c r="AJ8" i="34"/>
  <c r="AP8" i="34"/>
  <c r="C69" i="33"/>
  <c r="C66" i="33"/>
  <c r="C32" i="41"/>
  <c r="G32" i="41" s="1"/>
  <c r="D32" i="41"/>
  <c r="G47" i="33"/>
  <c r="C49" i="33"/>
  <c r="AJ42" i="33"/>
  <c r="AP42" i="33"/>
  <c r="AK42" i="33"/>
  <c r="AP41" i="33"/>
  <c r="AK41" i="33"/>
  <c r="AJ41" i="33"/>
  <c r="AJ40" i="33"/>
  <c r="AP40" i="33"/>
  <c r="AK40" i="33"/>
  <c r="AP39" i="33"/>
  <c r="AK39" i="33"/>
  <c r="AJ39" i="33"/>
  <c r="AJ38" i="33"/>
  <c r="AP38" i="33"/>
  <c r="AK38" i="33"/>
  <c r="AP37" i="33"/>
  <c r="AK37" i="33"/>
  <c r="AJ37" i="33"/>
  <c r="AJ36" i="33"/>
  <c r="AP36" i="33"/>
  <c r="AK36" i="33"/>
  <c r="AJ35" i="33"/>
  <c r="AK35" i="33"/>
  <c r="AP35" i="33"/>
  <c r="AP34" i="33"/>
  <c r="AJ34" i="33"/>
  <c r="AK34" i="33"/>
  <c r="AK33" i="33"/>
  <c r="AP33" i="33"/>
  <c r="AJ33" i="33"/>
  <c r="AK32" i="33"/>
  <c r="AP32" i="33"/>
  <c r="AJ32" i="33"/>
  <c r="AP31" i="33"/>
  <c r="AJ31" i="33"/>
  <c r="AK31" i="33"/>
  <c r="AP30" i="33"/>
  <c r="AK30" i="33"/>
  <c r="AJ30" i="33"/>
  <c r="AK29" i="33"/>
  <c r="AJ29" i="33"/>
  <c r="AP29" i="33"/>
  <c r="AJ28" i="33"/>
  <c r="AK28" i="33"/>
  <c r="AP28" i="33"/>
  <c r="AJ27" i="33"/>
  <c r="AP27" i="33"/>
  <c r="AK27" i="33"/>
  <c r="AJ26" i="33"/>
  <c r="AK26" i="33"/>
  <c r="AP26" i="33"/>
  <c r="AJ25" i="33"/>
  <c r="AP25" i="33"/>
  <c r="AK25" i="33"/>
  <c r="AP24" i="33"/>
  <c r="AJ24" i="33"/>
  <c r="AK24" i="33"/>
  <c r="AJ23" i="33"/>
  <c r="AP23" i="33"/>
  <c r="AK23" i="33"/>
  <c r="AK22" i="33"/>
  <c r="AJ22" i="33"/>
  <c r="AP22" i="33"/>
  <c r="AJ21" i="33"/>
  <c r="AK21" i="33"/>
  <c r="AP21" i="33"/>
  <c r="AP20" i="33"/>
  <c r="AK20" i="33"/>
  <c r="AJ20" i="33"/>
  <c r="AP19" i="33"/>
  <c r="AJ19" i="33"/>
  <c r="AK19" i="33"/>
  <c r="AJ18" i="33"/>
  <c r="AK18" i="33"/>
  <c r="AP18" i="33"/>
  <c r="AK17" i="33"/>
  <c r="AJ17" i="33"/>
  <c r="AP17" i="33"/>
  <c r="AJ16" i="33"/>
  <c r="AK16" i="33"/>
  <c r="AP16" i="33"/>
  <c r="AP15" i="33"/>
  <c r="AJ15" i="33"/>
  <c r="AK15" i="33"/>
  <c r="AK14" i="33"/>
  <c r="AP14" i="33"/>
  <c r="AJ14" i="33"/>
  <c r="AK13" i="33"/>
  <c r="AJ13" i="33"/>
  <c r="AP13" i="33"/>
  <c r="AJ12" i="33"/>
  <c r="AP12" i="33"/>
  <c r="AK12" i="33"/>
  <c r="AJ11" i="33"/>
  <c r="AP11" i="33"/>
  <c r="AK11" i="33"/>
  <c r="AJ10" i="33"/>
  <c r="AP10" i="33"/>
  <c r="AK10" i="33"/>
  <c r="AK9" i="33"/>
  <c r="AP9" i="33"/>
  <c r="AJ9" i="33"/>
  <c r="AJ8" i="33"/>
  <c r="AP8" i="33"/>
  <c r="AK8" i="33"/>
  <c r="C66" i="32"/>
  <c r="C69" i="32"/>
  <c r="C31" i="41"/>
  <c r="G31" i="41" s="1"/>
  <c r="D31" i="41"/>
  <c r="C49" i="32"/>
  <c r="G47" i="32"/>
  <c r="AP42" i="32"/>
  <c r="AK42" i="32"/>
  <c r="AJ42" i="32"/>
  <c r="AJ41" i="32"/>
  <c r="AP41" i="32"/>
  <c r="AK41" i="32"/>
  <c r="AP40" i="32"/>
  <c r="AK40" i="32"/>
  <c r="AJ40" i="32"/>
  <c r="AJ39" i="32"/>
  <c r="AK39" i="32"/>
  <c r="AP39" i="32"/>
  <c r="AP38" i="32"/>
  <c r="AK38" i="32"/>
  <c r="AJ38" i="32"/>
  <c r="AP37" i="32"/>
  <c r="AK37" i="32"/>
  <c r="AJ37" i="32"/>
  <c r="AP36" i="32"/>
  <c r="AK36" i="32"/>
  <c r="AJ36" i="32"/>
  <c r="AP35" i="32"/>
  <c r="AK35" i="32"/>
  <c r="AJ35" i="32"/>
  <c r="AJ34" i="32"/>
  <c r="AP34" i="32"/>
  <c r="AK34" i="32"/>
  <c r="AK33" i="32"/>
  <c r="AP33" i="32"/>
  <c r="AJ33" i="32"/>
  <c r="AJ32" i="32"/>
  <c r="AK32" i="32"/>
  <c r="AP32" i="32"/>
  <c r="AK31" i="32"/>
  <c r="AJ31" i="32"/>
  <c r="AP31" i="32"/>
  <c r="AJ30" i="32"/>
  <c r="AK30" i="32"/>
  <c r="AP30" i="32"/>
  <c r="AK29" i="32"/>
  <c r="AP29" i="32"/>
  <c r="AJ29" i="32"/>
  <c r="AJ28" i="32"/>
  <c r="AP28" i="32"/>
  <c r="AK28" i="32"/>
  <c r="AP27" i="32"/>
  <c r="AK27" i="32"/>
  <c r="AJ27" i="32"/>
  <c r="AP26" i="32"/>
  <c r="AK26" i="32"/>
  <c r="AJ26" i="32"/>
  <c r="AP25" i="32"/>
  <c r="AK25" i="32"/>
  <c r="AJ25" i="32"/>
  <c r="AP24" i="32"/>
  <c r="AK24" i="32"/>
  <c r="AJ24" i="32"/>
  <c r="AJ23" i="32"/>
  <c r="AK23" i="32"/>
  <c r="AP23" i="32"/>
  <c r="AP22" i="32"/>
  <c r="AJ22" i="32"/>
  <c r="AK22" i="32"/>
  <c r="AJ21" i="32"/>
  <c r="AK21" i="32"/>
  <c r="AP21" i="32"/>
  <c r="AJ20" i="32"/>
  <c r="AK20" i="32"/>
  <c r="AP20" i="32"/>
  <c r="AK19" i="32"/>
  <c r="AJ19" i="32"/>
  <c r="AP19" i="32"/>
  <c r="AK18" i="32"/>
  <c r="AJ18" i="32"/>
  <c r="AP18" i="32"/>
  <c r="AP17" i="32"/>
  <c r="AK17" i="32"/>
  <c r="AJ17" i="32"/>
  <c r="AJ16" i="32"/>
  <c r="AK16" i="32"/>
  <c r="AP16" i="32"/>
  <c r="AJ15" i="32"/>
  <c r="AK15" i="32"/>
  <c r="AP15" i="32"/>
  <c r="AJ14" i="32"/>
  <c r="AK14" i="32"/>
  <c r="AP14" i="32"/>
  <c r="AP13" i="32"/>
  <c r="AJ13" i="32"/>
  <c r="AK13" i="32"/>
  <c r="AJ12" i="32"/>
  <c r="AK12" i="32"/>
  <c r="AP12" i="32"/>
  <c r="AJ11" i="32"/>
  <c r="AP11" i="32"/>
  <c r="AK11" i="32"/>
  <c r="AK10" i="32"/>
  <c r="AJ10" i="32"/>
  <c r="AP10" i="32"/>
  <c r="AK9" i="32"/>
  <c r="AJ9" i="32"/>
  <c r="AP9" i="32"/>
  <c r="AK8" i="32"/>
  <c r="AJ8" i="32"/>
  <c r="AP8" i="32"/>
  <c r="C69" i="31"/>
  <c r="C66" i="31"/>
  <c r="D30" i="41"/>
  <c r="C30" i="41"/>
  <c r="G30" i="41" s="1"/>
  <c r="C49" i="31"/>
  <c r="G47" i="31"/>
  <c r="AK42" i="31"/>
  <c r="AJ42" i="31"/>
  <c r="AP42" i="31"/>
  <c r="AP41" i="31"/>
  <c r="AK41" i="31"/>
  <c r="AJ41" i="31"/>
  <c r="AP40" i="31"/>
  <c r="AK40" i="31"/>
  <c r="AJ40" i="31"/>
  <c r="AP39" i="31"/>
  <c r="AK39" i="31"/>
  <c r="AJ39" i="31"/>
  <c r="AJ38" i="31"/>
  <c r="AK38" i="31"/>
  <c r="AP38" i="31"/>
  <c r="AJ37" i="31"/>
  <c r="AK37" i="31"/>
  <c r="AP37" i="31"/>
  <c r="AJ36" i="31"/>
  <c r="AK36" i="31"/>
  <c r="AP36" i="31"/>
  <c r="AK35" i="31"/>
  <c r="AP35" i="31"/>
  <c r="AJ35" i="31"/>
  <c r="AJ34" i="31"/>
  <c r="AP34" i="31"/>
  <c r="AK34" i="31"/>
  <c r="AJ33" i="31"/>
  <c r="AP33" i="31"/>
  <c r="AK33" i="31"/>
  <c r="AP32" i="31"/>
  <c r="AJ32" i="31"/>
  <c r="AK32" i="31"/>
  <c r="AP31" i="31"/>
  <c r="AK31" i="31"/>
  <c r="AJ31" i="31"/>
  <c r="AP30" i="31"/>
  <c r="AK30" i="31"/>
  <c r="AJ30" i="31"/>
  <c r="AJ29" i="31"/>
  <c r="AK29" i="31"/>
  <c r="AP29" i="31"/>
  <c r="AK28" i="31"/>
  <c r="AJ28" i="31"/>
  <c r="AP28" i="31"/>
  <c r="AK27" i="31"/>
  <c r="AJ27" i="31"/>
  <c r="AP27" i="31"/>
  <c r="AP26" i="31"/>
  <c r="AK26" i="31"/>
  <c r="AJ26" i="31"/>
  <c r="AP25" i="31"/>
  <c r="AK25" i="31"/>
  <c r="AJ25" i="31"/>
  <c r="AK24" i="31"/>
  <c r="AJ24" i="31"/>
  <c r="AP24" i="31"/>
  <c r="AP23" i="31"/>
  <c r="AK23" i="31"/>
  <c r="AJ23" i="31"/>
  <c r="AP22" i="31"/>
  <c r="AK22" i="31"/>
  <c r="AJ22" i="31"/>
  <c r="AP21" i="31"/>
  <c r="AK21" i="31"/>
  <c r="AJ21" i="31"/>
  <c r="AP20" i="31"/>
  <c r="AK20" i="31"/>
  <c r="AJ20" i="31"/>
  <c r="AP19" i="31"/>
  <c r="AK19" i="31"/>
  <c r="AJ19" i="31"/>
  <c r="AJ18" i="31"/>
  <c r="AP18" i="31"/>
  <c r="AK18" i="31"/>
  <c r="AP17" i="31"/>
  <c r="AK17" i="31"/>
  <c r="AJ17" i="31"/>
  <c r="AP16" i="31"/>
  <c r="AJ16" i="31"/>
  <c r="AK16" i="31"/>
  <c r="AK15" i="31"/>
  <c r="AP15" i="31"/>
  <c r="AJ15" i="31"/>
  <c r="AP14" i="31"/>
  <c r="AK14" i="31"/>
  <c r="AJ14" i="31"/>
  <c r="AP13" i="31"/>
  <c r="AJ13" i="31"/>
  <c r="AK13" i="31"/>
  <c r="AK12" i="31"/>
  <c r="AJ12" i="31"/>
  <c r="AP12" i="31"/>
  <c r="AP11" i="31"/>
  <c r="AJ11" i="31"/>
  <c r="AK11" i="31"/>
  <c r="AP10" i="31"/>
  <c r="AK10" i="31"/>
  <c r="AJ10" i="31"/>
  <c r="AJ9" i="31"/>
  <c r="AP9" i="31"/>
  <c r="AK9" i="31"/>
  <c r="AK8" i="31"/>
  <c r="AJ8" i="31"/>
  <c r="AP8" i="31"/>
  <c r="C69" i="30"/>
  <c r="C66" i="30"/>
  <c r="C29" i="41"/>
  <c r="G29" i="41" s="1"/>
  <c r="D29" i="41"/>
  <c r="G47" i="30"/>
  <c r="C49" i="30"/>
  <c r="AJ42" i="30"/>
  <c r="AK42" i="30"/>
  <c r="AP42" i="30"/>
  <c r="AK41" i="30"/>
  <c r="AP41" i="30"/>
  <c r="AJ41" i="30"/>
  <c r="AJ40" i="30"/>
  <c r="AK40" i="30"/>
  <c r="AP40" i="30"/>
  <c r="AK39" i="30"/>
  <c r="AJ39" i="30"/>
  <c r="AP39" i="30"/>
  <c r="AJ38" i="30"/>
  <c r="AK38" i="30"/>
  <c r="AP38" i="30"/>
  <c r="AP37" i="30"/>
  <c r="AJ37" i="30"/>
  <c r="AK37" i="30"/>
  <c r="AJ36" i="30"/>
  <c r="AP36" i="30"/>
  <c r="AK36" i="30"/>
  <c r="AP35" i="30"/>
  <c r="AJ35" i="30"/>
  <c r="AK35" i="30"/>
  <c r="AK34" i="30"/>
  <c r="AJ34" i="30"/>
  <c r="AP34" i="30"/>
  <c r="AP33" i="30"/>
  <c r="AK33" i="30"/>
  <c r="AJ33" i="30"/>
  <c r="AP32" i="30"/>
  <c r="AK32" i="30"/>
  <c r="AJ32" i="30"/>
  <c r="AK31" i="30"/>
  <c r="AP31" i="30"/>
  <c r="AJ31" i="30"/>
  <c r="AP30" i="30"/>
  <c r="AK30" i="30"/>
  <c r="AJ30" i="30"/>
  <c r="AJ29" i="30"/>
  <c r="AK29" i="30"/>
  <c r="AP29" i="30"/>
  <c r="AJ28" i="30"/>
  <c r="AP28" i="30"/>
  <c r="AK28" i="30"/>
  <c r="AP27" i="30"/>
  <c r="AK27" i="30"/>
  <c r="AJ27" i="30"/>
  <c r="AP26" i="30"/>
  <c r="AK26" i="30"/>
  <c r="AJ26" i="30"/>
  <c r="AK25" i="30"/>
  <c r="AJ25" i="30"/>
  <c r="AP25" i="30"/>
  <c r="AJ24" i="30"/>
  <c r="AP24" i="30"/>
  <c r="AK24" i="30"/>
  <c r="AP23" i="30"/>
  <c r="AK23" i="30"/>
  <c r="AJ23" i="30"/>
  <c r="AP22" i="30"/>
  <c r="AK22" i="30"/>
  <c r="AJ22" i="30"/>
  <c r="AK21" i="30"/>
  <c r="AJ21" i="30"/>
  <c r="AP21" i="30"/>
  <c r="AP20" i="30"/>
  <c r="AK20" i="30"/>
  <c r="AJ20" i="30"/>
  <c r="AP19" i="30"/>
  <c r="AK19" i="30"/>
  <c r="AJ19" i="30"/>
  <c r="AP18" i="30"/>
  <c r="AJ18" i="30"/>
  <c r="AK18" i="30"/>
  <c r="AK17" i="30"/>
  <c r="AJ17" i="30"/>
  <c r="AP17" i="30"/>
  <c r="AP16" i="30"/>
  <c r="AK16" i="30"/>
  <c r="AJ16" i="30"/>
  <c r="AJ15" i="30"/>
  <c r="AK15" i="30"/>
  <c r="AP15" i="30"/>
  <c r="AP14" i="30"/>
  <c r="AK14" i="30"/>
  <c r="AJ14" i="30"/>
  <c r="AK13" i="30"/>
  <c r="AJ13" i="30"/>
  <c r="AP13" i="30"/>
  <c r="AK12" i="30"/>
  <c r="AJ12" i="30"/>
  <c r="AP12" i="30"/>
  <c r="AK11" i="30"/>
  <c r="AJ11" i="30"/>
  <c r="AP11" i="30"/>
  <c r="AP10" i="30"/>
  <c r="AK10" i="30"/>
  <c r="AJ10" i="30"/>
  <c r="AJ9" i="30"/>
  <c r="AP9" i="30"/>
  <c r="AK9" i="30"/>
  <c r="AK8" i="30"/>
  <c r="AP8" i="30"/>
  <c r="AJ8" i="30"/>
  <c r="C69" i="29"/>
  <c r="C66" i="29"/>
  <c r="C28" i="41"/>
  <c r="G28" i="41" s="1"/>
  <c r="D28" i="41"/>
  <c r="G47" i="29"/>
  <c r="C49" i="29"/>
  <c r="AP42" i="29"/>
  <c r="AJ42" i="29"/>
  <c r="AK42" i="29"/>
  <c r="AJ41" i="29"/>
  <c r="AK41" i="29"/>
  <c r="AP41" i="29"/>
  <c r="AJ40" i="29"/>
  <c r="AK40" i="29"/>
  <c r="AP40" i="29"/>
  <c r="AP39" i="29"/>
  <c r="AK39" i="29"/>
  <c r="AJ39" i="29"/>
  <c r="AK38" i="29"/>
  <c r="AJ38" i="29"/>
  <c r="AP38" i="29"/>
  <c r="AP37" i="29"/>
  <c r="AK37" i="29"/>
  <c r="AJ37" i="29"/>
  <c r="AP36" i="29"/>
  <c r="AK36" i="29"/>
  <c r="AJ36" i="29"/>
  <c r="AP35" i="29"/>
  <c r="AK35" i="29"/>
  <c r="AJ35" i="29"/>
  <c r="AP34" i="29"/>
  <c r="AK34" i="29"/>
  <c r="AJ34" i="29"/>
  <c r="AJ33" i="29"/>
  <c r="AK33" i="29"/>
  <c r="AP33" i="29"/>
  <c r="AJ32" i="29"/>
  <c r="AK32" i="29"/>
  <c r="AP32" i="29"/>
  <c r="AJ31" i="29"/>
  <c r="AK31" i="29"/>
  <c r="AP31" i="29"/>
  <c r="AJ30" i="29"/>
  <c r="AK30" i="29"/>
  <c r="AP30" i="29"/>
  <c r="AJ29" i="29"/>
  <c r="AK29" i="29"/>
  <c r="AP29" i="29"/>
  <c r="AK28" i="29"/>
  <c r="AJ28" i="29"/>
  <c r="AP28" i="29"/>
  <c r="AP27" i="29"/>
  <c r="AK27" i="29"/>
  <c r="AJ27" i="29"/>
  <c r="AP26" i="29"/>
  <c r="AK26" i="29"/>
  <c r="AJ26" i="29"/>
  <c r="AJ25" i="29"/>
  <c r="AP25" i="29"/>
  <c r="AK25" i="29"/>
  <c r="AP24" i="29"/>
  <c r="AK24" i="29"/>
  <c r="AJ24" i="29"/>
  <c r="AP23" i="29"/>
  <c r="AK23" i="29"/>
  <c r="AJ23" i="29"/>
  <c r="AP22" i="29"/>
  <c r="AK22" i="29"/>
  <c r="AJ22" i="29"/>
  <c r="AJ21" i="29"/>
  <c r="AP21" i="29"/>
  <c r="AK21" i="29"/>
  <c r="AP20" i="29"/>
  <c r="AK20" i="29"/>
  <c r="AJ20" i="29"/>
  <c r="AP19" i="29"/>
  <c r="AK19" i="29"/>
  <c r="AJ19" i="29"/>
  <c r="AP18" i="29"/>
  <c r="AK18" i="29"/>
  <c r="AJ18" i="29"/>
  <c r="AK17" i="29"/>
  <c r="AP17" i="29"/>
  <c r="AJ17" i="29"/>
  <c r="AP16" i="29"/>
  <c r="AK16" i="29"/>
  <c r="AJ16" i="29"/>
  <c r="AJ15" i="29"/>
  <c r="AP15" i="29"/>
  <c r="AK15" i="29"/>
  <c r="AJ14" i="29"/>
  <c r="AP14" i="29"/>
  <c r="AK14" i="29"/>
  <c r="AP13" i="29"/>
  <c r="AK13" i="29"/>
  <c r="AJ13" i="29"/>
  <c r="AP12" i="29"/>
  <c r="AJ12" i="29"/>
  <c r="AK12" i="29"/>
  <c r="AJ11" i="29"/>
  <c r="AK11" i="29"/>
  <c r="AP11" i="29"/>
  <c r="AK10" i="29"/>
  <c r="AP10" i="29"/>
  <c r="AJ10" i="29"/>
  <c r="AP9" i="29"/>
  <c r="AK9" i="29"/>
  <c r="AJ9" i="29"/>
  <c r="AP8" i="29"/>
  <c r="AK8" i="29"/>
  <c r="AJ8" i="29"/>
  <c r="C69" i="28"/>
  <c r="C66" i="28"/>
  <c r="F27" i="41"/>
  <c r="X22" i="7"/>
  <c r="C27" i="41"/>
  <c r="G27" i="41" s="1"/>
  <c r="D27" i="41"/>
  <c r="W22" i="7"/>
  <c r="K7" i="7" s="1"/>
  <c r="C49" i="28"/>
  <c r="G47" i="28"/>
  <c r="AJ42" i="28"/>
  <c r="AK42" i="28"/>
  <c r="AP42" i="28"/>
  <c r="AJ41" i="28"/>
  <c r="AK41" i="28"/>
  <c r="AP41" i="28"/>
  <c r="AJ40" i="28"/>
  <c r="AP40" i="28"/>
  <c r="AK40" i="28"/>
  <c r="AJ39" i="28"/>
  <c r="AK39" i="28"/>
  <c r="AP39" i="28"/>
  <c r="AK38" i="28"/>
  <c r="AP38" i="28"/>
  <c r="AJ38" i="28"/>
  <c r="AJ37" i="28"/>
  <c r="AK37" i="28"/>
  <c r="AP37" i="28"/>
  <c r="AK36" i="28"/>
  <c r="AP36" i="28"/>
  <c r="AJ36" i="28"/>
  <c r="AP35" i="28"/>
  <c r="AJ35" i="28"/>
  <c r="AK35" i="28"/>
  <c r="AJ34" i="28"/>
  <c r="AP34" i="28"/>
  <c r="AK34" i="28"/>
  <c r="AJ33" i="28"/>
  <c r="AP33" i="28"/>
  <c r="AK33" i="28"/>
  <c r="AJ32" i="28"/>
  <c r="AP32" i="28"/>
  <c r="AK32" i="28"/>
  <c r="AJ31" i="28"/>
  <c r="AK31" i="28"/>
  <c r="AP31" i="28"/>
  <c r="AJ30" i="28"/>
  <c r="AK30" i="28"/>
  <c r="AP30" i="28"/>
  <c r="AP29" i="28"/>
  <c r="AJ29" i="28"/>
  <c r="AK29" i="28"/>
  <c r="AK28" i="28"/>
  <c r="AJ28" i="28"/>
  <c r="AP28" i="28"/>
  <c r="AP27" i="28"/>
  <c r="AK27" i="28"/>
  <c r="AJ27" i="28"/>
  <c r="AP26" i="28"/>
  <c r="AK26" i="28"/>
  <c r="AJ26" i="28"/>
  <c r="AJ25" i="28"/>
  <c r="AK25" i="28"/>
  <c r="AP25" i="28"/>
  <c r="AP24" i="28"/>
  <c r="AK24" i="28"/>
  <c r="AJ24" i="28"/>
  <c r="AP23" i="28"/>
  <c r="AK23" i="28"/>
  <c r="AJ23" i="28"/>
  <c r="AJ22" i="28"/>
  <c r="AK22" i="28"/>
  <c r="AP22" i="28"/>
  <c r="AK21" i="28"/>
  <c r="AP21" i="28"/>
  <c r="AJ21" i="28"/>
  <c r="AP20" i="28"/>
  <c r="AK20" i="28"/>
  <c r="AJ20" i="28"/>
  <c r="AP19" i="28"/>
  <c r="AJ19" i="28"/>
  <c r="AK19" i="28"/>
  <c r="AJ18" i="28"/>
  <c r="AP18" i="28"/>
  <c r="AK18" i="28"/>
  <c r="AP17" i="28"/>
  <c r="AJ17" i="28"/>
  <c r="AK17" i="28"/>
  <c r="AP16" i="28"/>
  <c r="AJ16" i="28"/>
  <c r="AK16" i="28"/>
  <c r="AJ15" i="28"/>
  <c r="AP15" i="28"/>
  <c r="AK15" i="28"/>
  <c r="AP14" i="28"/>
  <c r="AK14" i="28"/>
  <c r="AJ14" i="28"/>
  <c r="AP13" i="28"/>
  <c r="AK13" i="28"/>
  <c r="AJ13" i="28"/>
  <c r="AK12" i="28"/>
  <c r="AP12" i="28"/>
  <c r="AJ12" i="28"/>
  <c r="AJ11" i="28"/>
  <c r="AK11" i="28"/>
  <c r="AP11" i="28"/>
  <c r="AP10" i="28"/>
  <c r="AJ10" i="28"/>
  <c r="AK10" i="28"/>
  <c r="AJ9" i="28"/>
  <c r="AP9" i="28"/>
  <c r="AK9" i="28"/>
  <c r="AP8" i="28"/>
  <c r="AK8" i="28"/>
  <c r="AJ8" i="28"/>
  <c r="C69" i="27"/>
  <c r="C66" i="27"/>
  <c r="C26" i="41"/>
  <c r="G26" i="41" s="1"/>
  <c r="D26" i="41"/>
  <c r="C49" i="27"/>
  <c r="G47" i="27"/>
  <c r="AJ42" i="27"/>
  <c r="AP42" i="27"/>
  <c r="AK42" i="27"/>
  <c r="AP41" i="27"/>
  <c r="AK41" i="27"/>
  <c r="AJ41" i="27"/>
  <c r="AP40" i="27"/>
  <c r="AK40" i="27"/>
  <c r="AJ40" i="27"/>
  <c r="AP39" i="27"/>
  <c r="AK39" i="27"/>
  <c r="AJ39" i="27"/>
  <c r="AK38" i="27"/>
  <c r="AJ38" i="27"/>
  <c r="AP38" i="27"/>
  <c r="AK37" i="27"/>
  <c r="AP37" i="27"/>
  <c r="AJ37" i="27"/>
  <c r="AP36" i="27"/>
  <c r="AK36" i="27"/>
  <c r="AJ36" i="27"/>
  <c r="AK35" i="27"/>
  <c r="AP35" i="27"/>
  <c r="AJ35" i="27"/>
  <c r="AJ34" i="27"/>
  <c r="AK34" i="27"/>
  <c r="AP34" i="27"/>
  <c r="AJ33" i="27"/>
  <c r="AP33" i="27"/>
  <c r="AK33" i="27"/>
  <c r="AP32" i="27"/>
  <c r="AJ32" i="27"/>
  <c r="AK32" i="27"/>
  <c r="AP31" i="27"/>
  <c r="AJ31" i="27"/>
  <c r="AK31" i="27"/>
  <c r="AJ30" i="27"/>
  <c r="AK30" i="27"/>
  <c r="AP30" i="27"/>
  <c r="AP29" i="27"/>
  <c r="AJ29" i="27"/>
  <c r="AK29" i="27"/>
  <c r="AK28" i="27"/>
  <c r="AP28" i="27"/>
  <c r="AJ28" i="27"/>
  <c r="AJ27" i="27"/>
  <c r="AK27" i="27"/>
  <c r="AP27" i="27"/>
  <c r="AJ26" i="27"/>
  <c r="AK26" i="27"/>
  <c r="AP26" i="27"/>
  <c r="AK25" i="27"/>
  <c r="AP25" i="27"/>
  <c r="AJ25" i="27"/>
  <c r="AJ24" i="27"/>
  <c r="AP24" i="27"/>
  <c r="AK24" i="27"/>
  <c r="AP23" i="27"/>
  <c r="AK23" i="27"/>
  <c r="AJ23" i="27"/>
  <c r="AJ22" i="27"/>
  <c r="AK22" i="27"/>
  <c r="AP22" i="27"/>
  <c r="AP21" i="27"/>
  <c r="AK21" i="27"/>
  <c r="AJ21" i="27"/>
  <c r="AP20" i="27"/>
  <c r="AK20" i="27"/>
  <c r="AJ20" i="27"/>
  <c r="AK19" i="27"/>
  <c r="AP19" i="27"/>
  <c r="AJ19" i="27"/>
  <c r="AK18" i="27"/>
  <c r="AP18" i="27"/>
  <c r="AJ18" i="27"/>
  <c r="AP17" i="27"/>
  <c r="AK17" i="27"/>
  <c r="AJ17" i="27"/>
  <c r="AK16" i="27"/>
  <c r="AJ16" i="27"/>
  <c r="AP16" i="27"/>
  <c r="AJ15" i="27"/>
  <c r="AK15" i="27"/>
  <c r="AP15" i="27"/>
  <c r="AK14" i="27"/>
  <c r="AP14" i="27"/>
  <c r="AJ14" i="27"/>
  <c r="AP13" i="27"/>
  <c r="AJ13" i="27"/>
  <c r="AK13" i="27"/>
  <c r="AK12" i="27"/>
  <c r="AJ12" i="27"/>
  <c r="AP12" i="27"/>
  <c r="AP11" i="27"/>
  <c r="AK11" i="27"/>
  <c r="AJ11" i="27"/>
  <c r="AK10" i="27"/>
  <c r="AJ10" i="27"/>
  <c r="AP10" i="27"/>
  <c r="AJ9" i="27"/>
  <c r="AK9" i="27"/>
  <c r="AP9" i="27"/>
  <c r="AJ8" i="27"/>
  <c r="AK8" i="27"/>
  <c r="AP8" i="27"/>
  <c r="C69" i="26"/>
  <c r="C66" i="26"/>
  <c r="D25" i="41"/>
  <c r="C25" i="41"/>
  <c r="G25" i="41" s="1"/>
  <c r="C49" i="26"/>
  <c r="G47" i="26"/>
  <c r="AP42" i="26"/>
  <c r="AK42" i="26"/>
  <c r="AJ42" i="26"/>
  <c r="AP41" i="26"/>
  <c r="AK41" i="26"/>
  <c r="AJ41" i="26"/>
  <c r="AJ40" i="26"/>
  <c r="AK40" i="26"/>
  <c r="AP40" i="26"/>
  <c r="AJ39" i="26"/>
  <c r="AK39" i="26"/>
  <c r="AP39" i="26"/>
  <c r="AP38" i="26"/>
  <c r="AK38" i="26"/>
  <c r="AJ38" i="26"/>
  <c r="AJ37" i="26"/>
  <c r="AP37" i="26"/>
  <c r="AK37" i="26"/>
  <c r="AK36" i="26"/>
  <c r="AJ36" i="26"/>
  <c r="AP36" i="26"/>
  <c r="AP35" i="26"/>
  <c r="AK35" i="26"/>
  <c r="AJ35" i="26"/>
  <c r="AP34" i="26"/>
  <c r="AK34" i="26"/>
  <c r="AJ34" i="26"/>
  <c r="AP33" i="26"/>
  <c r="AK33" i="26"/>
  <c r="AJ33" i="26"/>
  <c r="AP32" i="26"/>
  <c r="AK32" i="26"/>
  <c r="AJ32" i="26"/>
  <c r="AP31" i="26"/>
  <c r="AJ31" i="26"/>
  <c r="AK31" i="26"/>
  <c r="AK30" i="26"/>
  <c r="AP30" i="26"/>
  <c r="AJ30" i="26"/>
  <c r="AJ29" i="26"/>
  <c r="AK29" i="26"/>
  <c r="AP29" i="26"/>
  <c r="AJ28" i="26"/>
  <c r="AK28" i="26"/>
  <c r="AP28" i="26"/>
  <c r="AJ27" i="26"/>
  <c r="AP27" i="26"/>
  <c r="AK27" i="26"/>
  <c r="AP26" i="26"/>
  <c r="AJ26" i="26"/>
  <c r="AK26" i="26"/>
  <c r="AJ25" i="26"/>
  <c r="AK25" i="26"/>
  <c r="AP25" i="26"/>
  <c r="AP24" i="26"/>
  <c r="AK24" i="26"/>
  <c r="AJ24" i="26"/>
  <c r="AK23" i="26"/>
  <c r="AJ23" i="26"/>
  <c r="AP23" i="26"/>
  <c r="AJ22" i="26"/>
  <c r="AP22" i="26"/>
  <c r="AK22" i="26"/>
  <c r="AK21" i="26"/>
  <c r="AJ21" i="26"/>
  <c r="AP21" i="26"/>
  <c r="AP20" i="26"/>
  <c r="AJ20" i="26"/>
  <c r="AK20" i="26"/>
  <c r="AJ19" i="26"/>
  <c r="AP19" i="26"/>
  <c r="AK19" i="26"/>
  <c r="AK18" i="26"/>
  <c r="AP18" i="26"/>
  <c r="AJ18" i="26"/>
  <c r="AJ17" i="26"/>
  <c r="AK17" i="26"/>
  <c r="AP17" i="26"/>
  <c r="AJ16" i="26"/>
  <c r="AK16" i="26"/>
  <c r="AP16" i="26"/>
  <c r="AJ15" i="26"/>
  <c r="AK15" i="26"/>
  <c r="AP15" i="26"/>
  <c r="AP14" i="26"/>
  <c r="AK14" i="26"/>
  <c r="AJ14" i="26"/>
  <c r="AP13" i="26"/>
  <c r="AK13" i="26"/>
  <c r="AJ13" i="26"/>
  <c r="AP12" i="26"/>
  <c r="AJ12" i="26"/>
  <c r="AK12" i="26"/>
  <c r="AP11" i="26"/>
  <c r="AK11" i="26"/>
  <c r="AJ11" i="26"/>
  <c r="AP10" i="26"/>
  <c r="AK10" i="26"/>
  <c r="AJ10" i="26"/>
  <c r="AP9" i="26"/>
  <c r="AK9" i="26"/>
  <c r="AJ9" i="26"/>
  <c r="AJ8" i="26"/>
  <c r="AK8" i="26"/>
  <c r="AP8" i="26"/>
  <c r="C69" i="25"/>
  <c r="C66" i="25"/>
  <c r="C24" i="41"/>
  <c r="G24" i="41" s="1"/>
  <c r="D24" i="41"/>
  <c r="C49" i="25"/>
  <c r="G47" i="25"/>
  <c r="AP42" i="25"/>
  <c r="AK42" i="25"/>
  <c r="AJ42" i="25"/>
  <c r="AP41" i="25"/>
  <c r="AK41" i="25"/>
  <c r="AJ41" i="25"/>
  <c r="AP40" i="25"/>
  <c r="AK40" i="25"/>
  <c r="AJ40" i="25"/>
  <c r="AP39" i="25"/>
  <c r="AK39" i="25"/>
  <c r="AJ39" i="25"/>
  <c r="AP38" i="25"/>
  <c r="AJ38" i="25"/>
  <c r="AK38" i="25"/>
  <c r="AJ37" i="25"/>
  <c r="AK37" i="25"/>
  <c r="AP37" i="25"/>
  <c r="AJ36" i="25"/>
  <c r="AP36" i="25"/>
  <c r="AK36" i="25"/>
  <c r="AP35" i="25"/>
  <c r="AK35" i="25"/>
  <c r="AJ35" i="25"/>
  <c r="AK34" i="25"/>
  <c r="AJ34" i="25"/>
  <c r="AP34" i="25"/>
  <c r="AK33" i="25"/>
  <c r="AJ33" i="25"/>
  <c r="AP33" i="25"/>
  <c r="AK32" i="25"/>
  <c r="AP32" i="25"/>
  <c r="AJ32" i="25"/>
  <c r="AP31" i="25"/>
  <c r="AK31" i="25"/>
  <c r="AJ31" i="25"/>
  <c r="AP30" i="25"/>
  <c r="AK30" i="25"/>
  <c r="AJ30" i="25"/>
  <c r="AP29" i="25"/>
  <c r="AK29" i="25"/>
  <c r="AJ29" i="25"/>
  <c r="AP28" i="25"/>
  <c r="AK28" i="25"/>
  <c r="AJ28" i="25"/>
  <c r="AK27" i="25"/>
  <c r="AJ27" i="25"/>
  <c r="AP27" i="25"/>
  <c r="AP26" i="25"/>
  <c r="AK26" i="25"/>
  <c r="AJ26" i="25"/>
  <c r="AP25" i="25"/>
  <c r="AK25" i="25"/>
  <c r="AJ25" i="25"/>
  <c r="AP24" i="25"/>
  <c r="AJ24" i="25"/>
  <c r="AK24" i="25"/>
  <c r="AK23" i="25"/>
  <c r="AJ23" i="25"/>
  <c r="AP23" i="25"/>
  <c r="AP22" i="25"/>
  <c r="AJ22" i="25"/>
  <c r="AK22" i="25"/>
  <c r="AP21" i="25"/>
  <c r="AK21" i="25"/>
  <c r="AJ21" i="25"/>
  <c r="AK20" i="25"/>
  <c r="AP20" i="25"/>
  <c r="AJ20" i="25"/>
  <c r="AP19" i="25"/>
  <c r="AK19" i="25"/>
  <c r="AJ19" i="25"/>
  <c r="AP18" i="25"/>
  <c r="AJ18" i="25"/>
  <c r="AK18" i="25"/>
  <c r="AP17" i="25"/>
  <c r="AK17" i="25"/>
  <c r="AJ17" i="25"/>
  <c r="AP16" i="25"/>
  <c r="AK16" i="25"/>
  <c r="AJ16" i="25"/>
  <c r="AP15" i="25"/>
  <c r="AJ15" i="25"/>
  <c r="AK15" i="25"/>
  <c r="AP14" i="25"/>
  <c r="AK14" i="25"/>
  <c r="AJ14" i="25"/>
  <c r="AP13" i="25"/>
  <c r="AK13" i="25"/>
  <c r="AJ13" i="25"/>
  <c r="AP12" i="25"/>
  <c r="AJ12" i="25"/>
  <c r="AK12" i="25"/>
  <c r="AJ11" i="25"/>
  <c r="AK11" i="25"/>
  <c r="AP11" i="25"/>
  <c r="AJ10" i="25"/>
  <c r="AK10" i="25"/>
  <c r="AP10" i="25"/>
  <c r="AJ9" i="25"/>
  <c r="AK9" i="25"/>
  <c r="AP9" i="25"/>
  <c r="AJ8" i="25"/>
  <c r="AP8" i="25"/>
  <c r="AK8" i="25"/>
  <c r="C66" i="24"/>
  <c r="C69" i="24"/>
  <c r="D23" i="41"/>
  <c r="C23" i="41"/>
  <c r="G23" i="41" s="1"/>
  <c r="C49" i="24"/>
  <c r="G47" i="24"/>
  <c r="AK42" i="24"/>
  <c r="AJ42" i="24"/>
  <c r="AP42" i="24"/>
  <c r="AJ41" i="24"/>
  <c r="AP41" i="24"/>
  <c r="AK41" i="24"/>
  <c r="AP40" i="24"/>
  <c r="AK40" i="24"/>
  <c r="AJ40" i="24"/>
  <c r="AJ39" i="24"/>
  <c r="AP39" i="24"/>
  <c r="AK39" i="24"/>
  <c r="AJ38" i="24"/>
  <c r="AK38" i="24"/>
  <c r="AP38" i="24"/>
  <c r="AK37" i="24"/>
  <c r="AJ37" i="24"/>
  <c r="AP37" i="24"/>
  <c r="AK36" i="24"/>
  <c r="AP36" i="24"/>
  <c r="AJ36" i="24"/>
  <c r="AP35" i="24"/>
  <c r="AK35" i="24"/>
  <c r="AJ35" i="24"/>
  <c r="AJ34" i="24"/>
  <c r="AK34" i="24"/>
  <c r="AP34" i="24"/>
  <c r="AK33" i="24"/>
  <c r="AP33" i="24"/>
  <c r="AJ33" i="24"/>
  <c r="AK32" i="24"/>
  <c r="AJ32" i="24"/>
  <c r="AP32" i="24"/>
  <c r="AP31" i="24"/>
  <c r="AK31" i="24"/>
  <c r="AJ31" i="24"/>
  <c r="AK30" i="24"/>
  <c r="AP30" i="24"/>
  <c r="AJ30" i="24"/>
  <c r="AK29" i="24"/>
  <c r="AJ29" i="24"/>
  <c r="AP29" i="24"/>
  <c r="AK28" i="24"/>
  <c r="AP28" i="24"/>
  <c r="AJ28" i="24"/>
  <c r="AP27" i="24"/>
  <c r="AJ27" i="24"/>
  <c r="AK27" i="24"/>
  <c r="AJ26" i="24"/>
  <c r="AK26" i="24"/>
  <c r="AP26" i="24"/>
  <c r="AK25" i="24"/>
  <c r="AP25" i="24"/>
  <c r="AJ25" i="24"/>
  <c r="AK24" i="24"/>
  <c r="AP24" i="24"/>
  <c r="AJ24" i="24"/>
  <c r="AJ23" i="24"/>
  <c r="AK23" i="24"/>
  <c r="AP23" i="24"/>
  <c r="AP22" i="24"/>
  <c r="AK22" i="24"/>
  <c r="AJ22" i="24"/>
  <c r="AK21" i="24"/>
  <c r="AP21" i="24"/>
  <c r="AJ21" i="24"/>
  <c r="AK20" i="24"/>
  <c r="AJ20" i="24"/>
  <c r="AP20" i="24"/>
  <c r="AJ19" i="24"/>
  <c r="AK19" i="24"/>
  <c r="AP19" i="24"/>
  <c r="AJ18" i="24"/>
  <c r="AP18" i="24"/>
  <c r="AK18" i="24"/>
  <c r="AK17" i="24"/>
  <c r="AP17" i="24"/>
  <c r="AJ17" i="24"/>
  <c r="AP16" i="24"/>
  <c r="AK16" i="24"/>
  <c r="AJ16" i="24"/>
  <c r="AP15" i="24"/>
  <c r="AK15" i="24"/>
  <c r="AJ15" i="24"/>
  <c r="AP14" i="24"/>
  <c r="AK14" i="24"/>
  <c r="AJ14" i="24"/>
  <c r="AJ13" i="24"/>
  <c r="AK13" i="24"/>
  <c r="AP13" i="24"/>
  <c r="AP12" i="24"/>
  <c r="AJ12" i="24"/>
  <c r="AK12" i="24"/>
  <c r="AJ11" i="24"/>
  <c r="AP11" i="24"/>
  <c r="AK11" i="24"/>
  <c r="AP10" i="24"/>
  <c r="AJ10" i="24"/>
  <c r="AK10" i="24"/>
  <c r="AK9" i="24"/>
  <c r="AP9" i="24"/>
  <c r="AJ9" i="24"/>
  <c r="AP8" i="24"/>
  <c r="AK8" i="24"/>
  <c r="AJ8" i="24"/>
  <c r="C66" i="23"/>
  <c r="C69" i="23"/>
  <c r="D22" i="41"/>
  <c r="C22" i="41"/>
  <c r="G22" i="41" s="1"/>
  <c r="C49" i="23"/>
  <c r="G47" i="23"/>
  <c r="AP42" i="23"/>
  <c r="AJ42" i="23"/>
  <c r="AK41" i="23"/>
  <c r="AP41" i="23"/>
  <c r="AJ41" i="23"/>
  <c r="AK40" i="23"/>
  <c r="AJ40" i="23"/>
  <c r="AP40" i="23"/>
  <c r="AK39" i="23"/>
  <c r="AP39" i="23"/>
  <c r="AJ39" i="23"/>
  <c r="AK38" i="23"/>
  <c r="AJ38" i="23"/>
  <c r="AP38" i="23"/>
  <c r="AP37" i="23"/>
  <c r="AJ37" i="23"/>
  <c r="AK37" i="23"/>
  <c r="AK36" i="23"/>
  <c r="AP36" i="23"/>
  <c r="AJ36" i="23"/>
  <c r="AP35" i="23"/>
  <c r="AK35" i="23"/>
  <c r="AJ35" i="23"/>
  <c r="AJ34" i="23"/>
  <c r="AP34" i="23"/>
  <c r="AK34" i="23"/>
  <c r="AJ33" i="23"/>
  <c r="AK33" i="23"/>
  <c r="AP33" i="23"/>
  <c r="AK32" i="23"/>
  <c r="AJ32" i="23"/>
  <c r="AP32" i="23"/>
  <c r="AP31" i="23"/>
  <c r="AJ31" i="23"/>
  <c r="AK31" i="23"/>
  <c r="AP30" i="23"/>
  <c r="AK30" i="23"/>
  <c r="AJ30" i="23"/>
  <c r="AJ29" i="23"/>
  <c r="AK29" i="23"/>
  <c r="AP29" i="23"/>
  <c r="AK28" i="23"/>
  <c r="AP28" i="23"/>
  <c r="AJ28" i="23"/>
  <c r="AP27" i="23"/>
  <c r="AK27" i="23"/>
  <c r="AJ27" i="23"/>
  <c r="AJ26" i="23"/>
  <c r="AK26" i="23"/>
  <c r="AP26" i="23"/>
  <c r="AK25" i="23"/>
  <c r="AJ25" i="23"/>
  <c r="AP25" i="23"/>
  <c r="AP24" i="23"/>
  <c r="AJ24" i="23"/>
  <c r="AK24" i="23"/>
  <c r="AJ23" i="23"/>
  <c r="AP23" i="23"/>
  <c r="AK23" i="23"/>
  <c r="AK22" i="23"/>
  <c r="AP22" i="23"/>
  <c r="AJ22" i="23"/>
  <c r="AK21" i="23"/>
  <c r="AJ21" i="23"/>
  <c r="AP21" i="23"/>
  <c r="AP20" i="23"/>
  <c r="AJ20" i="23"/>
  <c r="AK20" i="23"/>
  <c r="AP19" i="23"/>
  <c r="AK19" i="23"/>
  <c r="AJ19" i="23"/>
  <c r="AK18" i="23"/>
  <c r="AP18" i="23"/>
  <c r="AJ18" i="23"/>
  <c r="AP17" i="23"/>
  <c r="AJ17" i="23"/>
  <c r="AK17" i="23"/>
  <c r="AK16" i="23"/>
  <c r="AJ16" i="23"/>
  <c r="AP16" i="23"/>
  <c r="AP15" i="23"/>
  <c r="AK15" i="23"/>
  <c r="AJ15" i="23"/>
  <c r="AK14" i="23"/>
  <c r="AP14" i="23"/>
  <c r="AJ14" i="23"/>
  <c r="AK13" i="23"/>
  <c r="AP13" i="23"/>
  <c r="AJ13" i="23"/>
  <c r="AP12" i="23"/>
  <c r="AJ12" i="23"/>
  <c r="AK12" i="23"/>
  <c r="AJ11" i="23"/>
  <c r="AP11" i="23"/>
  <c r="AK11" i="23"/>
  <c r="AK10" i="23"/>
  <c r="AP10" i="23"/>
  <c r="AJ10" i="23"/>
  <c r="AK9" i="23"/>
  <c r="AP9" i="23"/>
  <c r="AJ9" i="23"/>
  <c r="AK8" i="23"/>
  <c r="AP8" i="23"/>
  <c r="AJ8" i="23"/>
  <c r="C69" i="22"/>
  <c r="C66" i="22"/>
  <c r="D21" i="41"/>
  <c r="C21" i="41"/>
  <c r="G21" i="41" s="1"/>
  <c r="C49" i="22"/>
  <c r="G47" i="22"/>
  <c r="AJ42" i="22"/>
  <c r="AK42" i="22"/>
  <c r="AP42" i="22"/>
  <c r="AP41" i="22"/>
  <c r="AJ41" i="22"/>
  <c r="AK41" i="22"/>
  <c r="AK40" i="22"/>
  <c r="AJ40" i="22"/>
  <c r="AP40" i="22"/>
  <c r="AJ39" i="22"/>
  <c r="AP39" i="22"/>
  <c r="AK39" i="22"/>
  <c r="AP38" i="22"/>
  <c r="AJ38" i="22"/>
  <c r="AK38" i="22"/>
  <c r="AP37" i="22"/>
  <c r="AK37" i="22"/>
  <c r="AJ37" i="22"/>
  <c r="AP36" i="22"/>
  <c r="AK36" i="22"/>
  <c r="AJ36" i="22"/>
  <c r="AK35" i="22"/>
  <c r="AJ35" i="22"/>
  <c r="AP35" i="22"/>
  <c r="AP34" i="22"/>
  <c r="AJ34" i="22"/>
  <c r="AK34" i="22"/>
  <c r="AJ33" i="22"/>
  <c r="AP33" i="22"/>
  <c r="AK33" i="22"/>
  <c r="AK32" i="22"/>
  <c r="AJ32" i="22"/>
  <c r="AP32" i="22"/>
  <c r="AJ31" i="22"/>
  <c r="AP31" i="22"/>
  <c r="AK31" i="22"/>
  <c r="AP30" i="22"/>
  <c r="AJ30" i="22"/>
  <c r="AK30" i="22"/>
  <c r="AK29" i="22"/>
  <c r="AJ29" i="22"/>
  <c r="AP29" i="22"/>
  <c r="AP28" i="22"/>
  <c r="AK28" i="22"/>
  <c r="AJ28" i="22"/>
  <c r="AJ27" i="22"/>
  <c r="AP27" i="22"/>
  <c r="AK27" i="22"/>
  <c r="AP26" i="22"/>
  <c r="AK26" i="22"/>
  <c r="AJ26" i="22"/>
  <c r="AJ25" i="22"/>
  <c r="AK25" i="22"/>
  <c r="AP25" i="22"/>
  <c r="AK24" i="22"/>
  <c r="AJ24" i="22"/>
  <c r="AP24" i="22"/>
  <c r="AK23" i="22"/>
  <c r="AJ23" i="22"/>
  <c r="AP23" i="22"/>
  <c r="AJ22" i="22"/>
  <c r="AK22" i="22"/>
  <c r="AP22" i="22"/>
  <c r="AJ21" i="22"/>
  <c r="AP21" i="22"/>
  <c r="AK21" i="22"/>
  <c r="AJ20" i="22"/>
  <c r="AP20" i="22"/>
  <c r="AK20" i="22"/>
  <c r="AP19" i="22"/>
  <c r="AJ19" i="22"/>
  <c r="AK19" i="22"/>
  <c r="AK18" i="22"/>
  <c r="AJ18" i="22"/>
  <c r="AP18" i="22"/>
  <c r="AK17" i="22"/>
  <c r="AP17" i="22"/>
  <c r="AJ17" i="22"/>
  <c r="AP16" i="22"/>
  <c r="AJ16" i="22"/>
  <c r="AK16" i="22"/>
  <c r="AJ15" i="22"/>
  <c r="AP15" i="22"/>
  <c r="AK15" i="22"/>
  <c r="AK14" i="22"/>
  <c r="AJ14" i="22"/>
  <c r="AP14" i="22"/>
  <c r="AK13" i="22"/>
  <c r="AJ13" i="22"/>
  <c r="AP13" i="22"/>
  <c r="AJ12" i="22"/>
  <c r="AK12" i="22"/>
  <c r="AP12" i="22"/>
  <c r="AJ11" i="22"/>
  <c r="AP11" i="22"/>
  <c r="AK11" i="22"/>
  <c r="AP10" i="22"/>
  <c r="AK10" i="22"/>
  <c r="AJ10" i="22"/>
  <c r="AK9" i="22"/>
  <c r="AP9" i="22"/>
  <c r="AJ9" i="22"/>
  <c r="AK8" i="22"/>
  <c r="AP8" i="22"/>
  <c r="AJ8" i="22"/>
  <c r="C69" i="21"/>
  <c r="C66" i="21"/>
  <c r="D20" i="41"/>
  <c r="C20" i="41"/>
  <c r="G20" i="41" s="1"/>
  <c r="G47" i="21"/>
  <c r="C49" i="21"/>
  <c r="AK42" i="21"/>
  <c r="AJ42" i="21"/>
  <c r="AP42" i="21"/>
  <c r="AJ41" i="21"/>
  <c r="AK41" i="21"/>
  <c r="AP41" i="21"/>
  <c r="AP40" i="21"/>
  <c r="AK40" i="21"/>
  <c r="AJ40" i="21"/>
  <c r="AP39" i="21"/>
  <c r="AJ39" i="21"/>
  <c r="AK39" i="21"/>
  <c r="AK38" i="21"/>
  <c r="AJ38" i="21"/>
  <c r="AP38" i="21"/>
  <c r="AK37" i="21"/>
  <c r="AP37" i="21"/>
  <c r="AJ37" i="21"/>
  <c r="AJ36" i="21"/>
  <c r="AK36" i="21"/>
  <c r="AP36" i="21"/>
  <c r="AK35" i="21"/>
  <c r="AP35" i="21"/>
  <c r="AJ35" i="21"/>
  <c r="AK34" i="21"/>
  <c r="AJ34" i="21"/>
  <c r="AP34" i="21"/>
  <c r="AK33" i="21"/>
  <c r="AP33" i="21"/>
  <c r="AJ33" i="21"/>
  <c r="AJ32" i="21"/>
  <c r="AK32" i="21"/>
  <c r="AP32" i="21"/>
  <c r="AK31" i="21"/>
  <c r="AJ31" i="21"/>
  <c r="AP31" i="21"/>
  <c r="AK30" i="21"/>
  <c r="AP30" i="21"/>
  <c r="AJ30" i="21"/>
  <c r="AJ29" i="21"/>
  <c r="AP29" i="21"/>
  <c r="AK29" i="21"/>
  <c r="AK28" i="21"/>
  <c r="AJ28" i="21"/>
  <c r="AP28" i="21"/>
  <c r="AK27" i="21"/>
  <c r="AP27" i="21"/>
  <c r="AJ27" i="21"/>
  <c r="AP26" i="21"/>
  <c r="AK26" i="21"/>
  <c r="AJ26" i="21"/>
  <c r="AK25" i="21"/>
  <c r="AP25" i="21"/>
  <c r="AJ25" i="21"/>
  <c r="AJ24" i="21"/>
  <c r="AK24" i="21"/>
  <c r="AP24" i="21"/>
  <c r="AP23" i="21"/>
  <c r="AJ23" i="21"/>
  <c r="AK23" i="21"/>
  <c r="AJ22" i="21"/>
  <c r="AP22" i="21"/>
  <c r="AK22" i="21"/>
  <c r="AP21" i="21"/>
  <c r="AJ21" i="21"/>
  <c r="AK21" i="21"/>
  <c r="AJ20" i="21"/>
  <c r="AP20" i="21"/>
  <c r="AK20" i="21"/>
  <c r="AP19" i="21"/>
  <c r="AK19" i="21"/>
  <c r="AJ19" i="21"/>
  <c r="AJ18" i="21"/>
  <c r="AK18" i="21"/>
  <c r="AP18" i="21"/>
  <c r="AP17" i="21"/>
  <c r="AJ17" i="21"/>
  <c r="AK17" i="21"/>
  <c r="AJ16" i="21"/>
  <c r="AK16" i="21"/>
  <c r="AP16" i="21"/>
  <c r="AK15" i="21"/>
  <c r="AJ15" i="21"/>
  <c r="AP15" i="21"/>
  <c r="AJ14" i="21"/>
  <c r="AK14" i="21"/>
  <c r="AP14" i="21"/>
  <c r="AK13" i="21"/>
  <c r="AP13" i="21"/>
  <c r="AJ13" i="21"/>
  <c r="AK12" i="21"/>
  <c r="AP12" i="21"/>
  <c r="AJ12" i="21"/>
  <c r="AP11" i="21"/>
  <c r="AJ11" i="21"/>
  <c r="AK11" i="21"/>
  <c r="AP10" i="21"/>
  <c r="AJ10" i="21"/>
  <c r="AK10" i="21"/>
  <c r="AK9" i="21"/>
  <c r="AP9" i="21"/>
  <c r="AJ8" i="21"/>
  <c r="AP8" i="21"/>
  <c r="AK8" i="21"/>
  <c r="C66" i="20"/>
  <c r="C69" i="20"/>
  <c r="C19" i="41"/>
  <c r="G19" i="41" s="1"/>
  <c r="D19" i="41"/>
  <c r="G47" i="20"/>
  <c r="C49" i="20"/>
  <c r="AP42" i="20"/>
  <c r="AK42" i="20"/>
  <c r="AJ42" i="20"/>
  <c r="AJ41" i="20"/>
  <c r="AP41" i="20"/>
  <c r="AK41" i="20"/>
  <c r="AP40" i="20"/>
  <c r="AK40" i="20"/>
  <c r="AJ40" i="20"/>
  <c r="AK39" i="20"/>
  <c r="AP39" i="20"/>
  <c r="AJ39" i="20"/>
  <c r="AP38" i="20"/>
  <c r="AK38" i="20"/>
  <c r="AJ38" i="20"/>
  <c r="AP37" i="20"/>
  <c r="AK37" i="20"/>
  <c r="AJ37" i="20"/>
  <c r="AP36" i="20"/>
  <c r="AJ36" i="20"/>
  <c r="AK36" i="20"/>
  <c r="AP35" i="20"/>
  <c r="AJ35" i="20"/>
  <c r="AK35" i="20"/>
  <c r="AK34" i="20"/>
  <c r="AP34" i="20"/>
  <c r="AJ34" i="20"/>
  <c r="AK33" i="20"/>
  <c r="AP33" i="20"/>
  <c r="AJ33" i="20"/>
  <c r="AK32" i="20"/>
  <c r="AJ32" i="20"/>
  <c r="AP32" i="20"/>
  <c r="AK31" i="20"/>
  <c r="AP31" i="20"/>
  <c r="AJ31" i="20"/>
  <c r="AP30" i="20"/>
  <c r="AK30" i="20"/>
  <c r="AJ30" i="20"/>
  <c r="AP29" i="20"/>
  <c r="AJ29" i="20"/>
  <c r="AK29" i="20"/>
  <c r="AP28" i="20"/>
  <c r="AK28" i="20"/>
  <c r="AJ28" i="20"/>
  <c r="AP27" i="20"/>
  <c r="AK27" i="20"/>
  <c r="AJ27" i="20"/>
  <c r="AJ26" i="20"/>
  <c r="AP26" i="20"/>
  <c r="AK26" i="20"/>
  <c r="AP25" i="20"/>
  <c r="AK25" i="20"/>
  <c r="AJ25" i="20"/>
  <c r="AJ24" i="20"/>
  <c r="AP24" i="20"/>
  <c r="AK24" i="20"/>
  <c r="AP23" i="20"/>
  <c r="AJ23" i="20"/>
  <c r="AK23" i="20"/>
  <c r="AK22" i="20"/>
  <c r="AJ22" i="20"/>
  <c r="AP22" i="20"/>
  <c r="AK21" i="20"/>
  <c r="AP21" i="20"/>
  <c r="AJ21" i="20"/>
  <c r="AK20" i="20"/>
  <c r="AJ20" i="20"/>
  <c r="AP20" i="20"/>
  <c r="AJ19" i="20"/>
  <c r="AP19" i="20"/>
  <c r="AK19" i="20"/>
  <c r="AP18" i="20"/>
  <c r="AK18" i="20"/>
  <c r="AJ18" i="20"/>
  <c r="AP17" i="20"/>
  <c r="AK17" i="20"/>
  <c r="AJ17" i="20"/>
  <c r="AP16" i="20"/>
  <c r="AJ16" i="20"/>
  <c r="AK16" i="20"/>
  <c r="AP15" i="20"/>
  <c r="AK15" i="20"/>
  <c r="AJ15" i="20"/>
  <c r="AJ14" i="20"/>
  <c r="AP14" i="20"/>
  <c r="AK14" i="20"/>
  <c r="AJ13" i="20"/>
  <c r="AK13" i="20"/>
  <c r="AP13" i="20"/>
  <c r="AK12" i="20"/>
  <c r="AP12" i="20"/>
  <c r="AJ12" i="20"/>
  <c r="AP11" i="20"/>
  <c r="AK11" i="20"/>
  <c r="AJ11" i="20"/>
  <c r="AK10" i="20"/>
  <c r="AP10" i="20"/>
  <c r="AJ10" i="20"/>
  <c r="AJ9" i="20"/>
  <c r="AP9" i="20"/>
  <c r="AK9" i="20"/>
  <c r="AP8" i="20"/>
  <c r="AJ8" i="20"/>
  <c r="AK8" i="20"/>
  <c r="C69" i="19"/>
  <c r="C66" i="19"/>
  <c r="C18" i="41"/>
  <c r="G18" i="41" s="1"/>
  <c r="D18" i="41"/>
  <c r="C49" i="19"/>
  <c r="G47" i="19"/>
  <c r="AP42" i="19"/>
  <c r="AJ42" i="19"/>
  <c r="AK42" i="19"/>
  <c r="AP41" i="19"/>
  <c r="AJ41" i="19"/>
  <c r="AK41" i="19"/>
  <c r="AP40" i="19"/>
  <c r="AJ40" i="19"/>
  <c r="AK40" i="19"/>
  <c r="AJ39" i="19"/>
  <c r="AK39" i="19"/>
  <c r="AP39" i="19"/>
  <c r="AP38" i="19"/>
  <c r="AK38" i="19"/>
  <c r="AJ38" i="19"/>
  <c r="AK37" i="19"/>
  <c r="AJ37" i="19"/>
  <c r="AP37" i="19"/>
  <c r="AJ36" i="19"/>
  <c r="AK36" i="19"/>
  <c r="AP36" i="19"/>
  <c r="AK35" i="19"/>
  <c r="AJ35" i="19"/>
  <c r="AP35" i="19"/>
  <c r="AK34" i="19"/>
  <c r="AP34" i="19"/>
  <c r="AJ34" i="19"/>
  <c r="AP33" i="19"/>
  <c r="AK33" i="19"/>
  <c r="AJ33" i="19"/>
  <c r="AP32" i="19"/>
  <c r="AJ32" i="19"/>
  <c r="AK31" i="19"/>
  <c r="AJ31" i="19"/>
  <c r="AP31" i="19"/>
  <c r="AK29" i="19"/>
  <c r="AP29" i="19"/>
  <c r="AJ29" i="19"/>
  <c r="AP28" i="19"/>
  <c r="AK28" i="19"/>
  <c r="AJ28" i="19"/>
  <c r="AP27" i="19"/>
  <c r="AK27" i="19"/>
  <c r="AJ27" i="19"/>
  <c r="AP26" i="19"/>
  <c r="AK26" i="19"/>
  <c r="AJ26" i="19"/>
  <c r="AJ25" i="19"/>
  <c r="AP25" i="19"/>
  <c r="AK25" i="19"/>
  <c r="AP24" i="19"/>
  <c r="AK24" i="19"/>
  <c r="AJ24" i="19"/>
  <c r="AP23" i="19"/>
  <c r="AK23" i="19"/>
  <c r="AJ23" i="19"/>
  <c r="AP22" i="19"/>
  <c r="AK22" i="19"/>
  <c r="AJ22" i="19"/>
  <c r="AP21" i="19"/>
  <c r="AK21" i="19"/>
  <c r="AJ21" i="19"/>
  <c r="AP20" i="19"/>
  <c r="AK20" i="19"/>
  <c r="AJ20" i="19"/>
  <c r="AP19" i="19"/>
  <c r="AK19" i="19"/>
  <c r="AJ19" i="19"/>
  <c r="AJ18" i="19"/>
  <c r="AK18" i="19"/>
  <c r="AP18" i="19"/>
  <c r="AJ17" i="19"/>
  <c r="AP17" i="19"/>
  <c r="AK17" i="19"/>
  <c r="AK16" i="19"/>
  <c r="AP16" i="19"/>
  <c r="AJ16" i="19"/>
  <c r="AK15" i="19"/>
  <c r="AP15" i="19"/>
  <c r="AJ15" i="19"/>
  <c r="AP14" i="19"/>
  <c r="AK14" i="19"/>
  <c r="AJ14" i="19"/>
  <c r="AK13" i="19"/>
  <c r="AP13" i="19"/>
  <c r="AJ13" i="19"/>
  <c r="AP12" i="19"/>
  <c r="AJ12" i="19"/>
  <c r="AK12" i="19"/>
  <c r="AP11" i="19"/>
  <c r="AJ11" i="19"/>
  <c r="AK11" i="19"/>
  <c r="AK10" i="19"/>
  <c r="AJ10" i="19"/>
  <c r="AP10" i="19"/>
  <c r="AJ9" i="19"/>
  <c r="AK9" i="19"/>
  <c r="AP9" i="19"/>
  <c r="AK8" i="19"/>
  <c r="AP8" i="19"/>
  <c r="AJ8" i="19"/>
  <c r="C69" i="18"/>
  <c r="C66" i="18"/>
  <c r="D17" i="41"/>
  <c r="C17" i="41"/>
  <c r="G17" i="41" s="1"/>
  <c r="C49" i="18"/>
  <c r="G47" i="18"/>
  <c r="AP42" i="18"/>
  <c r="AK42" i="18"/>
  <c r="AJ42" i="18"/>
  <c r="AK41" i="18"/>
  <c r="AJ41" i="18"/>
  <c r="AP41" i="18"/>
  <c r="AP40" i="18"/>
  <c r="AK40" i="18"/>
  <c r="AJ40" i="18"/>
  <c r="AK39" i="18"/>
  <c r="AJ39" i="18"/>
  <c r="AP39" i="18"/>
  <c r="AP38" i="18"/>
  <c r="AK38" i="18"/>
  <c r="AJ38" i="18"/>
  <c r="AJ37" i="18"/>
  <c r="AK37" i="18"/>
  <c r="AP37" i="18"/>
  <c r="AK36" i="18"/>
  <c r="AJ36" i="18"/>
  <c r="AP36" i="18"/>
  <c r="AK35" i="18"/>
  <c r="AJ35" i="18"/>
  <c r="AP35" i="18"/>
  <c r="AJ34" i="18"/>
  <c r="AP34" i="18"/>
  <c r="AK34" i="18"/>
  <c r="AJ33" i="18"/>
  <c r="AK33" i="18"/>
  <c r="AP33" i="18"/>
  <c r="AJ32" i="18"/>
  <c r="AK32" i="18"/>
  <c r="AP32" i="18"/>
  <c r="AJ31" i="18"/>
  <c r="AK31" i="18"/>
  <c r="AP31" i="18"/>
  <c r="AJ30" i="18"/>
  <c r="AK30" i="18"/>
  <c r="AP30" i="18"/>
  <c r="AP29" i="18"/>
  <c r="AK29" i="18"/>
  <c r="AJ29" i="18"/>
  <c r="AJ28" i="18"/>
  <c r="AK28" i="18"/>
  <c r="AP28" i="18"/>
  <c r="AK27" i="18"/>
  <c r="AJ27" i="18"/>
  <c r="AP27" i="18"/>
  <c r="AK26" i="18"/>
  <c r="AP26" i="18"/>
  <c r="AJ26" i="18"/>
  <c r="AJ25" i="18"/>
  <c r="AK25" i="18"/>
  <c r="AP25" i="18"/>
  <c r="AK24" i="18"/>
  <c r="AJ24" i="18"/>
  <c r="AP24" i="18"/>
  <c r="AP23" i="18"/>
  <c r="AK23" i="18"/>
  <c r="AJ23" i="18"/>
  <c r="AJ22" i="18"/>
  <c r="AP22" i="18"/>
  <c r="AK22" i="18"/>
  <c r="AP21" i="18"/>
  <c r="AJ21" i="18"/>
  <c r="AK21" i="18"/>
  <c r="AK20" i="18"/>
  <c r="AJ20" i="18"/>
  <c r="AP20" i="18"/>
  <c r="AJ19" i="18"/>
  <c r="AP19" i="18"/>
  <c r="AK19" i="18"/>
  <c r="AK18" i="18"/>
  <c r="AJ18" i="18"/>
  <c r="AP18" i="18"/>
  <c r="AP17" i="18"/>
  <c r="AJ17" i="18"/>
  <c r="AK17" i="18"/>
  <c r="AP16" i="18"/>
  <c r="AJ16" i="18"/>
  <c r="AK16" i="18"/>
  <c r="AK15" i="18"/>
  <c r="AP15" i="18"/>
  <c r="AJ15" i="18"/>
  <c r="AJ14" i="18"/>
  <c r="AK14" i="18"/>
  <c r="AP14" i="18"/>
  <c r="AJ13" i="18"/>
  <c r="AK13" i="18"/>
  <c r="AP13" i="18"/>
  <c r="AK12" i="18"/>
  <c r="AP12" i="18"/>
  <c r="AJ12" i="18"/>
  <c r="AP11" i="18"/>
  <c r="AK11" i="18"/>
  <c r="AJ11" i="18"/>
  <c r="AP10" i="18"/>
  <c r="AK10" i="18"/>
  <c r="AJ10" i="18"/>
  <c r="AP9" i="18"/>
  <c r="AJ9" i="18"/>
  <c r="AK9" i="18"/>
  <c r="AJ8" i="18"/>
  <c r="AP8" i="18"/>
  <c r="AK8" i="18"/>
  <c r="C66" i="17"/>
  <c r="C69" i="17"/>
  <c r="C16" i="41"/>
  <c r="G16" i="41" s="1"/>
  <c r="D16" i="41"/>
  <c r="C49" i="17"/>
  <c r="G47" i="17"/>
  <c r="AP42" i="17"/>
  <c r="AK42" i="17"/>
  <c r="AJ42" i="17"/>
  <c r="AP41" i="17"/>
  <c r="AK41" i="17"/>
  <c r="AJ41" i="17"/>
  <c r="AP40" i="17"/>
  <c r="AK40" i="17"/>
  <c r="AJ40" i="17"/>
  <c r="AP39" i="17"/>
  <c r="AK39" i="17"/>
  <c r="AJ39" i="17"/>
  <c r="AP38" i="17"/>
  <c r="AK38" i="17"/>
  <c r="AJ38" i="17"/>
  <c r="AK37" i="17"/>
  <c r="AJ37" i="17"/>
  <c r="AP37" i="17"/>
  <c r="AP36" i="17"/>
  <c r="AK36" i="17"/>
  <c r="AJ36" i="17"/>
  <c r="AP35" i="17"/>
  <c r="AK35" i="17"/>
  <c r="AJ35" i="17"/>
  <c r="AK34" i="17"/>
  <c r="AJ34" i="17"/>
  <c r="AP34" i="17"/>
  <c r="AP33" i="17"/>
  <c r="AK33" i="17"/>
  <c r="AJ33" i="17"/>
  <c r="AP32" i="17"/>
  <c r="AK32" i="17"/>
  <c r="AJ32" i="17"/>
  <c r="AP31" i="17"/>
  <c r="AK31" i="17"/>
  <c r="AJ31" i="17"/>
  <c r="AK30" i="17"/>
  <c r="AJ30" i="17"/>
  <c r="AP30" i="17"/>
  <c r="AK29" i="17"/>
  <c r="AJ29" i="17"/>
  <c r="AP29" i="17"/>
  <c r="AP28" i="17"/>
  <c r="AK28" i="17"/>
  <c r="AJ28" i="17"/>
  <c r="AJ27" i="17"/>
  <c r="AP27" i="17"/>
  <c r="AK27" i="17"/>
  <c r="AP26" i="17"/>
  <c r="AK26" i="17"/>
  <c r="AJ26" i="17"/>
  <c r="AP25" i="17"/>
  <c r="AK25" i="17"/>
  <c r="AJ25" i="17"/>
  <c r="AP24" i="17"/>
  <c r="AK24" i="17"/>
  <c r="AJ24" i="17"/>
  <c r="AK23" i="17"/>
  <c r="AJ23" i="17"/>
  <c r="AP23" i="17"/>
  <c r="AP22" i="17"/>
  <c r="AJ22" i="17"/>
  <c r="AK22" i="17"/>
  <c r="AP21" i="17"/>
  <c r="AK21" i="17"/>
  <c r="AJ21" i="17"/>
  <c r="AP20" i="17"/>
  <c r="AK20" i="17"/>
  <c r="AJ20" i="17"/>
  <c r="AK19" i="17"/>
  <c r="AJ19" i="17"/>
  <c r="AP19" i="17"/>
  <c r="AP18" i="17"/>
  <c r="AK18" i="17"/>
  <c r="AJ18" i="17"/>
  <c r="AP17" i="17"/>
  <c r="AJ17" i="17"/>
  <c r="AK17" i="17"/>
  <c r="AJ16" i="17"/>
  <c r="AP16" i="17"/>
  <c r="AK16" i="17"/>
  <c r="AK15" i="17"/>
  <c r="AJ15" i="17"/>
  <c r="AP15" i="17"/>
  <c r="AP14" i="17"/>
  <c r="AK14" i="17"/>
  <c r="AJ14" i="17"/>
  <c r="AP13" i="17"/>
  <c r="AJ13" i="17"/>
  <c r="AK13" i="17"/>
  <c r="AP12" i="17"/>
  <c r="AK12" i="17"/>
  <c r="AJ12" i="17"/>
  <c r="AJ11" i="17"/>
  <c r="AP11" i="17"/>
  <c r="AK11" i="17"/>
  <c r="AK10" i="17"/>
  <c r="AJ10" i="17"/>
  <c r="AP10" i="17"/>
  <c r="AP9" i="17"/>
  <c r="AK9" i="17"/>
  <c r="AJ9" i="17"/>
  <c r="AP8" i="17"/>
  <c r="AK8" i="17"/>
  <c r="AJ8" i="17"/>
  <c r="C66" i="16"/>
  <c r="C69" i="16"/>
  <c r="C15" i="41"/>
  <c r="G15" i="41" s="1"/>
  <c r="D15" i="41"/>
  <c r="G47" i="16"/>
  <c r="C49" i="16"/>
  <c r="AP42" i="16"/>
  <c r="AK42" i="16"/>
  <c r="AJ42" i="16"/>
  <c r="AP41" i="16"/>
  <c r="AK41" i="16"/>
  <c r="AJ41" i="16"/>
  <c r="AK40" i="16"/>
  <c r="AJ40" i="16"/>
  <c r="AP40" i="16"/>
  <c r="AP39" i="16"/>
  <c r="AJ39" i="16"/>
  <c r="AK39" i="16"/>
  <c r="AP38" i="16"/>
  <c r="AK38" i="16"/>
  <c r="AJ38" i="16"/>
  <c r="AJ37" i="16"/>
  <c r="AP37" i="16"/>
  <c r="AK37" i="16"/>
  <c r="AK36" i="16"/>
  <c r="AP36" i="16"/>
  <c r="AJ36" i="16"/>
  <c r="AJ35" i="16"/>
  <c r="AP35" i="16"/>
  <c r="AK35" i="16"/>
  <c r="AK34" i="16"/>
  <c r="AJ34" i="16"/>
  <c r="AP34" i="16"/>
  <c r="AJ33" i="16"/>
  <c r="AK33" i="16"/>
  <c r="AP33" i="16"/>
  <c r="AJ32" i="16"/>
  <c r="AK32" i="16"/>
  <c r="AP32" i="16"/>
  <c r="AJ31" i="16"/>
  <c r="AK31" i="16"/>
  <c r="AP31" i="16"/>
  <c r="AK30" i="16"/>
  <c r="AP30" i="16"/>
  <c r="AJ30" i="16"/>
  <c r="AP29" i="16"/>
  <c r="AK29" i="16"/>
  <c r="AJ29" i="16"/>
  <c r="AP28" i="16"/>
  <c r="AK28" i="16"/>
  <c r="AJ28" i="16"/>
  <c r="AJ27" i="16"/>
  <c r="AP27" i="16"/>
  <c r="AK27" i="16"/>
  <c r="AJ26" i="16"/>
  <c r="AP26" i="16"/>
  <c r="AK26" i="16"/>
  <c r="AJ25" i="16"/>
  <c r="AK25" i="16"/>
  <c r="AP25" i="16"/>
  <c r="AP24" i="16"/>
  <c r="AK24" i="16"/>
  <c r="AJ24" i="16"/>
  <c r="AK23" i="16"/>
  <c r="AJ23" i="16"/>
  <c r="AP23" i="16"/>
  <c r="AJ22" i="16"/>
  <c r="AK22" i="16"/>
  <c r="AP22" i="16"/>
  <c r="AP21" i="16"/>
  <c r="AK21" i="16"/>
  <c r="AJ21" i="16"/>
  <c r="AK20" i="16"/>
  <c r="AJ20" i="16"/>
  <c r="AP20" i="16"/>
  <c r="AP19" i="16"/>
  <c r="AK19" i="16"/>
  <c r="AJ18" i="16"/>
  <c r="AP18" i="16"/>
  <c r="AK18" i="16"/>
  <c r="AP17" i="16"/>
  <c r="AJ17" i="16"/>
  <c r="AK17" i="16"/>
  <c r="AP16" i="16"/>
  <c r="AJ16" i="16"/>
  <c r="AK16" i="16"/>
  <c r="AK15" i="16"/>
  <c r="AJ15" i="16"/>
  <c r="AP15" i="16"/>
  <c r="AP14" i="16"/>
  <c r="AJ14" i="16"/>
  <c r="AK14" i="16"/>
  <c r="AK13" i="16"/>
  <c r="AP13" i="16"/>
  <c r="AJ13" i="16"/>
  <c r="AJ12" i="16"/>
  <c r="AP12" i="16"/>
  <c r="AK12" i="16"/>
  <c r="AK11" i="16"/>
  <c r="AP11" i="16"/>
  <c r="AJ11" i="16"/>
  <c r="AP10" i="16"/>
  <c r="AJ10" i="16"/>
  <c r="AK10" i="16"/>
  <c r="AJ9" i="16"/>
  <c r="AP9" i="16"/>
  <c r="AK9" i="16"/>
  <c r="AK8" i="16"/>
  <c r="AP8" i="16"/>
  <c r="AJ8" i="16"/>
  <c r="C66" i="15"/>
  <c r="C69" i="15"/>
  <c r="D14" i="41"/>
  <c r="C14" i="41"/>
  <c r="G14" i="41" s="1"/>
  <c r="C49" i="15"/>
  <c r="G47" i="15"/>
  <c r="AJ42" i="15"/>
  <c r="AP42" i="15"/>
  <c r="AK42" i="15"/>
  <c r="AJ41" i="15"/>
  <c r="AP41" i="15"/>
  <c r="AK41" i="15"/>
  <c r="AK40" i="15"/>
  <c r="AP40" i="15"/>
  <c r="AJ40" i="15"/>
  <c r="AK39" i="15"/>
  <c r="AJ39" i="15"/>
  <c r="AP39" i="15"/>
  <c r="AP38" i="15"/>
  <c r="AK38" i="15"/>
  <c r="AJ38" i="15"/>
  <c r="AP37" i="15"/>
  <c r="AK37" i="15"/>
  <c r="AJ37" i="15"/>
  <c r="AP36" i="15"/>
  <c r="AK36" i="15"/>
  <c r="AJ36" i="15"/>
  <c r="AP35" i="15"/>
  <c r="AJ35" i="15"/>
  <c r="AK35" i="15"/>
  <c r="AK34" i="15"/>
  <c r="AJ34" i="15"/>
  <c r="AP34" i="15"/>
  <c r="AK33" i="15"/>
  <c r="AP33" i="15"/>
  <c r="AJ33" i="15"/>
  <c r="AJ32" i="15"/>
  <c r="AK32" i="15"/>
  <c r="AP32" i="15"/>
  <c r="AJ31" i="15"/>
  <c r="AP31" i="15"/>
  <c r="AK31" i="15"/>
  <c r="AP30" i="15"/>
  <c r="AJ30" i="15"/>
  <c r="AK30" i="15"/>
  <c r="AJ29" i="15"/>
  <c r="AP29" i="15"/>
  <c r="AK29" i="15"/>
  <c r="AP28" i="15"/>
  <c r="AK28" i="15"/>
  <c r="AJ28" i="15"/>
  <c r="AP27" i="15"/>
  <c r="AJ27" i="15"/>
  <c r="AK27" i="15"/>
  <c r="AK26" i="15"/>
  <c r="AJ26" i="15"/>
  <c r="AP26" i="15"/>
  <c r="AK25" i="15"/>
  <c r="AP25" i="15"/>
  <c r="AJ25" i="15"/>
  <c r="AJ24" i="15"/>
  <c r="AK24" i="15"/>
  <c r="AP24" i="15"/>
  <c r="AP23" i="15"/>
  <c r="AK23" i="15"/>
  <c r="AJ23" i="15"/>
  <c r="AK22" i="15"/>
  <c r="AJ22" i="15"/>
  <c r="AP22" i="15"/>
  <c r="AJ21" i="15"/>
  <c r="AP21" i="15"/>
  <c r="AK21" i="15"/>
  <c r="AK20" i="15"/>
  <c r="AJ20" i="15"/>
  <c r="AP20" i="15"/>
  <c r="AP19" i="15"/>
  <c r="AJ19" i="15"/>
  <c r="AK19" i="15"/>
  <c r="AK18" i="15"/>
  <c r="AJ18" i="15"/>
  <c r="AP18" i="15"/>
  <c r="AP17" i="15"/>
  <c r="AK17" i="15"/>
  <c r="AJ17" i="15"/>
  <c r="AK16" i="15"/>
  <c r="AJ16" i="15"/>
  <c r="AP16" i="15"/>
  <c r="AK15" i="15"/>
  <c r="AP15" i="15"/>
  <c r="AJ14" i="15"/>
  <c r="AK14" i="15"/>
  <c r="AP14" i="15"/>
  <c r="AP13" i="15"/>
  <c r="AJ13" i="15"/>
  <c r="AK13" i="15"/>
  <c r="AJ12" i="15"/>
  <c r="AK12" i="15"/>
  <c r="AP12" i="15"/>
  <c r="AJ11" i="15"/>
  <c r="AK11" i="15"/>
  <c r="AP11" i="15"/>
  <c r="AP10" i="15"/>
  <c r="AJ10" i="15"/>
  <c r="AK10" i="15"/>
  <c r="AJ9" i="15"/>
  <c r="AP9" i="15"/>
  <c r="AK9" i="15"/>
  <c r="AK8" i="15"/>
  <c r="AJ8" i="15"/>
  <c r="AP8" i="15"/>
  <c r="C69" i="14"/>
  <c r="C66" i="14"/>
  <c r="D13" i="41"/>
  <c r="C13" i="41"/>
  <c r="G13" i="41" s="1"/>
  <c r="C49" i="14"/>
  <c r="G47" i="14"/>
  <c r="AK42" i="14"/>
  <c r="AP42" i="14"/>
  <c r="AJ42" i="14"/>
  <c r="AK41" i="14"/>
  <c r="AP41" i="14"/>
  <c r="AJ41" i="14"/>
  <c r="AK40" i="14"/>
  <c r="AJ40" i="14"/>
  <c r="AP40" i="14"/>
  <c r="AP39" i="14"/>
  <c r="AJ39" i="14"/>
  <c r="AK39" i="14"/>
  <c r="AK38" i="14"/>
  <c r="AJ38" i="14"/>
  <c r="AP38" i="14"/>
  <c r="AJ37" i="14"/>
  <c r="AK37" i="14"/>
  <c r="AP37" i="14"/>
  <c r="AK36" i="14"/>
  <c r="AP36" i="14"/>
  <c r="AJ36" i="14"/>
  <c r="AP35" i="14"/>
  <c r="AK35" i="14"/>
  <c r="AJ35" i="14"/>
  <c r="AP34" i="14"/>
  <c r="AK34" i="14"/>
  <c r="AJ34" i="14"/>
  <c r="AP33" i="14"/>
  <c r="AK33" i="14"/>
  <c r="AJ33" i="14"/>
  <c r="AJ32" i="14"/>
  <c r="AP32" i="14"/>
  <c r="AK32" i="14"/>
  <c r="AJ31" i="14"/>
  <c r="AK31" i="14"/>
  <c r="AP31" i="14"/>
  <c r="AK30" i="14"/>
  <c r="AP30" i="14"/>
  <c r="AJ30" i="14"/>
  <c r="AJ29" i="14"/>
  <c r="AK29" i="14"/>
  <c r="AP29" i="14"/>
  <c r="AJ28" i="14"/>
  <c r="AK28" i="14"/>
  <c r="AP28" i="14"/>
  <c r="AJ27" i="14"/>
  <c r="AK27" i="14"/>
  <c r="AP27" i="14"/>
  <c r="AJ26" i="14"/>
  <c r="AK26" i="14"/>
  <c r="AP26" i="14"/>
  <c r="AJ25" i="14"/>
  <c r="AK25" i="14"/>
  <c r="AP25" i="14"/>
  <c r="AJ24" i="14"/>
  <c r="AK24" i="14"/>
  <c r="AP24" i="14"/>
  <c r="AJ23" i="14"/>
  <c r="AK23" i="14"/>
  <c r="AP23" i="14"/>
  <c r="AK22" i="14"/>
  <c r="AJ22" i="14"/>
  <c r="AP22" i="14"/>
  <c r="AP21" i="14"/>
  <c r="AJ21" i="14"/>
  <c r="AK21" i="14"/>
  <c r="AJ20" i="14"/>
  <c r="AK20" i="14"/>
  <c r="AP20" i="14"/>
  <c r="AJ19" i="14"/>
  <c r="AK19" i="14"/>
  <c r="AP19" i="14"/>
  <c r="AJ18" i="14"/>
  <c r="AK18" i="14"/>
  <c r="AP18" i="14"/>
  <c r="AK17" i="14"/>
  <c r="AP17" i="14"/>
  <c r="AJ17" i="14"/>
  <c r="AP16" i="14"/>
  <c r="AK16" i="14"/>
  <c r="AJ16" i="14"/>
  <c r="AP15" i="14"/>
  <c r="AK15" i="14"/>
  <c r="AJ15" i="14"/>
  <c r="AJ14" i="14"/>
  <c r="AP14" i="14"/>
  <c r="AK14" i="14"/>
  <c r="AJ13" i="14"/>
  <c r="AP13" i="14"/>
  <c r="AK13" i="14"/>
  <c r="AJ12" i="14"/>
  <c r="AK12" i="14"/>
  <c r="AP12" i="14"/>
  <c r="AK11" i="14"/>
  <c r="AP11" i="14"/>
  <c r="AJ11" i="14"/>
  <c r="AK10" i="14"/>
  <c r="AP10" i="14"/>
  <c r="AJ10" i="14"/>
  <c r="AJ9" i="14"/>
  <c r="AK9" i="14"/>
  <c r="AP9" i="14"/>
  <c r="AK8" i="14"/>
  <c r="AP8" i="14"/>
  <c r="AJ8" i="14"/>
  <c r="C69" i="13"/>
  <c r="C66" i="13"/>
  <c r="C12" i="41"/>
  <c r="G12" i="41" s="1"/>
  <c r="D12" i="41"/>
  <c r="C49" i="13"/>
  <c r="G47" i="13"/>
  <c r="AJ42" i="13"/>
  <c r="AP42" i="13"/>
  <c r="AK42" i="13"/>
  <c r="AJ41" i="13"/>
  <c r="AK41" i="13"/>
  <c r="AP41" i="13"/>
  <c r="AJ40" i="13"/>
  <c r="AP40" i="13"/>
  <c r="AK40" i="13"/>
  <c r="AK39" i="13"/>
  <c r="AP39" i="13"/>
  <c r="AJ39" i="13"/>
  <c r="AP38" i="13"/>
  <c r="AJ38" i="13"/>
  <c r="AK38" i="13"/>
  <c r="AK37" i="13"/>
  <c r="AJ37" i="13"/>
  <c r="AP37" i="13"/>
  <c r="AP36" i="13"/>
  <c r="AJ36" i="13"/>
  <c r="AK36" i="13"/>
  <c r="AK35" i="13"/>
  <c r="AP35" i="13"/>
  <c r="AJ35" i="13"/>
  <c r="AP34" i="13"/>
  <c r="AK34" i="13"/>
  <c r="AJ34" i="13"/>
  <c r="AK33" i="13"/>
  <c r="AP33" i="13"/>
  <c r="AJ33" i="13"/>
  <c r="AK32" i="13"/>
  <c r="AJ32" i="13"/>
  <c r="AP32" i="13"/>
  <c r="AK31" i="13"/>
  <c r="AJ31" i="13"/>
  <c r="AP31" i="13"/>
  <c r="AK30" i="13"/>
  <c r="AP30" i="13"/>
  <c r="AJ30" i="13"/>
  <c r="AP29" i="13"/>
  <c r="AJ29" i="13"/>
  <c r="AK29" i="13"/>
  <c r="AJ28" i="13"/>
  <c r="AK28" i="13"/>
  <c r="AP28" i="13"/>
  <c r="AJ27" i="13"/>
  <c r="AK27" i="13"/>
  <c r="AP27" i="13"/>
  <c r="AK26" i="13"/>
  <c r="AP26" i="13"/>
  <c r="AJ26" i="13"/>
  <c r="AJ25" i="13"/>
  <c r="AP25" i="13"/>
  <c r="AK25" i="13"/>
  <c r="AJ24" i="13"/>
  <c r="AP24" i="13"/>
  <c r="AK24" i="13"/>
  <c r="AK23" i="13"/>
  <c r="AP23" i="13"/>
  <c r="AJ23" i="13"/>
  <c r="AK22" i="13"/>
  <c r="AP22" i="13"/>
  <c r="AJ22" i="13"/>
  <c r="AJ21" i="13"/>
  <c r="AP21" i="13"/>
  <c r="AK21" i="13"/>
  <c r="AJ20" i="13"/>
  <c r="AP20" i="13"/>
  <c r="AK20" i="13"/>
  <c r="AJ19" i="13"/>
  <c r="AK19" i="13"/>
  <c r="AP19" i="13"/>
  <c r="AP18" i="13"/>
  <c r="AK18" i="13"/>
  <c r="AJ18" i="13"/>
  <c r="AP17" i="13"/>
  <c r="AK17" i="13"/>
  <c r="AJ17" i="13"/>
  <c r="AP16" i="13"/>
  <c r="AK16" i="13"/>
  <c r="AJ16" i="13"/>
  <c r="AK15" i="13"/>
  <c r="AP15" i="13"/>
  <c r="AJ15" i="13"/>
  <c r="AJ14" i="13"/>
  <c r="AP14" i="13"/>
  <c r="AK14" i="13"/>
  <c r="AP13" i="13"/>
  <c r="AJ13" i="13"/>
  <c r="AK13" i="13"/>
  <c r="AJ12" i="13"/>
  <c r="AK12" i="13"/>
  <c r="AP12" i="13"/>
  <c r="AP11" i="13"/>
  <c r="AK11" i="13"/>
  <c r="AJ11" i="13"/>
  <c r="AJ10" i="13"/>
  <c r="AK10" i="13"/>
  <c r="AP10" i="13"/>
  <c r="AP9" i="13"/>
  <c r="AK9" i="13"/>
  <c r="AJ9" i="13"/>
  <c r="AP8" i="13"/>
  <c r="AJ8" i="13"/>
  <c r="AK8" i="13"/>
  <c r="C66" i="12"/>
  <c r="C69" i="12"/>
  <c r="C11" i="41"/>
  <c r="G11" i="41" s="1"/>
  <c r="D11" i="41"/>
  <c r="C49" i="12"/>
  <c r="G47" i="12"/>
  <c r="AP42" i="12"/>
  <c r="AK42" i="12"/>
  <c r="AJ42" i="12"/>
  <c r="AP41" i="12"/>
  <c r="AK41" i="12"/>
  <c r="AJ41" i="12"/>
  <c r="AJ40" i="12"/>
  <c r="AK40" i="12"/>
  <c r="AP40" i="12"/>
  <c r="AP39" i="12"/>
  <c r="AK39" i="12"/>
  <c r="AJ39" i="12"/>
  <c r="AP38" i="12"/>
  <c r="AK38" i="12"/>
  <c r="AJ38" i="12"/>
  <c r="AP37" i="12"/>
  <c r="AK37" i="12"/>
  <c r="AJ37" i="12"/>
  <c r="AJ36" i="12"/>
  <c r="AK36" i="12"/>
  <c r="AP36" i="12"/>
  <c r="AP35" i="12"/>
  <c r="AK35" i="12"/>
  <c r="AJ35" i="12"/>
  <c r="AP34" i="12"/>
  <c r="AJ34" i="12"/>
  <c r="AK34" i="12"/>
  <c r="AK33" i="12"/>
  <c r="AP33" i="12"/>
  <c r="AJ33" i="12"/>
  <c r="AP32" i="12"/>
  <c r="AK32" i="12"/>
  <c r="AJ32" i="12"/>
  <c r="AP31" i="12"/>
  <c r="AJ31" i="12"/>
  <c r="AK31" i="12"/>
  <c r="AP30" i="12"/>
  <c r="AK30" i="12"/>
  <c r="AJ30" i="12"/>
  <c r="AP29" i="12"/>
  <c r="AK29" i="12"/>
  <c r="AJ29" i="12"/>
  <c r="AJ28" i="12"/>
  <c r="AP28" i="12"/>
  <c r="AK28" i="12"/>
  <c r="AP27" i="12"/>
  <c r="AK27" i="12"/>
  <c r="AJ27" i="12"/>
  <c r="AJ26" i="12"/>
  <c r="AK26" i="12"/>
  <c r="AP26" i="12"/>
  <c r="AJ25" i="12"/>
  <c r="AK25" i="12"/>
  <c r="AP25" i="12"/>
  <c r="AP24" i="12"/>
  <c r="AK24" i="12"/>
  <c r="AJ24" i="12"/>
  <c r="AP23" i="12"/>
  <c r="AK23" i="12"/>
  <c r="AJ23" i="12"/>
  <c r="AP22" i="12"/>
  <c r="AK22" i="12"/>
  <c r="AJ22" i="12"/>
  <c r="AJ21" i="12"/>
  <c r="AP21" i="12"/>
  <c r="AK21" i="12"/>
  <c r="AP20" i="12"/>
  <c r="AK20" i="12"/>
  <c r="AJ20" i="12"/>
  <c r="AP19" i="12"/>
  <c r="AK19" i="12"/>
  <c r="AJ19" i="12"/>
  <c r="AJ18" i="12"/>
  <c r="AP18" i="12"/>
  <c r="AK18" i="12"/>
  <c r="AJ17" i="12"/>
  <c r="AK17" i="12"/>
  <c r="AP17" i="12"/>
  <c r="AK16" i="12"/>
  <c r="AP16" i="12"/>
  <c r="AJ16" i="12"/>
  <c r="AJ15" i="12"/>
  <c r="AP15" i="12"/>
  <c r="AK15" i="12"/>
  <c r="AK14" i="12"/>
  <c r="AP14" i="12"/>
  <c r="AJ14" i="12"/>
  <c r="AK13" i="12"/>
  <c r="AJ13" i="12"/>
  <c r="AP13" i="12"/>
  <c r="AK12" i="12"/>
  <c r="AJ12" i="12"/>
  <c r="AP12" i="12"/>
  <c r="AK11" i="12"/>
  <c r="AJ11" i="12"/>
  <c r="AP11" i="12"/>
  <c r="AK10" i="12"/>
  <c r="AP10" i="12"/>
  <c r="AJ10" i="12"/>
  <c r="AK9" i="12"/>
  <c r="AJ9" i="12"/>
  <c r="AP9" i="12"/>
  <c r="AK8" i="12"/>
  <c r="AJ8" i="12"/>
  <c r="AP8" i="12"/>
  <c r="C66" i="11"/>
  <c r="C69" i="11"/>
  <c r="D10" i="41"/>
  <c r="C10" i="41"/>
  <c r="G10" i="41" s="1"/>
  <c r="C49" i="11"/>
  <c r="G47" i="11"/>
  <c r="AJ42" i="11"/>
  <c r="AP42" i="11"/>
  <c r="AK42" i="11"/>
  <c r="AJ41" i="11"/>
  <c r="AK41" i="11"/>
  <c r="AP41" i="11"/>
  <c r="AK40" i="11"/>
  <c r="AP40" i="11"/>
  <c r="AJ40" i="11"/>
  <c r="AJ39" i="11"/>
  <c r="AP39" i="11"/>
  <c r="AK39" i="11"/>
  <c r="AK38" i="11"/>
  <c r="AJ38" i="11"/>
  <c r="AP38" i="11"/>
  <c r="AJ37" i="11"/>
  <c r="AP37" i="11"/>
  <c r="AK37" i="11"/>
  <c r="AP36" i="11"/>
  <c r="AK36" i="11"/>
  <c r="AJ36" i="11"/>
  <c r="AP35" i="11"/>
  <c r="AK35" i="11"/>
  <c r="AJ35" i="11"/>
  <c r="AJ34" i="11"/>
  <c r="AK34" i="11"/>
  <c r="AP34" i="11"/>
  <c r="AP33" i="11"/>
  <c r="AK33" i="11"/>
  <c r="AJ33" i="11"/>
  <c r="AJ32" i="11"/>
  <c r="AK32" i="11"/>
  <c r="AP32" i="11"/>
  <c r="AJ31" i="11"/>
  <c r="AP31" i="11"/>
  <c r="AK31" i="11"/>
  <c r="AK30" i="11"/>
  <c r="AP30" i="11"/>
  <c r="AJ30" i="11"/>
  <c r="AK29" i="11"/>
  <c r="AP29" i="11"/>
  <c r="AJ29" i="11"/>
  <c r="AP28" i="11"/>
  <c r="AJ28" i="11"/>
  <c r="AK28" i="11"/>
  <c r="AJ27" i="11"/>
  <c r="AP27" i="11"/>
  <c r="AK27" i="11"/>
  <c r="AJ26" i="11"/>
  <c r="AP26" i="11"/>
  <c r="AK26" i="11"/>
  <c r="AK25" i="11"/>
  <c r="AJ25" i="11"/>
  <c r="AP25" i="11"/>
  <c r="AK24" i="11"/>
  <c r="AJ24" i="11"/>
  <c r="AP24" i="11"/>
  <c r="AJ23" i="11"/>
  <c r="AK23" i="11"/>
  <c r="AP23" i="11"/>
  <c r="AJ22" i="11"/>
  <c r="AP22" i="11"/>
  <c r="AK22" i="11"/>
  <c r="AP21" i="11"/>
  <c r="AK21" i="11"/>
  <c r="AJ21" i="11"/>
  <c r="AP20" i="11"/>
  <c r="AJ20" i="11"/>
  <c r="AK20" i="11"/>
  <c r="AK19" i="11"/>
  <c r="AP19" i="11"/>
  <c r="AJ19" i="11"/>
  <c r="AK17" i="11"/>
  <c r="AJ17" i="11"/>
  <c r="AP17" i="11"/>
  <c r="AP16" i="11"/>
  <c r="AK16" i="11"/>
  <c r="AJ16" i="11"/>
  <c r="AP15" i="11"/>
  <c r="AK15" i="11"/>
  <c r="AJ15" i="11"/>
  <c r="AJ14" i="11"/>
  <c r="AK14" i="11"/>
  <c r="AP14" i="11"/>
  <c r="AP13" i="11"/>
  <c r="AJ13" i="11"/>
  <c r="AK13" i="11"/>
  <c r="AJ12" i="11"/>
  <c r="AK12" i="11"/>
  <c r="AP12" i="11"/>
  <c r="AP11" i="11"/>
  <c r="AK11" i="11"/>
  <c r="AK10" i="11"/>
  <c r="AJ10" i="11"/>
  <c r="AP10" i="11"/>
  <c r="AJ9" i="11"/>
  <c r="AP9" i="11"/>
  <c r="AK9" i="11"/>
  <c r="AJ8" i="11"/>
  <c r="AK8" i="11"/>
  <c r="AP8" i="11"/>
  <c r="C69" i="10"/>
  <c r="C66" i="10"/>
  <c r="H9" i="41"/>
  <c r="D7" i="41"/>
  <c r="D9" i="41"/>
  <c r="C9" i="41"/>
  <c r="G47" i="10"/>
  <c r="C49" i="10"/>
  <c r="G46" i="10"/>
  <c r="B36" i="3"/>
  <c r="D8" i="3" s="1"/>
  <c r="AK42" i="10"/>
  <c r="AP42" i="10"/>
  <c r="AJ42" i="10"/>
  <c r="AK41" i="10"/>
  <c r="AJ41" i="10"/>
  <c r="AP41" i="10"/>
  <c r="AJ40" i="10"/>
  <c r="AP40" i="10"/>
  <c r="AK40" i="10"/>
  <c r="AK39" i="10"/>
  <c r="AP39" i="10"/>
  <c r="AJ39" i="10"/>
  <c r="AP38" i="10"/>
  <c r="AJ38" i="10"/>
  <c r="AK38" i="10"/>
  <c r="AK37" i="10"/>
  <c r="AP37" i="10"/>
  <c r="AJ37" i="10"/>
  <c r="AK36" i="10"/>
  <c r="AP36" i="10"/>
  <c r="AJ36" i="10"/>
  <c r="AK35" i="10"/>
  <c r="AP35" i="10"/>
  <c r="AJ35" i="10"/>
  <c r="AJ34" i="10"/>
  <c r="AP34" i="10"/>
  <c r="AK34" i="10"/>
  <c r="AJ33" i="10"/>
  <c r="AP33" i="10"/>
  <c r="AK33" i="10"/>
  <c r="AK32" i="10"/>
  <c r="AP32" i="10"/>
  <c r="AJ32" i="10"/>
  <c r="AP31" i="10"/>
  <c r="AK31" i="10"/>
  <c r="AJ31" i="10"/>
  <c r="AP30" i="10"/>
  <c r="AK30" i="10"/>
  <c r="AJ30" i="10"/>
  <c r="AP29" i="10"/>
  <c r="AK29" i="10"/>
  <c r="AJ29" i="10"/>
  <c r="AP28" i="10"/>
  <c r="AK28" i="10"/>
  <c r="AJ28" i="10"/>
  <c r="AK27" i="10"/>
  <c r="AJ27" i="10"/>
  <c r="AP27" i="10"/>
  <c r="AJ26" i="10"/>
  <c r="AP26" i="10"/>
  <c r="AK26" i="10"/>
  <c r="AJ25" i="10"/>
  <c r="AP25" i="10"/>
  <c r="AK25" i="10"/>
  <c r="AJ24" i="10"/>
  <c r="AK24" i="10"/>
  <c r="AP24" i="10"/>
  <c r="AP23" i="10"/>
  <c r="AK23" i="10"/>
  <c r="AJ23" i="10"/>
  <c r="AP22" i="10"/>
  <c r="AJ22" i="10"/>
  <c r="AK22" i="10"/>
  <c r="AK21" i="10"/>
  <c r="AJ21" i="10"/>
  <c r="AP21" i="10"/>
  <c r="AJ20" i="10"/>
  <c r="AK20" i="10"/>
  <c r="AP20" i="10"/>
  <c r="AJ19" i="10"/>
  <c r="AP19" i="10"/>
  <c r="AK19" i="10"/>
  <c r="AJ18" i="10"/>
  <c r="AP18" i="10"/>
  <c r="AK18" i="10"/>
  <c r="AK17" i="10"/>
  <c r="AJ17" i="10"/>
  <c r="AP17" i="10"/>
  <c r="AJ16" i="10"/>
  <c r="AP16" i="10"/>
  <c r="AK16" i="10"/>
  <c r="AP15" i="10"/>
  <c r="AK15" i="10"/>
  <c r="AJ15" i="10"/>
  <c r="AJ14" i="10"/>
  <c r="AP14" i="10"/>
  <c r="AK14" i="10"/>
  <c r="AJ13" i="10"/>
  <c r="AK13" i="10"/>
  <c r="AP13" i="10"/>
  <c r="AK12" i="10"/>
  <c r="AP12" i="10"/>
  <c r="AJ12" i="10"/>
  <c r="AK11" i="10"/>
  <c r="AP11" i="10"/>
  <c r="AJ11" i="10"/>
  <c r="AK10" i="10"/>
  <c r="AJ10" i="10"/>
  <c r="AP10" i="10"/>
  <c r="AJ9" i="10"/>
  <c r="AK9" i="10"/>
  <c r="AP9" i="10"/>
  <c r="AJ8" i="10"/>
  <c r="AK8" i="10"/>
  <c r="AP8" i="10"/>
  <c r="Q29" i="7"/>
  <c r="Q31" i="7"/>
  <c r="Q30" i="7"/>
  <c r="P28" i="7"/>
  <c r="Q32" i="7"/>
  <c r="Q28" i="7"/>
  <c r="K11" i="7"/>
  <c r="D20" i="3"/>
  <c r="BD19" i="5"/>
  <c r="BA19" i="5"/>
  <c r="I22" i="5" s="1"/>
  <c r="BA18" i="5"/>
  <c r="I21" i="5" s="1"/>
  <c r="BD18" i="5"/>
  <c r="BA17" i="5"/>
  <c r="I20" i="5" s="1"/>
  <c r="BD17" i="5"/>
  <c r="BD16" i="5"/>
  <c r="BA16" i="5"/>
  <c r="I19" i="5" s="1"/>
  <c r="BD15" i="5"/>
  <c r="BA15" i="5"/>
  <c r="I18" i="5" s="1"/>
  <c r="BD14" i="5"/>
  <c r="BA14" i="5"/>
  <c r="I17" i="5" s="1"/>
  <c r="BA13" i="5"/>
  <c r="I16" i="5" s="1"/>
  <c r="BD13" i="5"/>
  <c r="BD12" i="5"/>
  <c r="BA12" i="5"/>
  <c r="I15" i="5" s="1"/>
  <c r="BA11" i="5"/>
  <c r="I14" i="5" s="1"/>
  <c r="BD11" i="5"/>
  <c r="BD10" i="5"/>
  <c r="BA10" i="5"/>
  <c r="I13" i="5" s="1"/>
  <c r="BD9" i="5"/>
  <c r="BA9" i="5"/>
  <c r="I12" i="5" s="1"/>
  <c r="H11" i="5"/>
  <c r="F11" i="5"/>
  <c r="E11" i="5"/>
  <c r="C11" i="5"/>
  <c r="BB8" i="5"/>
  <c r="BA7" i="5"/>
  <c r="I10" i="5" s="1"/>
  <c r="BD7" i="5"/>
  <c r="BA6" i="5"/>
  <c r="I9" i="5" s="1"/>
  <c r="BD6" i="5"/>
  <c r="BA5" i="5"/>
  <c r="I8" i="5" s="1"/>
  <c r="BD5" i="5"/>
  <c r="BA4" i="5"/>
  <c r="I7" i="5" s="1"/>
  <c r="I23" i="5" s="1"/>
  <c r="BD4" i="5"/>
  <c r="C16" i="3"/>
  <c r="D22" i="3"/>
  <c r="F16" i="3"/>
  <c r="E16" i="3"/>
  <c r="B25" i="2"/>
  <c r="C10" i="3"/>
  <c r="E10" i="3"/>
  <c r="F10" i="3"/>
  <c r="D21" i="3"/>
  <c r="A29" i="2"/>
  <c r="B24" i="2"/>
  <c r="A999" i="4"/>
  <c r="A998" i="4"/>
  <c r="A997" i="4"/>
  <c r="A996" i="4"/>
  <c r="A995" i="4"/>
  <c r="A994" i="4"/>
  <c r="A989" i="4"/>
  <c r="A978" i="4"/>
  <c r="A755" i="4"/>
  <c r="A561" i="4"/>
  <c r="A228" i="4"/>
  <c r="A98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695" i="4"/>
  <c r="A694" i="4"/>
  <c r="A693" i="4"/>
  <c r="A692" i="4"/>
  <c r="A690" i="4"/>
  <c r="A688" i="4"/>
  <c r="A686" i="4"/>
  <c r="A685" i="4"/>
  <c r="A684" i="4"/>
  <c r="A683" i="4"/>
  <c r="A682" i="4"/>
  <c r="A679" i="4"/>
  <c r="A676" i="4"/>
  <c r="A675" i="4"/>
  <c r="A674" i="4"/>
  <c r="A673" i="4"/>
  <c r="A672" i="4"/>
  <c r="A670" i="4"/>
  <c r="A669" i="4"/>
  <c r="A667" i="4"/>
  <c r="A666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9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F7" i="41"/>
  <c r="I7" i="7"/>
  <c r="B39" i="3"/>
  <c r="D15" i="3" s="1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B6" i="4" s="1"/>
  <c r="A161" i="4"/>
  <c r="A888" i="4"/>
  <c r="A776" i="4"/>
  <c r="A715" i="4"/>
  <c r="A712" i="4"/>
  <c r="A711" i="4"/>
  <c r="A710" i="4"/>
  <c r="A709" i="4"/>
  <c r="A708" i="4"/>
  <c r="A706" i="4"/>
  <c r="A705" i="4"/>
  <c r="A515" i="4"/>
  <c r="A277" i="4"/>
  <c r="A553" i="4"/>
  <c r="A524" i="4"/>
  <c r="A366" i="4"/>
  <c r="A364" i="4"/>
  <c r="A360" i="4"/>
  <c r="A358" i="4"/>
  <c r="A355" i="4"/>
  <c r="A353" i="4"/>
  <c r="A350" i="4"/>
  <c r="A348" i="4"/>
  <c r="A346" i="4"/>
  <c r="A344" i="4"/>
  <c r="A343" i="4"/>
  <c r="A342" i="4"/>
  <c r="A340" i="4"/>
  <c r="A338" i="4"/>
  <c r="A335" i="4"/>
  <c r="A333" i="4"/>
  <c r="A330" i="4"/>
  <c r="A218" i="4"/>
  <c r="A931" i="4"/>
  <c r="A884" i="4"/>
  <c r="A441" i="4"/>
  <c r="A397" i="4"/>
  <c r="A389" i="4"/>
  <c r="A388" i="4"/>
  <c r="A387" i="4"/>
  <c r="A386" i="4"/>
  <c r="A385" i="4"/>
  <c r="A384" i="4"/>
  <c r="A383" i="4"/>
  <c r="A382" i="4"/>
  <c r="A381" i="4"/>
  <c r="A379" i="4"/>
  <c r="A378" i="4"/>
  <c r="A377" i="4"/>
  <c r="A376" i="4"/>
  <c r="A375" i="4"/>
  <c r="A374" i="4"/>
  <c r="A373" i="4"/>
  <c r="A372" i="4"/>
  <c r="A371" i="4"/>
  <c r="A370" i="4"/>
  <c r="A365" i="4"/>
  <c r="A361" i="4"/>
  <c r="A359" i="4"/>
  <c r="A357" i="4"/>
  <c r="A356" i="4"/>
  <c r="A354" i="4"/>
  <c r="A352" i="4"/>
  <c r="A349" i="4"/>
  <c r="A347" i="4"/>
  <c r="A345" i="4"/>
  <c r="A334" i="4"/>
  <c r="A332" i="4"/>
  <c r="A331" i="4"/>
  <c r="A106" i="4"/>
  <c r="A921" i="4"/>
  <c r="A820" i="4"/>
  <c r="A151" i="4"/>
  <c r="G49" i="40" l="1"/>
  <c r="U34" i="7"/>
  <c r="BI28" i="7"/>
  <c r="BI30" i="7"/>
  <c r="BI32" i="7"/>
  <c r="BI5" i="7"/>
  <c r="BI25" i="7"/>
  <c r="BI26" i="7"/>
  <c r="BI27" i="7"/>
  <c r="BI29" i="7"/>
  <c r="BI34" i="7"/>
  <c r="BI35" i="7"/>
  <c r="BI37" i="7"/>
  <c r="BI6" i="7"/>
  <c r="BI7" i="7"/>
  <c r="BI8" i="7"/>
  <c r="BI9" i="7"/>
  <c r="BI10" i="7"/>
  <c r="BI11" i="7"/>
  <c r="BI12" i="7"/>
  <c r="BI13" i="7"/>
  <c r="BI14" i="7"/>
  <c r="BI15" i="7"/>
  <c r="BI16" i="7"/>
  <c r="BI17" i="7"/>
  <c r="BI18" i="7"/>
  <c r="BI19" i="7"/>
  <c r="BI23" i="7"/>
  <c r="BI24" i="7"/>
  <c r="BI4" i="7"/>
  <c r="BI31" i="7"/>
  <c r="BI36" i="7"/>
  <c r="BI33" i="7"/>
  <c r="BI38" i="7"/>
  <c r="G49" i="39"/>
  <c r="U33" i="7"/>
  <c r="BH4" i="7"/>
  <c r="BH29" i="7"/>
  <c r="BH34" i="7"/>
  <c r="BH37" i="7"/>
  <c r="BH38" i="7"/>
  <c r="BH30" i="7"/>
  <c r="BH31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3" i="7"/>
  <c r="BH25" i="7"/>
  <c r="BH32" i="7"/>
  <c r="BH33" i="7"/>
  <c r="BH36" i="7"/>
  <c r="BH35" i="7"/>
  <c r="BH5" i="7"/>
  <c r="BH26" i="7"/>
  <c r="BH27" i="7"/>
  <c r="BH28" i="7"/>
  <c r="G49" i="38"/>
  <c r="U32" i="7"/>
  <c r="BG6" i="7"/>
  <c r="BG7" i="7"/>
  <c r="BG8" i="7"/>
  <c r="BG9" i="7"/>
  <c r="BG10" i="7"/>
  <c r="BG11" i="7"/>
  <c r="BG12" i="7"/>
  <c r="BG13" i="7"/>
  <c r="BG14" i="7"/>
  <c r="BG15" i="7"/>
  <c r="BG27" i="7"/>
  <c r="BG34" i="7"/>
  <c r="BG26" i="7"/>
  <c r="BG32" i="7"/>
  <c r="BG29" i="7"/>
  <c r="BG31" i="7"/>
  <c r="BG36" i="7"/>
  <c r="BG38" i="7"/>
  <c r="BG33" i="7"/>
  <c r="BG37" i="7"/>
  <c r="BG35" i="7"/>
  <c r="BG5" i="7"/>
  <c r="BG25" i="7"/>
  <c r="BG28" i="7"/>
  <c r="BG30" i="7"/>
  <c r="BG4" i="7"/>
  <c r="BG16" i="7"/>
  <c r="BG17" i="7"/>
  <c r="BG18" i="7"/>
  <c r="BG19" i="7"/>
  <c r="BG23" i="7"/>
  <c r="BG24" i="7"/>
  <c r="G49" i="37"/>
  <c r="U31" i="7"/>
  <c r="BF34" i="7"/>
  <c r="BF26" i="7"/>
  <c r="BF27" i="7"/>
  <c r="BF31" i="7"/>
  <c r="BF28" i="7"/>
  <c r="BF29" i="7"/>
  <c r="BF37" i="7"/>
  <c r="BF38" i="7"/>
  <c r="BF25" i="7"/>
  <c r="BF32" i="7"/>
  <c r="BF33" i="7"/>
  <c r="BF36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3" i="7"/>
  <c r="BF24" i="7"/>
  <c r="BF5" i="7"/>
  <c r="BF4" i="7"/>
  <c r="BF35" i="7"/>
  <c r="BF30" i="7"/>
  <c r="G49" i="36"/>
  <c r="U30" i="7"/>
  <c r="BE6" i="7"/>
  <c r="BE7" i="7"/>
  <c r="BE8" i="7"/>
  <c r="BE9" i="7"/>
  <c r="BE10" i="7"/>
  <c r="BE11" i="7"/>
  <c r="BE12" i="7"/>
  <c r="BE13" i="7"/>
  <c r="BE14" i="7"/>
  <c r="BE15" i="7"/>
  <c r="BE16" i="7"/>
  <c r="BE17" i="7"/>
  <c r="BE18" i="7"/>
  <c r="BE19" i="7"/>
  <c r="BE23" i="7"/>
  <c r="BE24" i="7"/>
  <c r="BE25" i="7"/>
  <c r="BE34" i="7"/>
  <c r="BE26" i="7"/>
  <c r="BE5" i="7"/>
  <c r="BE31" i="7"/>
  <c r="BE27" i="7"/>
  <c r="BE37" i="7"/>
  <c r="BE4" i="7"/>
  <c r="BE33" i="7"/>
  <c r="BE28" i="7"/>
  <c r="BE29" i="7"/>
  <c r="BE32" i="7"/>
  <c r="BE35" i="7"/>
  <c r="BE30" i="7"/>
  <c r="BE36" i="7"/>
  <c r="BE38" i="7"/>
  <c r="G49" i="35"/>
  <c r="U29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3" i="7"/>
  <c r="BD24" i="7"/>
  <c r="BD25" i="7"/>
  <c r="BD28" i="7"/>
  <c r="BD29" i="7"/>
  <c r="BD34" i="7"/>
  <c r="BD38" i="7"/>
  <c r="BD36" i="7"/>
  <c r="BD4" i="7"/>
  <c r="BD5" i="7"/>
  <c r="BD27" i="7"/>
  <c r="BD35" i="7"/>
  <c r="BD37" i="7"/>
  <c r="BD26" i="7"/>
  <c r="BD30" i="7"/>
  <c r="BD31" i="7"/>
  <c r="BD32" i="7"/>
  <c r="BD33" i="7"/>
  <c r="G49" i="34"/>
  <c r="U28" i="7"/>
  <c r="BC26" i="7"/>
  <c r="BC29" i="7"/>
  <c r="BC34" i="7"/>
  <c r="BC36" i="7"/>
  <c r="BC5" i="7"/>
  <c r="BC6" i="7"/>
  <c r="BC7" i="7"/>
  <c r="BC8" i="7"/>
  <c r="BC9" i="7"/>
  <c r="BC10" i="7"/>
  <c r="BC11" i="7"/>
  <c r="BC12" i="7"/>
  <c r="BC13" i="7"/>
  <c r="BC14" i="7"/>
  <c r="BC15" i="7"/>
  <c r="BC16" i="7"/>
  <c r="BC17" i="7"/>
  <c r="BC18" i="7"/>
  <c r="BC19" i="7"/>
  <c r="BC23" i="7"/>
  <c r="BC24" i="7"/>
  <c r="BC25" i="7"/>
  <c r="BC31" i="7"/>
  <c r="BC32" i="7"/>
  <c r="BC38" i="7"/>
  <c r="BC27" i="7"/>
  <c r="BC33" i="7"/>
  <c r="BC35" i="7"/>
  <c r="BC4" i="7"/>
  <c r="BC28" i="7"/>
  <c r="BC30" i="7"/>
  <c r="BC37" i="7"/>
  <c r="U27" i="7"/>
  <c r="G49" i="33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3" i="7"/>
  <c r="BB24" i="7"/>
  <c r="BB25" i="7"/>
  <c r="BB26" i="7"/>
  <c r="BB28" i="7"/>
  <c r="BB29" i="7"/>
  <c r="BB38" i="7"/>
  <c r="BB27" i="7"/>
  <c r="BB33" i="7"/>
  <c r="BB37" i="7"/>
  <c r="BB36" i="7"/>
  <c r="BB35" i="7"/>
  <c r="BB31" i="7"/>
  <c r="BB32" i="7"/>
  <c r="BB34" i="7"/>
  <c r="BB5" i="7"/>
  <c r="BB30" i="7"/>
  <c r="BB4" i="7"/>
  <c r="G49" i="32"/>
  <c r="U26" i="7"/>
  <c r="BA33" i="7"/>
  <c r="BA28" i="7"/>
  <c r="BA30" i="7"/>
  <c r="BA38" i="7"/>
  <c r="BA5" i="7"/>
  <c r="BA27" i="7"/>
  <c r="BA34" i="7"/>
  <c r="BA35" i="7"/>
  <c r="BA26" i="7"/>
  <c r="BA29" i="7"/>
  <c r="BA31" i="7"/>
  <c r="BA6" i="7"/>
  <c r="BA7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3" i="7"/>
  <c r="BA24" i="7"/>
  <c r="BA25" i="7"/>
  <c r="BA4" i="7"/>
  <c r="BA32" i="7"/>
  <c r="BA36" i="7"/>
  <c r="BA37" i="7"/>
  <c r="G49" i="31"/>
  <c r="U25" i="7"/>
  <c r="AZ34" i="7"/>
  <c r="AZ36" i="7"/>
  <c r="AZ33" i="7"/>
  <c r="AZ27" i="7"/>
  <c r="AZ26" i="7"/>
  <c r="AZ28" i="7"/>
  <c r="AZ29" i="7"/>
  <c r="AZ32" i="7"/>
  <c r="AZ35" i="7"/>
  <c r="AZ37" i="7"/>
  <c r="AZ38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3" i="7"/>
  <c r="AZ24" i="7"/>
  <c r="AZ25" i="7"/>
  <c r="AZ5" i="7"/>
  <c r="AZ4" i="7"/>
  <c r="AZ31" i="7"/>
  <c r="AZ30" i="7"/>
  <c r="G49" i="30"/>
  <c r="U24" i="7"/>
  <c r="AY38" i="7"/>
  <c r="AY27" i="7"/>
  <c r="AY29" i="7"/>
  <c r="AY26" i="7"/>
  <c r="AY28" i="7"/>
  <c r="AY30" i="7"/>
  <c r="AY31" i="7"/>
  <c r="AY36" i="7"/>
  <c r="AY37" i="7"/>
  <c r="AY4" i="7"/>
  <c r="AY33" i="7"/>
  <c r="AY6" i="7"/>
  <c r="AY7" i="7"/>
  <c r="AY8" i="7"/>
  <c r="AY9" i="7"/>
  <c r="AY10" i="7"/>
  <c r="AY11" i="7"/>
  <c r="AY12" i="7"/>
  <c r="AY13" i="7"/>
  <c r="AY14" i="7"/>
  <c r="AY15" i="7"/>
  <c r="AY16" i="7"/>
  <c r="AY17" i="7"/>
  <c r="AY18" i="7"/>
  <c r="AY19" i="7"/>
  <c r="AY23" i="7"/>
  <c r="AY24" i="7"/>
  <c r="AY25" i="7"/>
  <c r="AY32" i="7"/>
  <c r="AY35" i="7"/>
  <c r="AY5" i="7"/>
  <c r="AY34" i="7"/>
  <c r="G49" i="29"/>
  <c r="U23" i="7"/>
  <c r="AX4" i="7"/>
  <c r="AX37" i="7"/>
  <c r="AX5" i="7"/>
  <c r="AX32" i="7"/>
  <c r="AX36" i="7"/>
  <c r="AX34" i="7"/>
  <c r="AX29" i="7"/>
  <c r="AX38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3" i="7"/>
  <c r="AX24" i="7"/>
  <c r="AX25" i="7"/>
  <c r="AX26" i="7"/>
  <c r="AX31" i="7"/>
  <c r="AX28" i="7"/>
  <c r="AX30" i="7"/>
  <c r="AX33" i="7"/>
  <c r="AX35" i="7"/>
  <c r="AX27" i="7"/>
  <c r="G49" i="28"/>
  <c r="U22" i="7"/>
  <c r="AW4" i="7"/>
  <c r="AW26" i="7"/>
  <c r="AW35" i="7"/>
  <c r="AW30" i="7"/>
  <c r="AW34" i="7"/>
  <c r="AW5" i="7"/>
  <c r="AW38" i="7"/>
  <c r="AW32" i="7"/>
  <c r="AW37" i="7"/>
  <c r="AW31" i="7"/>
  <c r="AW36" i="7"/>
  <c r="AW6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3" i="7"/>
  <c r="AW24" i="7"/>
  <c r="AW25" i="7"/>
  <c r="AW33" i="7"/>
  <c r="AW27" i="7"/>
  <c r="AW29" i="7"/>
  <c r="AW28" i="7"/>
  <c r="G49" i="27"/>
  <c r="U21" i="7"/>
  <c r="AV36" i="7"/>
  <c r="AV33" i="7"/>
  <c r="AV34" i="7"/>
  <c r="AV28" i="7"/>
  <c r="AV29" i="7"/>
  <c r="AV35" i="7"/>
  <c r="AV30" i="7"/>
  <c r="AV5" i="7"/>
  <c r="AV26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3" i="7"/>
  <c r="AV24" i="7"/>
  <c r="AV25" i="7"/>
  <c r="AV27" i="7"/>
  <c r="AV32" i="7"/>
  <c r="AV37" i="7"/>
  <c r="AV4" i="7"/>
  <c r="AV31" i="7"/>
  <c r="AV38" i="7"/>
  <c r="G49" i="26"/>
  <c r="U20" i="7"/>
  <c r="AU5" i="7"/>
  <c r="AU33" i="7"/>
  <c r="AU35" i="7"/>
  <c r="AU37" i="7"/>
  <c r="AU27" i="7"/>
  <c r="AU36" i="7"/>
  <c r="AU4" i="7"/>
  <c r="AU31" i="7"/>
  <c r="AU30" i="7"/>
  <c r="AU32" i="7"/>
  <c r="AU34" i="7"/>
  <c r="AU6" i="7"/>
  <c r="AU7" i="7"/>
  <c r="AU8" i="7"/>
  <c r="AU9" i="7"/>
  <c r="AU10" i="7"/>
  <c r="AU11" i="7"/>
  <c r="AU12" i="7"/>
  <c r="AU13" i="7"/>
  <c r="AU14" i="7"/>
  <c r="AU15" i="7"/>
  <c r="AU16" i="7"/>
  <c r="AU17" i="7"/>
  <c r="AU18" i="7"/>
  <c r="AU19" i="7"/>
  <c r="AU23" i="7"/>
  <c r="AU24" i="7"/>
  <c r="AU25" i="7"/>
  <c r="AU26" i="7"/>
  <c r="AU28" i="7"/>
  <c r="AU38" i="7"/>
  <c r="AU29" i="7"/>
  <c r="G49" i="25"/>
  <c r="U19" i="7"/>
  <c r="AT27" i="7"/>
  <c r="AT28" i="7"/>
  <c r="AT31" i="7"/>
  <c r="AT38" i="7"/>
  <c r="AT5" i="7"/>
  <c r="AT35" i="7"/>
  <c r="AT37" i="7"/>
  <c r="AT30" i="7"/>
  <c r="AT26" i="7"/>
  <c r="AT33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3" i="7"/>
  <c r="AT24" i="7"/>
  <c r="AT25" i="7"/>
  <c r="AT4" i="7"/>
  <c r="AT29" i="7"/>
  <c r="AT32" i="7"/>
  <c r="AT34" i="7"/>
  <c r="AT36" i="7"/>
  <c r="G49" i="24"/>
  <c r="U18" i="7"/>
  <c r="AS5" i="7"/>
  <c r="AS29" i="7"/>
  <c r="AS32" i="7"/>
  <c r="AS4" i="7"/>
  <c r="AS35" i="7"/>
  <c r="AS38" i="7"/>
  <c r="AS6" i="7"/>
  <c r="AS7" i="7"/>
  <c r="AS8" i="7"/>
  <c r="AS9" i="7"/>
  <c r="AS10" i="7"/>
  <c r="AS11" i="7"/>
  <c r="AS12" i="7"/>
  <c r="AS13" i="7"/>
  <c r="AS14" i="7"/>
  <c r="AS15" i="7"/>
  <c r="AS16" i="7"/>
  <c r="AS17" i="7"/>
  <c r="AS18" i="7"/>
  <c r="AS19" i="7"/>
  <c r="AS23" i="7"/>
  <c r="AS24" i="7"/>
  <c r="AS25" i="7"/>
  <c r="AS27" i="7"/>
  <c r="AS37" i="7"/>
  <c r="AS33" i="7"/>
  <c r="AS34" i="7"/>
  <c r="AS36" i="7"/>
  <c r="AS28" i="7"/>
  <c r="AS30" i="7"/>
  <c r="AS26" i="7"/>
  <c r="AS31" i="7"/>
  <c r="U17" i="7"/>
  <c r="G49" i="23"/>
  <c r="AR27" i="7"/>
  <c r="AR34" i="7"/>
  <c r="AR35" i="7"/>
  <c r="AR31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3" i="7"/>
  <c r="AR24" i="7"/>
  <c r="AR25" i="7"/>
  <c r="AR5" i="7"/>
  <c r="AR30" i="7"/>
  <c r="AR37" i="7"/>
  <c r="AR26" i="7"/>
  <c r="AR38" i="7"/>
  <c r="AR29" i="7"/>
  <c r="AR32" i="7"/>
  <c r="AR33" i="7"/>
  <c r="AR4" i="7"/>
  <c r="AR28" i="7"/>
  <c r="AR36" i="7"/>
  <c r="G49" i="22"/>
  <c r="U16" i="7"/>
  <c r="AQ28" i="7"/>
  <c r="AQ27" i="7"/>
  <c r="AQ26" i="7"/>
  <c r="AQ30" i="7"/>
  <c r="AQ5" i="7"/>
  <c r="AQ29" i="7"/>
  <c r="AQ38" i="7"/>
  <c r="AQ36" i="7"/>
  <c r="AQ37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3" i="7"/>
  <c r="AQ24" i="7"/>
  <c r="AQ25" i="7"/>
  <c r="AQ4" i="7"/>
  <c r="AQ33" i="7"/>
  <c r="AQ35" i="7"/>
  <c r="AQ31" i="7"/>
  <c r="AQ32" i="7"/>
  <c r="AQ34" i="7"/>
  <c r="U15" i="7"/>
  <c r="G49" i="21"/>
  <c r="AP15" i="7"/>
  <c r="AP16" i="7"/>
  <c r="AP17" i="7"/>
  <c r="AP18" i="7"/>
  <c r="AP19" i="7"/>
  <c r="AP23" i="7"/>
  <c r="AP24" i="7"/>
  <c r="AP25" i="7"/>
  <c r="AP6" i="7"/>
  <c r="AP7" i="7"/>
  <c r="AP8" i="7"/>
  <c r="AP9" i="7"/>
  <c r="AP10" i="7"/>
  <c r="AP11" i="7"/>
  <c r="AP12" i="7"/>
  <c r="AP13" i="7"/>
  <c r="AP14" i="7"/>
  <c r="AP5" i="7"/>
  <c r="AP32" i="7"/>
  <c r="AP36" i="7"/>
  <c r="AP26" i="7"/>
  <c r="AP38" i="7"/>
  <c r="AP4" i="7"/>
  <c r="AP33" i="7"/>
  <c r="AP35" i="7"/>
  <c r="AP27" i="7"/>
  <c r="AP34" i="7"/>
  <c r="AP28" i="7"/>
  <c r="AP29" i="7"/>
  <c r="AP30" i="7"/>
  <c r="AP37" i="7"/>
  <c r="AP31" i="7"/>
  <c r="U14" i="7"/>
  <c r="G49" i="20"/>
  <c r="AO4" i="7"/>
  <c r="AO38" i="7"/>
  <c r="AO26" i="7"/>
  <c r="AO34" i="7"/>
  <c r="AO36" i="7"/>
  <c r="AO37" i="7"/>
  <c r="AO32" i="7"/>
  <c r="AO33" i="7"/>
  <c r="AO6" i="7"/>
  <c r="AO7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3" i="7"/>
  <c r="AO24" i="7"/>
  <c r="AO25" i="7"/>
  <c r="AO30" i="7"/>
  <c r="AO31" i="7"/>
  <c r="AO5" i="7"/>
  <c r="AO28" i="7"/>
  <c r="AO29" i="7"/>
  <c r="AO35" i="7"/>
  <c r="AO27" i="7"/>
  <c r="U13" i="7"/>
  <c r="G49" i="19"/>
  <c r="AN27" i="7"/>
  <c r="AN33" i="7"/>
  <c r="AN28" i="7"/>
  <c r="AN38" i="7"/>
  <c r="AN34" i="7"/>
  <c r="AN36" i="7"/>
  <c r="AN5" i="7"/>
  <c r="AN26" i="7"/>
  <c r="AN29" i="7"/>
  <c r="AN37" i="7"/>
  <c r="AN30" i="7"/>
  <c r="AN31" i="7"/>
  <c r="AN35" i="7"/>
  <c r="AN4" i="7"/>
  <c r="AN32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3" i="7"/>
  <c r="AN24" i="7"/>
  <c r="AN25" i="7"/>
  <c r="G49" i="18"/>
  <c r="U12" i="7"/>
  <c r="AM4" i="7"/>
  <c r="AM31" i="7"/>
  <c r="AM35" i="7"/>
  <c r="AM32" i="7"/>
  <c r="AM36" i="7"/>
  <c r="AM29" i="7"/>
  <c r="AM5" i="7"/>
  <c r="AM26" i="7"/>
  <c r="AM30" i="7"/>
  <c r="AM6" i="7"/>
  <c r="AM7" i="7"/>
  <c r="AM8" i="7"/>
  <c r="AM9" i="7"/>
  <c r="AM10" i="7"/>
  <c r="AM11" i="7"/>
  <c r="AM12" i="7"/>
  <c r="AM13" i="7"/>
  <c r="AM14" i="7"/>
  <c r="AM15" i="7"/>
  <c r="AM16" i="7"/>
  <c r="AM17" i="7"/>
  <c r="AM18" i="7"/>
  <c r="AM19" i="7"/>
  <c r="AM23" i="7"/>
  <c r="AM24" i="7"/>
  <c r="AM25" i="7"/>
  <c r="AM28" i="7"/>
  <c r="AM27" i="7"/>
  <c r="AM33" i="7"/>
  <c r="AM34" i="7"/>
  <c r="AM37" i="7"/>
  <c r="AM38" i="7"/>
  <c r="G49" i="17"/>
  <c r="U11" i="7"/>
  <c r="AL32" i="7"/>
  <c r="AL36" i="7"/>
  <c r="AL29" i="7"/>
  <c r="AL30" i="7"/>
  <c r="AL35" i="7"/>
  <c r="AL28" i="7"/>
  <c r="AL33" i="7"/>
  <c r="AL34" i="7"/>
  <c r="AL37" i="7"/>
  <c r="AL31" i="7"/>
  <c r="AL5" i="7"/>
  <c r="AL27" i="7"/>
  <c r="AL38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3" i="7"/>
  <c r="AL24" i="7"/>
  <c r="AL25" i="7"/>
  <c r="AL4" i="7"/>
  <c r="AL26" i="7"/>
  <c r="G49" i="16"/>
  <c r="U10" i="7"/>
  <c r="AK4" i="7"/>
  <c r="AK5" i="7"/>
  <c r="AK32" i="7"/>
  <c r="AK6" i="7"/>
  <c r="AK7" i="7"/>
  <c r="AK8" i="7"/>
  <c r="AK9" i="7"/>
  <c r="AK10" i="7"/>
  <c r="AK11" i="7"/>
  <c r="AK12" i="7"/>
  <c r="AK13" i="7"/>
  <c r="AK26" i="7"/>
  <c r="AK29" i="7"/>
  <c r="AK33" i="7"/>
  <c r="AK27" i="7"/>
  <c r="AK28" i="7"/>
  <c r="AK37" i="7"/>
  <c r="AK30" i="7"/>
  <c r="AK31" i="7"/>
  <c r="AK35" i="7"/>
  <c r="AK34" i="7"/>
  <c r="AK36" i="7"/>
  <c r="AK38" i="7"/>
  <c r="AK14" i="7"/>
  <c r="AK15" i="7"/>
  <c r="AK16" i="7"/>
  <c r="AK17" i="7"/>
  <c r="AK18" i="7"/>
  <c r="AK19" i="7"/>
  <c r="AK23" i="7"/>
  <c r="AK24" i="7"/>
  <c r="AK25" i="7"/>
  <c r="G49" i="15"/>
  <c r="U9" i="7"/>
  <c r="AJ34" i="7"/>
  <c r="AJ37" i="7"/>
  <c r="AJ5" i="7"/>
  <c r="AJ29" i="7"/>
  <c r="AJ36" i="7"/>
  <c r="AJ38" i="7"/>
  <c r="AJ4" i="7"/>
  <c r="AJ28" i="7"/>
  <c r="AJ26" i="7"/>
  <c r="AJ30" i="7"/>
  <c r="AJ31" i="7"/>
  <c r="AJ32" i="7"/>
  <c r="AJ33" i="7"/>
  <c r="AJ35" i="7"/>
  <c r="AJ6" i="7"/>
  <c r="AJ7" i="7"/>
  <c r="AJ8" i="7"/>
  <c r="AJ9" i="7"/>
  <c r="AJ10" i="7"/>
  <c r="AJ11" i="7"/>
  <c r="AJ12" i="7"/>
  <c r="AJ27" i="7"/>
  <c r="AJ13" i="7"/>
  <c r="AJ14" i="7"/>
  <c r="AJ15" i="7"/>
  <c r="AJ16" i="7"/>
  <c r="AJ17" i="7"/>
  <c r="AJ18" i="7"/>
  <c r="AJ19" i="7"/>
  <c r="AJ23" i="7"/>
  <c r="AJ24" i="7"/>
  <c r="AJ25" i="7"/>
  <c r="G49" i="14"/>
  <c r="U8" i="7"/>
  <c r="AI28" i="7"/>
  <c r="AI26" i="7"/>
  <c r="AI34" i="7"/>
  <c r="AI38" i="7"/>
  <c r="AI29" i="7"/>
  <c r="AI32" i="7"/>
  <c r="AI5" i="7"/>
  <c r="AI36" i="7"/>
  <c r="AI31" i="7"/>
  <c r="AI4" i="7"/>
  <c r="AI27" i="7"/>
  <c r="AI30" i="7"/>
  <c r="AI37" i="7"/>
  <c r="AI6" i="7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3" i="7"/>
  <c r="AI24" i="7"/>
  <c r="AI25" i="7"/>
  <c r="AI33" i="7"/>
  <c r="AI35" i="7"/>
  <c r="G49" i="13"/>
  <c r="U7" i="7"/>
  <c r="AH29" i="7"/>
  <c r="AH30" i="7"/>
  <c r="AH31" i="7"/>
  <c r="AH32" i="7"/>
  <c r="AH33" i="7"/>
  <c r="AH28" i="7"/>
  <c r="AH27" i="7"/>
  <c r="AH34" i="7"/>
  <c r="AH38" i="7"/>
  <c r="AH35" i="7"/>
  <c r="AH37" i="7"/>
  <c r="AH26" i="7"/>
  <c r="AH36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3" i="7"/>
  <c r="AH24" i="7"/>
  <c r="AH25" i="7"/>
  <c r="AH5" i="7"/>
  <c r="AH4" i="7"/>
  <c r="G49" i="12"/>
  <c r="U6" i="7"/>
  <c r="AG38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3" i="7"/>
  <c r="AG24" i="7"/>
  <c r="AG25" i="7"/>
  <c r="AG32" i="7"/>
  <c r="AG34" i="7"/>
  <c r="AG35" i="7"/>
  <c r="AG37" i="7"/>
  <c r="AG31" i="7"/>
  <c r="AG36" i="7"/>
  <c r="AG4" i="7"/>
  <c r="AG33" i="7"/>
  <c r="AG26" i="7"/>
  <c r="AG30" i="7"/>
  <c r="AG27" i="7"/>
  <c r="AG28" i="7"/>
  <c r="AG29" i="7"/>
  <c r="AG5" i="7"/>
  <c r="G49" i="11"/>
  <c r="U5" i="7"/>
  <c r="AF5" i="7"/>
  <c r="AF4" i="7"/>
  <c r="AF27" i="7"/>
  <c r="AF35" i="7"/>
  <c r="AF32" i="7"/>
  <c r="AF33" i="7"/>
  <c r="AF28" i="7"/>
  <c r="AF36" i="7"/>
  <c r="AF34" i="7"/>
  <c r="AF26" i="7"/>
  <c r="AF29" i="7"/>
  <c r="AF37" i="7"/>
  <c r="AF30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3" i="7"/>
  <c r="AF24" i="7"/>
  <c r="AF25" i="7"/>
  <c r="AF38" i="7"/>
  <c r="AF31" i="7"/>
  <c r="G9" i="41"/>
  <c r="B7" i="41"/>
  <c r="G49" i="10"/>
  <c r="C63" i="10" s="1"/>
  <c r="C63" i="11" s="1"/>
  <c r="U4" i="7"/>
  <c r="H16" i="7"/>
  <c r="C62" i="10"/>
  <c r="C62" i="11" s="1"/>
  <c r="C62" i="12" s="1"/>
  <c r="C62" i="13" s="1"/>
  <c r="C62" i="14" s="1"/>
  <c r="C62" i="15" s="1"/>
  <c r="C62" i="16" s="1"/>
  <c r="C62" i="17" s="1"/>
  <c r="C62" i="18" s="1"/>
  <c r="C62" i="19" s="1"/>
  <c r="C62" i="20" s="1"/>
  <c r="C62" i="21" s="1"/>
  <c r="C62" i="22" s="1"/>
  <c r="C62" i="23" s="1"/>
  <c r="C62" i="24" s="1"/>
  <c r="C62" i="25" s="1"/>
  <c r="C62" i="26" s="1"/>
  <c r="C62" i="27" s="1"/>
  <c r="C62" i="28" s="1"/>
  <c r="C62" i="29" s="1"/>
  <c r="C62" i="30" s="1"/>
  <c r="C62" i="31" s="1"/>
  <c r="C62" i="32" s="1"/>
  <c r="C62" i="33" s="1"/>
  <c r="C62" i="34" s="1"/>
  <c r="C62" i="35" s="1"/>
  <c r="C62" i="36" s="1"/>
  <c r="C62" i="37" s="1"/>
  <c r="C62" i="38" s="1"/>
  <c r="C62" i="39" s="1"/>
  <c r="C62" i="40" s="1"/>
  <c r="AE26" i="7"/>
  <c r="AE33" i="7"/>
  <c r="AE37" i="7"/>
  <c r="AE27" i="7"/>
  <c r="AE32" i="7"/>
  <c r="AE30" i="7"/>
  <c r="AE34" i="7"/>
  <c r="AE35" i="7"/>
  <c r="AE28" i="7"/>
  <c r="AE36" i="7"/>
  <c r="AE29" i="7"/>
  <c r="AE5" i="7"/>
  <c r="AE31" i="7"/>
  <c r="AE38" i="7"/>
  <c r="AE4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3" i="7"/>
  <c r="AE24" i="7"/>
  <c r="AE25" i="7"/>
  <c r="BB19" i="5"/>
  <c r="E22" i="5"/>
  <c r="H22" i="5"/>
  <c r="F22" i="5"/>
  <c r="C22" i="5"/>
  <c r="E21" i="5"/>
  <c r="H21" i="5"/>
  <c r="BB18" i="5"/>
  <c r="F21" i="5"/>
  <c r="C21" i="5"/>
  <c r="H20" i="5"/>
  <c r="C20" i="5"/>
  <c r="BB17" i="5"/>
  <c r="F20" i="5"/>
  <c r="E20" i="5"/>
  <c r="F19" i="5"/>
  <c r="E19" i="5"/>
  <c r="H19" i="5"/>
  <c r="C19" i="5"/>
  <c r="BB16" i="5"/>
  <c r="BB15" i="5"/>
  <c r="C18" i="5"/>
  <c r="E18" i="5"/>
  <c r="F18" i="5"/>
  <c r="H18" i="5"/>
  <c r="BB14" i="5"/>
  <c r="E17" i="5"/>
  <c r="H17" i="5"/>
  <c r="C17" i="5"/>
  <c r="F17" i="5"/>
  <c r="BB13" i="5"/>
  <c r="F16" i="5"/>
  <c r="C16" i="5"/>
  <c r="H16" i="5"/>
  <c r="E16" i="5"/>
  <c r="E15" i="5"/>
  <c r="C15" i="5"/>
  <c r="F15" i="5"/>
  <c r="H15" i="5"/>
  <c r="BB12" i="5"/>
  <c r="C14" i="5"/>
  <c r="E14" i="5"/>
  <c r="F14" i="5"/>
  <c r="H14" i="5"/>
  <c r="BB11" i="5"/>
  <c r="F13" i="5"/>
  <c r="H13" i="5"/>
  <c r="C13" i="5"/>
  <c r="E13" i="5"/>
  <c r="BB10" i="5"/>
  <c r="C12" i="5"/>
  <c r="F12" i="5"/>
  <c r="H12" i="5"/>
  <c r="BB9" i="5"/>
  <c r="E12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E10" i="5"/>
  <c r="C10" i="5"/>
  <c r="F10" i="5"/>
  <c r="H10" i="5"/>
  <c r="BB7" i="5"/>
  <c r="BB6" i="5"/>
  <c r="C9" i="5"/>
  <c r="E9" i="5"/>
  <c r="H9" i="5"/>
  <c r="F9" i="5"/>
  <c r="BB5" i="5"/>
  <c r="C8" i="5"/>
  <c r="E8" i="5"/>
  <c r="F8" i="5"/>
  <c r="H8" i="5"/>
  <c r="C7" i="5"/>
  <c r="C23" i="5" s="1"/>
  <c r="I26" i="5" s="1"/>
  <c r="E7" i="5"/>
  <c r="F7" i="5"/>
  <c r="H7" i="5"/>
  <c r="H23" i="5" s="1"/>
  <c r="BH7" i="5"/>
  <c r="BB4" i="5"/>
  <c r="BH8" i="5" s="1"/>
  <c r="I31" i="5" s="1"/>
  <c r="BH24" i="7"/>
  <c r="C7" i="41"/>
  <c r="B38" i="3"/>
  <c r="D14" i="3" s="1"/>
  <c r="E7" i="41" l="1"/>
  <c r="G7" i="41"/>
  <c r="BT6" i="7"/>
  <c r="B7" i="7" s="1"/>
  <c r="D10" i="3"/>
  <c r="D19" i="3"/>
  <c r="B5" i="1"/>
  <c r="V57" i="5"/>
  <c r="AB57" i="5"/>
  <c r="AK57" i="5"/>
  <c r="X57" i="5"/>
  <c r="AG57" i="5"/>
  <c r="AV57" i="5"/>
  <c r="Z57" i="5"/>
  <c r="AJ57" i="5"/>
  <c r="AT57" i="5"/>
  <c r="AA57" i="5"/>
  <c r="AL57" i="5"/>
  <c r="AU57" i="5"/>
  <c r="AR57" i="5"/>
  <c r="AD57" i="5"/>
  <c r="AM57" i="5"/>
  <c r="Y57" i="5"/>
  <c r="AH57" i="5"/>
  <c r="AQ57" i="5"/>
  <c r="AX57" i="5"/>
  <c r="W57" i="5"/>
  <c r="AC57" i="5"/>
  <c r="AI57" i="5"/>
  <c r="AP57" i="5"/>
  <c r="AS57" i="5"/>
  <c r="U57" i="5"/>
  <c r="AF57" i="5"/>
  <c r="AO57" i="5"/>
  <c r="AW57" i="5"/>
  <c r="AE57" i="5"/>
  <c r="AN57" i="5"/>
  <c r="AY57" i="5"/>
  <c r="Y56" i="5"/>
  <c r="AJ56" i="5"/>
  <c r="AT56" i="5"/>
  <c r="U56" i="5"/>
  <c r="AB56" i="5"/>
  <c r="AI56" i="5"/>
  <c r="AO56" i="5"/>
  <c r="AV56" i="5"/>
  <c r="V56" i="5"/>
  <c r="AG56" i="5"/>
  <c r="AQ56" i="5"/>
  <c r="AE56" i="5"/>
  <c r="AP56" i="5"/>
  <c r="AY56" i="5"/>
  <c r="X56" i="5"/>
  <c r="AF56" i="5"/>
  <c r="AM56" i="5"/>
  <c r="AS56" i="5"/>
  <c r="W56" i="5"/>
  <c r="AH56" i="5"/>
  <c r="AR56" i="5"/>
  <c r="AA56" i="5"/>
  <c r="AL56" i="5"/>
  <c r="AW56" i="5"/>
  <c r="Z56" i="5"/>
  <c r="AK56" i="5"/>
  <c r="AU56" i="5"/>
  <c r="AD56" i="5"/>
  <c r="AC56" i="5"/>
  <c r="AN56" i="5"/>
  <c r="AX56" i="5"/>
  <c r="AA55" i="5"/>
  <c r="AI55" i="5"/>
  <c r="AT55" i="5"/>
  <c r="AR55" i="5"/>
  <c r="X55" i="5"/>
  <c r="AF55" i="5"/>
  <c r="AP55" i="5"/>
  <c r="V55" i="5"/>
  <c r="AD55" i="5"/>
  <c r="AN55" i="5"/>
  <c r="AY55" i="5"/>
  <c r="Y55" i="5"/>
  <c r="AE55" i="5"/>
  <c r="AJ55" i="5"/>
  <c r="AO55" i="5"/>
  <c r="AV55" i="5"/>
  <c r="Z55" i="5"/>
  <c r="AG55" i="5"/>
  <c r="AQ55" i="5"/>
  <c r="AB55" i="5"/>
  <c r="AK55" i="5"/>
  <c r="AU55" i="5"/>
  <c r="W55" i="5"/>
  <c r="AH55" i="5"/>
  <c r="AS55" i="5"/>
  <c r="AL55" i="5"/>
  <c r="AW55" i="5"/>
  <c r="U55" i="5"/>
  <c r="AC55" i="5"/>
  <c r="AM55" i="5"/>
  <c r="AX55" i="5"/>
  <c r="V54" i="5"/>
  <c r="AE54" i="5"/>
  <c r="AP54" i="5"/>
  <c r="AC54" i="5"/>
  <c r="AM54" i="5"/>
  <c r="AW54" i="5"/>
  <c r="Y54" i="5"/>
  <c r="AG54" i="5"/>
  <c r="AN54" i="5"/>
  <c r="AS54" i="5"/>
  <c r="AB54" i="5"/>
  <c r="AK54" i="5"/>
  <c r="AV54" i="5"/>
  <c r="W54" i="5"/>
  <c r="AH54" i="5"/>
  <c r="AQ54" i="5"/>
  <c r="Z54" i="5"/>
  <c r="AF54" i="5"/>
  <c r="AL54" i="5"/>
  <c r="AR54" i="5"/>
  <c r="AX54" i="5"/>
  <c r="AA54" i="5"/>
  <c r="AJ54" i="5"/>
  <c r="AU54" i="5"/>
  <c r="U54" i="5"/>
  <c r="AD54" i="5"/>
  <c r="AO54" i="5"/>
  <c r="AY54" i="5"/>
  <c r="X54" i="5"/>
  <c r="AI54" i="5"/>
  <c r="AT54" i="5"/>
  <c r="Z53" i="5"/>
  <c r="AL53" i="5"/>
  <c r="AV53" i="5"/>
  <c r="X53" i="5"/>
  <c r="AI53" i="5"/>
  <c r="AT53" i="5"/>
  <c r="Y53" i="5"/>
  <c r="AE53" i="5"/>
  <c r="AK53" i="5"/>
  <c r="AR53" i="5"/>
  <c r="AY53" i="5"/>
  <c r="AA53" i="5"/>
  <c r="AM53" i="5"/>
  <c r="AU53" i="5"/>
  <c r="AH53" i="5"/>
  <c r="AD53" i="5"/>
  <c r="AO53" i="5"/>
  <c r="U53" i="5"/>
  <c r="AG53" i="5"/>
  <c r="AS53" i="5"/>
  <c r="W53" i="5"/>
  <c r="AF53" i="5"/>
  <c r="AQ53" i="5"/>
  <c r="AC53" i="5"/>
  <c r="AN53" i="5"/>
  <c r="AX53" i="5"/>
  <c r="V53" i="5"/>
  <c r="AB53" i="5"/>
  <c r="AJ53" i="5"/>
  <c r="AP53" i="5"/>
  <c r="AW53" i="5"/>
  <c r="Y52" i="5"/>
  <c r="AJ52" i="5"/>
  <c r="AW52" i="5"/>
  <c r="V52" i="5"/>
  <c r="AD52" i="5"/>
  <c r="AK52" i="5"/>
  <c r="AR52" i="5"/>
  <c r="W52" i="5"/>
  <c r="AH52" i="5"/>
  <c r="AT52" i="5"/>
  <c r="AE52" i="5"/>
  <c r="AQ52" i="5"/>
  <c r="Z52" i="5"/>
  <c r="AG52" i="5"/>
  <c r="AP52" i="5"/>
  <c r="AX52" i="5"/>
  <c r="X52" i="5"/>
  <c r="AI52" i="5"/>
  <c r="AV52" i="5"/>
  <c r="AL52" i="5"/>
  <c r="AU52" i="5"/>
  <c r="AA52" i="5"/>
  <c r="AM52" i="5"/>
  <c r="AY52" i="5"/>
  <c r="AB52" i="5"/>
  <c r="AN52" i="5"/>
  <c r="U52" i="5"/>
  <c r="AF52" i="5"/>
  <c r="AS52" i="5"/>
  <c r="AC52" i="5"/>
  <c r="AO52" i="5"/>
  <c r="AG51" i="5"/>
  <c r="AR51" i="5"/>
  <c r="V51" i="5"/>
  <c r="AD51" i="5"/>
  <c r="AL51" i="5"/>
  <c r="AS51" i="5"/>
  <c r="AF51" i="5"/>
  <c r="AP51" i="5"/>
  <c r="Z51" i="5"/>
  <c r="AM51" i="5"/>
  <c r="AX51" i="5"/>
  <c r="W51" i="5"/>
  <c r="AC51" i="5"/>
  <c r="AK51" i="5"/>
  <c r="AO51" i="5"/>
  <c r="AY51" i="5"/>
  <c r="AE51" i="5"/>
  <c r="AQ51" i="5"/>
  <c r="AA51" i="5"/>
  <c r="X51" i="5"/>
  <c r="AI51" i="5"/>
  <c r="AU51" i="5"/>
  <c r="U51" i="5"/>
  <c r="AH51" i="5"/>
  <c r="AV51" i="5"/>
  <c r="AT51" i="5"/>
  <c r="AB51" i="5"/>
  <c r="AN51" i="5"/>
  <c r="Y51" i="5"/>
  <c r="AJ51" i="5"/>
  <c r="AW51" i="5"/>
  <c r="AB50" i="5"/>
  <c r="AP50" i="5"/>
  <c r="Y50" i="5"/>
  <c r="AM50" i="5"/>
  <c r="AE50" i="5"/>
  <c r="AX50" i="5"/>
  <c r="AG50" i="5"/>
  <c r="AS50" i="5"/>
  <c r="AA50" i="5"/>
  <c r="AO50" i="5"/>
  <c r="Z50" i="5"/>
  <c r="AL50" i="5"/>
  <c r="AY50" i="5"/>
  <c r="AI50" i="5"/>
  <c r="AR50" i="5"/>
  <c r="X50" i="5"/>
  <c r="AK50" i="5"/>
  <c r="AW50" i="5"/>
  <c r="AF50" i="5"/>
  <c r="AQ50" i="5"/>
  <c r="W50" i="5"/>
  <c r="AC50" i="5"/>
  <c r="AJ50" i="5"/>
  <c r="AT50" i="5"/>
  <c r="U50" i="5"/>
  <c r="BF12" i="5" s="1"/>
  <c r="G15" i="5" s="1"/>
  <c r="K15" i="5" s="1"/>
  <c r="O15" i="5" s="1"/>
  <c r="AH50" i="5"/>
  <c r="AU50" i="5"/>
  <c r="V50" i="5"/>
  <c r="AD50" i="5"/>
  <c r="AN50" i="5"/>
  <c r="AV50" i="5"/>
  <c r="X49" i="5"/>
  <c r="AE49" i="5"/>
  <c r="AN49" i="5"/>
  <c r="AU49" i="5"/>
  <c r="Y49" i="5"/>
  <c r="AO49" i="5"/>
  <c r="AB49" i="5"/>
  <c r="AL49" i="5"/>
  <c r="AR49" i="5"/>
  <c r="V49" i="5"/>
  <c r="AJ49" i="5"/>
  <c r="AW49" i="5"/>
  <c r="AC49" i="5"/>
  <c r="AP49" i="5"/>
  <c r="AD49" i="5"/>
  <c r="AT49" i="5"/>
  <c r="W49" i="5"/>
  <c r="AK49" i="5"/>
  <c r="AX49" i="5"/>
  <c r="U49" i="5"/>
  <c r="AH49" i="5"/>
  <c r="AV49" i="5"/>
  <c r="AG49" i="5"/>
  <c r="AS49" i="5"/>
  <c r="AA49" i="5"/>
  <c r="AI49" i="5"/>
  <c r="AF49" i="5"/>
  <c r="AQ49" i="5"/>
  <c r="Z49" i="5"/>
  <c r="AM49" i="5"/>
  <c r="AY49" i="5"/>
  <c r="AE48" i="5"/>
  <c r="AS48" i="5"/>
  <c r="Z48" i="5"/>
  <c r="AN48" i="5"/>
  <c r="AA48" i="5"/>
  <c r="AM48" i="5"/>
  <c r="W48" i="5"/>
  <c r="AK48" i="5"/>
  <c r="AY48" i="5"/>
  <c r="Y48" i="5"/>
  <c r="AG48" i="5"/>
  <c r="AQ48" i="5"/>
  <c r="AW48" i="5"/>
  <c r="X48" i="5"/>
  <c r="AJ48" i="5"/>
  <c r="AX48" i="5"/>
  <c r="AD48" i="5"/>
  <c r="AR48" i="5"/>
  <c r="V48" i="5"/>
  <c r="AF48" i="5"/>
  <c r="AL48" i="5"/>
  <c r="AT48" i="5"/>
  <c r="AB48" i="5"/>
  <c r="AP48" i="5"/>
  <c r="U48" i="5"/>
  <c r="AI48" i="5"/>
  <c r="AU48" i="5"/>
  <c r="AC48" i="5"/>
  <c r="AO48" i="5"/>
  <c r="AH48" i="5"/>
  <c r="AV48" i="5"/>
  <c r="Y47" i="5"/>
  <c r="AF47" i="5"/>
  <c r="AM47" i="5"/>
  <c r="AU47" i="5"/>
  <c r="AD47" i="5"/>
  <c r="AR47" i="5"/>
  <c r="V47" i="5"/>
  <c r="AK47" i="5"/>
  <c r="U47" i="5"/>
  <c r="AI47" i="5"/>
  <c r="AT47" i="5"/>
  <c r="X47" i="5"/>
  <c r="AL47" i="5"/>
  <c r="AY47" i="5"/>
  <c r="AG47" i="5"/>
  <c r="AW47" i="5"/>
  <c r="AB47" i="5"/>
  <c r="AQ47" i="5"/>
  <c r="AE47" i="5"/>
  <c r="AS47" i="5"/>
  <c r="AA47" i="5"/>
  <c r="AO47" i="5"/>
  <c r="Z47" i="5"/>
  <c r="AH47" i="5"/>
  <c r="AN47" i="5"/>
  <c r="AX47" i="5"/>
  <c r="AC47" i="5"/>
  <c r="AP47" i="5"/>
  <c r="W47" i="5"/>
  <c r="AJ47" i="5"/>
  <c r="AV47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C63" i="12"/>
  <c r="C63" i="13" s="1"/>
  <c r="C63" i="14" s="1"/>
  <c r="C63" i="15" s="1"/>
  <c r="C63" i="16" s="1"/>
  <c r="C63" i="17" s="1"/>
  <c r="C63" i="18" s="1"/>
  <c r="C63" i="19" s="1"/>
  <c r="C63" i="20" s="1"/>
  <c r="C63" i="21" s="1"/>
  <c r="C63" i="22" s="1"/>
  <c r="C63" i="23" s="1"/>
  <c r="C63" i="24" s="1"/>
  <c r="C63" i="25" s="1"/>
  <c r="C63" i="26" s="1"/>
  <c r="C63" i="27" s="1"/>
  <c r="C63" i="28" s="1"/>
  <c r="C63" i="29" s="1"/>
  <c r="C63" i="30" s="1"/>
  <c r="C63" i="31" s="1"/>
  <c r="C63" i="32" s="1"/>
  <c r="C63" i="33" s="1"/>
  <c r="C63" i="34" s="1"/>
  <c r="C63" i="35" s="1"/>
  <c r="C63" i="36" s="1"/>
  <c r="C63" i="37" s="1"/>
  <c r="C63" i="38" s="1"/>
  <c r="C63" i="39" s="1"/>
  <c r="C63" i="40" s="1"/>
  <c r="BK11" i="7"/>
  <c r="BK14" i="7"/>
  <c r="BK15" i="7"/>
  <c r="BK17" i="7"/>
  <c r="G7" i="7"/>
  <c r="BK26" i="7"/>
  <c r="BK33" i="7"/>
  <c r="BK37" i="7"/>
  <c r="BK27" i="7"/>
  <c r="BK32" i="7"/>
  <c r="BK30" i="7"/>
  <c r="BK34" i="7"/>
  <c r="BK35" i="7"/>
  <c r="BK28" i="7"/>
  <c r="BK36" i="7"/>
  <c r="BK29" i="7"/>
  <c r="BK5" i="7"/>
  <c r="BM5" i="7" s="1"/>
  <c r="BK31" i="7"/>
  <c r="BK38" i="7"/>
  <c r="BK4" i="7"/>
  <c r="BK6" i="7"/>
  <c r="BM6" i="7" s="1"/>
  <c r="BK7" i="7"/>
  <c r="BM7" i="7" s="1"/>
  <c r="BK8" i="7"/>
  <c r="BK9" i="7"/>
  <c r="BK10" i="7"/>
  <c r="BK12" i="7"/>
  <c r="BK13" i="7"/>
  <c r="BK16" i="7"/>
  <c r="BK18" i="7"/>
  <c r="BK19" i="7"/>
  <c r="BK23" i="7"/>
  <c r="BK24" i="7"/>
  <c r="BK25" i="7"/>
  <c r="BF8" i="5"/>
  <c r="G11" i="5" s="1"/>
  <c r="K11" i="5" s="1"/>
  <c r="O11" i="5" s="1"/>
  <c r="D16" i="3" l="1"/>
  <c r="BT7" i="7"/>
  <c r="D7" i="7" s="1"/>
  <c r="BM4" i="7"/>
  <c r="BF19" i="5"/>
  <c r="G22" i="5" s="1"/>
  <c r="K22" i="5" s="1"/>
  <c r="O22" i="5" s="1"/>
  <c r="BF18" i="5"/>
  <c r="G21" i="5" s="1"/>
  <c r="K21" i="5" s="1"/>
  <c r="O21" i="5" s="1"/>
  <c r="BF5" i="5"/>
  <c r="G8" i="5" s="1"/>
  <c r="K8" i="5" s="1"/>
  <c r="O8" i="5" s="1"/>
  <c r="BF15" i="5"/>
  <c r="G18" i="5" s="1"/>
  <c r="K18" i="5" s="1"/>
  <c r="O18" i="5" s="1"/>
  <c r="BF16" i="5"/>
  <c r="G19" i="5" s="1"/>
  <c r="K19" i="5" s="1"/>
  <c r="O19" i="5" s="1"/>
  <c r="BF6" i="5"/>
  <c r="G9" i="5" s="1"/>
  <c r="K9" i="5" s="1"/>
  <c r="O9" i="5" s="1"/>
  <c r="BF4" i="5"/>
  <c r="BF13" i="5"/>
  <c r="G16" i="5" s="1"/>
  <c r="K16" i="5" s="1"/>
  <c r="O16" i="5" s="1"/>
  <c r="BF7" i="5"/>
  <c r="G10" i="5" s="1"/>
  <c r="K10" i="5" s="1"/>
  <c r="O10" i="5" s="1"/>
  <c r="BF11" i="5"/>
  <c r="G14" i="5" s="1"/>
  <c r="K14" i="5" s="1"/>
  <c r="O14" i="5" s="1"/>
  <c r="BF10" i="5"/>
  <c r="G13" i="5" s="1"/>
  <c r="K13" i="5" s="1"/>
  <c r="O13" i="5" s="1"/>
  <c r="BF9" i="5"/>
  <c r="G12" i="5" s="1"/>
  <c r="K12" i="5" s="1"/>
  <c r="O12" i="5" s="1"/>
  <c r="BM11" i="7"/>
  <c r="BN11" i="7" s="1"/>
  <c r="BM14" i="7"/>
  <c r="BM15" i="7"/>
  <c r="BM17" i="7"/>
  <c r="BF14" i="5"/>
  <c r="G17" i="5" s="1"/>
  <c r="K17" i="5" s="1"/>
  <c r="O17" i="5" s="1"/>
  <c r="BM8" i="7"/>
  <c r="BM9" i="7"/>
  <c r="BM10" i="7"/>
  <c r="BM12" i="7"/>
  <c r="BM13" i="7"/>
  <c r="BM16" i="7"/>
  <c r="BM18" i="7"/>
  <c r="BM19" i="7"/>
  <c r="BF17" i="5"/>
  <c r="G20" i="5" s="1"/>
  <c r="K20" i="5" s="1"/>
  <c r="O20" i="5" s="1"/>
  <c r="BN6" i="7" l="1"/>
  <c r="BN7" i="7"/>
  <c r="BN5" i="7"/>
  <c r="BN4" i="7"/>
  <c r="G7" i="5"/>
  <c r="BH6" i="5"/>
  <c r="I30" i="5" s="1"/>
  <c r="BN14" i="7"/>
  <c r="BN15" i="7"/>
  <c r="BN17" i="7"/>
  <c r="BN8" i="7"/>
  <c r="BN9" i="7"/>
  <c r="BN10" i="7"/>
  <c r="BN12" i="7"/>
  <c r="BN13" i="7"/>
  <c r="BN16" i="7"/>
  <c r="BN18" i="7"/>
  <c r="BN19" i="7"/>
  <c r="J31" i="7" l="1"/>
  <c r="B33" i="7"/>
  <c r="J36" i="7"/>
  <c r="H37" i="7"/>
  <c r="L37" i="7" s="1"/>
  <c r="J41" i="7"/>
  <c r="J40" i="7"/>
  <c r="B6" i="9"/>
  <c r="C6" i="9"/>
  <c r="D6" i="9"/>
  <c r="B7" i="9"/>
  <c r="C7" i="9"/>
  <c r="D7" i="9"/>
  <c r="B8" i="9"/>
  <c r="C8" i="9"/>
  <c r="D8" i="9"/>
  <c r="B9" i="9"/>
  <c r="C9" i="9"/>
  <c r="D9" i="9"/>
  <c r="B10" i="9"/>
  <c r="C10" i="9"/>
  <c r="D10" i="9"/>
  <c r="B11" i="9"/>
  <c r="C11" i="9"/>
  <c r="D11" i="9"/>
  <c r="B12" i="9"/>
  <c r="C12" i="9"/>
  <c r="D12" i="9"/>
  <c r="B13" i="9"/>
  <c r="C13" i="9"/>
  <c r="D13" i="9"/>
  <c r="B14" i="9"/>
  <c r="C14" i="9"/>
  <c r="D14" i="9"/>
  <c r="B15" i="9"/>
  <c r="C15" i="9"/>
  <c r="D15" i="9"/>
  <c r="B16" i="9"/>
  <c r="C16" i="9"/>
  <c r="D16" i="9"/>
  <c r="B17" i="9"/>
  <c r="C17" i="9"/>
  <c r="D17" i="9"/>
  <c r="B18" i="9"/>
  <c r="C18" i="9"/>
  <c r="D18" i="9"/>
  <c r="B19" i="9"/>
  <c r="C19" i="9"/>
  <c r="D19" i="9"/>
  <c r="B20" i="9"/>
  <c r="C20" i="9"/>
  <c r="D20" i="9"/>
  <c r="B21" i="9"/>
  <c r="C21" i="9"/>
  <c r="D21" i="9"/>
  <c r="H28" i="7"/>
  <c r="L28" i="7" s="1"/>
  <c r="J32" i="7"/>
  <c r="B34" i="7"/>
  <c r="J35" i="7"/>
  <c r="H36" i="7"/>
  <c r="L36" i="7" s="1"/>
  <c r="B41" i="7"/>
  <c r="J28" i="7"/>
  <c r="B30" i="7"/>
  <c r="J33" i="7"/>
  <c r="B35" i="7"/>
  <c r="B39" i="7"/>
  <c r="J30" i="7"/>
  <c r="B32" i="7"/>
  <c r="B36" i="7"/>
  <c r="B38" i="7"/>
  <c r="J38" i="7"/>
  <c r="H42" i="7"/>
  <c r="L42" i="7" s="1"/>
  <c r="H43" i="7"/>
  <c r="L43" i="7" s="1"/>
  <c r="J34" i="7"/>
  <c r="B40" i="7"/>
  <c r="J43" i="7"/>
  <c r="H34" i="7"/>
  <c r="L34" i="7" s="1"/>
  <c r="H40" i="7"/>
  <c r="L40" i="7" s="1"/>
  <c r="B42" i="7"/>
  <c r="H30" i="7"/>
  <c r="L30" i="7" s="1"/>
  <c r="H31" i="7"/>
  <c r="L31" i="7" s="1"/>
  <c r="H32" i="7"/>
  <c r="L32" i="7" s="1"/>
  <c r="J42" i="7"/>
  <c r="H29" i="7"/>
  <c r="L29" i="7" s="1"/>
  <c r="H33" i="7"/>
  <c r="L33" i="7" s="1"/>
  <c r="B37" i="7"/>
  <c r="J37" i="7"/>
  <c r="H38" i="7"/>
  <c r="L38" i="7" s="1"/>
  <c r="H39" i="7"/>
  <c r="L39" i="7" s="1"/>
  <c r="H41" i="7"/>
  <c r="L41" i="7" s="1"/>
  <c r="B28" i="7"/>
  <c r="B29" i="7"/>
  <c r="J29" i="7"/>
  <c r="B31" i="7"/>
  <c r="H35" i="7"/>
  <c r="L35" i="7" s="1"/>
  <c r="J39" i="7"/>
  <c r="B43" i="7"/>
  <c r="K7" i="5"/>
  <c r="G23" i="5"/>
  <c r="F6" i="9" l="1"/>
  <c r="E6" i="9"/>
  <c r="F7" i="9"/>
  <c r="E7" i="9"/>
  <c r="F8" i="9"/>
  <c r="E8" i="9"/>
  <c r="F9" i="9"/>
  <c r="E9" i="9"/>
  <c r="F10" i="9"/>
  <c r="E10" i="9"/>
  <c r="F11" i="9"/>
  <c r="E11" i="9"/>
  <c r="F12" i="9"/>
  <c r="E12" i="9"/>
  <c r="F13" i="9"/>
  <c r="E13" i="9"/>
  <c r="F14" i="9"/>
  <c r="E14" i="9"/>
  <c r="F15" i="9"/>
  <c r="E15" i="9"/>
  <c r="F16" i="9"/>
  <c r="E16" i="9"/>
  <c r="F17" i="9"/>
  <c r="E17" i="9"/>
  <c r="F18" i="9"/>
  <c r="E18" i="9"/>
  <c r="F19" i="9"/>
  <c r="E19" i="9"/>
  <c r="F20" i="9"/>
  <c r="E20" i="9"/>
  <c r="F21" i="9"/>
  <c r="E21" i="9"/>
  <c r="O7" i="5"/>
  <c r="O23" i="5" s="1"/>
  <c r="I28" i="5" s="1"/>
  <c r="K23" i="5"/>
  <c r="I27" i="5" s="1"/>
</calcChain>
</file>

<file path=xl/sharedStrings.xml><?xml version="1.0" encoding="utf-8"?>
<sst xmlns="http://schemas.openxmlformats.org/spreadsheetml/2006/main" count="3908" uniqueCount="1610">
  <si>
    <t>GUIDE</t>
  </si>
  <si>
    <t>GUIDE — HOW THIS WORKBOOK WORKS</t>
  </si>
  <si>
    <t>Gallatin Ford · Advanced Deal Log v6 · daily driver</t>
  </si>
  <si>
    <t>Daily flow</t>
  </si>
  <si>
    <t>Open today’s day tab (gold TODAY chip on the nav rail). Enter each deal on one row: type, deal#, stock, customer, SP1/SP2, vehicle, gross, status. Splits: put both reps in SP1 and SP2 — credit auto-splits ½/½.</t>
  </si>
  <si>
    <t>Status drives everything</t>
  </si>
  <si>
    <t>Delivered counts toward units, gross, pace and pay. Pending / Unwind / Back Out are isolated — they never credit a rollup and surface only in the pipeline and FLAGS.</t>
  </si>
  <si>
    <t>Dashboard</t>
  </si>
  <si>
    <t>Live month-to-date roll-up of all 31 day tabs: MTD cards, goal &amp; pace band, calendar (click a day to jump), salesperson leaderboard, channel mix, products.</t>
  </si>
  <si>
    <t>Deal Explorer</t>
  </si>
  <si>
    <t>Every deal in one filterable ledger. Set the criteria (Salesperson matches SP1 or SP2, Type, Status, Certified, Min Gross, Search), then filter the ✓ column (Data → Reapply).</t>
  </si>
  <si>
    <t>Commissions</t>
  </si>
  <si>
    <t>Retro pay: each rep’s final monthly units set the tier for every deal. Draw is entered by payroll (yellow column); Balance = Earnings − Draw. Six internal audits sit under the table.</t>
  </si>
  <si>
    <t>Trade Report</t>
  </si>
  <si>
    <t>Per-day trades, turned-in vs kept, and ACV, with a month recap. Kept (not-turned-in) trades are flagged.</t>
  </si>
  <si>
    <t>Nightly Text</t>
  </si>
  <si>
    <t>Fill the yellow live inputs, wait for “✅ READY TO COPY”, then copy the box at the bottom into Teams. Day-override cell lets you re-run a prior day.</t>
  </si>
  <si>
    <t>Scoreboard / Leaderboard</t>
  </si>
  <si>
    <t>Scoreboard is goal-vs-MTD with pace %. Leaderboard is the printable rep ranking. Both stay blank (“-”) until goals and deals exist.</t>
  </si>
  <si>
    <t>Goals &amp; Pay Plan</t>
  </si>
  <si>
    <t>Set monthly Unit / Gross / PVR goals on the Goals tab — they flow to every surface. The Pay Plan tab is the single source of truth for commission math (edit the dollar cells).</t>
  </si>
  <si>
    <t>GALLATIN FORD — JULY 2026 GOALS</t>
  </si>
  <si>
    <t>MONTH FACTS</t>
  </si>
  <si>
    <t>Month</t>
  </si>
  <si>
    <t>July 2026</t>
  </si>
  <si>
    <t>Days in Month</t>
  </si>
  <si>
    <t>Closed (Sundays)</t>
  </si>
  <si>
    <t>Selling Days</t>
  </si>
  <si>
    <t>MONTHLY GOALS</t>
  </si>
  <si>
    <t>Units</t>
  </si>
  <si>
    <t>Gross</t>
  </si>
  <si>
    <t>New</t>
  </si>
  <si>
    <t>Used</t>
  </si>
  <si>
    <t>Total</t>
  </si>
  <si>
    <t>PVR GOALS (per copy)</t>
  </si>
  <si>
    <t>Front PVR</t>
  </si>
  <si>
    <t>Back PVR</t>
  </si>
  <si>
    <t>Total PVR</t>
  </si>
  <si>
    <t>PER-SELLING-DAY TARGETS</t>
  </si>
  <si>
    <t>Units / Day</t>
  </si>
  <si>
    <t>Gross / Day</t>
  </si>
  <si>
    <t>CONSISTENCY CHECK (±2%)</t>
  </si>
  <si>
    <t>SCOREBOARD</t>
  </si>
  <si>
    <t>SCOREBOARD — JULY 2026</t>
  </si>
  <si>
    <t>Goal vs month-to-date · blank until goals + deals are entered</t>
  </si>
  <si>
    <t>UNITS</t>
  </si>
  <si>
    <t>Goal</t>
  </si>
  <si>
    <t>MTD</t>
  </si>
  <si>
    <t>% Goal</t>
  </si>
  <si>
    <t>To Go</t>
  </si>
  <si>
    <t>GROSS</t>
  </si>
  <si>
    <t>PVR &amp; PACE</t>
  </si>
  <si>
    <t>PVR (MTD)</t>
  </si>
  <si>
    <t>goal</t>
  </si>
  <si>
    <t>Selling days left</t>
  </si>
  <si>
    <t>% to unit goal</t>
  </si>
  <si>
    <t>% to gross goal</t>
  </si>
  <si>
    <t>DEAL EXPLORER</t>
  </si>
  <si>
    <t>DEAL EXPLORER — JULY 2026</t>
  </si>
  <si>
    <t>Every deal in the month, one filterable ledger · set criteria below, then filter the ✓ column (Data → Reapply)</t>
  </si>
  <si>
    <t>Salesperson (SP1 or SP2)</t>
  </si>
  <si>
    <t>Type</t>
  </si>
  <si>
    <t>Status</t>
  </si>
  <si>
    <t>Cert?</t>
  </si>
  <si>
    <t>Min Gross</t>
  </si>
  <si>
    <t>Search text</t>
  </si>
  <si>
    <t>✓</t>
  </si>
  <si>
    <t>Date</t>
  </si>
  <si>
    <t>Deal#</t>
  </si>
  <si>
    <t>Stock</t>
  </si>
  <si>
    <t>Customer</t>
  </si>
  <si>
    <t>SP1</t>
  </si>
  <si>
    <t>SP2</t>
  </si>
  <si>
    <t>Vehicle</t>
  </si>
  <si>
    <t>Cert</t>
  </si>
  <si>
    <t>COMMISSIONS</t>
  </si>
  <si>
    <t>COMMISSIONS — JULY 2026</t>
  </si>
  <si>
    <t>Retro pay — final monthly units set the tier for every deal · qualifying = delivered · split = ½ flat · product $ to SP1 · draws entered by payroll</t>
  </si>
  <si>
    <t>COMMISSIONS AGG</t>
  </si>
  <si>
    <t>FEDY ALI</t>
  </si>
  <si>
    <t>CHAD EMBRY</t>
  </si>
  <si>
    <t>#</t>
  </si>
  <si>
    <t>Salesperson</t>
  </si>
  <si>
    <t>PVR</t>
  </si>
  <si>
    <t>Tier</t>
  </si>
  <si>
    <t>Flat</t>
  </si>
  <si>
    <t>Unit Bon</t>
  </si>
  <si>
    <t>FastStrt</t>
  </si>
  <si>
    <t>Prod $</t>
  </si>
  <si>
    <t>EARNINGS</t>
  </si>
  <si>
    <t>Draw</t>
  </si>
  <si>
    <t>BALANCE</t>
  </si>
  <si>
    <t>RICH AMMERMAN</t>
  </si>
  <si>
    <t>GARRET SCHWETTMAN</t>
  </si>
  <si>
    <t>MERCEDES CLARK</t>
  </si>
  <si>
    <t>ZAY JOHNSON</t>
  </si>
  <si>
    <t>JUSTIN ROLLER</t>
  </si>
  <si>
    <t>MATT ALFIERI</t>
  </si>
  <si>
    <t>ZACH CUPP</t>
  </si>
  <si>
    <t>ANDREW MIEIR</t>
  </si>
  <si>
    <t>RAFAEL CAMPOS</t>
  </si>
  <si>
    <t>JACOB LICHTENSTRAHL</t>
  </si>
  <si>
    <t>BRAYDON JOHNSON</t>
  </si>
  <si>
    <t>CHRIS HORNE</t>
  </si>
  <si>
    <t>TIM CAMPBELL</t>
  </si>
  <si>
    <t>BILL RISKO</t>
  </si>
  <si>
    <t>TOTALS</t>
  </si>
  <si>
    <t>INTERNAL AUDITS</t>
  </si>
  <si>
    <t>1 · Units credited = delivered deals on tabs</t>
  </si>
  <si>
    <t>2 · Earnings = Flat + Unit Bonus + Fast-Start + Products</t>
  </si>
  <si>
    <t>3 · Balance = Earnings − Draw</t>
  </si>
  <si>
    <t>4 · Product $ = rate × delivered products</t>
  </si>
  <si>
    <t>5 · No negative flat or units</t>
  </si>
  <si>
    <t>6 · Every selling SP maps to a tier</t>
  </si>
  <si>
    <t>PAY PLAN — SALESPERSON COMMISSION  ·  SOURCE OF TRUTH</t>
  </si>
  <si>
    <t>Dollar cells are unlocked — edit here, everything recalculates.  RETROACTIVE: final monthly units set the tier for every deal.</t>
  </si>
  <si>
    <t>UNITS \ GROSS</t>
  </si>
  <si>
    <t>&lt;$1,499</t>
  </si>
  <si>
    <t>$1,500–2,499</t>
  </si>
  <si>
    <t>$2,500–3,499</t>
  </si>
  <si>
    <t>$3,500–3,999</t>
  </si>
  <si>
    <t>$4,000–5,499</t>
  </si>
  <si>
    <t>$5,500–6,999</t>
  </si>
  <si>
    <t>$7,000–8,499</t>
  </si>
  <si>
    <t>$8,500+</t>
  </si>
  <si>
    <t>lookup →</t>
  </si>
  <si>
    <t>0–7</t>
  </si>
  <si>
    <t>8–13</t>
  </si>
  <si>
    <t>14–16</t>
  </si>
  <si>
    <t>17–19</t>
  </si>
  <si>
    <t>20–24</t>
  </si>
  <si>
    <t>25–29</t>
  </si>
  <si>
    <t>30+</t>
  </si>
  <si>
    <t>UNIT BONUS</t>
  </si>
  <si>
    <t>FAST START ≤10th</t>
  </si>
  <si>
    <t>PRODUCT $</t>
  </si>
  <si>
    <t>WEEKLY DRAW</t>
  </si>
  <si>
    <t>Int/Ext</t>
  </si>
  <si>
    <t>$/wk</t>
  </si>
  <si>
    <t>LoJack</t>
  </si>
  <si>
    <t>VSC</t>
  </si>
  <si>
    <t>YEAR-END $/car</t>
  </si>
  <si>
    <t>Year-end is annual — this July book is monthly. Track annual units separately; rate × annual units at year end.
ASSUMPTIONS (labeled): A1 split deals pay flat × unit credit (0.5 = half flat) · A2 qualifying = delivered · A3 fast-start uses delivery (tab) date · A4 product $ to SP1 · A5 negative gross pays floor tier · A6 draws entered by payroll on Commissions · A8 product columns AM:AO are off the printed day page</t>
  </si>
  <si>
    <t>DASHBOARD</t>
  </si>
  <si>
    <t>COMMAND DASHBOARD — JULY 2026</t>
  </si>
  <si>
    <t>Gallatin Ford · live month-to-date roll-up from all 31 day tabs</t>
  </si>
  <si>
    <t>PER-DAY AGG</t>
  </si>
  <si>
    <t>MONTH-TO-DATE</t>
  </si>
  <si>
    <t>TOTAL GROSS</t>
  </si>
  <si>
    <t>FRONT</t>
  </si>
  <si>
    <t>FINANCE</t>
  </si>
  <si>
    <t>TRADES</t>
  </si>
  <si>
    <t>CPO</t>
  </si>
  <si>
    <t>GOAL &amp; PACE</t>
  </si>
  <si>
    <t>Unit Goal</t>
  </si>
  <si>
    <t>% to Units</t>
  </si>
  <si>
    <t>Gross Goal</t>
  </si>
  <si>
    <t>% to Gross</t>
  </si>
  <si>
    <t>Selling Days Left</t>
  </si>
  <si>
    <t>PACE VERDICT</t>
  </si>
  <si>
    <t>JULY 2026 CALENDAR — click a day to open its tab</t>
  </si>
  <si>
    <t>SUN</t>
  </si>
  <si>
    <t>MON</t>
  </si>
  <si>
    <t>TUE</t>
  </si>
  <si>
    <t>WED</t>
  </si>
  <si>
    <t>THU</t>
  </si>
  <si>
    <t>FRI</t>
  </si>
  <si>
    <t>SAT</t>
  </si>
  <si>
    <t>closed</t>
  </si>
  <si>
    <t>SALESPERSON LEADERBOARD — month-to-date (split deals credited ½/½, ranked by units)</t>
  </si>
  <si>
    <t>CHANNEL MIX</t>
  </si>
  <si>
    <t>Avg/Unit</t>
  </si>
  <si>
    <t>Channel</t>
  </si>
  <si>
    <t>Deals</t>
  </si>
  <si>
    <t>% Mix</t>
  </si>
  <si>
    <t>PRODUCTS (MTD)</t>
  </si>
  <si>
    <t>Internet</t>
  </si>
  <si>
    <t>Phone</t>
  </si>
  <si>
    <t>Showroom</t>
  </si>
  <si>
    <t>Campaign</t>
  </si>
  <si>
    <t>Untagged</t>
  </si>
  <si>
    <t>NIGHTLY TEXT</t>
  </si>
  <si>
    <t>NIGHTLY TEXT — build tonight’s recap, then copy the box at the bottom into Teams</t>
  </si>
  <si>
    <t>DAY</t>
  </si>
  <si>
    <t>N u</t>
  </si>
  <si>
    <t>N frt</t>
  </si>
  <si>
    <t>N bk</t>
  </si>
  <si>
    <t>U u</t>
  </si>
  <si>
    <t>U frt</t>
  </si>
  <si>
    <t>U bk</t>
  </si>
  <si>
    <t>Jul 1</t>
  </si>
  <si>
    <t>Work days</t>
  </si>
  <si>
    <t>Days worked</t>
  </si>
  <si>
    <t>Jul 2</t>
  </si>
  <si>
    <t>Jul 3</t>
  </si>
  <si>
    <t>New deliv</t>
  </si>
  <si>
    <t>N. front</t>
  </si>
  <si>
    <t>N. back</t>
  </si>
  <si>
    <t>day override:</t>
  </si>
  <si>
    <t>Jul 4</t>
  </si>
  <si>
    <t>Used deliv</t>
  </si>
  <si>
    <t>U. front</t>
  </si>
  <si>
    <t>U. back</t>
  </si>
  <si>
    <t>Jul 5</t>
  </si>
  <si>
    <t>Gross today</t>
  </si>
  <si>
    <t>MTD New</t>
  </si>
  <si>
    <t>MTD Used</t>
  </si>
  <si>
    <t>Jul 6</t>
  </si>
  <si>
    <t>MTD gross</t>
  </si>
  <si>
    <t>Pacing</t>
  </si>
  <si>
    <t>Jul 7</t>
  </si>
  <si>
    <t>Jul 8</t>
  </si>
  <si>
    <t>LIVE INPUTS — fill these each night (activity not captured on the day tabs)</t>
  </si>
  <si>
    <t>Jul 9</t>
  </si>
  <si>
    <t>Sold Inet:</t>
  </si>
  <si>
    <t>Appt leads:</t>
  </si>
  <si>
    <t>MTD Inet cls%:</t>
  </si>
  <si>
    <t>Jul 10</t>
  </si>
  <si>
    <t>Phone calls:</t>
  </si>
  <si>
    <t>Emails:</t>
  </si>
  <si>
    <t>Texts:</t>
  </si>
  <si>
    <t>Videos:</t>
  </si>
  <si>
    <t>Jul 11</t>
  </si>
  <si>
    <t>Total comm</t>
  </si>
  <si>
    <t>Unanswered:</t>
  </si>
  <si>
    <t>Jul 12</t>
  </si>
  <si>
    <t>Inet leads:</t>
  </si>
  <si>
    <t>Phone leads:</t>
  </si>
  <si>
    <t>Walk-in:</t>
  </si>
  <si>
    <t>Appts tmrw:</t>
  </si>
  <si>
    <t>Jul 13</t>
  </si>
  <si>
    <t>Sales Warrior:</t>
  </si>
  <si>
    <t>Jul 14</t>
  </si>
  <si>
    <t>Jul 15</t>
  </si>
  <si>
    <t>Jul 16</t>
  </si>
  <si>
    <t>Jul 17</t>
  </si>
  <si>
    <t>Jul 18</t>
  </si>
  <si>
    <t>Jul 19</t>
  </si>
  <si>
    <t>Jul 20</t>
  </si>
  <si>
    <t>Jul 21</t>
  </si>
  <si>
    <t>Jul 22</t>
  </si>
  <si>
    <t>Jul 23</t>
  </si>
  <si>
    <t>Jul 24</t>
  </si>
  <si>
    <t>Jul 25</t>
  </si>
  <si>
    <t>Jul 26</t>
  </si>
  <si>
    <t>Jul 27</t>
  </si>
  <si>
    <t>Jul 28</t>
  </si>
  <si>
    <t>Jul 29</t>
  </si>
  <si>
    <t>Jul 30</t>
  </si>
  <si>
    <t>Jul 31</t>
  </si>
  <si>
    <t>LEADERBOARD</t>
  </si>
  <si>
    <t>LEADERBOARD — JULY 2026</t>
  </si>
  <si>
    <t>Month-to-date · split deals credited ½/½ · ranked by units</t>
  </si>
  <si>
    <t>Rank</t>
  </si>
  <si>
    <t>JUL 1</t>
  </si>
  <si>
    <t>GALLATIN FORD — JUL 1 · WEDNESDAY</t>
  </si>
  <si>
    <t>Daily Deal Log · July 2026</t>
  </si>
  <si>
    <t>DEAL</t>
  </si>
  <si>
    <t>SOLD VEHICLE</t>
  </si>
  <si>
    <t>TRADE</t>
  </si>
  <si>
    <t>DESK</t>
  </si>
  <si>
    <t>Stock#</t>
  </si>
  <si>
    <t>Age</t>
  </si>
  <si>
    <t>Sales Mgr</t>
  </si>
  <si>
    <t>F&amp;I Mgr</t>
  </si>
  <si>
    <t>Sold Yr</t>
  </si>
  <si>
    <t>Sold Make</t>
  </si>
  <si>
    <t>Sold Model</t>
  </si>
  <si>
    <t>RDR</t>
  </si>
  <si>
    <t>Lender</t>
  </si>
  <si>
    <t>Front Gross</t>
  </si>
  <si>
    <t>Finance Gross</t>
  </si>
  <si>
    <t>Total Gross</t>
  </si>
  <si>
    <t>Trade Stock#</t>
  </si>
  <si>
    <t>Trade Yr</t>
  </si>
  <si>
    <t>Trade Make</t>
  </si>
  <si>
    <t>Trade Model</t>
  </si>
  <si>
    <t>Trade Mileage</t>
  </si>
  <si>
    <t>Trade VIN</t>
  </si>
  <si>
    <t>Turned In</t>
  </si>
  <si>
    <t>Disposition</t>
  </si>
  <si>
    <t>ACV</t>
  </si>
  <si>
    <t>MMR</t>
  </si>
  <si>
    <t>ACV Est</t>
  </si>
  <si>
    <t>JD Power Clean</t>
  </si>
  <si>
    <t>Ad Source</t>
  </si>
  <si>
    <t>We Owe</t>
  </si>
  <si>
    <t>x Delivered</t>
  </si>
  <si>
    <t>x Cr SP1</t>
  </si>
  <si>
    <t>x Cr SP2</t>
  </si>
  <si>
    <t>x Channel</t>
  </si>
  <si>
    <t>VSC
(Y)</t>
  </si>
  <si>
    <t>LoJack
(Y)</t>
  </si>
  <si>
    <t>Int/Ext
(Y)</t>
  </si>
  <si>
    <t>x Gross Tier</t>
  </si>
  <si>
    <t>DAILY SUMMARY — JUL 1</t>
  </si>
  <si>
    <t>NEW</t>
  </si>
  <si>
    <t>USED</t>
  </si>
  <si>
    <t>TOTAL</t>
  </si>
  <si>
    <t>Trades Taken</t>
  </si>
  <si>
    <t>FLAGS</t>
  </si>
  <si>
    <t>Trades</t>
  </si>
  <si>
    <t>ACV Total</t>
  </si>
  <si>
    <t>Pending</t>
  </si>
  <si>
    <t>Not Turned In</t>
  </si>
  <si>
    <t>We Owes</t>
  </si>
  <si>
    <t>⚑  PACE COMMAND  —  MONTH STANDING THROUGH JUL 1   ·   goals sync from the Goals tab</t>
  </si>
  <si>
    <t>MTD Units</t>
  </si>
  <si>
    <t>MTD Gross</t>
  </si>
  <si>
    <t>Units Needed / Selling Day</t>
  </si>
  <si>
    <t>Gross Needed / Selling Day</t>
  </si>
  <si>
    <t>Selling Days Left (incl. today)</t>
  </si>
  <si>
    <t>Pace Verdict</t>
  </si>
  <si>
    <t>JUL 2</t>
  </si>
  <si>
    <t>GALLATIN FORD — JUL 2 · THURSDAY</t>
  </si>
  <si>
    <t>DAILY SUMMARY — JUL 2</t>
  </si>
  <si>
    <t>⚑  PACE COMMAND  —  MONTH STANDING THROUGH JUL 2   ·   goals sync from the Goals tab</t>
  </si>
  <si>
    <t>JUL 3</t>
  </si>
  <si>
    <t>GALLATIN FORD — JUL 3 · FRIDAY</t>
  </si>
  <si>
    <t>DAILY SUMMARY — JUL 3</t>
  </si>
  <si>
    <t>⚑  PACE COMMAND  —  MONTH STANDING THROUGH JUL 3   ·   goals sync from the Goals tab</t>
  </si>
  <si>
    <t>JUL 4</t>
  </si>
  <si>
    <t>GALLATIN FORD — JUL 4 · SATURDAY</t>
  </si>
  <si>
    <t>DAILY SUMMARY — JUL 4</t>
  </si>
  <si>
    <t>⚑  PACE COMMAND  —  MONTH STANDING THROUGH JUL 4   ·   goals sync from the Goals tab</t>
  </si>
  <si>
    <t>JUL 5</t>
  </si>
  <si>
    <t>GALLATIN FORD — JUL 5 · SUNDAY</t>
  </si>
  <si>
    <t>Daily Deal Log · July 2026  ·  CLOSED (SUNDAY)</t>
  </si>
  <si>
    <t>DAILY SUMMARY — JUL 5</t>
  </si>
  <si>
    <t>⚑  PACE COMMAND  —  MONTH STANDING THROUGH JUL 5   ·   goals sync from the Goals tab</t>
  </si>
  <si>
    <t>JUL 6</t>
  </si>
  <si>
    <t>GALLATIN FORD — JUL 6 · MONDAY</t>
  </si>
  <si>
    <t>DAILY SUMMARY — JUL 6</t>
  </si>
  <si>
    <t>⚑  PACE COMMAND  —  MONTH STANDING THROUGH JUL 6   ·   goals sync from the Goals tab</t>
  </si>
  <si>
    <t>JUL 7</t>
  </si>
  <si>
    <t>GALLATIN FORD — JUL 7 · TUESDAY</t>
  </si>
  <si>
    <t>DAILY SUMMARY — JUL 7</t>
  </si>
  <si>
    <t>⚑  PACE COMMAND  —  MONTH STANDING THROUGH JUL 7   ·   goals sync from the Goals tab</t>
  </si>
  <si>
    <t>JUL 8</t>
  </si>
  <si>
    <t>GALLATIN FORD — JUL 8 · WEDNESDAY</t>
  </si>
  <si>
    <t>DAILY SUMMARY — JUL 8</t>
  </si>
  <si>
    <t>⚑  PACE COMMAND  —  MONTH STANDING THROUGH JUL 8   ·   goals sync from the Goals tab</t>
  </si>
  <si>
    <t>JUL 9</t>
  </si>
  <si>
    <t>GALLATIN FORD — JUL 9 · THURSDAY</t>
  </si>
  <si>
    <t>DAILY SUMMARY — JUL 9</t>
  </si>
  <si>
    <t>⚑  PACE COMMAND  —  MONTH STANDING THROUGH JUL 9   ·   goals sync from the Goals tab</t>
  </si>
  <si>
    <t>JUL 10</t>
  </si>
  <si>
    <t>GALLATIN FORD — JUL 10 · FRIDAY</t>
  </si>
  <si>
    <t>DAILY SUMMARY — JUL 10</t>
  </si>
  <si>
    <t>⚑  PACE COMMAND  —  MONTH STANDING THROUGH JUL 10   ·   goals sync from the Goals tab</t>
  </si>
  <si>
    <t>JUL 11</t>
  </si>
  <si>
    <t>GALLATIN FORD — JUL 11 · SATURDAY</t>
  </si>
  <si>
    <t>DAILY SUMMARY — JUL 11</t>
  </si>
  <si>
    <t>⚑  PACE COMMAND  —  MONTH STANDING THROUGH JUL 11   ·   goals sync from the Goals tab</t>
  </si>
  <si>
    <t>JUL 12</t>
  </si>
  <si>
    <t>GALLATIN FORD — JUL 12 · SUNDAY</t>
  </si>
  <si>
    <t>DAILY SUMMARY — JUL 12</t>
  </si>
  <si>
    <t>⚑  PACE COMMAND  —  MONTH STANDING THROUGH JUL 12   ·   goals sync from the Goals tab</t>
  </si>
  <si>
    <t>JUL 13</t>
  </si>
  <si>
    <t>GALLATIN FORD — JUL 13 · MONDAY</t>
  </si>
  <si>
    <t>DAILY SUMMARY — JUL 13</t>
  </si>
  <si>
    <t>⚑  PACE COMMAND  —  MONTH STANDING THROUGH JUL 13   ·   goals sync from the Goals tab</t>
  </si>
  <si>
    <t>JUL 14</t>
  </si>
  <si>
    <t>GALLATIN FORD — JUL 14 · TUESDAY</t>
  </si>
  <si>
    <t>DAILY SUMMARY — JUL 14</t>
  </si>
  <si>
    <t>⚑  PACE COMMAND  —  MONTH STANDING THROUGH JUL 14   ·   goals sync from the Goals tab</t>
  </si>
  <si>
    <t>JUL 15</t>
  </si>
  <si>
    <t>GALLATIN FORD — JUL 15 · WEDNESDAY</t>
  </si>
  <si>
    <t>DAILY SUMMARY — JUL 15</t>
  </si>
  <si>
    <t>⚑  PACE COMMAND  —  MONTH STANDING THROUGH JUL 15   ·   goals sync from the Goals tab</t>
  </si>
  <si>
    <t>JUL 16</t>
  </si>
  <si>
    <t>GALLATIN FORD — JUL 16 · THURSDAY</t>
  </si>
  <si>
    <t>DAILY SUMMARY — JUL 16</t>
  </si>
  <si>
    <t>⚑  PACE COMMAND  —  MONTH STANDING THROUGH JUL 16   ·   goals sync from the Goals tab</t>
  </si>
  <si>
    <t>JUL 17</t>
  </si>
  <si>
    <t>GALLATIN FORD — JUL 17 · FRIDAY</t>
  </si>
  <si>
    <t>DAILY SUMMARY — JUL 17</t>
  </si>
  <si>
    <t>⚑  PACE COMMAND  —  MONTH STANDING THROUGH JUL 17   ·   goals sync from the Goals tab</t>
  </si>
  <si>
    <t>JUL 18</t>
  </si>
  <si>
    <t>GALLATIN FORD — JUL 18 · SATURDAY</t>
  </si>
  <si>
    <t>DAILY SUMMARY — JUL 18</t>
  </si>
  <si>
    <t>⚑  PACE COMMAND  —  MONTH STANDING THROUGH JUL 18   ·   goals sync from the Goals tab</t>
  </si>
  <si>
    <t>JUL 19</t>
  </si>
  <si>
    <t>GALLATIN FORD — JUL 19 · SUNDAY</t>
  </si>
  <si>
    <t>DAILY SUMMARY — JUL 19</t>
  </si>
  <si>
    <t>⚑  PACE COMMAND  —  MONTH STANDING THROUGH JUL 19   ·   goals sync from the Goals tab</t>
  </si>
  <si>
    <t>JUL 20</t>
  </si>
  <si>
    <t>GALLATIN FORD — JUL 20 · MONDAY</t>
  </si>
  <si>
    <t>DAILY SUMMARY — JUL 20</t>
  </si>
  <si>
    <t>⚑  PACE COMMAND  —  MONTH STANDING THROUGH JUL 20   ·   goals sync from the Goals tab</t>
  </si>
  <si>
    <t>JUL 21</t>
  </si>
  <si>
    <t>GALLATIN FORD — JUL 21 · TUESDAY</t>
  </si>
  <si>
    <t>DAILY SUMMARY — JUL 21</t>
  </si>
  <si>
    <t>⚑  PACE COMMAND  —  MONTH STANDING THROUGH JUL 21   ·   goals sync from the Goals tab</t>
  </si>
  <si>
    <t>JUL 22</t>
  </si>
  <si>
    <t>GALLATIN FORD — JUL 22 · WEDNESDAY</t>
  </si>
  <si>
    <t>DAILY SUMMARY — JUL 22</t>
  </si>
  <si>
    <t>⚑  PACE COMMAND  —  MONTH STANDING THROUGH JUL 22   ·   goals sync from the Goals tab</t>
  </si>
  <si>
    <t>JUL 23</t>
  </si>
  <si>
    <t>GALLATIN FORD — JUL 23 · THURSDAY</t>
  </si>
  <si>
    <t>DAILY SUMMARY — JUL 23</t>
  </si>
  <si>
    <t>⚑  PACE COMMAND  —  MONTH STANDING THROUGH JUL 23   ·   goals sync from the Goals tab</t>
  </si>
  <si>
    <t>JUL 24</t>
  </si>
  <si>
    <t>GALLATIN FORD — JUL 24 · FRIDAY</t>
  </si>
  <si>
    <t>DAILY SUMMARY — JUL 24</t>
  </si>
  <si>
    <t>⚑  PACE COMMAND  —  MONTH STANDING THROUGH JUL 24   ·   goals sync from the Goals tab</t>
  </si>
  <si>
    <t>JUL 25</t>
  </si>
  <si>
    <t>GALLATIN FORD — JUL 25 · SATURDAY</t>
  </si>
  <si>
    <t>DAILY SUMMARY — JUL 25</t>
  </si>
  <si>
    <t>⚑  PACE COMMAND  —  MONTH STANDING THROUGH JUL 25   ·   goals sync from the Goals tab</t>
  </si>
  <si>
    <t>JUL 26</t>
  </si>
  <si>
    <t>GALLATIN FORD — JUL 26 · SUNDAY</t>
  </si>
  <si>
    <t>DAILY SUMMARY — JUL 26</t>
  </si>
  <si>
    <t>⚑  PACE COMMAND  —  MONTH STANDING THROUGH JUL 26   ·   goals sync from the Goals tab</t>
  </si>
  <si>
    <t>JUL 27</t>
  </si>
  <si>
    <t>GALLATIN FORD — JUL 27 · MONDAY</t>
  </si>
  <si>
    <t>DAILY SUMMARY — JUL 27</t>
  </si>
  <si>
    <t>⚑  PACE COMMAND  —  MONTH STANDING THROUGH JUL 27   ·   goals sync from the Goals tab</t>
  </si>
  <si>
    <t>JUL 28</t>
  </si>
  <si>
    <t>GALLATIN FORD — JUL 28 · TUESDAY</t>
  </si>
  <si>
    <t>DAILY SUMMARY — JUL 28</t>
  </si>
  <si>
    <t>⚑  PACE COMMAND  —  MONTH STANDING THROUGH JUL 28   ·   goals sync from the Goals tab</t>
  </si>
  <si>
    <t>JUL 29</t>
  </si>
  <si>
    <t>GALLATIN FORD — JUL 29 · WEDNESDAY</t>
  </si>
  <si>
    <t>DAILY SUMMARY — JUL 29</t>
  </si>
  <si>
    <t>⚑  PACE COMMAND  —  MONTH STANDING THROUGH JUL 29   ·   goals sync from the Goals tab</t>
  </si>
  <si>
    <t>JUL 30</t>
  </si>
  <si>
    <t>GALLATIN FORD — JUL 30 · THURSDAY</t>
  </si>
  <si>
    <t>DAILY SUMMARY — JUL 30</t>
  </si>
  <si>
    <t>⚑  PACE COMMAND  —  MONTH STANDING THROUGH JUL 30   ·   goals sync from the Goals tab</t>
  </si>
  <si>
    <t>JUL 31</t>
  </si>
  <si>
    <t>GALLATIN FORD — JUL 31 · FRIDAY</t>
  </si>
  <si>
    <t>DAILY SUMMARY — JUL 31</t>
  </si>
  <si>
    <t>⚑  PACE COMMAND  —  MONTH STANDING THROUGH JUL 31   ·   goals sync from the Goals tab</t>
  </si>
  <si>
    <t>TRADE REPORT</t>
  </si>
  <si>
    <t>TRADE REPORT — JULY 2026</t>
  </si>
  <si>
    <t>Every trade taken this month · turned-in vs kept · ACV</t>
  </si>
  <si>
    <t>MONTH RECAP</t>
  </si>
  <si>
    <t>Turned-In %</t>
  </si>
  <si>
    <t>Total ACV</t>
  </si>
  <si>
    <t>Avg ACV</t>
  </si>
  <si>
    <t>Not Turned</t>
  </si>
  <si>
    <t>Flag</t>
  </si>
  <si>
    <t>STAFF ROSTER &amp; REFERENCE LISTS — GALLATIN FORD</t>
  </si>
  <si>
    <t>Edit names below to add/remove staff — every dropdown and the Dashboard leaderboard reads from this tab automatically.</t>
  </si>
  <si>
    <t>SALESPEOPLE</t>
  </si>
  <si>
    <t>SALES MANAGERS</t>
  </si>
  <si>
    <t>FINANCE MANAGERS</t>
  </si>
  <si>
    <t>AD SOURCE LIST</t>
  </si>
  <si>
    <t>CHANNEL</t>
  </si>
  <si>
    <t>LENDERS</t>
  </si>
  <si>
    <t>VEHICLE YEARS</t>
  </si>
  <si>
    <t>MAKES</t>
  </si>
  <si>
    <t>ACURA</t>
  </si>
  <si>
    <t>ALFA ROMEO</t>
  </si>
  <si>
    <t>ASTON MARTIN</t>
  </si>
  <si>
    <t>AUDI</t>
  </si>
  <si>
    <t>BENTLEY</t>
  </si>
  <si>
    <t>BMW</t>
  </si>
  <si>
    <t>BUICK</t>
  </si>
  <si>
    <t>CADILLAC</t>
  </si>
  <si>
    <t>CHEVROLET</t>
  </si>
  <si>
    <t>CHRYSLER</t>
  </si>
  <si>
    <t>DODGE</t>
  </si>
  <si>
    <t>FERRARI</t>
  </si>
  <si>
    <t>FIAT</t>
  </si>
  <si>
    <t>FORD</t>
  </si>
  <si>
    <t>GENESIS</t>
  </si>
  <si>
    <t>GMC</t>
  </si>
  <si>
    <t>HONDA</t>
  </si>
  <si>
    <t>HUMMER</t>
  </si>
  <si>
    <t>HYUNDAI</t>
  </si>
  <si>
    <t>INFINITI</t>
  </si>
  <si>
    <t>ISUZU</t>
  </si>
  <si>
    <t>JAGUAR</t>
  </si>
  <si>
    <t>JEEP</t>
  </si>
  <si>
    <t>KIA</t>
  </si>
  <si>
    <t>LAMBORGHINI</t>
  </si>
  <si>
    <t>LAND ROVER</t>
  </si>
  <si>
    <t>LEXUS</t>
  </si>
  <si>
    <t>LINCOLN</t>
  </si>
  <si>
    <t>LOTUS</t>
  </si>
  <si>
    <t>LUCID</t>
  </si>
  <si>
    <t>MASERATI</t>
  </si>
  <si>
    <t>MAZDA</t>
  </si>
  <si>
    <t>MCLAREN</t>
  </si>
  <si>
    <t>MERCEDES-BENZ</t>
  </si>
  <si>
    <t>MERCURY</t>
  </si>
  <si>
    <t>MINI</t>
  </si>
  <si>
    <t>MITSUBISHI</t>
  </si>
  <si>
    <t>NISSAN</t>
  </si>
  <si>
    <t>OLDSMOBILE</t>
  </si>
  <si>
    <t>PLYMOUTH</t>
  </si>
  <si>
    <t>POLESTAR</t>
  </si>
  <si>
    <t>PONTIAC</t>
  </si>
  <si>
    <t>PORSCHE</t>
  </si>
  <si>
    <t>RAM</t>
  </si>
  <si>
    <t>RIVIAN</t>
  </si>
  <si>
    <t>ROLLS-ROYCE</t>
  </si>
  <si>
    <t>SAAB</t>
  </si>
  <si>
    <t>SATURN</t>
  </si>
  <si>
    <t>SCION</t>
  </si>
  <si>
    <t>SMART</t>
  </si>
  <si>
    <t>SUBARU</t>
  </si>
  <si>
    <t>SUZUKI</t>
  </si>
  <si>
    <t>TESLA</t>
  </si>
  <si>
    <t>TOYOTA</t>
  </si>
  <si>
    <t>VINFAST</t>
  </si>
  <si>
    <t>VOLKSWAGEN</t>
  </si>
  <si>
    <t>VOLVO</t>
  </si>
  <si>
    <t>NATA RODRIGUEZ</t>
  </si>
  <si>
    <t>JOHN MCCAN</t>
  </si>
  <si>
    <t>AUTOBYTEL</t>
  </si>
  <si>
    <t>CASH</t>
  </si>
  <si>
    <t>ILX</t>
  </si>
  <si>
    <t>GIULIA</t>
  </si>
  <si>
    <t>DB7</t>
  </si>
  <si>
    <t>A3</t>
  </si>
  <si>
    <t>CONTINENTAL GT</t>
  </si>
  <si>
    <t>1 SERIES</t>
  </si>
  <si>
    <t>CENTURY</t>
  </si>
  <si>
    <t>ATS</t>
  </si>
  <si>
    <t>ASTRO</t>
  </si>
  <si>
    <t>200</t>
  </si>
  <si>
    <t>AVENGER</t>
  </si>
  <si>
    <t>296</t>
  </si>
  <si>
    <t>500</t>
  </si>
  <si>
    <t>AEROSTAR</t>
  </si>
  <si>
    <t>G70</t>
  </si>
  <si>
    <t>ACADIA</t>
  </si>
  <si>
    <t>ACCORD</t>
  </si>
  <si>
    <t>H1</t>
  </si>
  <si>
    <t>ACCENT</t>
  </si>
  <si>
    <t>EX35</t>
  </si>
  <si>
    <t>AMIGO</t>
  </si>
  <si>
    <t>E-PACE</t>
  </si>
  <si>
    <t>CHEROKEE</t>
  </si>
  <si>
    <t>AMANTI</t>
  </si>
  <si>
    <t>AVENTADOR</t>
  </si>
  <si>
    <t>DEFENDER</t>
  </si>
  <si>
    <t>CT 200H</t>
  </si>
  <si>
    <t>AVIATOR</t>
  </si>
  <si>
    <t>ELISE</t>
  </si>
  <si>
    <t>AIR</t>
  </si>
  <si>
    <t>COUPE</t>
  </si>
  <si>
    <t>323</t>
  </si>
  <si>
    <t>570S</t>
  </si>
  <si>
    <t>190</t>
  </si>
  <si>
    <t>COUGAR</t>
  </si>
  <si>
    <t>COOPER</t>
  </si>
  <si>
    <t>3000GT</t>
  </si>
  <si>
    <t>200SX</t>
  </si>
  <si>
    <t>88</t>
  </si>
  <si>
    <t>ACCLAIM</t>
  </si>
  <si>
    <t>1</t>
  </si>
  <si>
    <t>AZTEK</t>
  </si>
  <si>
    <t>911</t>
  </si>
  <si>
    <t>1500</t>
  </si>
  <si>
    <t>R1T</t>
  </si>
  <si>
    <t>CULLINAN</t>
  </si>
  <si>
    <t>9-2X</t>
  </si>
  <si>
    <t>ASTRA</t>
  </si>
  <si>
    <t>FR-S</t>
  </si>
  <si>
    <t>FORTWO</t>
  </si>
  <si>
    <t>ASCENT</t>
  </si>
  <si>
    <t>AERIO</t>
  </si>
  <si>
    <t>MODEL 3</t>
  </si>
  <si>
    <t>4RUNNER</t>
  </si>
  <si>
    <t>VF 8</t>
  </si>
  <si>
    <t>ARTEON</t>
  </si>
  <si>
    <t>240</t>
  </si>
  <si>
    <t>TONY BATTISTA</t>
  </si>
  <si>
    <t>JACOB MAGED</t>
  </si>
  <si>
    <t>AUTOTRADER</t>
  </si>
  <si>
    <t>OSL (Outside Lien)</t>
  </si>
  <si>
    <t>INTEGRA</t>
  </si>
  <si>
    <t>STELVIO</t>
  </si>
  <si>
    <t>DB9</t>
  </si>
  <si>
    <t>A4</t>
  </si>
  <si>
    <t>CONTINENTAL GTC</t>
  </si>
  <si>
    <t>2 SERIES</t>
  </si>
  <si>
    <t>REGAL</t>
  </si>
  <si>
    <t>CTS</t>
  </si>
  <si>
    <t>AVALANCHE</t>
  </si>
  <si>
    <t>300</t>
  </si>
  <si>
    <t>CALIBER</t>
  </si>
  <si>
    <t>348</t>
  </si>
  <si>
    <t>500L</t>
  </si>
  <si>
    <t>ASPIRE</t>
  </si>
  <si>
    <t>G80</t>
  </si>
  <si>
    <t>CANYON</t>
  </si>
  <si>
    <t>ACCORD CROSSTOUR</t>
  </si>
  <si>
    <t>H2</t>
  </si>
  <si>
    <t>AZERA</t>
  </si>
  <si>
    <t>FX35</t>
  </si>
  <si>
    <t>ASCENDER</t>
  </si>
  <si>
    <t>F-PACE</t>
  </si>
  <si>
    <t>COMANCHE</t>
  </si>
  <si>
    <t>BORREGO</t>
  </si>
  <si>
    <t>DIABLO</t>
  </si>
  <si>
    <t>DISCOVERY</t>
  </si>
  <si>
    <t>ES 300</t>
  </si>
  <si>
    <t>BLACKWOOD</t>
  </si>
  <si>
    <t>EVORA</t>
  </si>
  <si>
    <t>GRAVITY</t>
  </si>
  <si>
    <t>GHIBLI</t>
  </si>
  <si>
    <t>626</t>
  </si>
  <si>
    <t>600LT</t>
  </si>
  <si>
    <t>A-CLASS</t>
  </si>
  <si>
    <t>GRAND MARQUIS</t>
  </si>
  <si>
    <t>COOPER CLUBMAN</t>
  </si>
  <si>
    <t>DIAMANTE</t>
  </si>
  <si>
    <t>240SX</t>
  </si>
  <si>
    <t>98</t>
  </si>
  <si>
    <t>BREEZE</t>
  </si>
  <si>
    <t>2</t>
  </si>
  <si>
    <t>BONNEVILLE</t>
  </si>
  <si>
    <t>918 SPYDER</t>
  </si>
  <si>
    <t>1500 CLASSIC</t>
  </si>
  <si>
    <t>R1S</t>
  </si>
  <si>
    <t>DAWN</t>
  </si>
  <si>
    <t>9-3</t>
  </si>
  <si>
    <t>AURA</t>
  </si>
  <si>
    <t>IA</t>
  </si>
  <si>
    <t>FORTWO ELECTRIC</t>
  </si>
  <si>
    <t>B9 TRIBECA</t>
  </si>
  <si>
    <t>EQUATOR</t>
  </si>
  <si>
    <t>MODEL S</t>
  </si>
  <si>
    <t>86</t>
  </si>
  <si>
    <t>VF 9</t>
  </si>
  <si>
    <t>ATLAS</t>
  </si>
  <si>
    <t>740</t>
  </si>
  <si>
    <t>ROBERT LISOWSKI</t>
  </si>
  <si>
    <t>BDC</t>
  </si>
  <si>
    <t>5th/3rd</t>
  </si>
  <si>
    <t>LEGEND</t>
  </si>
  <si>
    <t>TONALE</t>
  </si>
  <si>
    <t>DB11</t>
  </si>
  <si>
    <t>A5</t>
  </si>
  <si>
    <t>CONTINENTAL FLYING SPUR</t>
  </si>
  <si>
    <t>3 SERIES</t>
  </si>
  <si>
    <t>LESABRE</t>
  </si>
  <si>
    <t>CT4</t>
  </si>
  <si>
    <t>AVEO</t>
  </si>
  <si>
    <t>300M</t>
  </si>
  <si>
    <t>CARAVAN</t>
  </si>
  <si>
    <t>355</t>
  </si>
  <si>
    <t>500X</t>
  </si>
  <si>
    <t>BRONCO</t>
  </si>
  <si>
    <t>G90</t>
  </si>
  <si>
    <t>ENVOY</t>
  </si>
  <si>
    <t>CIVIC</t>
  </si>
  <si>
    <t>H3</t>
  </si>
  <si>
    <t>ELANTRA</t>
  </si>
  <si>
    <t>FX45</t>
  </si>
  <si>
    <t>AXIOM</t>
  </si>
  <si>
    <t>F-TYPE</t>
  </si>
  <si>
    <t>COMMANDER</t>
  </si>
  <si>
    <t>CADENZA</t>
  </si>
  <si>
    <t>GALLARDO</t>
  </si>
  <si>
    <t>DISCOVERY SPORT</t>
  </si>
  <si>
    <t>ES 330</t>
  </si>
  <si>
    <t>CONTINENTAL</t>
  </si>
  <si>
    <t>EXIGE</t>
  </si>
  <si>
    <t>GRANTURISMO</t>
  </si>
  <si>
    <t>929</t>
  </si>
  <si>
    <t>650S</t>
  </si>
  <si>
    <t>AMG GT</t>
  </si>
  <si>
    <t>MARAUDER</t>
  </si>
  <si>
    <t>COOPER COUNTRYMAN</t>
  </si>
  <si>
    <t>ECLIPSE</t>
  </si>
  <si>
    <t>300ZX</t>
  </si>
  <si>
    <t>ACHIEVA</t>
  </si>
  <si>
    <t>GRAND VOYAGER</t>
  </si>
  <si>
    <t>3</t>
  </si>
  <si>
    <t>FIREBIRD</t>
  </si>
  <si>
    <t>924</t>
  </si>
  <si>
    <t>2500</t>
  </si>
  <si>
    <t>R2</t>
  </si>
  <si>
    <t>GHOST</t>
  </si>
  <si>
    <t>9-4X</t>
  </si>
  <si>
    <t>ION</t>
  </si>
  <si>
    <t>IM</t>
  </si>
  <si>
    <t>BAJA</t>
  </si>
  <si>
    <t>ESTEEM</t>
  </si>
  <si>
    <t>MODEL X</t>
  </si>
  <si>
    <t>AVALON</t>
  </si>
  <si>
    <t>ATLAS CROSS SPORT</t>
  </si>
  <si>
    <t>850</t>
  </si>
  <si>
    <t>JOE BARBA</t>
  </si>
  <si>
    <t>BE BACK</t>
  </si>
  <si>
    <t>Achieva Credit Union</t>
  </si>
  <si>
    <t>CL</t>
  </si>
  <si>
    <t>4C</t>
  </si>
  <si>
    <t>DB12</t>
  </si>
  <si>
    <t>A6</t>
  </si>
  <si>
    <t>FLYING SPUR</t>
  </si>
  <si>
    <t>4 SERIES</t>
  </si>
  <si>
    <t>PARK AVENUE</t>
  </si>
  <si>
    <t>CT5</t>
  </si>
  <si>
    <t>BERETTA</t>
  </si>
  <si>
    <t>CIRRUS</t>
  </si>
  <si>
    <t>GRAND CARAVAN</t>
  </si>
  <si>
    <t>360</t>
  </si>
  <si>
    <t>500E</t>
  </si>
  <si>
    <t>BRONCO SPORT</t>
  </si>
  <si>
    <t>GV60</t>
  </si>
  <si>
    <t>ENVOY XL</t>
  </si>
  <si>
    <t>CIVIC DEL SOL</t>
  </si>
  <si>
    <t>H3T</t>
  </si>
  <si>
    <t>ELANTRA N</t>
  </si>
  <si>
    <t>FX50</t>
  </si>
  <si>
    <t>HOMBRE</t>
  </si>
  <si>
    <t>I-PACE</t>
  </si>
  <si>
    <t>COMPASS</t>
  </si>
  <si>
    <t>CARNIVAL</t>
  </si>
  <si>
    <t>HURACAN</t>
  </si>
  <si>
    <t>FREELANDER</t>
  </si>
  <si>
    <t>ES 350</t>
  </si>
  <si>
    <t>CORSAIR</t>
  </si>
  <si>
    <t>EMIRA</t>
  </si>
  <si>
    <t>GRANSPORT</t>
  </si>
  <si>
    <t>B-SERIES</t>
  </si>
  <si>
    <t>675LT</t>
  </si>
  <si>
    <t>B-CLASS</t>
  </si>
  <si>
    <t>MARINER</t>
  </si>
  <si>
    <t>COOPER PACEMAN</t>
  </si>
  <si>
    <t>ECLIPSE CROSS</t>
  </si>
  <si>
    <t>350Z</t>
  </si>
  <si>
    <t>ALERO</t>
  </si>
  <si>
    <t>NEON</t>
  </si>
  <si>
    <t>4</t>
  </si>
  <si>
    <t>G3</t>
  </si>
  <si>
    <t>928</t>
  </si>
  <si>
    <t>3500</t>
  </si>
  <si>
    <t>R3</t>
  </si>
  <si>
    <t>PHANTOM</t>
  </si>
  <si>
    <t>9-5</t>
  </si>
  <si>
    <t>L-SERIES</t>
  </si>
  <si>
    <t>IQ</t>
  </si>
  <si>
    <t>BRZ</t>
  </si>
  <si>
    <t>FORENZA</t>
  </si>
  <si>
    <t>MODEL Y</t>
  </si>
  <si>
    <t>BZ4X</t>
  </si>
  <si>
    <t>BEETLE</t>
  </si>
  <si>
    <t>940</t>
  </si>
  <si>
    <t>BING</t>
  </si>
  <si>
    <t>Ally</t>
  </si>
  <si>
    <t>TL</t>
  </si>
  <si>
    <t>164</t>
  </si>
  <si>
    <t>DBS</t>
  </si>
  <si>
    <t>A7</t>
  </si>
  <si>
    <t>BENTAYGA</t>
  </si>
  <si>
    <t>5 SERIES</t>
  </si>
  <si>
    <t>RIVIERA</t>
  </si>
  <si>
    <t>CT6</t>
  </si>
  <si>
    <t>BLAZER</t>
  </si>
  <si>
    <t>CONCORDE</t>
  </si>
  <si>
    <t>CHALLENGER</t>
  </si>
  <si>
    <t>430</t>
  </si>
  <si>
    <t>124 SPIDER</t>
  </si>
  <si>
    <t>C-MAX</t>
  </si>
  <si>
    <t>GV70</t>
  </si>
  <si>
    <t>HUMMER EV PICKUP</t>
  </si>
  <si>
    <t>CLARITY</t>
  </si>
  <si>
    <t>ENTOURAGE</t>
  </si>
  <si>
    <t>G20</t>
  </si>
  <si>
    <t>I-280</t>
  </si>
  <si>
    <t>S-TYPE</t>
  </si>
  <si>
    <t>GLADIATOR</t>
  </si>
  <si>
    <t>EV6</t>
  </si>
  <si>
    <t>MURCIELAGO</t>
  </si>
  <si>
    <t>LR2</t>
  </si>
  <si>
    <t>ES 300H</t>
  </si>
  <si>
    <t>LS</t>
  </si>
  <si>
    <t>ELETRE</t>
  </si>
  <si>
    <t>GRANCABRIO</t>
  </si>
  <si>
    <t>CX-3</t>
  </si>
  <si>
    <t>720S</t>
  </si>
  <si>
    <t>C-CLASS</t>
  </si>
  <si>
    <t>MILAN</t>
  </si>
  <si>
    <t>COOPER ROADSTER</t>
  </si>
  <si>
    <t>ENDEAVOR</t>
  </si>
  <si>
    <t>370Z</t>
  </si>
  <si>
    <t>AURORA</t>
  </si>
  <si>
    <t>PROWLER</t>
  </si>
  <si>
    <t>G5</t>
  </si>
  <si>
    <t>944</t>
  </si>
  <si>
    <t>4500</t>
  </si>
  <si>
    <t>SILVER SERAPH</t>
  </si>
  <si>
    <t>9-7X</t>
  </si>
  <si>
    <t>OUTLOOK</t>
  </si>
  <si>
    <t>TC</t>
  </si>
  <si>
    <t>CROSSTREK</t>
  </si>
  <si>
    <t>GRAND VITARA</t>
  </si>
  <si>
    <t>CYBERTRUCK</t>
  </si>
  <si>
    <t>C-HR</t>
  </si>
  <si>
    <t>CABRIO</t>
  </si>
  <si>
    <t>960</t>
  </si>
  <si>
    <t>BUYATOYOTA.COM</t>
  </si>
  <si>
    <t>American Credit Acceptance</t>
  </si>
  <si>
    <t>TLX</t>
  </si>
  <si>
    <t>GTV</t>
  </si>
  <si>
    <t>VANTAGE</t>
  </si>
  <si>
    <t>A8</t>
  </si>
  <si>
    <t>MULSANNE</t>
  </si>
  <si>
    <t>6 SERIES</t>
  </si>
  <si>
    <t>SKYLARK</t>
  </si>
  <si>
    <t>STS</t>
  </si>
  <si>
    <t>BLAZER EV</t>
  </si>
  <si>
    <t>CROSSFIRE</t>
  </si>
  <si>
    <t>CHARGER</t>
  </si>
  <si>
    <t>456</t>
  </si>
  <si>
    <t>CONTOUR</t>
  </si>
  <si>
    <t>GV80</t>
  </si>
  <si>
    <t>HUMMER EV SUV</t>
  </si>
  <si>
    <t>CR-V</t>
  </si>
  <si>
    <t>EQUUS</t>
  </si>
  <si>
    <t>G35</t>
  </si>
  <si>
    <t>I-290</t>
  </si>
  <si>
    <t>X-TYPE</t>
  </si>
  <si>
    <t>GRAND CHEROKEE</t>
  </si>
  <si>
    <t>EV9</t>
  </si>
  <si>
    <t>URUS</t>
  </si>
  <si>
    <t>LR3</t>
  </si>
  <si>
    <t>GS 300</t>
  </si>
  <si>
    <t>MARK LT</t>
  </si>
  <si>
    <t>ESPRIT</t>
  </si>
  <si>
    <t>GRECALE</t>
  </si>
  <si>
    <t>CX-30</t>
  </si>
  <si>
    <t>750S</t>
  </si>
  <si>
    <t>CL-CLASS</t>
  </si>
  <si>
    <t>MONTEGO</t>
  </si>
  <si>
    <t>COOPER COUPE</t>
  </si>
  <si>
    <t>GALANT</t>
  </si>
  <si>
    <t>ALTIMA</t>
  </si>
  <si>
    <t>BRAVADA</t>
  </si>
  <si>
    <t>SUNDANCE</t>
  </si>
  <si>
    <t>G6</t>
  </si>
  <si>
    <t>968</t>
  </si>
  <si>
    <t>5500</t>
  </si>
  <si>
    <t>SPECTRE</t>
  </si>
  <si>
    <t>900</t>
  </si>
  <si>
    <t>RELAY</t>
  </si>
  <si>
    <t>XA</t>
  </si>
  <si>
    <t>FORESTER</t>
  </si>
  <si>
    <t>KIZASHI</t>
  </si>
  <si>
    <t>ROADSTER</t>
  </si>
  <si>
    <t>CAMRY</t>
  </si>
  <si>
    <t>CC</t>
  </si>
  <si>
    <t>C30</t>
  </si>
  <si>
    <t>CALL LIST</t>
  </si>
  <si>
    <t>AMERICREDIT</t>
  </si>
  <si>
    <t>RL</t>
  </si>
  <si>
    <t>SPIDER</t>
  </si>
  <si>
    <t>VANQUISH</t>
  </si>
  <si>
    <t>S3</t>
  </si>
  <si>
    <t>ARNAGE</t>
  </si>
  <si>
    <t>7 SERIES</t>
  </si>
  <si>
    <t>ROADMASTER</t>
  </si>
  <si>
    <t>DTS</t>
  </si>
  <si>
    <t>BOLT EV</t>
  </si>
  <si>
    <t>LHS</t>
  </si>
  <si>
    <t>CHARGER DAYTONA</t>
  </si>
  <si>
    <t>458</t>
  </si>
  <si>
    <t>CROWN VICTORIA</t>
  </si>
  <si>
    <t>ELECTRIFIED G80</t>
  </si>
  <si>
    <t>JIMMY</t>
  </si>
  <si>
    <t>CR-Z</t>
  </si>
  <si>
    <t>G37</t>
  </si>
  <si>
    <t>I-350</t>
  </si>
  <si>
    <t>XE</t>
  </si>
  <si>
    <t>GRAND CHEROKEE L</t>
  </si>
  <si>
    <t>FORTE</t>
  </si>
  <si>
    <t>REVUELTO</t>
  </si>
  <si>
    <t>LR4</t>
  </si>
  <si>
    <t>GS 350</t>
  </si>
  <si>
    <t>MARK VIII</t>
  </si>
  <si>
    <t>LEVANTE</t>
  </si>
  <si>
    <t>CX-5</t>
  </si>
  <si>
    <t>765LT</t>
  </si>
  <si>
    <t>CLA</t>
  </si>
  <si>
    <t>MONTEREY</t>
  </si>
  <si>
    <t>COUNTRYMAN</t>
  </si>
  <si>
    <t>LANCER</t>
  </si>
  <si>
    <t>ARIYA</t>
  </si>
  <si>
    <t>CUTLASS</t>
  </si>
  <si>
    <t>VOYAGER</t>
  </si>
  <si>
    <t>G8</t>
  </si>
  <si>
    <t>BOXSTER</t>
  </si>
  <si>
    <t>PROMASTER</t>
  </si>
  <si>
    <t>WRAITH</t>
  </si>
  <si>
    <t>9000</t>
  </si>
  <si>
    <t>SC1</t>
  </si>
  <si>
    <t>XB</t>
  </si>
  <si>
    <t>IMPREZA</t>
  </si>
  <si>
    <t>RENO</t>
  </si>
  <si>
    <t>CELICA</t>
  </si>
  <si>
    <t>CORRADO</t>
  </si>
  <si>
    <t>C40</t>
  </si>
  <si>
    <t>CAMPAIGN</t>
  </si>
  <si>
    <t>Arra Finance (Crescent)</t>
  </si>
  <si>
    <t>RLX</t>
  </si>
  <si>
    <t>RAPIDE</t>
  </si>
  <si>
    <t>S4</t>
  </si>
  <si>
    <t>AZURE</t>
  </si>
  <si>
    <t>8 SERIES</t>
  </si>
  <si>
    <t>LACROSSE</t>
  </si>
  <si>
    <t>XTS</t>
  </si>
  <si>
    <t>BOLT EUV</t>
  </si>
  <si>
    <t>NEW YORKER</t>
  </si>
  <si>
    <t>DAKOTA</t>
  </si>
  <si>
    <t>488</t>
  </si>
  <si>
    <t>E-150</t>
  </si>
  <si>
    <t>ELECTRIFIED GV70</t>
  </si>
  <si>
    <t>SAFARI</t>
  </si>
  <si>
    <t>CROSSTOUR</t>
  </si>
  <si>
    <t>GENESIS COUPE</t>
  </si>
  <si>
    <t>I30</t>
  </si>
  <si>
    <t>I-370</t>
  </si>
  <si>
    <t>XF</t>
  </si>
  <si>
    <t>GRAND WAGONEER</t>
  </si>
  <si>
    <t>K4</t>
  </si>
  <si>
    <t>COUNTACH</t>
  </si>
  <si>
    <t>RANGE ROVER</t>
  </si>
  <si>
    <t>GS 430</t>
  </si>
  <si>
    <t>MKC</t>
  </si>
  <si>
    <t>MC20</t>
  </si>
  <si>
    <t>CX-50</t>
  </si>
  <si>
    <t>ARTURA</t>
  </si>
  <si>
    <t>CLE</t>
  </si>
  <si>
    <t>MOUNTAINEER</t>
  </si>
  <si>
    <t>CLUBMAN</t>
  </si>
  <si>
    <t>LANCER EVOLUTION</t>
  </si>
  <si>
    <t>ARMADA</t>
  </si>
  <si>
    <t>CUTLASS CIERA</t>
  </si>
  <si>
    <t>GRAND AM</t>
  </si>
  <si>
    <t>CARRERA GT</t>
  </si>
  <si>
    <t>PROMASTER CITY</t>
  </si>
  <si>
    <t>CORNICHE</t>
  </si>
  <si>
    <t>SC2</t>
  </si>
  <si>
    <t>XD</t>
  </si>
  <si>
    <t>JUSTY</t>
  </si>
  <si>
    <t>SAMURAI</t>
  </si>
  <si>
    <t>COROLLA</t>
  </si>
  <si>
    <t>EOS</t>
  </si>
  <si>
    <t>C70</t>
  </si>
  <si>
    <t>CAP ONE</t>
  </si>
  <si>
    <t>Ascend FCU</t>
  </si>
  <si>
    <t>TSX</t>
  </si>
  <si>
    <t>VIRAGE</t>
  </si>
  <si>
    <t>S5</t>
  </si>
  <si>
    <t>BROOKLANDS</t>
  </si>
  <si>
    <t>M2</t>
  </si>
  <si>
    <t>LUCERNE</t>
  </si>
  <si>
    <t>DEVILLE</t>
  </si>
  <si>
    <t>CAMARO</t>
  </si>
  <si>
    <t>PACIFICA</t>
  </si>
  <si>
    <t>DART</t>
  </si>
  <si>
    <t>512</t>
  </si>
  <si>
    <t>E-250</t>
  </si>
  <si>
    <t>SAVANA</t>
  </si>
  <si>
    <t>ELEMENT</t>
  </si>
  <si>
    <t>IONIQ</t>
  </si>
  <si>
    <t>I35</t>
  </si>
  <si>
    <t>OASIS</t>
  </si>
  <si>
    <t>XJ</t>
  </si>
  <si>
    <t>LIBERTY</t>
  </si>
  <si>
    <t>K5</t>
  </si>
  <si>
    <t>TEMERARIO</t>
  </si>
  <si>
    <t>RANGE ROVER EVOQUE</t>
  </si>
  <si>
    <t>GS 460</t>
  </si>
  <si>
    <t>MKS</t>
  </si>
  <si>
    <t>QUATTROPORTE</t>
  </si>
  <si>
    <t>CX-7</t>
  </si>
  <si>
    <t>GT</t>
  </si>
  <si>
    <t>CLK</t>
  </si>
  <si>
    <t>MYSTIQUE</t>
  </si>
  <si>
    <t>HARDTOP</t>
  </si>
  <si>
    <t>MIRAGE</t>
  </si>
  <si>
    <t>CUBE</t>
  </si>
  <si>
    <t>CUTLASS SUPREME</t>
  </si>
  <si>
    <t>GRAND PRIX</t>
  </si>
  <si>
    <t>CAYENNE</t>
  </si>
  <si>
    <t>SKY</t>
  </si>
  <si>
    <t>LEGACY</t>
  </si>
  <si>
    <t>SIDEKICK</t>
  </si>
  <si>
    <t>COROLLA CROSS</t>
  </si>
  <si>
    <t>EUROVAN</t>
  </si>
  <si>
    <t>EX30</t>
  </si>
  <si>
    <t>CAR GURU</t>
  </si>
  <si>
    <t>Axos Bank</t>
  </si>
  <si>
    <t>RSX</t>
  </si>
  <si>
    <t>DBX</t>
  </si>
  <si>
    <t>S6</t>
  </si>
  <si>
    <t>TURBO R</t>
  </si>
  <si>
    <t>M3</t>
  </si>
  <si>
    <t>RENDEZVOUS</t>
  </si>
  <si>
    <t>SEVILLE</t>
  </si>
  <si>
    <t>CAPRICE</t>
  </si>
  <si>
    <t>PACIFICA HYBRID</t>
  </si>
  <si>
    <t>DURANGO</t>
  </si>
  <si>
    <t>550</t>
  </si>
  <si>
    <t>E-350</t>
  </si>
  <si>
    <t>SIERRA 1500</t>
  </si>
  <si>
    <t>FIT</t>
  </si>
  <si>
    <t>IONIQ 5</t>
  </si>
  <si>
    <t>J30</t>
  </si>
  <si>
    <t>RODEO</t>
  </si>
  <si>
    <t>XJ6</t>
  </si>
  <si>
    <t>PATRIOT</t>
  </si>
  <si>
    <t>K900</t>
  </si>
  <si>
    <t>RANGE ROVER SPORT</t>
  </si>
  <si>
    <t>GS F</t>
  </si>
  <si>
    <t>MKT</t>
  </si>
  <si>
    <t>SPYDER</t>
  </si>
  <si>
    <t>CX-70</t>
  </si>
  <si>
    <t>MP4-12C</t>
  </si>
  <si>
    <t>CLS</t>
  </si>
  <si>
    <t>SABLE</t>
  </si>
  <si>
    <t>CONVERTIBLE</t>
  </si>
  <si>
    <t>MONTERO</t>
  </si>
  <si>
    <t>FRONTIER</t>
  </si>
  <si>
    <t>INTRIGUE</t>
  </si>
  <si>
    <t>GTO</t>
  </si>
  <si>
    <t>CAYMAN</t>
  </si>
  <si>
    <t>SL1</t>
  </si>
  <si>
    <t>OUTBACK</t>
  </si>
  <si>
    <t>SWIFT</t>
  </si>
  <si>
    <t>COROLLA IM</t>
  </si>
  <si>
    <t>E-GOLF</t>
  </si>
  <si>
    <t>EX90</t>
  </si>
  <si>
    <t>CARFAX</t>
  </si>
  <si>
    <t>Bank of America</t>
  </si>
  <si>
    <t>NSX</t>
  </si>
  <si>
    <t>VALOUR</t>
  </si>
  <si>
    <t>S7</t>
  </si>
  <si>
    <t>M4</t>
  </si>
  <si>
    <t>RAINIER</t>
  </si>
  <si>
    <t>ELDORADO</t>
  </si>
  <si>
    <t>CAPTIVA SPORT</t>
  </si>
  <si>
    <t>PT CRUISER</t>
  </si>
  <si>
    <t>HORNET</t>
  </si>
  <si>
    <t>575</t>
  </si>
  <si>
    <t>E-SERIES</t>
  </si>
  <si>
    <t>SIERRA 2500HD</t>
  </si>
  <si>
    <t>HR-V</t>
  </si>
  <si>
    <t>IONIQ 6</t>
  </si>
  <si>
    <t>JX35</t>
  </si>
  <si>
    <t>TROOPER</t>
  </si>
  <si>
    <t>XJ8</t>
  </si>
  <si>
    <t>RENEGADE</t>
  </si>
  <si>
    <t>NIRO</t>
  </si>
  <si>
    <t>RANGE ROVER VELAR</t>
  </si>
  <si>
    <t>GX 460</t>
  </si>
  <si>
    <t>MKX</t>
  </si>
  <si>
    <t>CX-9</t>
  </si>
  <si>
    <t>P1</t>
  </si>
  <si>
    <t>E-CLASS</t>
  </si>
  <si>
    <t>TRACER</t>
  </si>
  <si>
    <t>ACEMAN</t>
  </si>
  <si>
    <t>MONTERO SPORT</t>
  </si>
  <si>
    <t>GT-R</t>
  </si>
  <si>
    <t>SILHOUETTE</t>
  </si>
  <si>
    <t>MONTANA</t>
  </si>
  <si>
    <t>MACAN</t>
  </si>
  <si>
    <t>SL2</t>
  </si>
  <si>
    <t>SOLTERRA</t>
  </si>
  <si>
    <t>SX4</t>
  </si>
  <si>
    <t>CRESSIDA</t>
  </si>
  <si>
    <t>GLI</t>
  </si>
  <si>
    <t>S40</t>
  </si>
  <si>
    <t>CARS.COM</t>
  </si>
  <si>
    <t>C&amp;F Finance</t>
  </si>
  <si>
    <t>MDX</t>
  </si>
  <si>
    <t>LAGONDA</t>
  </si>
  <si>
    <t>S8</t>
  </si>
  <si>
    <t>M5</t>
  </si>
  <si>
    <t>TERRAZA</t>
  </si>
  <si>
    <t>FLEETWOOD</t>
  </si>
  <si>
    <t>CAVALIER</t>
  </si>
  <si>
    <t>SEBRING</t>
  </si>
  <si>
    <t>INTREPID</t>
  </si>
  <si>
    <t>599</t>
  </si>
  <si>
    <t>E-TRANSIT</t>
  </si>
  <si>
    <t>SIERRA 3500HD</t>
  </si>
  <si>
    <t>INSIGHT</t>
  </si>
  <si>
    <t>IONIQ 9</t>
  </si>
  <si>
    <t>M35</t>
  </si>
  <si>
    <t>VEHICROSS</t>
  </si>
  <si>
    <t>XJR</t>
  </si>
  <si>
    <t>WAGONEER</t>
  </si>
  <si>
    <t>OPTIMA</t>
  </si>
  <si>
    <t>GX 470</t>
  </si>
  <si>
    <t>MKZ</t>
  </si>
  <si>
    <t>CX-90</t>
  </si>
  <si>
    <t>SENNA</t>
  </si>
  <si>
    <t>EQB</t>
  </si>
  <si>
    <t>VILLAGER</t>
  </si>
  <si>
    <t>OUTLANDER</t>
  </si>
  <si>
    <t>JUKE</t>
  </si>
  <si>
    <t>REGENCY</t>
  </si>
  <si>
    <t>SOLSTICE</t>
  </si>
  <si>
    <t>MACAN ELECTRIC</t>
  </si>
  <si>
    <t>SW1</t>
  </si>
  <si>
    <t>SVX</t>
  </si>
  <si>
    <t>VERONA</t>
  </si>
  <si>
    <t>CROWN</t>
  </si>
  <si>
    <t>GOLF</t>
  </si>
  <si>
    <t>S60</t>
  </si>
  <si>
    <t>COASTAL</t>
  </si>
  <si>
    <t>CapitalOne</t>
  </si>
  <si>
    <t>RDX</t>
  </si>
  <si>
    <t>RS3</t>
  </si>
  <si>
    <t>M6</t>
  </si>
  <si>
    <t>ENCLAVE</t>
  </si>
  <si>
    <t>CATERA</t>
  </si>
  <si>
    <t>CITY EXPRESS</t>
  </si>
  <si>
    <t>TOWN &amp; COUNTRY</t>
  </si>
  <si>
    <t>JOURNEY</t>
  </si>
  <si>
    <t>612</t>
  </si>
  <si>
    <t>ECOSPORT</t>
  </si>
  <si>
    <t>SIERRA EV</t>
  </si>
  <si>
    <t>ODYSSEY</t>
  </si>
  <si>
    <t>KONA</t>
  </si>
  <si>
    <t>M37</t>
  </si>
  <si>
    <t>XJS</t>
  </si>
  <si>
    <t>WAGONEER S</t>
  </si>
  <si>
    <t>RIO</t>
  </si>
  <si>
    <t>GX 550</t>
  </si>
  <si>
    <t>NAUTILUS</t>
  </si>
  <si>
    <t>MAZDA2</t>
  </si>
  <si>
    <t>EQE</t>
  </si>
  <si>
    <t>OUTLANDER PHEV</t>
  </si>
  <si>
    <t>KICKS</t>
  </si>
  <si>
    <t>SUNFIRE</t>
  </si>
  <si>
    <t>PANAMERA</t>
  </si>
  <si>
    <t>SW2</t>
  </si>
  <si>
    <t>TRIBECA</t>
  </si>
  <si>
    <t>VITARA</t>
  </si>
  <si>
    <t>CROWN SIGNIA</t>
  </si>
  <si>
    <t>GOLF GTI</t>
  </si>
  <si>
    <t>S70</t>
  </si>
  <si>
    <t>DEALER CHAT</t>
  </si>
  <si>
    <t>Chase</t>
  </si>
  <si>
    <t>ZDX</t>
  </si>
  <si>
    <t>RS5</t>
  </si>
  <si>
    <t>M8</t>
  </si>
  <si>
    <t>ENCORE</t>
  </si>
  <si>
    <t>ALLANTE</t>
  </si>
  <si>
    <t>COBALT</t>
  </si>
  <si>
    <t>MAGNUM</t>
  </si>
  <si>
    <t>812</t>
  </si>
  <si>
    <t>EDGE</t>
  </si>
  <si>
    <t>SONOMA</t>
  </si>
  <si>
    <t>PASSPORT</t>
  </si>
  <si>
    <t>KONA ELECTRIC</t>
  </si>
  <si>
    <t>M45</t>
  </si>
  <si>
    <t>XK</t>
  </si>
  <si>
    <t>WRANGLER</t>
  </si>
  <si>
    <t>RONDO</t>
  </si>
  <si>
    <t>HS 250H</t>
  </si>
  <si>
    <t>NAVIGATOR</t>
  </si>
  <si>
    <t>MAZDA3</t>
  </si>
  <si>
    <t>EQE SUV</t>
  </si>
  <si>
    <t>OUTLANDER SPORT</t>
  </si>
  <si>
    <t>LEAF</t>
  </si>
  <si>
    <t>TORRENT</t>
  </si>
  <si>
    <t>TAYCAN</t>
  </si>
  <si>
    <t>VUE</t>
  </si>
  <si>
    <t>WRX</t>
  </si>
  <si>
    <t>X-90</t>
  </si>
  <si>
    <t>ECHO</t>
  </si>
  <si>
    <t>GOLF R</t>
  </si>
  <si>
    <t>S80</t>
  </si>
  <si>
    <t>DEALER ON</t>
  </si>
  <si>
    <t>Commerce Bank</t>
  </si>
  <si>
    <t>SLX</t>
  </si>
  <si>
    <t>RS6</t>
  </si>
  <si>
    <t>X1</t>
  </si>
  <si>
    <t>ENCORE GX</t>
  </si>
  <si>
    <t>XLR</t>
  </si>
  <si>
    <t>COLORADO</t>
  </si>
  <si>
    <t>ASPEN</t>
  </si>
  <si>
    <t>CALIFORNIA</t>
  </si>
  <si>
    <t>ESCAPE</t>
  </si>
  <si>
    <t>SUBURBAN</t>
  </si>
  <si>
    <t>PILOT</t>
  </si>
  <si>
    <t>NEXO</t>
  </si>
  <si>
    <t>M56</t>
  </si>
  <si>
    <t>XK8</t>
  </si>
  <si>
    <t>WRANGLER UNLIMITED</t>
  </si>
  <si>
    <t>SEDONA</t>
  </si>
  <si>
    <t>IS 250</t>
  </si>
  <si>
    <t>TOWN CAR</t>
  </si>
  <si>
    <t>MAZDA5</t>
  </si>
  <si>
    <t>EQS</t>
  </si>
  <si>
    <t>RAIDER</t>
  </si>
  <si>
    <t>MAXIMA</t>
  </si>
  <si>
    <t>TRANS AM</t>
  </si>
  <si>
    <t>718 BOXSTER</t>
  </si>
  <si>
    <t>WRX STI</t>
  </si>
  <si>
    <t>XL-7</t>
  </si>
  <si>
    <t>FJ CRUISER</t>
  </si>
  <si>
    <t>GTI</t>
  </si>
  <si>
    <t>S90</t>
  </si>
  <si>
    <t>DEALER SITE</t>
  </si>
  <si>
    <t>Consumer Portfolio Services</t>
  </si>
  <si>
    <t>VIGOR</t>
  </si>
  <si>
    <t>RS7</t>
  </si>
  <si>
    <t>X2</t>
  </si>
  <si>
    <t>ENVISION</t>
  </si>
  <si>
    <t>SRX</t>
  </si>
  <si>
    <t>CORSICA</t>
  </si>
  <si>
    <t>IMPERIAL</t>
  </si>
  <si>
    <t>NITRO</t>
  </si>
  <si>
    <t>PORTOFINO</t>
  </si>
  <si>
    <t>ESCORT</t>
  </si>
  <si>
    <t>TERRAIN</t>
  </si>
  <si>
    <t>PRELUDE</t>
  </si>
  <si>
    <t>PALISADE</t>
  </si>
  <si>
    <t>Q40</t>
  </si>
  <si>
    <t>XKR</t>
  </si>
  <si>
    <t>SELTOS</t>
  </si>
  <si>
    <t>IS 300</t>
  </si>
  <si>
    <t>ZEPHYR</t>
  </si>
  <si>
    <t>MAZDA6</t>
  </si>
  <si>
    <t>EQS SUV</t>
  </si>
  <si>
    <t>MURANO</t>
  </si>
  <si>
    <t>VIBE</t>
  </si>
  <si>
    <t>718 CAYMAN</t>
  </si>
  <si>
    <t>XV CROSSTREK</t>
  </si>
  <si>
    <t>GR COROLLA</t>
  </si>
  <si>
    <t>ID.4</t>
  </si>
  <si>
    <t>V40</t>
  </si>
  <si>
    <t>DEALER WEB</t>
  </si>
  <si>
    <t>Credit Acceptance</t>
  </si>
  <si>
    <t>ADX</t>
  </si>
  <si>
    <t>TT</t>
  </si>
  <si>
    <t>X3</t>
  </si>
  <si>
    <t>ENVISTA</t>
  </si>
  <si>
    <t>XT4</t>
  </si>
  <si>
    <t>CORVETTE</t>
  </si>
  <si>
    <t>LEBARON</t>
  </si>
  <si>
    <t>RAM 1500</t>
  </si>
  <si>
    <t>ROMA</t>
  </si>
  <si>
    <t>EXCURSION</t>
  </si>
  <si>
    <t>TYPHOON</t>
  </si>
  <si>
    <t>PROLOGUE</t>
  </si>
  <si>
    <t>SANTA CRUZ</t>
  </si>
  <si>
    <t>Q45</t>
  </si>
  <si>
    <t>VANDEN PLAS</t>
  </si>
  <si>
    <t>SEPHIA</t>
  </si>
  <si>
    <t>IS 350</t>
  </si>
  <si>
    <t>MIATA</t>
  </si>
  <si>
    <t>G-CLASS</t>
  </si>
  <si>
    <t>NV200</t>
  </si>
  <si>
    <t>GR SUPRA</t>
  </si>
  <si>
    <t>ID. BUZZ</t>
  </si>
  <si>
    <t>V50</t>
  </si>
  <si>
    <t>DRIVE BY</t>
  </si>
  <si>
    <t>Enbright Credit Union</t>
  </si>
  <si>
    <t>EL</t>
  </si>
  <si>
    <t>TTS</t>
  </si>
  <si>
    <t>X4</t>
  </si>
  <si>
    <t>VERANO</t>
  </si>
  <si>
    <t>XT5</t>
  </si>
  <si>
    <t>CRUZE</t>
  </si>
  <si>
    <t>RAM 2500</t>
  </si>
  <si>
    <t>PUROSANGUE</t>
  </si>
  <si>
    <t>EXPEDITION</t>
  </si>
  <si>
    <t>YUKON</t>
  </si>
  <si>
    <t>RIDGELINE</t>
  </si>
  <si>
    <t>SANTA FE</t>
  </si>
  <si>
    <t>Q50</t>
  </si>
  <si>
    <t>SORENTO</t>
  </si>
  <si>
    <t>IS 500</t>
  </si>
  <si>
    <t>MILLENIA</t>
  </si>
  <si>
    <t>GL-CLASS</t>
  </si>
  <si>
    <t>NV1500</t>
  </si>
  <si>
    <t>GR86</t>
  </si>
  <si>
    <t>JETTA</t>
  </si>
  <si>
    <t>V60</t>
  </si>
  <si>
    <t>EMPLOYEE</t>
  </si>
  <si>
    <t>Exeter Finance</t>
  </si>
  <si>
    <t>TT RS</t>
  </si>
  <si>
    <t>X5</t>
  </si>
  <si>
    <t>CASCADA</t>
  </si>
  <si>
    <t>XT6</t>
  </si>
  <si>
    <t>EQUINOX</t>
  </si>
  <si>
    <t>RAM 3500</t>
  </si>
  <si>
    <t>F8</t>
  </si>
  <si>
    <t>EXPLORER</t>
  </si>
  <si>
    <t>YUKON XL</t>
  </si>
  <si>
    <t>S2000</t>
  </si>
  <si>
    <t>SONATA</t>
  </si>
  <si>
    <t>Q60</t>
  </si>
  <si>
    <t>SOUL</t>
  </si>
  <si>
    <t>IS F</t>
  </si>
  <si>
    <t>MPV</t>
  </si>
  <si>
    <t>GLA</t>
  </si>
  <si>
    <t>NV2500</t>
  </si>
  <si>
    <t>GRAND HIGHLANDER</t>
  </si>
  <si>
    <t>NEW BEETLE</t>
  </si>
  <si>
    <t>V70</t>
  </si>
  <si>
    <t>Type (on each day tab)  -&gt;  New / Used</t>
  </si>
  <si>
    <t>FRESH UP</t>
  </si>
  <si>
    <t>First Help Financial</t>
  </si>
  <si>
    <t>R8</t>
  </si>
  <si>
    <t>X6</t>
  </si>
  <si>
    <t>ELECTRA</t>
  </si>
  <si>
    <t>ESCALADE</t>
  </si>
  <si>
    <t>EQUINOX EV</t>
  </si>
  <si>
    <t>RAMCHARGER</t>
  </si>
  <si>
    <t>SF90</t>
  </si>
  <si>
    <t>EXPLORER SPORT TRAC</t>
  </si>
  <si>
    <t>YUKON DENALI</t>
  </si>
  <si>
    <t>TIBURON</t>
  </si>
  <si>
    <t>Q70</t>
  </si>
  <si>
    <t>SPECTRA</t>
  </si>
  <si>
    <t>LC 500</t>
  </si>
  <si>
    <t>MX-30</t>
  </si>
  <si>
    <t>GLB</t>
  </si>
  <si>
    <t>PATHFINDER</t>
  </si>
  <si>
    <t>HIGHLANDER</t>
  </si>
  <si>
    <t>PASSAT</t>
  </si>
  <si>
    <t>V90</t>
  </si>
  <si>
    <t>Rows marked Pending, Unwind, or Back Out are excluded from unit &amp; gross totals.</t>
  </si>
  <si>
    <t>GLOBAL</t>
  </si>
  <si>
    <t>Flagship Financial</t>
  </si>
  <si>
    <t>Q3</t>
  </si>
  <si>
    <t>X7</t>
  </si>
  <si>
    <t>ESCALADE ESV</t>
  </si>
  <si>
    <t>EXPRESS</t>
  </si>
  <si>
    <t>SPIRIT</t>
  </si>
  <si>
    <t>F12</t>
  </si>
  <si>
    <t>F-150</t>
  </si>
  <si>
    <t>TUCSON</t>
  </si>
  <si>
    <t>QX30</t>
  </si>
  <si>
    <t>SPORTAGE</t>
  </si>
  <si>
    <t>LFA</t>
  </si>
  <si>
    <t>MX-5 MIATA</t>
  </si>
  <si>
    <t>GLC</t>
  </si>
  <si>
    <t>QUEST</t>
  </si>
  <si>
    <t>LAND CRUISER</t>
  </si>
  <si>
    <t>PHAETON</t>
  </si>
  <si>
    <t>XC40</t>
  </si>
  <si>
    <t>GOLDDIGGER</t>
  </si>
  <si>
    <t>Ford Credit</t>
  </si>
  <si>
    <t>Q4 E-TRON</t>
  </si>
  <si>
    <t>XM</t>
  </si>
  <si>
    <t>ESCALADE EXT</t>
  </si>
  <si>
    <t>HHR</t>
  </si>
  <si>
    <t>STEALTH</t>
  </si>
  <si>
    <t>FF</t>
  </si>
  <si>
    <t>F-150 LIGHTNING</t>
  </si>
  <si>
    <t>VELOSTER</t>
  </si>
  <si>
    <t>QX4</t>
  </si>
  <si>
    <t>STINGER</t>
  </si>
  <si>
    <t>LS 400</t>
  </si>
  <si>
    <t>MX-6</t>
  </si>
  <si>
    <t>GLE</t>
  </si>
  <si>
    <t>ROGUE</t>
  </si>
  <si>
    <t>MATRIX</t>
  </si>
  <si>
    <t>RABBIT</t>
  </si>
  <si>
    <t>XC60</t>
  </si>
  <si>
    <t>GOOGLE</t>
  </si>
  <si>
    <t>Global Lending Services</t>
  </si>
  <si>
    <t>Q5</t>
  </si>
  <si>
    <t>Z3</t>
  </si>
  <si>
    <t>ESCALADE IQ</t>
  </si>
  <si>
    <t>IMPALA</t>
  </si>
  <si>
    <t>STRATUS</t>
  </si>
  <si>
    <t>GTC4LUSSO</t>
  </si>
  <si>
    <t>F-250</t>
  </si>
  <si>
    <t>VENUE</t>
  </si>
  <si>
    <t>QX50</t>
  </si>
  <si>
    <t>TELLURIDE</t>
  </si>
  <si>
    <t>LS 430</t>
  </si>
  <si>
    <t>PROTEGE</t>
  </si>
  <si>
    <t>GLK</t>
  </si>
  <si>
    <t>ROGUE SPORT</t>
  </si>
  <si>
    <t>MIRAI</t>
  </si>
  <si>
    <t>ROUTAN</t>
  </si>
  <si>
    <t>XC70</t>
  </si>
  <si>
    <t>HITMAN</t>
  </si>
  <si>
    <t>GoFi, LLC</t>
  </si>
  <si>
    <t>Q7</t>
  </si>
  <si>
    <t>Z4</t>
  </si>
  <si>
    <t>LYRIQ</t>
  </si>
  <si>
    <t>LUMINA</t>
  </si>
  <si>
    <t>VIPER</t>
  </si>
  <si>
    <t>LAFERRARI</t>
  </si>
  <si>
    <t>F-350</t>
  </si>
  <si>
    <t>VERACRUZ</t>
  </si>
  <si>
    <t>QX55</t>
  </si>
  <si>
    <t>LS 460</t>
  </si>
  <si>
    <t>RX-7</t>
  </si>
  <si>
    <t>GLS</t>
  </si>
  <si>
    <t>SENTRA</t>
  </si>
  <si>
    <t>MR2</t>
  </si>
  <si>
    <t>TAOS</t>
  </si>
  <si>
    <t>XC90</t>
  </si>
  <si>
    <t>HOOK LOGIC</t>
  </si>
  <si>
    <t>Huntington</t>
  </si>
  <si>
    <t>Q8</t>
  </si>
  <si>
    <t>Z8</t>
  </si>
  <si>
    <t>CELESTIQ</t>
  </si>
  <si>
    <t>MALIBU</t>
  </si>
  <si>
    <t>SPRINTER</t>
  </si>
  <si>
    <t>ENZO</t>
  </si>
  <si>
    <t>F-450</t>
  </si>
  <si>
    <t>XG350</t>
  </si>
  <si>
    <t>QX56</t>
  </si>
  <si>
    <t>LS 500</t>
  </si>
  <si>
    <t>RX-8</t>
  </si>
  <si>
    <t>M-CLASS</t>
  </si>
  <si>
    <t>TITAN</t>
  </si>
  <si>
    <t>MR2 SPYDER</t>
  </si>
  <si>
    <t>TIGUAN</t>
  </si>
  <si>
    <t>HYUNDAI MAIL</t>
  </si>
  <si>
    <t>Lendbuzz Funding LLC</t>
  </si>
  <si>
    <t>Q8 E-TRON</t>
  </si>
  <si>
    <t>I3</t>
  </si>
  <si>
    <t>OPTIQ</t>
  </si>
  <si>
    <t>METRO</t>
  </si>
  <si>
    <t>MONACO</t>
  </si>
  <si>
    <t>F50</t>
  </si>
  <si>
    <t>F-550</t>
  </si>
  <si>
    <t>QX60</t>
  </si>
  <si>
    <t>LX 470</t>
  </si>
  <si>
    <t>TRIBUTE</t>
  </si>
  <si>
    <t>MAYBACH</t>
  </si>
  <si>
    <t>TITAN XD</t>
  </si>
  <si>
    <t>PASEO</t>
  </si>
  <si>
    <t>TOUAREG</t>
  </si>
  <si>
    <t>INSERT SALE</t>
  </si>
  <si>
    <t>NorthWest Bank</t>
  </si>
  <si>
    <t>SQ5</t>
  </si>
  <si>
    <t>I4</t>
  </si>
  <si>
    <t>VISTIQ</t>
  </si>
  <si>
    <t>MONTE CARLO</t>
  </si>
  <si>
    <t>TESTAROSSA</t>
  </si>
  <si>
    <t>FESTIVA</t>
  </si>
  <si>
    <t>QX70</t>
  </si>
  <si>
    <t>LX 570</t>
  </si>
  <si>
    <t>METRIS</t>
  </si>
  <si>
    <t>VERSA</t>
  </si>
  <si>
    <t>PREVIA</t>
  </si>
  <si>
    <t>KBB.COM</t>
  </si>
  <si>
    <t>Northwest Federal Credit Union</t>
  </si>
  <si>
    <t>SQ7</t>
  </si>
  <si>
    <t>I5</t>
  </si>
  <si>
    <t>BROUGHAM</t>
  </si>
  <si>
    <t>PRIZM</t>
  </si>
  <si>
    <t>12CILINDRI</t>
  </si>
  <si>
    <t>FIESTA</t>
  </si>
  <si>
    <t>QX80</t>
  </si>
  <si>
    <t>LX 600</t>
  </si>
  <si>
    <t>ML</t>
  </si>
  <si>
    <t>XTERRA</t>
  </si>
  <si>
    <t>PRIUS</t>
  </si>
  <si>
    <t>LOCAL</t>
  </si>
  <si>
    <t>Old Hickory Credit Union</t>
  </si>
  <si>
    <t>SQ8</t>
  </si>
  <si>
    <t>I7</t>
  </si>
  <si>
    <t>S-10</t>
  </si>
  <si>
    <t>FIVE HUNDRED</t>
  </si>
  <si>
    <t>NX 200T</t>
  </si>
  <si>
    <t>R-CLASS</t>
  </si>
  <si>
    <t>Z</t>
  </si>
  <si>
    <t>PRIUS C</t>
  </si>
  <si>
    <t>LOCATION</t>
  </si>
  <si>
    <t>OneMain Auto</t>
  </si>
  <si>
    <t>E-TRON</t>
  </si>
  <si>
    <t>I8</t>
  </si>
  <si>
    <t>SILVERADO 1500</t>
  </si>
  <si>
    <t>FLEX</t>
  </si>
  <si>
    <t>NX 300</t>
  </si>
  <si>
    <t>S-CLASS</t>
  </si>
  <si>
    <t>PRIUS PRIME</t>
  </si>
  <si>
    <t>MAILER</t>
  </si>
  <si>
    <t>PNC Bank</t>
  </si>
  <si>
    <t>E-TRON GT</t>
  </si>
  <si>
    <t>IX</t>
  </si>
  <si>
    <t>SILVERADO 2500HD</t>
  </si>
  <si>
    <t>FOCUS</t>
  </si>
  <si>
    <t>NX 350</t>
  </si>
  <si>
    <t>SL</t>
  </si>
  <si>
    <t>PRIUS V</t>
  </si>
  <si>
    <t>NO INFO.</t>
  </si>
  <si>
    <t>Regional Acceptance</t>
  </si>
  <si>
    <t>RS Q8</t>
  </si>
  <si>
    <t>X3 M</t>
  </si>
  <si>
    <t>SILVERADO 3500HD</t>
  </si>
  <si>
    <t>FREESTAR</t>
  </si>
  <si>
    <t>NX 450H+</t>
  </si>
  <si>
    <t>SLC</t>
  </si>
  <si>
    <t>RAV4</t>
  </si>
  <si>
    <t>OTHER</t>
  </si>
  <si>
    <t>Resound Credit Union</t>
  </si>
  <si>
    <t>ALLROAD</t>
  </si>
  <si>
    <t>X4 M</t>
  </si>
  <si>
    <t>SILVERADO EV</t>
  </si>
  <si>
    <t>FREESTYLE</t>
  </si>
  <si>
    <t>RC 300</t>
  </si>
  <si>
    <t>SLK</t>
  </si>
  <si>
    <t>RAV4 PRIME</t>
  </si>
  <si>
    <t>PHONE UP</t>
  </si>
  <si>
    <t>Santander Consumer USA</t>
  </si>
  <si>
    <t>A4 ALLROAD</t>
  </si>
  <si>
    <t>X5 M</t>
  </si>
  <si>
    <t>SONIC</t>
  </si>
  <si>
    <t>FUSION</t>
  </si>
  <si>
    <t>RC 350</t>
  </si>
  <si>
    <t>SLR MCLAREN</t>
  </si>
  <si>
    <t>SEQUOIA</t>
  </si>
  <si>
    <t>RADIO</t>
  </si>
  <si>
    <t>TD Auto Finance</t>
  </si>
  <si>
    <t>CPO LOCK LISTS (engine)</t>
  </si>
  <si>
    <t>A6 ALLROAD</t>
  </si>
  <si>
    <t>X6 M</t>
  </si>
  <si>
    <t>SPARK</t>
  </si>
  <si>
    <t>RC F</t>
  </si>
  <si>
    <t>SLS AMG</t>
  </si>
  <si>
    <t>SIENNA</t>
  </si>
  <si>
    <t>RED TAG</t>
  </si>
  <si>
    <t>Truist DFS</t>
  </si>
  <si>
    <t>Y</t>
  </si>
  <si>
    <t>CABRIOLET</t>
  </si>
  <si>
    <t>318</t>
  </si>
  <si>
    <t>SPARK EV</t>
  </si>
  <si>
    <t>MAVERICK</t>
  </si>
  <si>
    <t>RX 300</t>
  </si>
  <si>
    <t>SOLARA</t>
  </si>
  <si>
    <t>REFERRAL</t>
  </si>
  <si>
    <t>Wells Fargo Auto</t>
  </si>
  <si>
    <t>N</t>
  </si>
  <si>
    <t>90</t>
  </si>
  <si>
    <t>325</t>
  </si>
  <si>
    <t>SS</t>
  </si>
  <si>
    <t>MUSTANG</t>
  </si>
  <si>
    <t>RX 330</t>
  </si>
  <si>
    <t>SUPRA</t>
  </si>
  <si>
    <t>REPEAT</t>
  </si>
  <si>
    <t>Westlake Financial</t>
  </si>
  <si>
    <t>100</t>
  </si>
  <si>
    <t>328</t>
  </si>
  <si>
    <t>SSR</t>
  </si>
  <si>
    <t>MUSTANG MACH-E</t>
  </si>
  <si>
    <t>RX 350</t>
  </si>
  <si>
    <t>T100</t>
  </si>
  <si>
    <t>SERVICE</t>
  </si>
  <si>
    <t>V8</t>
  </si>
  <si>
    <t>330</t>
  </si>
  <si>
    <t>PROBE</t>
  </si>
  <si>
    <t>RX 400H</t>
  </si>
  <si>
    <t>TACOMA</t>
  </si>
  <si>
    <t>SET MAILER</t>
  </si>
  <si>
    <t>335</t>
  </si>
  <si>
    <t>TAHOE</t>
  </si>
  <si>
    <t>RANGER</t>
  </si>
  <si>
    <t>RX 450H</t>
  </si>
  <si>
    <t>TERCEL</t>
  </si>
  <si>
    <t>SPANISH RADIO</t>
  </si>
  <si>
    <t>525</t>
  </si>
  <si>
    <t>TRACKER</t>
  </si>
  <si>
    <t>TAURUS</t>
  </si>
  <si>
    <t>RX 500H</t>
  </si>
  <si>
    <t>TUNDRA</t>
  </si>
  <si>
    <t>TENT SALE</t>
  </si>
  <si>
    <t>528</t>
  </si>
  <si>
    <t>TRAILBLAZER</t>
  </si>
  <si>
    <t>TAURUS X</t>
  </si>
  <si>
    <t>RZ 450E</t>
  </si>
  <si>
    <t>VENZA</t>
  </si>
  <si>
    <t>TOYOTA.COM</t>
  </si>
  <si>
    <t>530</t>
  </si>
  <si>
    <t>TRAVERSE</t>
  </si>
  <si>
    <t>TEMPO</t>
  </si>
  <si>
    <t>SC 300</t>
  </si>
  <si>
    <t>YARIS</t>
  </si>
  <si>
    <t>TRUE CAR</t>
  </si>
  <si>
    <t>535</t>
  </si>
  <si>
    <t>TRAX</t>
  </si>
  <si>
    <t>THUNDERBIRD</t>
  </si>
  <si>
    <t>SC 400</t>
  </si>
  <si>
    <t>TV</t>
  </si>
  <si>
    <t>540</t>
  </si>
  <si>
    <t>UPLANDER</t>
  </si>
  <si>
    <t>TRANSIT</t>
  </si>
  <si>
    <t>SC 430</t>
  </si>
  <si>
    <t>USAA</t>
  </si>
  <si>
    <t>545</t>
  </si>
  <si>
    <t>VENTURE</t>
  </si>
  <si>
    <t>TRANSIT CONNECT</t>
  </si>
  <si>
    <t>TX 350</t>
  </si>
  <si>
    <t>ZAG</t>
  </si>
  <si>
    <t>VOLT</t>
  </si>
  <si>
    <t>WINDSTAR</t>
  </si>
  <si>
    <t>TX 500H</t>
  </si>
  <si>
    <t>C/K 1500</t>
  </si>
  <si>
    <t>UX 200</t>
  </si>
  <si>
    <t>750</t>
  </si>
  <si>
    <t>C/K 2500</t>
  </si>
  <si>
    <t>UX 250H</t>
  </si>
  <si>
    <t>760</t>
  </si>
  <si>
    <t>C/K 3500</t>
  </si>
  <si>
    <t>M ROADSTER</t>
  </si>
  <si>
    <t>M COUPE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</si>
</sst>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[Red]\(\$#,##0\);&quot;-&quot;"/>
    <numFmt numFmtId="165" formatCode="0.0"/>
    <numFmt numFmtId="166" formatCode="\$#,##0"/>
    <numFmt numFmtId="167" formatCode="ddd\ m/d"/>
    <numFmt numFmtId="168" formatCode="\$#,##0;\(\$#,##0\)"/>
  </numFmts>
  <fonts count="33" x14ac:knownFonts="1">
    <font>
      <sz val="11"/>
      <color theme="1"/>
      <name val="Calibri"/>
      <family val="2"/>
      <scheme val="minor"/>
    </font>
    <font>
      <b/>
      <sz val="11"/>
      <color rgb="FF0B1F4D"/>
      <name val="Arial"/>
    </font>
    <font>
      <b/>
      <sz val="14"/>
      <color rgb="FFFFFFFF"/>
      <name val="Arial"/>
    </font>
    <font>
      <b/>
      <sz val="10"/>
      <color rgb="FF0B1F4D"/>
      <name val="Arial"/>
    </font>
    <font>
      <sz val="9"/>
      <name val="Arial"/>
    </font>
    <font>
      <b/>
      <sz val="9"/>
      <color rgb="FF0B1F4D"/>
      <name val="Arial"/>
    </font>
    <font>
      <b/>
      <sz val="9"/>
      <name val="Arial"/>
    </font>
    <font>
      <b/>
      <sz val="10"/>
      <name val="Arial"/>
    </font>
    <font>
      <b/>
      <sz val="12"/>
      <color rgb="FF0B1F4D"/>
      <name val="Arial"/>
    </font>
    <font>
      <i/>
      <sz val="9"/>
      <name val="Arial"/>
    </font>
    <font>
      <i/>
      <sz val="7"/>
      <color rgb="FF8A8F98"/>
      <name val="Arial"/>
    </font>
    <font>
      <i/>
      <sz val="8"/>
      <name val="Arial"/>
    </font>
    <font>
      <b/>
      <sz val="13"/>
      <color rgb="FF0B1F4D"/>
      <name val="Arial"/>
    </font>
    <font>
      <i/>
      <sz val="9"/>
      <color rgb="FF8A8F98"/>
      <name val="Arial"/>
    </font>
    <font>
      <b/>
      <sz val="10"/>
      <color rgb="FFFFFFFF"/>
      <name val="Arial"/>
    </font>
    <font>
      <b/>
      <sz val="9"/>
      <color rgb="FF1F4E96"/>
      <name val="Arial"/>
    </font>
    <font>
      <b/>
      <sz val="8"/>
      <color rgb="FFC9A227"/>
      <name val="Arial"/>
    </font>
    <font>
      <b/>
      <sz val="8"/>
      <color rgb="FFFFFFFF"/>
      <name val="Arial"/>
    </font>
    <font>
      <b/>
      <sz val="8"/>
      <color rgb="FF8A8F98"/>
      <name val="Arial"/>
    </font>
    <font>
      <b/>
      <sz val="8"/>
      <color rgb="FF0B1F4D"/>
      <name val="Arial"/>
    </font>
    <font>
      <b/>
      <sz val="16"/>
      <color rgb="FF0B1F4D"/>
      <name val="Arial"/>
    </font>
    <font>
      <b/>
      <sz val="10"/>
      <color rgb="FF1F4E96"/>
      <name val="Arial"/>
    </font>
    <font>
      <sz val="8"/>
      <color rgb="FF8A8F98"/>
      <name val="Arial"/>
    </font>
    <font>
      <sz val="8"/>
      <color rgb="FF595959"/>
      <name val="Arial"/>
    </font>
    <font>
      <i/>
      <sz val="8"/>
      <color rgb="FF8A8F98"/>
      <name val="Arial"/>
    </font>
    <font>
      <b/>
      <sz val="9"/>
      <color rgb="FFC9A227"/>
      <name val="Arial"/>
    </font>
    <font>
      <b/>
      <sz val="9"/>
      <color rgb="FF1E7A34"/>
      <name val="Arial"/>
    </font>
    <font>
      <sz val="10"/>
      <color rgb="FF111111"/>
      <name val="Arial"/>
    </font>
    <font>
      <sz val="10"/>
      <color rgb="FF111111"/>
      <name val="Consolas"/>
    </font>
    <font>
      <b/>
      <sz val="15"/>
      <color rgb="FF0B1F4D"/>
      <name val="Arial"/>
    </font>
    <font>
      <b/>
      <sz val="10"/>
      <color rgb="FFC9A227"/>
      <name val="Arial"/>
    </font>
    <font>
      <sz val="9"/>
      <color rgb="FFC9A227"/>
      <name val="Arial"/>
    </font>
    <font>
      <b/>
      <sz val="11"/>
      <color rgb="FF1F4E96"/>
      <name val="Arial"/>
    </font>
  </fonts>
  <fills count="7">
    <fill>
      <patternFill patternType="none"/>
    </fill>
    <fill>
      <patternFill patternType="gray125"/>
    </fill>
    <fill>
      <patternFill patternType="solid">
        <fgColor rgb="FF0B1F4D"/>
      </patternFill>
    </fill>
    <fill>
      <patternFill patternType="solid">
        <fgColor rgb="FFFFFFFF"/>
      </patternFill>
    </fill>
    <fill>
      <patternFill patternType="solid">
        <fgColor rgb="FFFFF6BE"/>
      </patternFill>
    </fill>
    <fill>
      <patternFill patternType="solid">
        <fgColor rgb="FFB8C4DC"/>
      </patternFill>
    </fill>
    <fill>
      <patternFill patternType="solid">
        <fgColor rgb="FFF3F4F6"/>
      </patternFill>
    </fill>
  </fills>
  <borders count="25">
    <border>
      <left/>
      <right/>
      <top/>
      <bottom/>
      <diagonal/>
    </border>
    <border>
      <left style="thin">
        <color rgb="FFD0D3D8"/>
      </left>
      <right style="thin">
        <color rgb="FFD0D3D8"/>
      </right>
      <top style="medium">
        <color rgb="FFC9A227"/>
      </top>
      <bottom style="thin">
        <color rgb="FFD0D3D8"/>
      </bottom>
      <diagonal/>
    </border>
    <border>
      <left style="thin">
        <color rgb="FFD0D3D8"/>
      </left>
      <right style="thin">
        <color rgb="FFD0D3D8"/>
      </right>
      <top style="thin">
        <color rgb="FFD0D3D8"/>
      </top>
      <bottom style="thin">
        <color rgb="FFD0D3D8"/>
      </bottom>
      <diagonal/>
    </border>
    <border>
      <left/>
      <right style="thin">
        <color rgb="FF2A3F6E"/>
      </right>
      <top/>
      <bottom/>
      <diagonal/>
    </border>
    <border>
      <left/>
      <right/>
      <top/>
      <bottom style="thin">
        <color rgb="FFD0D3D8"/>
      </bottom>
      <diagonal/>
    </border>
    <border>
      <left/>
      <right/>
      <top style="medium">
        <color rgb="FFC9A227"/>
      </top>
      <bottom style="thin">
        <color rgb="FFD0D3D8"/>
      </bottom>
      <diagonal/>
    </border>
    <border>
      <left/>
      <right style="thin">
        <color rgb="FFD0D3D8"/>
      </right>
      <top style="medium">
        <color rgb="FFC9A227"/>
      </top>
      <bottom style="thin">
        <color rgb="FFD0D3D8"/>
      </bottom>
      <diagonal/>
    </border>
    <border>
      <left/>
      <right/>
      <top style="thin">
        <color rgb="FFD0D3D8"/>
      </top>
      <bottom/>
      <diagonal/>
    </border>
    <border>
      <left style="thin">
        <color rgb="FFD0D3D8"/>
      </left>
      <right/>
      <top/>
      <bottom/>
      <diagonal/>
    </border>
    <border>
      <left/>
      <right style="thin">
        <color rgb="FFD0D3D8"/>
      </right>
      <top style="thin">
        <color rgb="FFD0D3D8"/>
      </top>
      <bottom/>
      <diagonal/>
    </border>
    <border>
      <left/>
      <right style="thin">
        <color rgb="FFD0D3D8"/>
      </right>
      <top/>
      <bottom/>
      <diagonal/>
    </border>
    <border>
      <left style="thin">
        <color rgb="FFD0D3D8"/>
      </left>
      <right/>
      <top/>
      <bottom style="thin">
        <color rgb="FFD0D3D8"/>
      </bottom>
      <diagonal/>
    </border>
    <border>
      <left/>
      <right/>
      <top/>
      <bottom style="thin">
        <color rgb="FFD0D3D8"/>
      </bottom>
      <diagonal/>
    </border>
    <border>
      <left/>
      <right style="thin">
        <color rgb="FFD0D3D8"/>
      </right>
      <top/>
      <bottom style="thin">
        <color rgb="FFD0D3D8"/>
      </bottom>
      <diagonal/>
    </border>
    <border>
      <left/>
      <right style="thin">
        <color rgb="FFD0D3D8"/>
      </right>
      <top style="thin">
        <color rgb="FFD0D3D8"/>
      </top>
      <bottom style="thin">
        <color rgb="FFD0D3D8"/>
      </bottom>
      <diagonal/>
    </border>
    <border>
      <left/>
      <right/>
      <top style="thin">
        <color rgb="FFD0D3D8"/>
      </top>
      <bottom style="thin">
        <color rgb="FFD0D3D8"/>
      </bottom>
      <diagonal/>
    </border>
    <border>
      <left/>
      <right/>
      <top/>
      <bottom style="thin">
        <color rgb="FFD0D3D8"/>
      </bottom>
      <diagonal/>
    </border>
    <border>
      <left/>
      <right/>
      <top/>
      <bottom style="medium">
        <color rgb="FFC9A227"/>
      </bottom>
      <diagonal/>
    </border>
    <border>
      <left/>
      <right/>
      <top/>
      <bottom style="medium">
        <color rgb="FFC9A227"/>
      </bottom>
      <diagonal/>
    </border>
    <border>
      <left/>
      <right/>
      <top/>
      <bottom style="thin">
        <color rgb="FFD0D3D8"/>
      </bottom>
      <diagonal/>
    </border>
    <border>
      <left/>
      <right/>
      <top style="medium">
        <color rgb="FF0B1F4D"/>
      </top>
      <bottom/>
      <diagonal/>
    </border>
    <border>
      <left/>
      <right/>
      <top/>
      <bottom style="medium">
        <color rgb="FFC9A227"/>
      </bottom>
      <diagonal/>
    </border>
    <border>
      <left/>
      <right/>
      <top style="medium">
        <color rgb="FF0B1F4D"/>
      </top>
      <bottom/>
      <diagonal/>
    </border>
    <border>
      <left/>
      <right/>
      <top/>
      <bottom style="medium">
        <color rgb="FFC9A227"/>
      </bottom>
      <diagonal/>
    </border>
    <border>
      <left/>
      <right/>
      <top style="medium">
        <color rgb="FF0B1F4D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1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4" borderId="2" xfId="0" applyFont="1" applyFill="1" applyBorder="1" applyAlignment="1" applyProtection="1">
      <alignment horizontal="center"/>
      <protection locked="0"/>
    </xf>
    <xf numFmtId="164" fontId="4" fillId="4" borderId="2" xfId="0" applyNumberFormat="1" applyFont="1" applyFill="1" applyBorder="1" applyAlignment="1" applyProtection="1">
      <alignment horizontal="center"/>
      <protection locked="0"/>
    </xf>
    <xf numFmtId="0" fontId="6" fillId="0" borderId="0" xfId="0" applyFont="1"/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1" fillId="0" borderId="0" xfId="0" applyFont="1"/>
    <xf numFmtId="166" fontId="4" fillId="0" borderId="0" xfId="0" applyNumberFormat="1" applyFont="1" applyProtection="1">
      <protection locked="0"/>
    </xf>
    <xf numFmtId="0" fontId="0" fillId="0" borderId="0" xfId="0" applyAlignment="1">
      <alignment vertical="top" wrapText="1"/>
    </xf>
    <xf numFmtId="0" fontId="15" fillId="0" borderId="0" xfId="0" applyFont="1"/>
    <xf numFmtId="0" fontId="17" fillId="2" borderId="3" xfId="0" applyFont="1" applyFill="1" applyBorder="1" applyAlignment="1">
      <alignment horizontal="center" vertical="center" wrapText="1"/>
    </xf>
    <xf numFmtId="0" fontId="10" fillId="0" borderId="0" xfId="0" applyFont="1"/>
    <xf numFmtId="0" fontId="18" fillId="0" borderId="0" xfId="0" applyFont="1" applyAlignment="1">
      <alignment horizontal="center" vertical="center" wrapText="1"/>
    </xf>
    <xf numFmtId="0" fontId="4" fillId="0" borderId="4" xfId="0" applyFont="1" applyBorder="1" applyAlignment="1" applyProtection="1">
      <alignment horizontal="center" vertical="center"/>
      <protection locked="0"/>
    </xf>
    <xf numFmtId="164" fontId="4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10" fillId="0" borderId="0" xfId="0" applyFont="1" applyProtection="1">
      <protection locked="0"/>
    </xf>
    <xf numFmtId="0" fontId="22" fillId="0" borderId="2" xfId="0" applyFont="1" applyBorder="1" applyAlignment="1">
      <alignment horizontal="center" vertical="center"/>
    </xf>
    <xf numFmtId="0" fontId="0" fillId="0" borderId="2" xfId="0" applyBorder="1"/>
    <xf numFmtId="0" fontId="20" fillId="0" borderId="2" xfId="0" applyFont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0" fontId="25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0" fillId="0" borderId="4" xfId="0" applyBorder="1"/>
    <xf numFmtId="165" fontId="5" fillId="0" borderId="4" xfId="0" applyNumberFormat="1" applyFont="1" applyBorder="1" applyAlignment="1">
      <alignment horizontal="center" vertical="center"/>
    </xf>
    <xf numFmtId="164" fontId="4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left" vertical="center"/>
    </xf>
    <xf numFmtId="165" fontId="5" fillId="6" borderId="4" xfId="0" applyNumberFormat="1" applyFont="1" applyFill="1" applyBorder="1" applyAlignment="1">
      <alignment horizontal="center" vertical="center"/>
    </xf>
    <xf numFmtId="164" fontId="4" fillId="6" borderId="4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165" fontId="4" fillId="0" borderId="19" xfId="0" applyNumberFormat="1" applyFont="1" applyBorder="1" applyAlignment="1">
      <alignment horizontal="center" vertical="center"/>
    </xf>
    <xf numFmtId="164" fontId="4" fillId="0" borderId="19" xfId="0" applyNumberFormat="1" applyFont="1" applyBorder="1" applyAlignment="1">
      <alignment horizontal="center" vertical="center"/>
    </xf>
    <xf numFmtId="164" fontId="4" fillId="4" borderId="19" xfId="0" applyNumberFormat="1" applyFont="1" applyFill="1" applyBorder="1" applyAlignment="1" applyProtection="1">
      <alignment horizontal="center" vertical="center"/>
      <protection locked="0"/>
    </xf>
    <xf numFmtId="0" fontId="4" fillId="6" borderId="19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left" vertical="center"/>
    </xf>
    <xf numFmtId="165" fontId="4" fillId="6" borderId="19" xfId="0" applyNumberFormat="1" applyFont="1" applyFill="1" applyBorder="1" applyAlignment="1">
      <alignment horizontal="center" vertical="center"/>
    </xf>
    <xf numFmtId="164" fontId="4" fillId="6" borderId="19" xfId="0" applyNumberFormat="1" applyFont="1" applyFill="1" applyBorder="1" applyAlignment="1">
      <alignment horizontal="center" vertical="center"/>
    </xf>
    <xf numFmtId="0" fontId="0" fillId="0" borderId="20" xfId="0" applyBorder="1"/>
    <xf numFmtId="0" fontId="5" fillId="0" borderId="20" xfId="0" applyFont="1" applyBorder="1"/>
    <xf numFmtId="165" fontId="5" fillId="0" borderId="20" xfId="0" applyNumberFormat="1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4" borderId="2" xfId="0" applyFont="1" applyFill="1" applyBorder="1" applyAlignment="1" applyProtection="1">
      <alignment horizontal="left" vertical="center"/>
      <protection locked="0"/>
    </xf>
    <xf numFmtId="0" fontId="26" fillId="0" borderId="0" xfId="0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27" fillId="4" borderId="2" xfId="0" applyFont="1" applyFill="1" applyBorder="1" applyAlignment="1" applyProtection="1">
      <alignment horizontal="center" vertical="center"/>
      <protection locked="0"/>
    </xf>
    <xf numFmtId="9" fontId="27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right"/>
    </xf>
    <xf numFmtId="0" fontId="3" fillId="6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5" fontId="4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left" vertical="center"/>
    </xf>
    <xf numFmtId="0" fontId="30" fillId="6" borderId="4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164" fontId="29" fillId="0" borderId="2" xfId="0" applyNumberFormat="1" applyFont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167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6" fillId="2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3" borderId="2" xfId="0" applyFont="1" applyFill="1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center"/>
    </xf>
    <xf numFmtId="0" fontId="20" fillId="0" borderId="0" xfId="0" applyFont="1" applyAlignment="1">
      <alignment horizontal="left" vertical="center"/>
    </xf>
    <xf numFmtId="0" fontId="32" fillId="0" borderId="21" xfId="0" applyFont="1" applyBorder="1" applyAlignment="1">
      <alignment horizontal="left" vertical="center"/>
    </xf>
    <xf numFmtId="0" fontId="0" fillId="0" borderId="18" xfId="0" applyBorder="1"/>
    <xf numFmtId="0" fontId="0" fillId="0" borderId="8" xfId="0" applyBorder="1"/>
    <xf numFmtId="0" fontId="0" fillId="0" borderId="10" xfId="0" applyBorder="1"/>
    <xf numFmtId="0" fontId="24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vertical="center"/>
    </xf>
    <xf numFmtId="0" fontId="3" fillId="0" borderId="21" xfId="0" applyFont="1" applyBorder="1"/>
    <xf numFmtId="0" fontId="5" fillId="4" borderId="2" xfId="0" applyFont="1" applyFill="1" applyBorder="1" applyAlignment="1" applyProtection="1">
      <alignment horizontal="left" vertical="center"/>
      <protection locked="0"/>
    </xf>
    <xf numFmtId="0" fontId="0" fillId="0" borderId="14" xfId="0" applyBorder="1" applyProtection="1">
      <protection locked="0"/>
    </xf>
    <xf numFmtId="0" fontId="15" fillId="0" borderId="0" xfId="0" applyFont="1" applyAlignment="1">
      <alignment horizontal="left" vertical="center"/>
    </xf>
    <xf numFmtId="0" fontId="0" fillId="0" borderId="15" xfId="0" applyBorder="1" applyProtection="1">
      <protection locked="0"/>
    </xf>
    <xf numFmtId="0" fontId="4" fillId="0" borderId="0" xfId="0" applyFont="1" applyAlignment="1">
      <alignment horizontal="left" vertical="center"/>
    </xf>
    <xf numFmtId="164" fontId="5" fillId="0" borderId="19" xfId="0" applyNumberFormat="1" applyFont="1" applyBorder="1"/>
    <xf numFmtId="164" fontId="5" fillId="6" borderId="19" xfId="0" applyNumberFormat="1" applyFont="1" applyFill="1" applyBorder="1"/>
    <xf numFmtId="164" fontId="3" fillId="0" borderId="24" xfId="0" applyNumberFormat="1" applyFont="1" applyBorder="1" applyAlignment="1">
      <alignment horizontal="center" vertical="center"/>
    </xf>
    <xf numFmtId="0" fontId="0" fillId="0" borderId="22" xfId="0" applyBorder="1"/>
    <xf numFmtId="0" fontId="17" fillId="2" borderId="0" xfId="0" applyFont="1" applyFill="1" applyAlignment="1">
      <alignment horizontal="center" vertical="center"/>
    </xf>
    <xf numFmtId="0" fontId="3" fillId="0" borderId="23" xfId="0" applyFont="1" applyBorder="1"/>
    <xf numFmtId="164" fontId="4" fillId="6" borderId="16" xfId="0" applyNumberFormat="1" applyFont="1" applyFill="1" applyBorder="1" applyAlignment="1">
      <alignment horizontal="center" vertical="center"/>
    </xf>
    <xf numFmtId="0" fontId="23" fillId="0" borderId="2" xfId="0" applyFont="1" applyBorder="1" applyAlignment="1">
      <alignment horizontal="left" vertical="center" indent="1"/>
    </xf>
    <xf numFmtId="0" fontId="0" fillId="0" borderId="14" xfId="0" applyBorder="1"/>
    <xf numFmtId="165" fontId="5" fillId="6" borderId="16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left" vertical="center"/>
    </xf>
    <xf numFmtId="164" fontId="4" fillId="0" borderId="16" xfId="0" applyNumberFormat="1" applyFont="1" applyBorder="1" applyAlignment="1">
      <alignment horizontal="center" vertical="center"/>
    </xf>
    <xf numFmtId="165" fontId="5" fillId="0" borderId="16" xfId="0" applyNumberFormat="1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0" fontId="4" fillId="6" borderId="16" xfId="0" applyFont="1" applyFill="1" applyBorder="1" applyAlignment="1">
      <alignment horizontal="left" vertical="center"/>
    </xf>
    <xf numFmtId="0" fontId="22" fillId="0" borderId="2" xfId="0" applyFont="1" applyBorder="1" applyAlignment="1">
      <alignment horizontal="center" vertical="center"/>
    </xf>
    <xf numFmtId="0" fontId="0" fillId="0" borderId="15" xfId="0" applyBorder="1"/>
    <xf numFmtId="0" fontId="1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 indent="1"/>
    </xf>
    <xf numFmtId="0" fontId="20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7" xfId="0" applyFont="1" applyBorder="1"/>
    <xf numFmtId="0" fontId="21" fillId="5" borderId="2" xfId="0" applyFont="1" applyFill="1" applyBorder="1" applyAlignment="1">
      <alignment horizontal="left" vertical="center" indent="1"/>
    </xf>
    <xf numFmtId="0" fontId="24" fillId="5" borderId="2" xfId="0" applyFont="1" applyFill="1" applyBorder="1" applyAlignment="1">
      <alignment horizontal="left" vertical="center" indent="1"/>
    </xf>
    <xf numFmtId="164" fontId="5" fillId="0" borderId="2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8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92">
    <dxf>
      <font>
        <b/>
        <sz val="9"/>
        <color rgb="FF9C6500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FFFFFF"/>
        <name val="Arial"/>
      </font>
      <fill>
        <patternFill patternType="solid">
          <fgColor rgb="FFC9A227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B3242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0B1F4D"/>
        <name val="Arial"/>
      </font>
      <fill>
        <patternFill patternType="solid">
          <fgColor rgb="FFDEEAF9"/>
        </patternFill>
      </fill>
    </dxf>
    <dxf>
      <font>
        <sz val="9"/>
        <color rgb="FF8A8F98"/>
        <name val="Arial"/>
      </font>
    </dxf>
    <dxf>
      <fill>
        <patternFill patternType="solid">
          <fgColor rgb="FFDEEAF9"/>
        </patternFill>
      </fill>
    </dxf>
    <dxf>
      <fill>
        <patternFill patternType="solid">
          <fgColor rgb="FFF3F4F6"/>
        </patternFill>
      </fill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  <dxf>
      <font>
        <b/>
        <sz val="11"/>
        <color rgb="FFB32424"/>
        <name val="Arial"/>
      </font>
    </dxf>
    <dxf>
      <font>
        <b/>
        <sz val="11"/>
        <color rgb="FF9C6500"/>
        <name val="Arial"/>
      </font>
      <fill>
        <patternFill patternType="solid">
          <fgColor rgb="FFFDF0DA"/>
        </patternFill>
      </fill>
    </dxf>
    <dxf>
      <font>
        <b/>
        <sz val="11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1E7A34"/>
        <name val="Arial"/>
      </font>
    </dxf>
    <dxf>
      <font>
        <b/>
        <sz val="9"/>
        <color rgb="FF9C6500"/>
        <name val="Arial"/>
      </font>
      <fill>
        <patternFill patternType="solid">
          <fgColor rgb="FFFDF0DA"/>
        </patternFill>
      </fill>
    </dxf>
    <dxf>
      <font>
        <b/>
        <sz val="9"/>
        <color rgb="FF1E7A34"/>
        <name val="Arial"/>
      </font>
    </dxf>
    <dxf>
      <font>
        <b/>
        <sz val="10"/>
        <color rgb="FF9C6500"/>
        <name val="Arial"/>
      </font>
      <fill>
        <patternFill patternType="solid">
          <fgColor rgb="FFFDF0DA"/>
        </patternFill>
      </fill>
    </dxf>
    <dxf>
      <font>
        <b/>
        <sz val="10"/>
        <color rgb="FF1E7A34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485775</xdr:colOff>
      <xdr:row>0</xdr:row>
      <xdr:rowOff>76200</xdr:rowOff>
    </xdr:from>
    <xdr:ext cx="1076325" cy="59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76200</xdr:rowOff>
    </xdr:from>
    <xdr:ext cx="1076325" cy="59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142875</xdr:rowOff>
    </xdr:from>
    <xdr:ext cx="8191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0</xdr:row>
      <xdr:rowOff>76200</xdr:rowOff>
    </xdr:from>
    <xdr:ext cx="1076325" cy="59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76200</xdr:rowOff>
    </xdr:from>
    <xdr:ext cx="1076325" cy="59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0</xdr:row>
      <xdr:rowOff>76200</xdr:rowOff>
    </xdr:from>
    <xdr:ext cx="1076325" cy="590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57150</xdr:rowOff>
    </xdr:from>
    <xdr:ext cx="78105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142875</xdr:rowOff>
    </xdr:from>
    <xdr:ext cx="847725" cy="4667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227"/>
    <pageSetUpPr fitToPage="1"/>
  </sheetPr>
  <dimension ref="A1:H15"/>
  <sheetViews>
    <sheetView showGridLines="0" workbookViewId="0">
      <selection sqref="A1:B3"/>
    </sheetView>
  </sheetViews>
  <sheetFormatPr defaultRowHeight="15" x14ac:dyDescent="0.25"/>
  <cols>
    <col min="1" max="1" width="3.42578125" customWidth="1"/>
    <col min="2" max="2" width="26" customWidth="1"/>
    <col min="3" max="3" width="60" customWidth="1"/>
    <col min="4" max="8" width="8" customWidth="1"/>
  </cols>
  <sheetData>
    <row r="1" spans="1:8" ht="20.100000000000001" customHeight="1" x14ac:dyDescent="0.25">
      <c r="A1" s="107" t="s">
        <v>0</v>
      </c>
      <c r="B1" s="109"/>
      <c r="C1" s="116" t="s">
        <v>1</v>
      </c>
      <c r="D1" s="100"/>
      <c r="E1" s="100"/>
      <c r="F1" s="100"/>
      <c r="G1" s="115" t="str">
        <f ca="1">" as of "&amp;TEXT(TODAY(),"ddd mmm d")</f>
        <v xml:space="preserve"> as of Sat Aug 1</v>
      </c>
      <c r="H1" s="100"/>
    </row>
    <row r="2" spans="1:8" ht="20.100000000000001" customHeight="1" x14ac:dyDescent="0.25">
      <c r="A2" s="119"/>
      <c r="B2" s="120"/>
      <c r="C2" s="100"/>
      <c r="D2" s="100"/>
      <c r="E2" s="100"/>
      <c r="F2" s="100"/>
      <c r="G2" s="100"/>
      <c r="H2" s="100"/>
    </row>
    <row r="3" spans="1:8" ht="20.100000000000001" customHeight="1" x14ac:dyDescent="0.25">
      <c r="A3" s="110"/>
      <c r="B3" s="112"/>
      <c r="C3" s="121" t="s">
        <v>2</v>
      </c>
      <c r="D3" s="100"/>
      <c r="E3" s="100"/>
      <c r="F3" s="100"/>
    </row>
    <row r="5" spans="1:8" x14ac:dyDescent="0.25">
      <c r="B5" s="117" t="str">
        <f>"PVR month-to-date:  "&amp;IF('Jul 31'!$C$62=0,"— (no delivered units yet)",TEXT('Jul 31'!$C$63/'Jul 31'!$C$62,"$#,##0")&amp;" per copy  ·  "&amp;'Jul 31'!$C$62&amp;" units  ·  "&amp;TEXT('Jul 31'!$C$63,"$#,##0")&amp;" total gross")</f>
        <v>PVR month-to-date:  — (no delivered units yet)</v>
      </c>
      <c r="C5" s="118"/>
      <c r="D5" s="118"/>
      <c r="E5" s="118"/>
      <c r="F5" s="118"/>
      <c r="G5" s="118"/>
      <c r="H5" s="118"/>
    </row>
    <row r="7" spans="1:8" ht="30" customHeight="1" x14ac:dyDescent="0.25">
      <c r="B7" s="76" t="s">
        <v>3</v>
      </c>
      <c r="C7" s="114" t="s">
        <v>4</v>
      </c>
      <c r="D7" s="100"/>
      <c r="E7" s="100"/>
      <c r="F7" s="100"/>
      <c r="G7" s="100"/>
      <c r="H7" s="100"/>
    </row>
    <row r="8" spans="1:8" ht="30" customHeight="1" x14ac:dyDescent="0.25">
      <c r="B8" s="76" t="s">
        <v>5</v>
      </c>
      <c r="C8" s="114" t="s">
        <v>6</v>
      </c>
      <c r="D8" s="100"/>
      <c r="E8" s="100"/>
      <c r="F8" s="100"/>
      <c r="G8" s="100"/>
      <c r="H8" s="100"/>
    </row>
    <row r="9" spans="1:8" ht="30" customHeight="1" x14ac:dyDescent="0.25">
      <c r="B9" s="76" t="s">
        <v>7</v>
      </c>
      <c r="C9" s="114" t="s">
        <v>8</v>
      </c>
      <c r="D9" s="100"/>
      <c r="E9" s="100"/>
      <c r="F9" s="100"/>
      <c r="G9" s="100"/>
      <c r="H9" s="100"/>
    </row>
    <row r="10" spans="1:8" ht="30" customHeight="1" x14ac:dyDescent="0.25">
      <c r="B10" s="76" t="s">
        <v>9</v>
      </c>
      <c r="C10" s="114" t="s">
        <v>10</v>
      </c>
      <c r="D10" s="100"/>
      <c r="E10" s="100"/>
      <c r="F10" s="100"/>
      <c r="G10" s="100"/>
      <c r="H10" s="100"/>
    </row>
    <row r="11" spans="1:8" ht="30" customHeight="1" x14ac:dyDescent="0.25">
      <c r="B11" s="76" t="s">
        <v>11</v>
      </c>
      <c r="C11" s="114" t="s">
        <v>12</v>
      </c>
      <c r="D11" s="100"/>
      <c r="E11" s="100"/>
      <c r="F11" s="100"/>
      <c r="G11" s="100"/>
      <c r="H11" s="100"/>
    </row>
    <row r="12" spans="1:8" ht="30" customHeight="1" x14ac:dyDescent="0.25">
      <c r="B12" s="76" t="s">
        <v>13</v>
      </c>
      <c r="C12" s="114" t="s">
        <v>14</v>
      </c>
      <c r="D12" s="100"/>
      <c r="E12" s="100"/>
      <c r="F12" s="100"/>
      <c r="G12" s="100"/>
      <c r="H12" s="100"/>
    </row>
    <row r="13" spans="1:8" ht="30" customHeight="1" x14ac:dyDescent="0.25">
      <c r="B13" s="76" t="s">
        <v>15</v>
      </c>
      <c r="C13" s="114" t="s">
        <v>16</v>
      </c>
      <c r="D13" s="100"/>
      <c r="E13" s="100"/>
      <c r="F13" s="100"/>
      <c r="G13" s="100"/>
      <c r="H13" s="100"/>
    </row>
    <row r="14" spans="1:8" ht="30" customHeight="1" x14ac:dyDescent="0.25">
      <c r="B14" s="76" t="s">
        <v>17</v>
      </c>
      <c r="C14" s="114" t="s">
        <v>18</v>
      </c>
      <c r="D14" s="100"/>
      <c r="E14" s="100"/>
      <c r="F14" s="100"/>
      <c r="G14" s="100"/>
      <c r="H14" s="100"/>
    </row>
    <row r="15" spans="1:8" ht="30" customHeight="1" x14ac:dyDescent="0.25">
      <c r="B15" s="76" t="s">
        <v>19</v>
      </c>
      <c r="C15" s="114" t="s">
        <v>20</v>
      </c>
      <c r="D15" s="100"/>
      <c r="E15" s="100"/>
      <c r="F15" s="100"/>
      <c r="G15" s="100"/>
      <c r="H15" s="100"/>
    </row>
  </sheetData>
  <sheetProtection sheet="1" formatColumns="0" formatRows="0"/>
  <mergeCells count="14">
    <mergeCell ref="C15:H15"/>
    <mergeCell ref="G1:H2"/>
    <mergeCell ref="C8:H8"/>
    <mergeCell ref="C1:F2"/>
    <mergeCell ref="C12:H12"/>
    <mergeCell ref="B5:H5"/>
    <mergeCell ref="A1:B3"/>
    <mergeCell ref="C7:H7"/>
    <mergeCell ref="C11:H11"/>
    <mergeCell ref="C10:H10"/>
    <mergeCell ref="C3:F3"/>
    <mergeCell ref="C14:H14"/>
    <mergeCell ref="C13:H13"/>
    <mergeCell ref="C9:H9"/>
  </mergeCells>
  <pageMargins left="0.25" right="0.25" top="0.3" bottom="0.3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  <pageSetUpPr fitToPage="1"/>
  </sheetPr>
  <dimension ref="A1:H29"/>
  <sheetViews>
    <sheetView workbookViewId="0">
      <selection activeCell="A29" sqref="A29:F29"/>
    </sheetView>
  </sheetViews>
  <sheetFormatPr defaultRowHeight="15" x14ac:dyDescent="0.25"/>
  <cols>
    <col min="1" max="1" width="18" customWidth="1"/>
    <col min="2" max="6" width="13" customWidth="1"/>
  </cols>
  <sheetData>
    <row r="1" spans="1:8" x14ac:dyDescent="0.25">
      <c r="A1" s="122" t="s">
        <v>21</v>
      </c>
      <c r="B1" s="100"/>
      <c r="C1" s="100"/>
      <c r="D1" s="100"/>
      <c r="E1" s="100"/>
      <c r="F1" s="100"/>
      <c r="G1" s="100"/>
      <c r="H1" s="100"/>
    </row>
    <row r="2" spans="1:8" x14ac:dyDescent="0.25">
      <c r="A2" s="100"/>
      <c r="B2" s="100"/>
      <c r="C2" s="100"/>
      <c r="D2" s="100"/>
      <c r="E2" s="100"/>
      <c r="F2" s="100"/>
      <c r="G2" s="100"/>
      <c r="H2" s="100"/>
    </row>
    <row r="4" spans="1:8" x14ac:dyDescent="0.25">
      <c r="A4" s="101" t="s">
        <v>22</v>
      </c>
      <c r="B4" s="102"/>
      <c r="C4" s="102"/>
      <c r="D4" s="103"/>
    </row>
    <row r="5" spans="1:8" x14ac:dyDescent="0.25">
      <c r="A5" s="3" t="s">
        <v>23</v>
      </c>
      <c r="C5" s="4" t="s">
        <v>24</v>
      </c>
    </row>
    <row r="6" spans="1:8" x14ac:dyDescent="0.25">
      <c r="A6" s="3" t="s">
        <v>25</v>
      </c>
      <c r="C6" s="4">
        <v>31</v>
      </c>
    </row>
    <row r="7" spans="1:8" x14ac:dyDescent="0.25">
      <c r="A7" s="3" t="s">
        <v>26</v>
      </c>
      <c r="C7" s="4">
        <v>4</v>
      </c>
    </row>
    <row r="8" spans="1:8" x14ac:dyDescent="0.25">
      <c r="A8" s="3" t="s">
        <v>27</v>
      </c>
      <c r="C8" s="4">
        <v>27</v>
      </c>
    </row>
    <row r="10" spans="1:8" x14ac:dyDescent="0.25">
      <c r="A10" s="101" t="s">
        <v>28</v>
      </c>
      <c r="B10" s="102"/>
      <c r="C10" s="102"/>
      <c r="D10" s="102"/>
      <c r="E10" s="103"/>
    </row>
    <row r="11" spans="1:8" x14ac:dyDescent="0.25">
      <c r="B11" s="5" t="s">
        <v>29</v>
      </c>
      <c r="C11" s="5" t="s">
        <v>30</v>
      </c>
    </row>
    <row r="12" spans="1:8" x14ac:dyDescent="0.25">
      <c r="A12" s="3" t="s">
        <v>31</v>
      </c>
      <c r="B12" s="6"/>
      <c r="C12" s="7"/>
    </row>
    <row r="13" spans="1:8" x14ac:dyDescent="0.25">
      <c r="A13" s="3" t="s">
        <v>32</v>
      </c>
      <c r="B13" s="6"/>
      <c r="C13" s="7"/>
    </row>
    <row r="14" spans="1:8" x14ac:dyDescent="0.25">
      <c r="A14" s="8" t="s">
        <v>33</v>
      </c>
      <c r="B14" s="5" t="str">
        <f>IF(COUNT(B12:B13)=0,"",SUM(B12:B13))</f>
        <v/>
      </c>
      <c r="C14" s="9" t="str">
        <f>IF(COUNT(C12:C13)=0,"",SUM(C12:C13))</f>
        <v/>
      </c>
    </row>
    <row r="17" spans="1:6" x14ac:dyDescent="0.25">
      <c r="A17" s="101" t="s">
        <v>34</v>
      </c>
      <c r="B17" s="102"/>
      <c r="C17" s="102"/>
      <c r="D17" s="103"/>
    </row>
    <row r="18" spans="1:6" x14ac:dyDescent="0.25">
      <c r="A18" s="3" t="s">
        <v>35</v>
      </c>
      <c r="B18" s="7"/>
    </row>
    <row r="19" spans="1:6" x14ac:dyDescent="0.25">
      <c r="A19" s="3" t="s">
        <v>36</v>
      </c>
      <c r="B19" s="7"/>
    </row>
    <row r="20" spans="1:6" x14ac:dyDescent="0.25">
      <c r="A20" s="8" t="s">
        <v>37</v>
      </c>
      <c r="B20" s="9" t="str">
        <f>IF(COUNT(B18:B19)=0,"",SUM(B18:B19))</f>
        <v/>
      </c>
    </row>
    <row r="23" spans="1:6" x14ac:dyDescent="0.25">
      <c r="A23" s="101" t="s">
        <v>38</v>
      </c>
      <c r="B23" s="102"/>
      <c r="C23" s="102"/>
      <c r="D23" s="103"/>
    </row>
    <row r="24" spans="1:6" x14ac:dyDescent="0.25">
      <c r="A24" s="3" t="s">
        <v>39</v>
      </c>
      <c r="B24" s="10" t="str">
        <f>IF(OR($C$8="",$C$8=0,B14=""),"",ROUND(B14/$C$8,1))</f>
        <v/>
      </c>
    </row>
    <row r="25" spans="1:6" x14ac:dyDescent="0.25">
      <c r="A25" s="3" t="s">
        <v>40</v>
      </c>
      <c r="B25" s="9" t="str">
        <f>IF(OR($C$8="",$C$8=0,C14=""),"",ROUND(C14/$C$8,0))</f>
        <v/>
      </c>
    </row>
    <row r="28" spans="1:6" x14ac:dyDescent="0.25">
      <c r="A28" s="101" t="s">
        <v>41</v>
      </c>
      <c r="B28" s="102"/>
      <c r="C28" s="102"/>
      <c r="D28" s="102"/>
      <c r="E28" s="102"/>
      <c r="F28" s="103"/>
    </row>
    <row r="29" spans="1:6" x14ac:dyDescent="0.25">
      <c r="A29" s="123" t="str">
        <f>IF(OR(B14="",C14="",B18="",B19=""),"-",IF(ABS(B14*(B18+B19)-C14)&lt;=0.02*C14,"✓ CONSISTENT — units × PVR ≈ gross goal","⚠ CHECK — units × PVR ≠ gross goal (±2%)"))</f>
        <v>-</v>
      </c>
      <c r="B29" s="100"/>
      <c r="C29" s="100"/>
      <c r="D29" s="100"/>
      <c r="E29" s="100"/>
      <c r="F29" s="100"/>
    </row>
  </sheetData>
  <sheetProtection sheet="1" formatColumns="0" formatRows="0"/>
  <mergeCells count="7">
    <mergeCell ref="A1:H2"/>
    <mergeCell ref="A29:F29"/>
    <mergeCell ref="A23:D23"/>
    <mergeCell ref="A17:D17"/>
    <mergeCell ref="A28:F28"/>
    <mergeCell ref="A4:D4"/>
    <mergeCell ref="A10:E10"/>
  </mergeCells>
  <conditionalFormatting sqref="A29">
    <cfRule type="expression" dxfId="391" priority="1">
      <formula>LEFT($A$29,1)="✓"</formula>
    </cfRule>
    <cfRule type="expression" dxfId="390" priority="2">
      <formula>LEFT($A$29,1)="⚠"</formula>
    </cfRule>
  </conditionalFormatting>
  <pageMargins left="0.25" right="0.25" top="0.3" bottom="0.3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227"/>
    <pageSetUpPr fitToPage="1"/>
  </sheetPr>
  <dimension ref="A1:F39"/>
  <sheetViews>
    <sheetView showGridLines="0" workbookViewId="0">
      <selection activeCell="D8" sqref="D8"/>
    </sheetView>
  </sheetViews>
  <sheetFormatPr defaultRowHeight="15" x14ac:dyDescent="0.25"/>
  <cols>
    <col min="1" max="1" width="3.42578125" customWidth="1"/>
    <col min="2" max="2" width="16" customWidth="1"/>
    <col min="3" max="4" width="13" customWidth="1"/>
    <col min="5" max="5" width="11" customWidth="1"/>
    <col min="6" max="6" width="13" customWidth="1"/>
  </cols>
  <sheetData>
    <row r="1" spans="1:6" ht="20.100000000000001" customHeight="1" x14ac:dyDescent="0.25">
      <c r="A1" s="107" t="s">
        <v>42</v>
      </c>
      <c r="B1" s="109"/>
      <c r="C1" s="116" t="s">
        <v>43</v>
      </c>
      <c r="D1" s="100"/>
      <c r="E1" s="115" t="str">
        <f ca="1">" as of "&amp;TEXT(TODAY(),"ddd mmm d")</f>
        <v xml:space="preserve"> as of Sat Aug 1</v>
      </c>
      <c r="F1" s="100"/>
    </row>
    <row r="2" spans="1:6" ht="20.100000000000001" customHeight="1" x14ac:dyDescent="0.25">
      <c r="A2" s="119"/>
      <c r="B2" s="120"/>
      <c r="C2" s="100"/>
      <c r="D2" s="100"/>
      <c r="E2" s="100"/>
      <c r="F2" s="100"/>
    </row>
    <row r="3" spans="1:6" ht="20.100000000000001" customHeight="1" x14ac:dyDescent="0.25">
      <c r="A3" s="110"/>
      <c r="B3" s="112"/>
      <c r="C3" s="121" t="s">
        <v>44</v>
      </c>
      <c r="D3" s="100"/>
    </row>
    <row r="6" spans="1:6" x14ac:dyDescent="0.25">
      <c r="A6" s="124" t="s">
        <v>45</v>
      </c>
      <c r="B6" s="118"/>
      <c r="C6" s="118"/>
      <c r="D6" s="118"/>
      <c r="E6" s="118"/>
      <c r="F6" s="118"/>
    </row>
    <row r="7" spans="1:6" x14ac:dyDescent="0.25">
      <c r="B7" s="77"/>
      <c r="C7" s="77" t="s">
        <v>46</v>
      </c>
      <c r="D7" s="77" t="s">
        <v>47</v>
      </c>
      <c r="E7" s="77" t="s">
        <v>48</v>
      </c>
      <c r="F7" s="77" t="s">
        <v>49</v>
      </c>
    </row>
    <row r="8" spans="1:6" x14ac:dyDescent="0.25">
      <c r="B8" s="78" t="s">
        <v>31</v>
      </c>
      <c r="C8" s="79" t="str">
        <f>IF(GoalUnitsNew="","-",GoalUnitsNew)</f>
        <v>-</v>
      </c>
      <c r="D8" s="79">
        <f>$B$36</f>
        <v>0</v>
      </c>
      <c r="E8" s="45" t="str">
        <f>IF(OR(GoalUnitsNew="",GoalUnitsNew=0),"-",$B$36/GoalUnitsNew)</f>
        <v>-</v>
      </c>
      <c r="F8" s="79" t="str">
        <f>IF(GoalUnitsNew="","-",MAX(0,GoalUnitsNew-$B$36))</f>
        <v>-</v>
      </c>
    </row>
    <row r="9" spans="1:6" x14ac:dyDescent="0.25">
      <c r="B9" s="78" t="s">
        <v>32</v>
      </c>
      <c r="C9" s="79" t="str">
        <f>IF(GoalUnitsUsed="","-",GoalUnitsUsed)</f>
        <v>-</v>
      </c>
      <c r="D9" s="79">
        <f>$B$37</f>
        <v>0</v>
      </c>
      <c r="E9" s="45" t="str">
        <f>IF(OR(GoalUnitsUsed="",GoalUnitsUsed=0),"-",$B$37/GoalUnitsUsed)</f>
        <v>-</v>
      </c>
      <c r="F9" s="79" t="str">
        <f>IF(GoalUnitsUsed="","-",MAX(0,GoalUnitsUsed-$B$37))</f>
        <v>-</v>
      </c>
    </row>
    <row r="10" spans="1:6" x14ac:dyDescent="0.25">
      <c r="B10" s="78" t="s">
        <v>33</v>
      </c>
      <c r="C10" s="79" t="str">
        <f>IF(GoalUnitsTotal="","-",GoalUnitsTotal)</f>
        <v>-</v>
      </c>
      <c r="D10" s="79">
        <f>'Jul 31'!$C$62</f>
        <v>0</v>
      </c>
      <c r="E10" s="45" t="str">
        <f>IF(OR(GoalUnitsTotal="",GoalUnitsTotal=0),"-",'Jul 31'!$C$62/GoalUnitsTotal)</f>
        <v>-</v>
      </c>
      <c r="F10" s="79" t="str">
        <f>IF(GoalUnitsTotal="","-",MAX(0,GoalUnitsTotal-'Jul 31'!$C$62))</f>
        <v>-</v>
      </c>
    </row>
    <row r="12" spans="1:6" x14ac:dyDescent="0.25">
      <c r="A12" s="124" t="s">
        <v>50</v>
      </c>
      <c r="B12" s="118"/>
      <c r="C12" s="118"/>
      <c r="D12" s="118"/>
      <c r="E12" s="118"/>
      <c r="F12" s="118"/>
    </row>
    <row r="13" spans="1:6" x14ac:dyDescent="0.25">
      <c r="B13" s="77"/>
      <c r="C13" s="77" t="s">
        <v>46</v>
      </c>
      <c r="D13" s="77" t="s">
        <v>47</v>
      </c>
      <c r="E13" s="77" t="s">
        <v>48</v>
      </c>
      <c r="F13" s="77" t="s">
        <v>49</v>
      </c>
    </row>
    <row r="14" spans="1:6" x14ac:dyDescent="0.25">
      <c r="B14" s="78" t="s">
        <v>31</v>
      </c>
      <c r="C14" s="43" t="str">
        <f>IF(GoalGrossNew="","-",GoalGrossNew)</f>
        <v>-</v>
      </c>
      <c r="D14" s="43">
        <f>$B$38</f>
        <v>0</v>
      </c>
      <c r="E14" s="45" t="str">
        <f>IF(OR(GoalGrossNew="",GoalGrossNew=0),"-",$B$38/GoalGrossNew)</f>
        <v>-</v>
      </c>
      <c r="F14" s="43" t="str">
        <f>IF(GoalGrossNew="","-",MAX(0,GoalGrossNew-$B$38))</f>
        <v>-</v>
      </c>
    </row>
    <row r="15" spans="1:6" x14ac:dyDescent="0.25">
      <c r="B15" s="78" t="s">
        <v>32</v>
      </c>
      <c r="C15" s="43" t="str">
        <f>IF(GoalGrossUsed="","-",GoalGrossUsed)</f>
        <v>-</v>
      </c>
      <c r="D15" s="43">
        <f>$B$39</f>
        <v>0</v>
      </c>
      <c r="E15" s="45" t="str">
        <f>IF(OR(GoalGrossUsed="",GoalGrossUsed=0),"-",$B$39/GoalGrossUsed)</f>
        <v>-</v>
      </c>
      <c r="F15" s="43" t="str">
        <f>IF(GoalGrossUsed="","-",MAX(0,GoalGrossUsed-$B$39))</f>
        <v>-</v>
      </c>
    </row>
    <row r="16" spans="1:6" x14ac:dyDescent="0.25">
      <c r="B16" s="78" t="s">
        <v>33</v>
      </c>
      <c r="C16" s="43" t="str">
        <f>IF(GoalGrossTotal="","-",GoalGrossTotal)</f>
        <v>-</v>
      </c>
      <c r="D16" s="43">
        <f>'Jul 31'!$C$63</f>
        <v>0</v>
      </c>
      <c r="E16" s="45" t="str">
        <f>IF(OR(GoalGrossTotal="",GoalGrossTotal=0),"-",'Jul 31'!$C$63/GoalGrossTotal)</f>
        <v>-</v>
      </c>
      <c r="F16" s="43" t="str">
        <f>IF(GoalGrossTotal="","-",MAX(0,GoalGrossTotal-'Jul 31'!$C$63))</f>
        <v>-</v>
      </c>
    </row>
    <row r="18" spans="1:6" x14ac:dyDescent="0.25">
      <c r="A18" s="124" t="s">
        <v>51</v>
      </c>
      <c r="B18" s="118"/>
      <c r="C18" s="118"/>
      <c r="D18" s="118"/>
      <c r="E18" s="118"/>
      <c r="F18" s="118"/>
    </row>
    <row r="19" spans="1:6" x14ac:dyDescent="0.25">
      <c r="B19" s="78" t="s">
        <v>52</v>
      </c>
      <c r="C19" s="80" t="s">
        <v>53</v>
      </c>
      <c r="D19" s="20" t="str">
        <f>IF('Jul 31'!$C$62=0,"-",'Jul 31'!$C$63/'Jul 31'!$C$62)</f>
        <v>-</v>
      </c>
      <c r="E19" s="43" t="str">
        <f>IF(GoalPVRTotal="","-",GoalPVRTotal)</f>
        <v>-</v>
      </c>
      <c r="F19" s="41"/>
    </row>
    <row r="20" spans="1:6" x14ac:dyDescent="0.25">
      <c r="B20" s="78" t="s">
        <v>54</v>
      </c>
      <c r="C20" s="41"/>
      <c r="D20" s="44">
        <f ca="1">Dashboard!$BT$5</f>
        <v>0</v>
      </c>
      <c r="E20" s="41"/>
      <c r="F20" s="41"/>
    </row>
    <row r="21" spans="1:6" x14ac:dyDescent="0.25">
      <c r="B21" s="78" t="s">
        <v>55</v>
      </c>
      <c r="C21" s="41"/>
      <c r="D21" s="81" t="str">
        <f>IF(OR(GoalUnitsTotal="",GoalUnitsTotal=0),"-",'Jul 31'!$C$62/GoalUnitsTotal)</f>
        <v>-</v>
      </c>
      <c r="E21" s="41"/>
      <c r="F21" s="41"/>
    </row>
    <row r="22" spans="1:6" x14ac:dyDescent="0.25">
      <c r="B22" s="78" t="s">
        <v>56</v>
      </c>
      <c r="C22" s="41"/>
      <c r="D22" s="81" t="str">
        <f>IF(OR(GoalGrossTotal="",GoalGrossTotal=0),"-",'Jul 31'!$C$63/GoalGrossTotal)</f>
        <v>-</v>
      </c>
      <c r="E22" s="41"/>
      <c r="F22" s="41"/>
    </row>
    <row r="36" spans="2:2" x14ac:dyDescent="0.25">
      <c r="B36">
        <f>'Jul 1'!$C$46+'Jul 2'!$C$46+'Jul 3'!$C$46+'Jul 4'!$C$46+'Jul 5'!$C$46+'Jul 6'!$C$46+'Jul 7'!$C$46+'Jul 8'!$C$46+'Jul 9'!$C$46+'Jul 10'!$C$46+'Jul 11'!$C$46+'Jul 12'!$C$46+'Jul 13'!$C$46+'Jul 14'!$C$46+'Jul 15'!$C$46+'Jul 16'!$C$46+'Jul 17'!$C$46+'Jul 18'!$C$46+'Jul 19'!$C$46+'Jul 20'!$C$46+'Jul 21'!$C$46+'Jul 22'!$C$46+'Jul 23'!$C$46+'Jul 24'!$C$46+'Jul 25'!$C$46+'Jul 26'!$C$46+'Jul 27'!$C$46+'Jul 28'!$C$46+'Jul 29'!$C$46+'Jul 30'!$C$46+'Jul 31'!$C$46</f>
        <v>0</v>
      </c>
    </row>
    <row r="37" spans="2:2" x14ac:dyDescent="0.25">
      <c r="B37">
        <f>'Jul 1'!$E$46+'Jul 2'!$E$46+'Jul 3'!$E$46+'Jul 4'!$E$46+'Jul 5'!$E$46+'Jul 6'!$E$46+'Jul 7'!$E$46+'Jul 8'!$E$46+'Jul 9'!$E$46+'Jul 10'!$E$46+'Jul 11'!$E$46+'Jul 12'!$E$46+'Jul 13'!$E$46+'Jul 14'!$E$46+'Jul 15'!$E$46+'Jul 16'!$E$46+'Jul 17'!$E$46+'Jul 18'!$E$46+'Jul 19'!$E$46+'Jul 20'!$E$46+'Jul 21'!$E$46+'Jul 22'!$E$46+'Jul 23'!$E$46+'Jul 24'!$E$46+'Jul 25'!$E$46+'Jul 26'!$E$46+'Jul 27'!$E$46+'Jul 28'!$E$46+'Jul 29'!$E$46+'Jul 30'!$E$46+'Jul 31'!$E$46</f>
        <v>0</v>
      </c>
    </row>
    <row r="38" spans="2:2" x14ac:dyDescent="0.25">
      <c r="B38">
        <f>'Jul 1'!$C$49+'Jul 2'!$C$49+'Jul 3'!$C$49+'Jul 4'!$C$49+'Jul 5'!$C$49+'Jul 6'!$C$49+'Jul 7'!$C$49+'Jul 8'!$C$49+'Jul 9'!$C$49+'Jul 10'!$C$49+'Jul 11'!$C$49+'Jul 12'!$C$49+'Jul 13'!$C$49+'Jul 14'!$C$49+'Jul 15'!$C$49+'Jul 16'!$C$49+'Jul 17'!$C$49+'Jul 18'!$C$49+'Jul 19'!$C$49+'Jul 20'!$C$49+'Jul 21'!$C$49+'Jul 22'!$C$49+'Jul 23'!$C$49+'Jul 24'!$C$49+'Jul 25'!$C$49+'Jul 26'!$C$49+'Jul 27'!$C$49+'Jul 28'!$C$49+'Jul 29'!$C$49+'Jul 30'!$C$49+'Jul 31'!$C$49</f>
        <v>0</v>
      </c>
    </row>
    <row r="39" spans="2:2" x14ac:dyDescent="0.25">
      <c r="B39">
        <f>'Jul 1'!$E$49+'Jul 2'!$E$49+'Jul 3'!$E$49+'Jul 4'!$E$49+'Jul 5'!$E$49+'Jul 6'!$E$49+'Jul 7'!$E$49+'Jul 8'!$E$49+'Jul 9'!$E$49+'Jul 10'!$E$49+'Jul 11'!$E$49+'Jul 12'!$E$49+'Jul 13'!$E$49+'Jul 14'!$E$49+'Jul 15'!$E$49+'Jul 16'!$E$49+'Jul 17'!$E$49+'Jul 18'!$E$49+'Jul 19'!$E$49+'Jul 20'!$E$49+'Jul 21'!$E$49+'Jul 22'!$E$49+'Jul 23'!$E$49+'Jul 24'!$E$49+'Jul 25'!$E$49+'Jul 26'!$E$49+'Jul 27'!$E$49+'Jul 28'!$E$49+'Jul 29'!$E$49+'Jul 30'!$E$49+'Jul 31'!$E$49</f>
        <v>0</v>
      </c>
    </row>
  </sheetData>
  <sheetProtection sheet="1" formatColumns="0" formatRows="0"/>
  <mergeCells count="7">
    <mergeCell ref="C1:D2"/>
    <mergeCell ref="E1:F2"/>
    <mergeCell ref="A6:F6"/>
    <mergeCell ref="A12:F12"/>
    <mergeCell ref="A18:F18"/>
    <mergeCell ref="C3:D3"/>
    <mergeCell ref="A1:B3"/>
  </mergeCells>
  <pageMargins left="0.25" right="0.25" top="0.3" bottom="0.3" header="0.5" footer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9A227"/>
    <pageSetUpPr fitToPage="1"/>
  </sheetPr>
  <dimension ref="A1:L1092"/>
  <sheetViews>
    <sheetView showGridLines="0" workbookViewId="0">
      <pane ySplit="7" topLeftCell="A44" activePane="bottomLeft" state="frozen"/>
      <selection pane="bottomLeft" activeCell="E62" sqref="E62"/>
    </sheetView>
  </sheetViews>
  <sheetFormatPr defaultRowHeight="15" x14ac:dyDescent="0.25"/>
  <cols>
    <col min="1" max="1" width="5" customWidth="1"/>
    <col min="2" max="2" width="9" customWidth="1"/>
    <col min="3" max="3" width="8" customWidth="1"/>
    <col min="4" max="4" width="9" customWidth="1"/>
    <col min="5" max="5" width="20" customWidth="1"/>
    <col min="6" max="6" width="6" customWidth="1"/>
    <col min="7" max="8" width="15" customWidth="1"/>
    <col min="9" max="9" width="26" customWidth="1"/>
    <col min="10" max="10" width="10" customWidth="1"/>
    <col min="11" max="11" width="11" customWidth="1"/>
    <col min="12" max="12" width="6" customWidth="1"/>
  </cols>
  <sheetData>
    <row r="1" spans="1:12" ht="20.100000000000001" customHeight="1" x14ac:dyDescent="0.25">
      <c r="A1" s="107" t="s">
        <v>57</v>
      </c>
      <c r="B1" s="109"/>
      <c r="C1" s="116" t="s">
        <v>58</v>
      </c>
      <c r="D1" s="100"/>
      <c r="E1" s="100"/>
      <c r="F1" s="100"/>
      <c r="G1" s="100"/>
      <c r="H1" s="100"/>
      <c r="I1" s="100"/>
    </row>
    <row r="2" spans="1:12" ht="20.100000000000001" customHeight="1" x14ac:dyDescent="0.25">
      <c r="A2" s="119"/>
      <c r="B2" s="120"/>
      <c r="C2" s="100"/>
      <c r="D2" s="100"/>
      <c r="E2" s="100"/>
      <c r="F2" s="100"/>
      <c r="G2" s="100"/>
      <c r="H2" s="100"/>
      <c r="I2" s="100"/>
    </row>
    <row r="3" spans="1:12" ht="20.100000000000001" customHeight="1" x14ac:dyDescent="0.25">
      <c r="A3" s="110"/>
      <c r="B3" s="112"/>
      <c r="C3" s="121" t="s">
        <v>59</v>
      </c>
      <c r="D3" s="100"/>
      <c r="E3" s="100"/>
      <c r="F3" s="100"/>
      <c r="G3" s="100"/>
      <c r="H3" s="100"/>
      <c r="I3" s="100"/>
    </row>
    <row r="4" spans="1:12" x14ac:dyDescent="0.25">
      <c r="B4" s="121" t="s">
        <v>60</v>
      </c>
      <c r="C4" s="100"/>
      <c r="D4" s="121" t="s">
        <v>61</v>
      </c>
      <c r="E4" s="121" t="s">
        <v>62</v>
      </c>
      <c r="F4" s="100"/>
      <c r="G4" s="121" t="s">
        <v>63</v>
      </c>
      <c r="H4" s="121" t="s">
        <v>64</v>
      </c>
      <c r="I4" s="121" t="s">
        <v>65</v>
      </c>
      <c r="J4" s="100"/>
      <c r="K4" s="100"/>
      <c r="L4" s="100"/>
    </row>
    <row r="5" spans="1:12" ht="15.95" customHeight="1" x14ac:dyDescent="0.25">
      <c r="B5" s="125"/>
      <c r="C5" s="126"/>
      <c r="D5" s="65"/>
      <c r="E5" s="125"/>
      <c r="F5" s="126"/>
      <c r="G5" s="65"/>
      <c r="H5" s="65"/>
      <c r="I5" s="125"/>
      <c r="J5" s="128"/>
      <c r="K5" s="128"/>
      <c r="L5" s="126"/>
    </row>
    <row r="6" spans="1:12" x14ac:dyDescent="0.25">
      <c r="B6" s="127" t="str">
        <f>"Showing "&amp;COUNTIF(A8:A1092,"✓")&amp;" of "&amp;COUNTA(C8:C1092)&amp;" deals booked this month"</f>
        <v>Showing 1085 of 1085 deals booked this month</v>
      </c>
      <c r="C6" s="100"/>
      <c r="D6" s="100"/>
      <c r="E6" s="100"/>
    </row>
    <row r="7" spans="1:12" ht="15.95" customHeight="1" x14ac:dyDescent="0.25">
      <c r="A7" s="37" t="s">
        <v>66</v>
      </c>
      <c r="B7" s="37" t="s">
        <v>67</v>
      </c>
      <c r="C7" s="37" t="s">
        <v>68</v>
      </c>
      <c r="D7" s="37" t="s">
        <v>69</v>
      </c>
      <c r="E7" s="38" t="s">
        <v>70</v>
      </c>
      <c r="F7" s="37" t="s">
        <v>61</v>
      </c>
      <c r="G7" s="38" t="s">
        <v>71</v>
      </c>
      <c r="H7" s="38" t="s">
        <v>72</v>
      </c>
      <c r="I7" s="38" t="s">
        <v>73</v>
      </c>
      <c r="J7" s="37" t="s">
        <v>30</v>
      </c>
      <c r="K7" s="37" t="s">
        <v>62</v>
      </c>
      <c r="L7" s="37" t="s">
        <v>74</v>
      </c>
    </row>
    <row r="8" spans="1:12" x14ac:dyDescent="0.25">
      <c r="A8" s="66" t="str">
        <f t="shared" ref="A8:A71" si="0">IF(C8="","",IF(AND(OR($B$5="",G8=$B$5,H8=$B$5),OR($D$5="",F8=$D$5),OR($E$5="",K8=$E$5),OR($G$5="",L8=$G$5),OR($H$5="",N(J8)&gt;=$H$5),OR($I$5="",ISNUMBER(SEARCH($I$5,C8&amp;" "&amp;D8&amp;" "&amp;E8&amp;" "&amp;I8)))),"✓",""))</f>
        <v>✓</v>
      </c>
      <c r="B8" s="67">
        <v>46204</v>
      </c>
      <c r="C8" s="23">
        <f>'Jul 1'!$D$8</f>
        <v>0</v>
      </c>
      <c r="D8" s="23">
        <f>'Jul 1'!$B$8</f>
        <v>0</v>
      </c>
      <c r="E8" s="64">
        <f>'Jul 1'!$E$8</f>
        <v>0</v>
      </c>
      <c r="F8" s="23">
        <f>'Jul 1'!$A$8</f>
        <v>0</v>
      </c>
      <c r="G8" s="64">
        <f>'Jul 1'!$F$8</f>
        <v>0</v>
      </c>
      <c r="H8" s="64">
        <f>'Jul 1'!$G$8</f>
        <v>0</v>
      </c>
      <c r="I8" s="64" t="str">
        <f>'Jul 1'!$M$8</f>
        <v/>
      </c>
      <c r="J8" s="25" t="str">
        <f>'Jul 1'!$S$8</f>
        <v/>
      </c>
      <c r="K8" s="23">
        <f>'Jul 1'!$AG$8</f>
        <v>0</v>
      </c>
      <c r="L8" s="23">
        <f>'Jul 1'!$N$8</f>
        <v>0</v>
      </c>
    </row>
    <row r="9" spans="1:12" x14ac:dyDescent="0.25">
      <c r="A9" s="66" t="str">
        <f t="shared" si="0"/>
        <v>✓</v>
      </c>
      <c r="B9" s="67">
        <v>46204</v>
      </c>
      <c r="C9" s="23">
        <f>'Jul 1'!$D$9</f>
        <v>0</v>
      </c>
      <c r="D9" s="23">
        <f>'Jul 1'!$B$9</f>
        <v>0</v>
      </c>
      <c r="E9" s="64">
        <f>'Jul 1'!$E$9</f>
        <v>0</v>
      </c>
      <c r="F9" s="23">
        <f>'Jul 1'!$A$9</f>
        <v>0</v>
      </c>
      <c r="G9" s="64">
        <f>'Jul 1'!$F$9</f>
        <v>0</v>
      </c>
      <c r="H9" s="64">
        <f>'Jul 1'!$G$9</f>
        <v>0</v>
      </c>
      <c r="I9" s="64" t="str">
        <f>'Jul 1'!$M$9</f>
        <v/>
      </c>
      <c r="J9" s="25" t="str">
        <f>'Jul 1'!$S$9</f>
        <v/>
      </c>
      <c r="K9" s="23">
        <f>'Jul 1'!$AG$9</f>
        <v>0</v>
      </c>
      <c r="L9" s="23">
        <f>'Jul 1'!$N$9</f>
        <v>0</v>
      </c>
    </row>
    <row r="10" spans="1:12" x14ac:dyDescent="0.25">
      <c r="A10" s="66" t="str">
        <f t="shared" si="0"/>
        <v>✓</v>
      </c>
      <c r="B10" s="67">
        <v>46204</v>
      </c>
      <c r="C10" s="23">
        <f>'Jul 1'!$D$10</f>
        <v>0</v>
      </c>
      <c r="D10" s="23">
        <f>'Jul 1'!$B$10</f>
        <v>0</v>
      </c>
      <c r="E10" s="64">
        <f>'Jul 1'!$E$10</f>
        <v>0</v>
      </c>
      <c r="F10" s="23">
        <f>'Jul 1'!$A$10</f>
        <v>0</v>
      </c>
      <c r="G10" s="64">
        <f>'Jul 1'!$F$10</f>
        <v>0</v>
      </c>
      <c r="H10" s="64">
        <f>'Jul 1'!$G$10</f>
        <v>0</v>
      </c>
      <c r="I10" s="64" t="str">
        <f>'Jul 1'!$M$10</f>
        <v/>
      </c>
      <c r="J10" s="25" t="str">
        <f>'Jul 1'!$S$10</f>
        <v/>
      </c>
      <c r="K10" s="23">
        <f>'Jul 1'!$AG$10</f>
        <v>0</v>
      </c>
      <c r="L10" s="23">
        <f>'Jul 1'!$N$10</f>
        <v>0</v>
      </c>
    </row>
    <row r="11" spans="1:12" x14ac:dyDescent="0.25">
      <c r="A11" s="66" t="str">
        <f t="shared" si="0"/>
        <v>✓</v>
      </c>
      <c r="B11" s="67">
        <v>46204</v>
      </c>
      <c r="C11" s="23">
        <f>'Jul 1'!$D$11</f>
        <v>0</v>
      </c>
      <c r="D11" s="23">
        <f>'Jul 1'!$B$11</f>
        <v>0</v>
      </c>
      <c r="E11" s="64">
        <f>'Jul 1'!$E$11</f>
        <v>0</v>
      </c>
      <c r="F11" s="23">
        <f>'Jul 1'!$A$11</f>
        <v>0</v>
      </c>
      <c r="G11" s="64">
        <f>'Jul 1'!$F$11</f>
        <v>0</v>
      </c>
      <c r="H11" s="64">
        <f>'Jul 1'!$G$11</f>
        <v>0</v>
      </c>
      <c r="I11" s="64" t="str">
        <f>'Jul 1'!$M$11</f>
        <v/>
      </c>
      <c r="J11" s="25" t="str">
        <f>'Jul 1'!$S$11</f>
        <v/>
      </c>
      <c r="K11" s="23">
        <f>'Jul 1'!$AG$11</f>
        <v>0</v>
      </c>
      <c r="L11" s="23">
        <f>'Jul 1'!$N$11</f>
        <v>0</v>
      </c>
    </row>
    <row r="12" spans="1:12" x14ac:dyDescent="0.25">
      <c r="A12" s="66" t="str">
        <f t="shared" si="0"/>
        <v>✓</v>
      </c>
      <c r="B12" s="67">
        <v>46204</v>
      </c>
      <c r="C12" s="23">
        <f>'Jul 1'!$D$12</f>
        <v>0</v>
      </c>
      <c r="D12" s="23">
        <f>'Jul 1'!$B$12</f>
        <v>0</v>
      </c>
      <c r="E12" s="64">
        <f>'Jul 1'!$E$12</f>
        <v>0</v>
      </c>
      <c r="F12" s="23">
        <f>'Jul 1'!$A$12</f>
        <v>0</v>
      </c>
      <c r="G12" s="64">
        <f>'Jul 1'!$F$12</f>
        <v>0</v>
      </c>
      <c r="H12" s="64">
        <f>'Jul 1'!$G$12</f>
        <v>0</v>
      </c>
      <c r="I12" s="64" t="str">
        <f>'Jul 1'!$M$12</f>
        <v/>
      </c>
      <c r="J12" s="25" t="str">
        <f>'Jul 1'!$S$12</f>
        <v/>
      </c>
      <c r="K12" s="23">
        <f>'Jul 1'!$AG$12</f>
        <v>0</v>
      </c>
      <c r="L12" s="23">
        <f>'Jul 1'!$N$12</f>
        <v>0</v>
      </c>
    </row>
    <row r="13" spans="1:12" x14ac:dyDescent="0.25">
      <c r="A13" s="66" t="str">
        <f t="shared" si="0"/>
        <v>✓</v>
      </c>
      <c r="B13" s="67">
        <v>46204</v>
      </c>
      <c r="C13" s="23">
        <f>'Jul 1'!$D$13</f>
        <v>0</v>
      </c>
      <c r="D13" s="23">
        <f>'Jul 1'!$B$13</f>
        <v>0</v>
      </c>
      <c r="E13" s="64">
        <f>'Jul 1'!$E$13</f>
        <v>0</v>
      </c>
      <c r="F13" s="23">
        <f>'Jul 1'!$A$13</f>
        <v>0</v>
      </c>
      <c r="G13" s="64">
        <f>'Jul 1'!$F$13</f>
        <v>0</v>
      </c>
      <c r="H13" s="64">
        <f>'Jul 1'!$G$13</f>
        <v>0</v>
      </c>
      <c r="I13" s="64" t="str">
        <f>'Jul 1'!$M$13</f>
        <v/>
      </c>
      <c r="J13" s="25" t="str">
        <f>'Jul 1'!$S$13</f>
        <v/>
      </c>
      <c r="K13" s="23">
        <f>'Jul 1'!$AG$13</f>
        <v>0</v>
      </c>
      <c r="L13" s="23">
        <f>'Jul 1'!$N$13</f>
        <v>0</v>
      </c>
    </row>
    <row r="14" spans="1:12" x14ac:dyDescent="0.25">
      <c r="A14" s="66" t="str">
        <f t="shared" si="0"/>
        <v>✓</v>
      </c>
      <c r="B14" s="67">
        <v>46204</v>
      </c>
      <c r="C14" s="23">
        <f>'Jul 1'!$D$14</f>
        <v>0</v>
      </c>
      <c r="D14" s="23">
        <f>'Jul 1'!$B$14</f>
        <v>0</v>
      </c>
      <c r="E14" s="64">
        <f>'Jul 1'!$E$14</f>
        <v>0</v>
      </c>
      <c r="F14" s="23">
        <f>'Jul 1'!$A$14</f>
        <v>0</v>
      </c>
      <c r="G14" s="64">
        <f>'Jul 1'!$F$14</f>
        <v>0</v>
      </c>
      <c r="H14" s="64">
        <f>'Jul 1'!$G$14</f>
        <v>0</v>
      </c>
      <c r="I14" s="64" t="str">
        <f>'Jul 1'!$M$14</f>
        <v/>
      </c>
      <c r="J14" s="25" t="str">
        <f>'Jul 1'!$S$14</f>
        <v/>
      </c>
      <c r="K14" s="23">
        <f>'Jul 1'!$AG$14</f>
        <v>0</v>
      </c>
      <c r="L14" s="23">
        <f>'Jul 1'!$N$14</f>
        <v>0</v>
      </c>
    </row>
    <row r="15" spans="1:12" x14ac:dyDescent="0.25">
      <c r="A15" s="66" t="str">
        <f t="shared" si="0"/>
        <v>✓</v>
      </c>
      <c r="B15" s="67">
        <v>46204</v>
      </c>
      <c r="C15" s="23">
        <f>'Jul 1'!$D$15</f>
        <v>0</v>
      </c>
      <c r="D15" s="23">
        <f>'Jul 1'!$B$15</f>
        <v>0</v>
      </c>
      <c r="E15" s="64">
        <f>'Jul 1'!$E$15</f>
        <v>0</v>
      </c>
      <c r="F15" s="23">
        <f>'Jul 1'!$A$15</f>
        <v>0</v>
      </c>
      <c r="G15" s="64">
        <f>'Jul 1'!$F$15</f>
        <v>0</v>
      </c>
      <c r="H15" s="64">
        <f>'Jul 1'!$G$15</f>
        <v>0</v>
      </c>
      <c r="I15" s="64" t="str">
        <f>'Jul 1'!$M$15</f>
        <v/>
      </c>
      <c r="J15" s="25" t="str">
        <f>'Jul 1'!$S$15</f>
        <v/>
      </c>
      <c r="K15" s="23">
        <f>'Jul 1'!$AG$15</f>
        <v>0</v>
      </c>
      <c r="L15" s="23">
        <f>'Jul 1'!$N$15</f>
        <v>0</v>
      </c>
    </row>
    <row r="16" spans="1:12" x14ac:dyDescent="0.25">
      <c r="A16" s="66" t="str">
        <f t="shared" si="0"/>
        <v>✓</v>
      </c>
      <c r="B16" s="67">
        <v>46204</v>
      </c>
      <c r="C16" s="23">
        <f>'Jul 1'!$D$16</f>
        <v>0</v>
      </c>
      <c r="D16" s="23">
        <f>'Jul 1'!$B$16</f>
        <v>0</v>
      </c>
      <c r="E16" s="64">
        <f>'Jul 1'!$E$16</f>
        <v>0</v>
      </c>
      <c r="F16" s="23">
        <f>'Jul 1'!$A$16</f>
        <v>0</v>
      </c>
      <c r="G16" s="64">
        <f>'Jul 1'!$F$16</f>
        <v>0</v>
      </c>
      <c r="H16" s="64">
        <f>'Jul 1'!$G$16</f>
        <v>0</v>
      </c>
      <c r="I16" s="64" t="str">
        <f>'Jul 1'!$M$16</f>
        <v/>
      </c>
      <c r="J16" s="25" t="str">
        <f>'Jul 1'!$S$16</f>
        <v/>
      </c>
      <c r="K16" s="23">
        <f>'Jul 1'!$AG$16</f>
        <v>0</v>
      </c>
      <c r="L16" s="23">
        <f>'Jul 1'!$N$16</f>
        <v>0</v>
      </c>
    </row>
    <row r="17" spans="1:12" x14ac:dyDescent="0.25">
      <c r="A17" s="66" t="str">
        <f t="shared" si="0"/>
        <v>✓</v>
      </c>
      <c r="B17" s="67">
        <v>46204</v>
      </c>
      <c r="C17" s="23">
        <f>'Jul 1'!$D$17</f>
        <v>0</v>
      </c>
      <c r="D17" s="23">
        <f>'Jul 1'!$B$17</f>
        <v>0</v>
      </c>
      <c r="E17" s="64">
        <f>'Jul 1'!$E$17</f>
        <v>0</v>
      </c>
      <c r="F17" s="23">
        <f>'Jul 1'!$A$17</f>
        <v>0</v>
      </c>
      <c r="G17" s="64">
        <f>'Jul 1'!$F$17</f>
        <v>0</v>
      </c>
      <c r="H17" s="64">
        <f>'Jul 1'!$G$17</f>
        <v>0</v>
      </c>
      <c r="I17" s="64" t="str">
        <f>'Jul 1'!$M$17</f>
        <v/>
      </c>
      <c r="J17" s="25" t="str">
        <f>'Jul 1'!$S$17</f>
        <v/>
      </c>
      <c r="K17" s="23">
        <f>'Jul 1'!$AG$17</f>
        <v>0</v>
      </c>
      <c r="L17" s="23">
        <f>'Jul 1'!$N$17</f>
        <v>0</v>
      </c>
    </row>
    <row r="18" spans="1:12" x14ac:dyDescent="0.25">
      <c r="A18" s="66" t="str">
        <f t="shared" si="0"/>
        <v>✓</v>
      </c>
      <c r="B18" s="67">
        <v>46204</v>
      </c>
      <c r="C18" s="23">
        <f>'Jul 1'!$D$18</f>
        <v>0</v>
      </c>
      <c r="D18" s="23">
        <f>'Jul 1'!$B$18</f>
        <v>0</v>
      </c>
      <c r="E18" s="64">
        <f>'Jul 1'!$E$18</f>
        <v>0</v>
      </c>
      <c r="F18" s="23">
        <f>'Jul 1'!$A$18</f>
        <v>0</v>
      </c>
      <c r="G18" s="64">
        <f>'Jul 1'!$F$18</f>
        <v>0</v>
      </c>
      <c r="H18" s="64">
        <f>'Jul 1'!$G$18</f>
        <v>0</v>
      </c>
      <c r="I18" s="64" t="str">
        <f>'Jul 1'!$M$18</f>
        <v/>
      </c>
      <c r="J18" s="25" t="str">
        <f>'Jul 1'!$S$18</f>
        <v/>
      </c>
      <c r="K18" s="23">
        <f>'Jul 1'!$AG$18</f>
        <v>0</v>
      </c>
      <c r="L18" s="23">
        <f>'Jul 1'!$N$18</f>
        <v>0</v>
      </c>
    </row>
    <row r="19" spans="1:12" x14ac:dyDescent="0.25">
      <c r="A19" s="66" t="str">
        <f t="shared" si="0"/>
        <v>✓</v>
      </c>
      <c r="B19" s="67">
        <v>46204</v>
      </c>
      <c r="C19" s="23">
        <f>'Jul 1'!$D$19</f>
        <v>0</v>
      </c>
      <c r="D19" s="23">
        <f>'Jul 1'!$B$19</f>
        <v>0</v>
      </c>
      <c r="E19" s="64">
        <f>'Jul 1'!$E$19</f>
        <v>0</v>
      </c>
      <c r="F19" s="23">
        <f>'Jul 1'!$A$19</f>
        <v>0</v>
      </c>
      <c r="G19" s="64">
        <f>'Jul 1'!$F$19</f>
        <v>0</v>
      </c>
      <c r="H19" s="64">
        <f>'Jul 1'!$G$19</f>
        <v>0</v>
      </c>
      <c r="I19" s="64" t="str">
        <f>'Jul 1'!$M$19</f>
        <v/>
      </c>
      <c r="J19" s="25" t="str">
        <f>'Jul 1'!$S$19</f>
        <v/>
      </c>
      <c r="K19" s="23">
        <f>'Jul 1'!$AG$19</f>
        <v>0</v>
      </c>
      <c r="L19" s="23">
        <f>'Jul 1'!$N$19</f>
        <v>0</v>
      </c>
    </row>
    <row r="20" spans="1:12" x14ac:dyDescent="0.25">
      <c r="A20" s="66" t="str">
        <f t="shared" si="0"/>
        <v>✓</v>
      </c>
      <c r="B20" s="67">
        <v>46204</v>
      </c>
      <c r="C20" s="23">
        <f>'Jul 1'!$D$20</f>
        <v>0</v>
      </c>
      <c r="D20" s="23">
        <f>'Jul 1'!$B$20</f>
        <v>0</v>
      </c>
      <c r="E20" s="64">
        <f>'Jul 1'!$E$20</f>
        <v>0</v>
      </c>
      <c r="F20" s="23">
        <f>'Jul 1'!$A$20</f>
        <v>0</v>
      </c>
      <c r="G20" s="64">
        <f>'Jul 1'!$F$20</f>
        <v>0</v>
      </c>
      <c r="H20" s="64">
        <f>'Jul 1'!$G$20</f>
        <v>0</v>
      </c>
      <c r="I20" s="64" t="str">
        <f>'Jul 1'!$M$20</f>
        <v/>
      </c>
      <c r="J20" s="25" t="str">
        <f>'Jul 1'!$S$20</f>
        <v/>
      </c>
      <c r="K20" s="23">
        <f>'Jul 1'!$AG$20</f>
        <v>0</v>
      </c>
      <c r="L20" s="23">
        <f>'Jul 1'!$N$20</f>
        <v>0</v>
      </c>
    </row>
    <row r="21" spans="1:12" x14ac:dyDescent="0.25">
      <c r="A21" s="66" t="str">
        <f t="shared" si="0"/>
        <v>✓</v>
      </c>
      <c r="B21" s="67">
        <v>46204</v>
      </c>
      <c r="C21" s="23">
        <f>'Jul 1'!$D$21</f>
        <v>0</v>
      </c>
      <c r="D21" s="23">
        <f>'Jul 1'!$B$21</f>
        <v>0</v>
      </c>
      <c r="E21" s="64">
        <f>'Jul 1'!$E$21</f>
        <v>0</v>
      </c>
      <c r="F21" s="23">
        <f>'Jul 1'!$A$21</f>
        <v>0</v>
      </c>
      <c r="G21" s="64">
        <f>'Jul 1'!$F$21</f>
        <v>0</v>
      </c>
      <c r="H21" s="64">
        <f>'Jul 1'!$G$21</f>
        <v>0</v>
      </c>
      <c r="I21" s="64" t="str">
        <f>'Jul 1'!$M$21</f>
        <v/>
      </c>
      <c r="J21" s="25" t="str">
        <f>'Jul 1'!$S$21</f>
        <v/>
      </c>
      <c r="K21" s="23">
        <f>'Jul 1'!$AG$21</f>
        <v>0</v>
      </c>
      <c r="L21" s="23">
        <f>'Jul 1'!$N$21</f>
        <v>0</v>
      </c>
    </row>
    <row r="22" spans="1:12" x14ac:dyDescent="0.25">
      <c r="A22" s="66" t="str">
        <f t="shared" si="0"/>
        <v>✓</v>
      </c>
      <c r="B22" s="67">
        <v>46204</v>
      </c>
      <c r="C22" s="23">
        <f>'Jul 1'!$D$22</f>
        <v>0</v>
      </c>
      <c r="D22" s="23">
        <f>'Jul 1'!$B$22</f>
        <v>0</v>
      </c>
      <c r="E22" s="64">
        <f>'Jul 1'!$E$22</f>
        <v>0</v>
      </c>
      <c r="F22" s="23">
        <f>'Jul 1'!$A$22</f>
        <v>0</v>
      </c>
      <c r="G22" s="64">
        <f>'Jul 1'!$F$22</f>
        <v>0</v>
      </c>
      <c r="H22" s="64">
        <f>'Jul 1'!$G$22</f>
        <v>0</v>
      </c>
      <c r="I22" s="64" t="str">
        <f>'Jul 1'!$M$22</f>
        <v/>
      </c>
      <c r="J22" s="25" t="str">
        <f>'Jul 1'!$S$22</f>
        <v/>
      </c>
      <c r="K22" s="23">
        <f>'Jul 1'!$AG$22</f>
        <v>0</v>
      </c>
      <c r="L22" s="23">
        <f>'Jul 1'!$N$22</f>
        <v>0</v>
      </c>
    </row>
    <row r="23" spans="1:12" x14ac:dyDescent="0.25">
      <c r="A23" s="66" t="str">
        <f t="shared" si="0"/>
        <v>✓</v>
      </c>
      <c r="B23" s="67">
        <v>46204</v>
      </c>
      <c r="C23" s="23">
        <f>'Jul 1'!$D$23</f>
        <v>0</v>
      </c>
      <c r="D23" s="23">
        <f>'Jul 1'!$B$23</f>
        <v>0</v>
      </c>
      <c r="E23" s="64">
        <f>'Jul 1'!$E$23</f>
        <v>0</v>
      </c>
      <c r="F23" s="23">
        <f>'Jul 1'!$A$23</f>
        <v>0</v>
      </c>
      <c r="G23" s="64">
        <f>'Jul 1'!$F$23</f>
        <v>0</v>
      </c>
      <c r="H23" s="64">
        <f>'Jul 1'!$G$23</f>
        <v>0</v>
      </c>
      <c r="I23" s="64" t="str">
        <f>'Jul 1'!$M$23</f>
        <v/>
      </c>
      <c r="J23" s="25" t="str">
        <f>'Jul 1'!$S$23</f>
        <v/>
      </c>
      <c r="K23" s="23">
        <f>'Jul 1'!$AG$23</f>
        <v>0</v>
      </c>
      <c r="L23" s="23">
        <f>'Jul 1'!$N$23</f>
        <v>0</v>
      </c>
    </row>
    <row r="24" spans="1:12" x14ac:dyDescent="0.25">
      <c r="A24" s="66" t="str">
        <f t="shared" si="0"/>
        <v>✓</v>
      </c>
      <c r="B24" s="67">
        <v>46204</v>
      </c>
      <c r="C24" s="23">
        <f>'Jul 1'!$D$24</f>
        <v>0</v>
      </c>
      <c r="D24" s="23">
        <f>'Jul 1'!$B$24</f>
        <v>0</v>
      </c>
      <c r="E24" s="64">
        <f>'Jul 1'!$E$24</f>
        <v>0</v>
      </c>
      <c r="F24" s="23">
        <f>'Jul 1'!$A$24</f>
        <v>0</v>
      </c>
      <c r="G24" s="64">
        <f>'Jul 1'!$F$24</f>
        <v>0</v>
      </c>
      <c r="H24" s="64">
        <f>'Jul 1'!$G$24</f>
        <v>0</v>
      </c>
      <c r="I24" s="64" t="str">
        <f>'Jul 1'!$M$24</f>
        <v/>
      </c>
      <c r="J24" s="25" t="str">
        <f>'Jul 1'!$S$24</f>
        <v/>
      </c>
      <c r="K24" s="23">
        <f>'Jul 1'!$AG$24</f>
        <v>0</v>
      </c>
      <c r="L24" s="23">
        <f>'Jul 1'!$N$24</f>
        <v>0</v>
      </c>
    </row>
    <row r="25" spans="1:12" x14ac:dyDescent="0.25">
      <c r="A25" s="66" t="str">
        <f t="shared" si="0"/>
        <v>✓</v>
      </c>
      <c r="B25" s="67">
        <v>46204</v>
      </c>
      <c r="C25" s="23">
        <f>'Jul 1'!$D$25</f>
        <v>0</v>
      </c>
      <c r="D25" s="23">
        <f>'Jul 1'!$B$25</f>
        <v>0</v>
      </c>
      <c r="E25" s="64">
        <f>'Jul 1'!$E$25</f>
        <v>0</v>
      </c>
      <c r="F25" s="23">
        <f>'Jul 1'!$A$25</f>
        <v>0</v>
      </c>
      <c r="G25" s="64">
        <f>'Jul 1'!$F$25</f>
        <v>0</v>
      </c>
      <c r="H25" s="64">
        <f>'Jul 1'!$G$25</f>
        <v>0</v>
      </c>
      <c r="I25" s="64" t="str">
        <f>'Jul 1'!$M$25</f>
        <v/>
      </c>
      <c r="J25" s="25" t="str">
        <f>'Jul 1'!$S$25</f>
        <v/>
      </c>
      <c r="K25" s="23">
        <f>'Jul 1'!$AG$25</f>
        <v>0</v>
      </c>
      <c r="L25" s="23">
        <f>'Jul 1'!$N$25</f>
        <v>0</v>
      </c>
    </row>
    <row r="26" spans="1:12" x14ac:dyDescent="0.25">
      <c r="A26" s="66" t="str">
        <f t="shared" si="0"/>
        <v>✓</v>
      </c>
      <c r="B26" s="67">
        <v>46204</v>
      </c>
      <c r="C26" s="23">
        <f>'Jul 1'!$D$26</f>
        <v>0</v>
      </c>
      <c r="D26" s="23">
        <f>'Jul 1'!$B$26</f>
        <v>0</v>
      </c>
      <c r="E26" s="64">
        <f>'Jul 1'!$E$26</f>
        <v>0</v>
      </c>
      <c r="F26" s="23">
        <f>'Jul 1'!$A$26</f>
        <v>0</v>
      </c>
      <c r="G26" s="64">
        <f>'Jul 1'!$F$26</f>
        <v>0</v>
      </c>
      <c r="H26" s="64">
        <f>'Jul 1'!$G$26</f>
        <v>0</v>
      </c>
      <c r="I26" s="64" t="str">
        <f>'Jul 1'!$M$26</f>
        <v/>
      </c>
      <c r="J26" s="25" t="str">
        <f>'Jul 1'!$S$26</f>
        <v/>
      </c>
      <c r="K26" s="23">
        <f>'Jul 1'!$AG$26</f>
        <v>0</v>
      </c>
      <c r="L26" s="23">
        <f>'Jul 1'!$N$26</f>
        <v>0</v>
      </c>
    </row>
    <row r="27" spans="1:12" x14ac:dyDescent="0.25">
      <c r="A27" s="66" t="str">
        <f t="shared" si="0"/>
        <v>✓</v>
      </c>
      <c r="B27" s="67">
        <v>46204</v>
      </c>
      <c r="C27" s="23">
        <f>'Jul 1'!$D$27</f>
        <v>0</v>
      </c>
      <c r="D27" s="23">
        <f>'Jul 1'!$B$27</f>
        <v>0</v>
      </c>
      <c r="E27" s="64">
        <f>'Jul 1'!$E$27</f>
        <v>0</v>
      </c>
      <c r="F27" s="23">
        <f>'Jul 1'!$A$27</f>
        <v>0</v>
      </c>
      <c r="G27" s="64">
        <f>'Jul 1'!$F$27</f>
        <v>0</v>
      </c>
      <c r="H27" s="64">
        <f>'Jul 1'!$G$27</f>
        <v>0</v>
      </c>
      <c r="I27" s="64" t="str">
        <f>'Jul 1'!$M$27</f>
        <v/>
      </c>
      <c r="J27" s="25" t="str">
        <f>'Jul 1'!$S$27</f>
        <v/>
      </c>
      <c r="K27" s="23">
        <f>'Jul 1'!$AG$27</f>
        <v>0</v>
      </c>
      <c r="L27" s="23">
        <f>'Jul 1'!$N$27</f>
        <v>0</v>
      </c>
    </row>
    <row r="28" spans="1:12" x14ac:dyDescent="0.25">
      <c r="A28" s="66" t="str">
        <f t="shared" si="0"/>
        <v>✓</v>
      </c>
      <c r="B28" s="67">
        <v>46204</v>
      </c>
      <c r="C28" s="23">
        <f>'Jul 1'!$D$28</f>
        <v>0</v>
      </c>
      <c r="D28" s="23">
        <f>'Jul 1'!$B$28</f>
        <v>0</v>
      </c>
      <c r="E28" s="64">
        <f>'Jul 1'!$E$28</f>
        <v>0</v>
      </c>
      <c r="F28" s="23">
        <f>'Jul 1'!$A$28</f>
        <v>0</v>
      </c>
      <c r="G28" s="64">
        <f>'Jul 1'!$F$28</f>
        <v>0</v>
      </c>
      <c r="H28" s="64">
        <f>'Jul 1'!$G$28</f>
        <v>0</v>
      </c>
      <c r="I28" s="64" t="str">
        <f>'Jul 1'!$M$28</f>
        <v/>
      </c>
      <c r="J28" s="25" t="str">
        <f>'Jul 1'!$S$28</f>
        <v/>
      </c>
      <c r="K28" s="23">
        <f>'Jul 1'!$AG$28</f>
        <v>0</v>
      </c>
      <c r="L28" s="23">
        <f>'Jul 1'!$N$28</f>
        <v>0</v>
      </c>
    </row>
    <row r="29" spans="1:12" x14ac:dyDescent="0.25">
      <c r="A29" s="66" t="str">
        <f t="shared" si="0"/>
        <v>✓</v>
      </c>
      <c r="B29" s="67">
        <v>46204</v>
      </c>
      <c r="C29" s="23">
        <f>'Jul 1'!$D$29</f>
        <v>0</v>
      </c>
      <c r="D29" s="23">
        <f>'Jul 1'!$B$29</f>
        <v>0</v>
      </c>
      <c r="E29" s="64">
        <f>'Jul 1'!$E$29</f>
        <v>0</v>
      </c>
      <c r="F29" s="23">
        <f>'Jul 1'!$A$29</f>
        <v>0</v>
      </c>
      <c r="G29" s="64">
        <f>'Jul 1'!$F$29</f>
        <v>0</v>
      </c>
      <c r="H29" s="64">
        <f>'Jul 1'!$G$29</f>
        <v>0</v>
      </c>
      <c r="I29" s="64" t="str">
        <f>'Jul 1'!$M$29</f>
        <v/>
      </c>
      <c r="J29" s="25" t="str">
        <f>'Jul 1'!$S$29</f>
        <v/>
      </c>
      <c r="K29" s="23">
        <f>'Jul 1'!$AG$29</f>
        <v>0</v>
      </c>
      <c r="L29" s="23">
        <f>'Jul 1'!$N$29</f>
        <v>0</v>
      </c>
    </row>
    <row r="30" spans="1:12" x14ac:dyDescent="0.25">
      <c r="A30" s="66" t="str">
        <f t="shared" si="0"/>
        <v>✓</v>
      </c>
      <c r="B30" s="67">
        <v>46204</v>
      </c>
      <c r="C30" s="23">
        <f>'Jul 1'!$D$30</f>
        <v>0</v>
      </c>
      <c r="D30" s="23">
        <f>'Jul 1'!$B$30</f>
        <v>0</v>
      </c>
      <c r="E30" s="64">
        <f>'Jul 1'!$E$30</f>
        <v>0</v>
      </c>
      <c r="F30" s="23">
        <f>'Jul 1'!$A$30</f>
        <v>0</v>
      </c>
      <c r="G30" s="64">
        <f>'Jul 1'!$F$30</f>
        <v>0</v>
      </c>
      <c r="H30" s="64">
        <f>'Jul 1'!$G$30</f>
        <v>0</v>
      </c>
      <c r="I30" s="64" t="str">
        <f>'Jul 1'!$M$30</f>
        <v/>
      </c>
      <c r="J30" s="25" t="str">
        <f>'Jul 1'!$S$30</f>
        <v/>
      </c>
      <c r="K30" s="23">
        <f>'Jul 1'!$AG$30</f>
        <v>0</v>
      </c>
      <c r="L30" s="23">
        <f>'Jul 1'!$N$30</f>
        <v>0</v>
      </c>
    </row>
    <row r="31" spans="1:12" x14ac:dyDescent="0.25">
      <c r="A31" s="66" t="str">
        <f t="shared" si="0"/>
        <v>✓</v>
      </c>
      <c r="B31" s="67">
        <v>46204</v>
      </c>
      <c r="C31" s="23">
        <f>'Jul 1'!$D$31</f>
        <v>0</v>
      </c>
      <c r="D31" s="23">
        <f>'Jul 1'!$B$31</f>
        <v>0</v>
      </c>
      <c r="E31" s="64">
        <f>'Jul 1'!$E$31</f>
        <v>0</v>
      </c>
      <c r="F31" s="23">
        <f>'Jul 1'!$A$31</f>
        <v>0</v>
      </c>
      <c r="G31" s="64">
        <f>'Jul 1'!$F$31</f>
        <v>0</v>
      </c>
      <c r="H31" s="64">
        <f>'Jul 1'!$G$31</f>
        <v>0</v>
      </c>
      <c r="I31" s="64" t="str">
        <f>'Jul 1'!$M$31</f>
        <v/>
      </c>
      <c r="J31" s="25" t="str">
        <f>'Jul 1'!$S$31</f>
        <v/>
      </c>
      <c r="K31" s="23">
        <f>'Jul 1'!$AG$31</f>
        <v>0</v>
      </c>
      <c r="L31" s="23">
        <f>'Jul 1'!$N$31</f>
        <v>0</v>
      </c>
    </row>
    <row r="32" spans="1:12" x14ac:dyDescent="0.25">
      <c r="A32" s="66" t="str">
        <f t="shared" si="0"/>
        <v>✓</v>
      </c>
      <c r="B32" s="67">
        <v>46204</v>
      </c>
      <c r="C32" s="23">
        <f>'Jul 1'!$D$32</f>
        <v>0</v>
      </c>
      <c r="D32" s="23">
        <f>'Jul 1'!$B$32</f>
        <v>0</v>
      </c>
      <c r="E32" s="64">
        <f>'Jul 1'!$E$32</f>
        <v>0</v>
      </c>
      <c r="F32" s="23">
        <f>'Jul 1'!$A$32</f>
        <v>0</v>
      </c>
      <c r="G32" s="64">
        <f>'Jul 1'!$F$32</f>
        <v>0</v>
      </c>
      <c r="H32" s="64">
        <f>'Jul 1'!$G$32</f>
        <v>0</v>
      </c>
      <c r="I32" s="64" t="str">
        <f>'Jul 1'!$M$32</f>
        <v/>
      </c>
      <c r="J32" s="25" t="str">
        <f>'Jul 1'!$S$32</f>
        <v/>
      </c>
      <c r="K32" s="23">
        <f>'Jul 1'!$AG$32</f>
        <v>0</v>
      </c>
      <c r="L32" s="23">
        <f>'Jul 1'!$N$32</f>
        <v>0</v>
      </c>
    </row>
    <row r="33" spans="1:12" x14ac:dyDescent="0.25">
      <c r="A33" s="66" t="str">
        <f t="shared" si="0"/>
        <v>✓</v>
      </c>
      <c r="B33" s="67">
        <v>46204</v>
      </c>
      <c r="C33" s="23">
        <f>'Jul 1'!$D$33</f>
        <v>0</v>
      </c>
      <c r="D33" s="23">
        <f>'Jul 1'!$B$33</f>
        <v>0</v>
      </c>
      <c r="E33" s="64">
        <f>'Jul 1'!$E$33</f>
        <v>0</v>
      </c>
      <c r="F33" s="23">
        <f>'Jul 1'!$A$33</f>
        <v>0</v>
      </c>
      <c r="G33" s="64">
        <f>'Jul 1'!$F$33</f>
        <v>0</v>
      </c>
      <c r="H33" s="64">
        <f>'Jul 1'!$G$33</f>
        <v>0</v>
      </c>
      <c r="I33" s="64" t="str">
        <f>'Jul 1'!$M$33</f>
        <v/>
      </c>
      <c r="J33" s="25" t="str">
        <f>'Jul 1'!$S$33</f>
        <v/>
      </c>
      <c r="K33" s="23">
        <f>'Jul 1'!$AG$33</f>
        <v>0</v>
      </c>
      <c r="L33" s="23">
        <f>'Jul 1'!$N$33</f>
        <v>0</v>
      </c>
    </row>
    <row r="34" spans="1:12" x14ac:dyDescent="0.25">
      <c r="A34" s="66" t="str">
        <f t="shared" si="0"/>
        <v>✓</v>
      </c>
      <c r="B34" s="67">
        <v>46204</v>
      </c>
      <c r="C34" s="23">
        <f>'Jul 1'!$D$34</f>
        <v>0</v>
      </c>
      <c r="D34" s="23">
        <f>'Jul 1'!$B$34</f>
        <v>0</v>
      </c>
      <c r="E34" s="64">
        <f>'Jul 1'!$E$34</f>
        <v>0</v>
      </c>
      <c r="F34" s="23">
        <f>'Jul 1'!$A$34</f>
        <v>0</v>
      </c>
      <c r="G34" s="64">
        <f>'Jul 1'!$F$34</f>
        <v>0</v>
      </c>
      <c r="H34" s="64">
        <f>'Jul 1'!$G$34</f>
        <v>0</v>
      </c>
      <c r="I34" s="64" t="str">
        <f>'Jul 1'!$M$34</f>
        <v/>
      </c>
      <c r="J34" s="25" t="str">
        <f>'Jul 1'!$S$34</f>
        <v/>
      </c>
      <c r="K34" s="23">
        <f>'Jul 1'!$AG$34</f>
        <v>0</v>
      </c>
      <c r="L34" s="23">
        <f>'Jul 1'!$N$34</f>
        <v>0</v>
      </c>
    </row>
    <row r="35" spans="1:12" x14ac:dyDescent="0.25">
      <c r="A35" s="66" t="str">
        <f t="shared" si="0"/>
        <v>✓</v>
      </c>
      <c r="B35" s="67">
        <v>46204</v>
      </c>
      <c r="C35" s="23">
        <f>'Jul 1'!$D$35</f>
        <v>0</v>
      </c>
      <c r="D35" s="23">
        <f>'Jul 1'!$B$35</f>
        <v>0</v>
      </c>
      <c r="E35" s="64">
        <f>'Jul 1'!$E$35</f>
        <v>0</v>
      </c>
      <c r="F35" s="23">
        <f>'Jul 1'!$A$35</f>
        <v>0</v>
      </c>
      <c r="G35" s="64">
        <f>'Jul 1'!$F$35</f>
        <v>0</v>
      </c>
      <c r="H35" s="64">
        <f>'Jul 1'!$G$35</f>
        <v>0</v>
      </c>
      <c r="I35" s="64" t="str">
        <f>'Jul 1'!$M$35</f>
        <v/>
      </c>
      <c r="J35" s="25" t="str">
        <f>'Jul 1'!$S$35</f>
        <v/>
      </c>
      <c r="K35" s="23">
        <f>'Jul 1'!$AG$35</f>
        <v>0</v>
      </c>
      <c r="L35" s="23">
        <f>'Jul 1'!$N$35</f>
        <v>0</v>
      </c>
    </row>
    <row r="36" spans="1:12" x14ac:dyDescent="0.25">
      <c r="A36" s="66" t="str">
        <f t="shared" si="0"/>
        <v>✓</v>
      </c>
      <c r="B36" s="67">
        <v>46204</v>
      </c>
      <c r="C36" s="23">
        <f>'Jul 1'!$D$36</f>
        <v>0</v>
      </c>
      <c r="D36" s="23">
        <f>'Jul 1'!$B$36</f>
        <v>0</v>
      </c>
      <c r="E36" s="64">
        <f>'Jul 1'!$E$36</f>
        <v>0</v>
      </c>
      <c r="F36" s="23">
        <f>'Jul 1'!$A$36</f>
        <v>0</v>
      </c>
      <c r="G36" s="64">
        <f>'Jul 1'!$F$36</f>
        <v>0</v>
      </c>
      <c r="H36" s="64">
        <f>'Jul 1'!$G$36</f>
        <v>0</v>
      </c>
      <c r="I36" s="64" t="str">
        <f>'Jul 1'!$M$36</f>
        <v/>
      </c>
      <c r="J36" s="25" t="str">
        <f>'Jul 1'!$S$36</f>
        <v/>
      </c>
      <c r="K36" s="23">
        <f>'Jul 1'!$AG$36</f>
        <v>0</v>
      </c>
      <c r="L36" s="23">
        <f>'Jul 1'!$N$36</f>
        <v>0</v>
      </c>
    </row>
    <row r="37" spans="1:12" x14ac:dyDescent="0.25">
      <c r="A37" s="66" t="str">
        <f t="shared" si="0"/>
        <v>✓</v>
      </c>
      <c r="B37" s="67">
        <v>46204</v>
      </c>
      <c r="C37" s="23">
        <f>'Jul 1'!$D$37</f>
        <v>0</v>
      </c>
      <c r="D37" s="23">
        <f>'Jul 1'!$B$37</f>
        <v>0</v>
      </c>
      <c r="E37" s="64">
        <f>'Jul 1'!$E$37</f>
        <v>0</v>
      </c>
      <c r="F37" s="23">
        <f>'Jul 1'!$A$37</f>
        <v>0</v>
      </c>
      <c r="G37" s="64">
        <f>'Jul 1'!$F$37</f>
        <v>0</v>
      </c>
      <c r="H37" s="64">
        <f>'Jul 1'!$G$37</f>
        <v>0</v>
      </c>
      <c r="I37" s="64" t="str">
        <f>'Jul 1'!$M$37</f>
        <v/>
      </c>
      <c r="J37" s="25" t="str">
        <f>'Jul 1'!$S$37</f>
        <v/>
      </c>
      <c r="K37" s="23">
        <f>'Jul 1'!$AG$37</f>
        <v>0</v>
      </c>
      <c r="L37" s="23">
        <f>'Jul 1'!$N$37</f>
        <v>0</v>
      </c>
    </row>
    <row r="38" spans="1:12" x14ac:dyDescent="0.25">
      <c r="A38" s="66" t="str">
        <f t="shared" si="0"/>
        <v>✓</v>
      </c>
      <c r="B38" s="67">
        <v>46204</v>
      </c>
      <c r="C38" s="23">
        <f>'Jul 1'!$D$38</f>
        <v>0</v>
      </c>
      <c r="D38" s="23">
        <f>'Jul 1'!$B$38</f>
        <v>0</v>
      </c>
      <c r="E38" s="64">
        <f>'Jul 1'!$E$38</f>
        <v>0</v>
      </c>
      <c r="F38" s="23">
        <f>'Jul 1'!$A$38</f>
        <v>0</v>
      </c>
      <c r="G38" s="64">
        <f>'Jul 1'!$F$38</f>
        <v>0</v>
      </c>
      <c r="H38" s="64">
        <f>'Jul 1'!$G$38</f>
        <v>0</v>
      </c>
      <c r="I38" s="64" t="str">
        <f>'Jul 1'!$M$38</f>
        <v/>
      </c>
      <c r="J38" s="25" t="str">
        <f>'Jul 1'!$S$38</f>
        <v/>
      </c>
      <c r="K38" s="23">
        <f>'Jul 1'!$AG$38</f>
        <v>0</v>
      </c>
      <c r="L38" s="23">
        <f>'Jul 1'!$N$38</f>
        <v>0</v>
      </c>
    </row>
    <row r="39" spans="1:12" x14ac:dyDescent="0.25">
      <c r="A39" s="66" t="str">
        <f t="shared" si="0"/>
        <v>✓</v>
      </c>
      <c r="B39" s="67">
        <v>46204</v>
      </c>
      <c r="C39" s="23">
        <f>'Jul 1'!$D$39</f>
        <v>0</v>
      </c>
      <c r="D39" s="23">
        <f>'Jul 1'!$B$39</f>
        <v>0</v>
      </c>
      <c r="E39" s="64">
        <f>'Jul 1'!$E$39</f>
        <v>0</v>
      </c>
      <c r="F39" s="23">
        <f>'Jul 1'!$A$39</f>
        <v>0</v>
      </c>
      <c r="G39" s="64">
        <f>'Jul 1'!$F$39</f>
        <v>0</v>
      </c>
      <c r="H39" s="64">
        <f>'Jul 1'!$G$39</f>
        <v>0</v>
      </c>
      <c r="I39" s="64" t="str">
        <f>'Jul 1'!$M$39</f>
        <v/>
      </c>
      <c r="J39" s="25" t="str">
        <f>'Jul 1'!$S$39</f>
        <v/>
      </c>
      <c r="K39" s="23">
        <f>'Jul 1'!$AG$39</f>
        <v>0</v>
      </c>
      <c r="L39" s="23">
        <f>'Jul 1'!$N$39</f>
        <v>0</v>
      </c>
    </row>
    <row r="40" spans="1:12" x14ac:dyDescent="0.25">
      <c r="A40" s="66" t="str">
        <f t="shared" si="0"/>
        <v>✓</v>
      </c>
      <c r="B40" s="67">
        <v>46204</v>
      </c>
      <c r="C40" s="23">
        <f>'Jul 1'!$D$40</f>
        <v>0</v>
      </c>
      <c r="D40" s="23">
        <f>'Jul 1'!$B$40</f>
        <v>0</v>
      </c>
      <c r="E40" s="64">
        <f>'Jul 1'!$E$40</f>
        <v>0</v>
      </c>
      <c r="F40" s="23">
        <f>'Jul 1'!$A$40</f>
        <v>0</v>
      </c>
      <c r="G40" s="64">
        <f>'Jul 1'!$F$40</f>
        <v>0</v>
      </c>
      <c r="H40" s="64">
        <f>'Jul 1'!$G$40</f>
        <v>0</v>
      </c>
      <c r="I40" s="64" t="str">
        <f>'Jul 1'!$M$40</f>
        <v/>
      </c>
      <c r="J40" s="25" t="str">
        <f>'Jul 1'!$S$40</f>
        <v/>
      </c>
      <c r="K40" s="23">
        <f>'Jul 1'!$AG$40</f>
        <v>0</v>
      </c>
      <c r="L40" s="23">
        <f>'Jul 1'!$N$40</f>
        <v>0</v>
      </c>
    </row>
    <row r="41" spans="1:12" x14ac:dyDescent="0.25">
      <c r="A41" s="66" t="str">
        <f t="shared" si="0"/>
        <v>✓</v>
      </c>
      <c r="B41" s="67">
        <v>46204</v>
      </c>
      <c r="C41" s="23">
        <f>'Jul 1'!$D$41</f>
        <v>0</v>
      </c>
      <c r="D41" s="23">
        <f>'Jul 1'!$B$41</f>
        <v>0</v>
      </c>
      <c r="E41" s="64">
        <f>'Jul 1'!$E$41</f>
        <v>0</v>
      </c>
      <c r="F41" s="23">
        <f>'Jul 1'!$A$41</f>
        <v>0</v>
      </c>
      <c r="G41" s="64">
        <f>'Jul 1'!$F$41</f>
        <v>0</v>
      </c>
      <c r="H41" s="64">
        <f>'Jul 1'!$G$41</f>
        <v>0</v>
      </c>
      <c r="I41" s="64" t="str">
        <f>'Jul 1'!$M$41</f>
        <v/>
      </c>
      <c r="J41" s="25" t="str">
        <f>'Jul 1'!$S$41</f>
        <v/>
      </c>
      <c r="K41" s="23">
        <f>'Jul 1'!$AG$41</f>
        <v>0</v>
      </c>
      <c r="L41" s="23">
        <f>'Jul 1'!$N$41</f>
        <v>0</v>
      </c>
    </row>
    <row r="42" spans="1:12" x14ac:dyDescent="0.25">
      <c r="A42" s="66" t="str">
        <f t="shared" si="0"/>
        <v>✓</v>
      </c>
      <c r="B42" s="67">
        <v>46204</v>
      </c>
      <c r="C42" s="23">
        <f>'Jul 1'!$D$42</f>
        <v>0</v>
      </c>
      <c r="D42" s="23">
        <f>'Jul 1'!$B$42</f>
        <v>0</v>
      </c>
      <c r="E42" s="64">
        <f>'Jul 1'!$E$42</f>
        <v>0</v>
      </c>
      <c r="F42" s="23">
        <f>'Jul 1'!$A$42</f>
        <v>0</v>
      </c>
      <c r="G42" s="64">
        <f>'Jul 1'!$F$42</f>
        <v>0</v>
      </c>
      <c r="H42" s="64">
        <f>'Jul 1'!$G$42</f>
        <v>0</v>
      </c>
      <c r="I42" s="64" t="str">
        <f>'Jul 1'!$M$42</f>
        <v/>
      </c>
      <c r="J42" s="25" t="str">
        <f>'Jul 1'!$S$42</f>
        <v/>
      </c>
      <c r="K42" s="23">
        <f>'Jul 1'!$AG$42</f>
        <v>0</v>
      </c>
      <c r="L42" s="23">
        <f>'Jul 1'!$N$42</f>
        <v>0</v>
      </c>
    </row>
    <row r="43" spans="1:12" x14ac:dyDescent="0.25">
      <c r="A43" s="66" t="str">
        <f t="shared" si="0"/>
        <v>✓</v>
      </c>
      <c r="B43" s="67">
        <v>46205</v>
      </c>
      <c r="C43" s="23">
        <f>'Jul 2'!$D$8</f>
        <v>0</v>
      </c>
      <c r="D43" s="23">
        <f>'Jul 2'!$B$8</f>
        <v>0</v>
      </c>
      <c r="E43" s="64">
        <f>'Jul 2'!$E$8</f>
        <v>0</v>
      </c>
      <c r="F43" s="23">
        <f>'Jul 2'!$A$8</f>
        <v>0</v>
      </c>
      <c r="G43" s="64">
        <f>'Jul 2'!$F$8</f>
        <v>0</v>
      </c>
      <c r="H43" s="64">
        <f>'Jul 2'!$G$8</f>
        <v>0</v>
      </c>
      <c r="I43" s="64" t="str">
        <f>'Jul 2'!$M$8</f>
        <v/>
      </c>
      <c r="J43" s="25" t="str">
        <f>'Jul 2'!$S$8</f>
        <v/>
      </c>
      <c r="K43" s="23">
        <f>'Jul 2'!$AG$8</f>
        <v>0</v>
      </c>
      <c r="L43" s="23">
        <f>'Jul 2'!$N$8</f>
        <v>0</v>
      </c>
    </row>
    <row r="44" spans="1:12" x14ac:dyDescent="0.25">
      <c r="A44" s="66" t="str">
        <f t="shared" si="0"/>
        <v>✓</v>
      </c>
      <c r="B44" s="67">
        <v>46205</v>
      </c>
      <c r="C44" s="23">
        <f>'Jul 2'!$D$9</f>
        <v>0</v>
      </c>
      <c r="D44" s="23">
        <f>'Jul 2'!$B$9</f>
        <v>0</v>
      </c>
      <c r="E44" s="64">
        <f>'Jul 2'!$E$9</f>
        <v>0</v>
      </c>
      <c r="F44" s="23">
        <f>'Jul 2'!$A$9</f>
        <v>0</v>
      </c>
      <c r="G44" s="64">
        <f>'Jul 2'!$F$9</f>
        <v>0</v>
      </c>
      <c r="H44" s="64">
        <f>'Jul 2'!$G$9</f>
        <v>0</v>
      </c>
      <c r="I44" s="64" t="str">
        <f>'Jul 2'!$M$9</f>
        <v/>
      </c>
      <c r="J44" s="25" t="str">
        <f>'Jul 2'!$S$9</f>
        <v/>
      </c>
      <c r="K44" s="23">
        <f>'Jul 2'!$AG$9</f>
        <v>0</v>
      </c>
      <c r="L44" s="23">
        <f>'Jul 2'!$N$9</f>
        <v>0</v>
      </c>
    </row>
    <row r="45" spans="1:12" x14ac:dyDescent="0.25">
      <c r="A45" s="66" t="str">
        <f t="shared" si="0"/>
        <v>✓</v>
      </c>
      <c r="B45" s="67">
        <v>46205</v>
      </c>
      <c r="C45" s="23">
        <f>'Jul 2'!$D$10</f>
        <v>0</v>
      </c>
      <c r="D45" s="23">
        <f>'Jul 2'!$B$10</f>
        <v>0</v>
      </c>
      <c r="E45" s="64">
        <f>'Jul 2'!$E$10</f>
        <v>0</v>
      </c>
      <c r="F45" s="23">
        <f>'Jul 2'!$A$10</f>
        <v>0</v>
      </c>
      <c r="G45" s="64">
        <f>'Jul 2'!$F$10</f>
        <v>0</v>
      </c>
      <c r="H45" s="64">
        <f>'Jul 2'!$G$10</f>
        <v>0</v>
      </c>
      <c r="I45" s="64" t="str">
        <f>'Jul 2'!$M$10</f>
        <v/>
      </c>
      <c r="J45" s="25" t="str">
        <f>'Jul 2'!$S$10</f>
        <v/>
      </c>
      <c r="K45" s="23">
        <f>'Jul 2'!$AG$10</f>
        <v>0</v>
      </c>
      <c r="L45" s="23">
        <f>'Jul 2'!$N$10</f>
        <v>0</v>
      </c>
    </row>
    <row r="46" spans="1:12" x14ac:dyDescent="0.25">
      <c r="A46" s="66" t="str">
        <f t="shared" si="0"/>
        <v>✓</v>
      </c>
      <c r="B46" s="67">
        <v>46205</v>
      </c>
      <c r="C46" s="23">
        <f>'Jul 2'!$D$11</f>
        <v>0</v>
      </c>
      <c r="D46" s="23">
        <f>'Jul 2'!$B$11</f>
        <v>0</v>
      </c>
      <c r="E46" s="64">
        <f>'Jul 2'!$E$11</f>
        <v>0</v>
      </c>
      <c r="F46" s="23">
        <f>'Jul 2'!$A$11</f>
        <v>0</v>
      </c>
      <c r="G46" s="64">
        <f>'Jul 2'!$F$11</f>
        <v>0</v>
      </c>
      <c r="H46" s="64">
        <f>'Jul 2'!$G$11</f>
        <v>0</v>
      </c>
      <c r="I46" s="64" t="str">
        <f>'Jul 2'!$M$11</f>
        <v/>
      </c>
      <c r="J46" s="25" t="str">
        <f>'Jul 2'!$S$11</f>
        <v/>
      </c>
      <c r="K46" s="23">
        <f>'Jul 2'!$AG$11</f>
        <v>0</v>
      </c>
      <c r="L46" s="23">
        <f>'Jul 2'!$N$11</f>
        <v>0</v>
      </c>
    </row>
    <row r="47" spans="1:12" x14ac:dyDescent="0.25">
      <c r="A47" s="66" t="str">
        <f t="shared" si="0"/>
        <v>✓</v>
      </c>
      <c r="B47" s="67">
        <v>46205</v>
      </c>
      <c r="C47" s="23">
        <f>'Jul 2'!$D$12</f>
        <v>0</v>
      </c>
      <c r="D47" s="23">
        <f>'Jul 2'!$B$12</f>
        <v>0</v>
      </c>
      <c r="E47" s="64">
        <f>'Jul 2'!$E$12</f>
        <v>0</v>
      </c>
      <c r="F47" s="23">
        <f>'Jul 2'!$A$12</f>
        <v>0</v>
      </c>
      <c r="G47" s="64">
        <f>'Jul 2'!$F$12</f>
        <v>0</v>
      </c>
      <c r="H47" s="64">
        <f>'Jul 2'!$G$12</f>
        <v>0</v>
      </c>
      <c r="I47" s="64" t="str">
        <f>'Jul 2'!$M$12</f>
        <v/>
      </c>
      <c r="J47" s="25" t="str">
        <f>'Jul 2'!$S$12</f>
        <v/>
      </c>
      <c r="K47" s="23">
        <f>'Jul 2'!$AG$12</f>
        <v>0</v>
      </c>
      <c r="L47" s="23">
        <f>'Jul 2'!$N$12</f>
        <v>0</v>
      </c>
    </row>
    <row r="48" spans="1:12" x14ac:dyDescent="0.25">
      <c r="A48" s="66" t="str">
        <f t="shared" si="0"/>
        <v>✓</v>
      </c>
      <c r="B48" s="67">
        <v>46205</v>
      </c>
      <c r="C48" s="23">
        <f>'Jul 2'!$D$13</f>
        <v>0</v>
      </c>
      <c r="D48" s="23">
        <f>'Jul 2'!$B$13</f>
        <v>0</v>
      </c>
      <c r="E48" s="64">
        <f>'Jul 2'!$E$13</f>
        <v>0</v>
      </c>
      <c r="F48" s="23">
        <f>'Jul 2'!$A$13</f>
        <v>0</v>
      </c>
      <c r="G48" s="64">
        <f>'Jul 2'!$F$13</f>
        <v>0</v>
      </c>
      <c r="H48" s="64">
        <f>'Jul 2'!$G$13</f>
        <v>0</v>
      </c>
      <c r="I48" s="64" t="str">
        <f>'Jul 2'!$M$13</f>
        <v/>
      </c>
      <c r="J48" s="25" t="str">
        <f>'Jul 2'!$S$13</f>
        <v/>
      </c>
      <c r="K48" s="23">
        <f>'Jul 2'!$AG$13</f>
        <v>0</v>
      </c>
      <c r="L48" s="23">
        <f>'Jul 2'!$N$13</f>
        <v>0</v>
      </c>
    </row>
    <row r="49" spans="1:12" x14ac:dyDescent="0.25">
      <c r="A49" s="66" t="str">
        <f t="shared" si="0"/>
        <v>✓</v>
      </c>
      <c r="B49" s="67">
        <v>46205</v>
      </c>
      <c r="C49" s="23">
        <f>'Jul 2'!$D$14</f>
        <v>0</v>
      </c>
      <c r="D49" s="23">
        <f>'Jul 2'!$B$14</f>
        <v>0</v>
      </c>
      <c r="E49" s="64">
        <f>'Jul 2'!$E$14</f>
        <v>0</v>
      </c>
      <c r="F49" s="23">
        <f>'Jul 2'!$A$14</f>
        <v>0</v>
      </c>
      <c r="G49" s="64">
        <f>'Jul 2'!$F$14</f>
        <v>0</v>
      </c>
      <c r="H49" s="64">
        <f>'Jul 2'!$G$14</f>
        <v>0</v>
      </c>
      <c r="I49" s="64" t="str">
        <f>'Jul 2'!$M$14</f>
        <v/>
      </c>
      <c r="J49" s="25" t="str">
        <f>'Jul 2'!$S$14</f>
        <v/>
      </c>
      <c r="K49" s="23">
        <f>'Jul 2'!$AG$14</f>
        <v>0</v>
      </c>
      <c r="L49" s="23">
        <f>'Jul 2'!$N$14</f>
        <v>0</v>
      </c>
    </row>
    <row r="50" spans="1:12" x14ac:dyDescent="0.25">
      <c r="A50" s="66" t="str">
        <f t="shared" si="0"/>
        <v>✓</v>
      </c>
      <c r="B50" s="67">
        <v>46205</v>
      </c>
      <c r="C50" s="23">
        <f>'Jul 2'!$D$15</f>
        <v>0</v>
      </c>
      <c r="D50" s="23">
        <f>'Jul 2'!$B$15</f>
        <v>0</v>
      </c>
      <c r="E50" s="64">
        <f>'Jul 2'!$E$15</f>
        <v>0</v>
      </c>
      <c r="F50" s="23">
        <f>'Jul 2'!$A$15</f>
        <v>0</v>
      </c>
      <c r="G50" s="64">
        <f>'Jul 2'!$F$15</f>
        <v>0</v>
      </c>
      <c r="H50" s="64">
        <f>'Jul 2'!$G$15</f>
        <v>0</v>
      </c>
      <c r="I50" s="64" t="str">
        <f>'Jul 2'!$M$15</f>
        <v/>
      </c>
      <c r="J50" s="25" t="str">
        <f>'Jul 2'!$S$15</f>
        <v/>
      </c>
      <c r="K50" s="23">
        <f>'Jul 2'!$AG$15</f>
        <v>0</v>
      </c>
      <c r="L50" s="23">
        <f>'Jul 2'!$N$15</f>
        <v>0</v>
      </c>
    </row>
    <row r="51" spans="1:12" x14ac:dyDescent="0.25">
      <c r="A51" s="66" t="str">
        <f t="shared" si="0"/>
        <v>✓</v>
      </c>
      <c r="B51" s="67">
        <v>46205</v>
      </c>
      <c r="C51" s="23">
        <f>'Jul 2'!$D$16</f>
        <v>0</v>
      </c>
      <c r="D51" s="23">
        <f>'Jul 2'!$B$16</f>
        <v>0</v>
      </c>
      <c r="E51" s="64">
        <f>'Jul 2'!$E$16</f>
        <v>0</v>
      </c>
      <c r="F51" s="23">
        <f>'Jul 2'!$A$16</f>
        <v>0</v>
      </c>
      <c r="G51" s="64">
        <f>'Jul 2'!$F$16</f>
        <v>0</v>
      </c>
      <c r="H51" s="64">
        <f>'Jul 2'!$G$16</f>
        <v>0</v>
      </c>
      <c r="I51" s="64" t="str">
        <f>'Jul 2'!$M$16</f>
        <v/>
      </c>
      <c r="J51" s="25" t="str">
        <f>'Jul 2'!$S$16</f>
        <v/>
      </c>
      <c r="K51" s="23">
        <f>'Jul 2'!$AG$16</f>
        <v>0</v>
      </c>
      <c r="L51" s="23">
        <f>'Jul 2'!$N$16</f>
        <v>0</v>
      </c>
    </row>
    <row r="52" spans="1:12" x14ac:dyDescent="0.25">
      <c r="A52" s="66" t="str">
        <f t="shared" si="0"/>
        <v>✓</v>
      </c>
      <c r="B52" s="67">
        <v>46205</v>
      </c>
      <c r="C52" s="23">
        <f>'Jul 2'!$D$17</f>
        <v>0</v>
      </c>
      <c r="D52" s="23">
        <f>'Jul 2'!$B$17</f>
        <v>0</v>
      </c>
      <c r="E52" s="64">
        <f>'Jul 2'!$E$17</f>
        <v>0</v>
      </c>
      <c r="F52" s="23">
        <f>'Jul 2'!$A$17</f>
        <v>0</v>
      </c>
      <c r="G52" s="64">
        <f>'Jul 2'!$F$17</f>
        <v>0</v>
      </c>
      <c r="H52" s="64">
        <f>'Jul 2'!$G$17</f>
        <v>0</v>
      </c>
      <c r="I52" s="64" t="str">
        <f>'Jul 2'!$M$17</f>
        <v/>
      </c>
      <c r="J52" s="25" t="str">
        <f>'Jul 2'!$S$17</f>
        <v/>
      </c>
      <c r="K52" s="23">
        <f>'Jul 2'!$AG$17</f>
        <v>0</v>
      </c>
      <c r="L52" s="23">
        <f>'Jul 2'!$N$17</f>
        <v>0</v>
      </c>
    </row>
    <row r="53" spans="1:12" x14ac:dyDescent="0.25">
      <c r="A53" s="66" t="str">
        <f t="shared" si="0"/>
        <v>✓</v>
      </c>
      <c r="B53" s="67">
        <v>46205</v>
      </c>
      <c r="C53" s="23">
        <f>'Jul 2'!$D$18</f>
        <v>0</v>
      </c>
      <c r="D53" s="23">
        <f>'Jul 2'!$B$18</f>
        <v>0</v>
      </c>
      <c r="E53" s="64">
        <f>'Jul 2'!$E$18</f>
        <v>0</v>
      </c>
      <c r="F53" s="23">
        <f>'Jul 2'!$A$18</f>
        <v>0</v>
      </c>
      <c r="G53" s="64">
        <f>'Jul 2'!$F$18</f>
        <v>0</v>
      </c>
      <c r="H53" s="64">
        <f>'Jul 2'!$G$18</f>
        <v>0</v>
      </c>
      <c r="I53" s="64" t="str">
        <f>'Jul 2'!$M$18</f>
        <v/>
      </c>
      <c r="J53" s="25" t="str">
        <f>'Jul 2'!$S$18</f>
        <v/>
      </c>
      <c r="K53" s="23">
        <f>'Jul 2'!$AG$18</f>
        <v>0</v>
      </c>
      <c r="L53" s="23">
        <f>'Jul 2'!$N$18</f>
        <v>0</v>
      </c>
    </row>
    <row r="54" spans="1:12" x14ac:dyDescent="0.25">
      <c r="A54" s="66" t="str">
        <f t="shared" si="0"/>
        <v>✓</v>
      </c>
      <c r="B54" s="67">
        <v>46205</v>
      </c>
      <c r="C54" s="23">
        <f>'Jul 2'!$D$19</f>
        <v>0</v>
      </c>
      <c r="D54" s="23">
        <f>'Jul 2'!$B$19</f>
        <v>0</v>
      </c>
      <c r="E54" s="64">
        <f>'Jul 2'!$E$19</f>
        <v>0</v>
      </c>
      <c r="F54" s="23">
        <f>'Jul 2'!$A$19</f>
        <v>0</v>
      </c>
      <c r="G54" s="64">
        <f>'Jul 2'!$F$19</f>
        <v>0</v>
      </c>
      <c r="H54" s="64">
        <f>'Jul 2'!$G$19</f>
        <v>0</v>
      </c>
      <c r="I54" s="64" t="str">
        <f>'Jul 2'!$M$19</f>
        <v/>
      </c>
      <c r="J54" s="25" t="str">
        <f>'Jul 2'!$S$19</f>
        <v/>
      </c>
      <c r="K54" s="23">
        <f>'Jul 2'!$AG$19</f>
        <v>0</v>
      </c>
      <c r="L54" s="23">
        <f>'Jul 2'!$N$19</f>
        <v>0</v>
      </c>
    </row>
    <row r="55" spans="1:12" x14ac:dyDescent="0.25">
      <c r="A55" s="66" t="str">
        <f t="shared" si="0"/>
        <v>✓</v>
      </c>
      <c r="B55" s="67">
        <v>46205</v>
      </c>
      <c r="C55" s="23">
        <f>'Jul 2'!$D$20</f>
        <v>0</v>
      </c>
      <c r="D55" s="23">
        <f>'Jul 2'!$B$20</f>
        <v>0</v>
      </c>
      <c r="E55" s="64">
        <f>'Jul 2'!$E$20</f>
        <v>0</v>
      </c>
      <c r="F55" s="23">
        <f>'Jul 2'!$A$20</f>
        <v>0</v>
      </c>
      <c r="G55" s="64">
        <f>'Jul 2'!$F$20</f>
        <v>0</v>
      </c>
      <c r="H55" s="64">
        <f>'Jul 2'!$G$20</f>
        <v>0</v>
      </c>
      <c r="I55" s="64" t="str">
        <f>'Jul 2'!$M$20</f>
        <v/>
      </c>
      <c r="J55" s="25" t="str">
        <f>'Jul 2'!$S$20</f>
        <v/>
      </c>
      <c r="K55" s="23">
        <f>'Jul 2'!$AG$20</f>
        <v>0</v>
      </c>
      <c r="L55" s="23">
        <f>'Jul 2'!$N$20</f>
        <v>0</v>
      </c>
    </row>
    <row r="56" spans="1:12" x14ac:dyDescent="0.25">
      <c r="A56" s="66" t="str">
        <f t="shared" si="0"/>
        <v>✓</v>
      </c>
      <c r="B56" s="67">
        <v>46205</v>
      </c>
      <c r="C56" s="23">
        <f>'Jul 2'!$D$21</f>
        <v>0</v>
      </c>
      <c r="D56" s="23">
        <f>'Jul 2'!$B$21</f>
        <v>0</v>
      </c>
      <c r="E56" s="64">
        <f>'Jul 2'!$E$21</f>
        <v>0</v>
      </c>
      <c r="F56" s="23">
        <f>'Jul 2'!$A$21</f>
        <v>0</v>
      </c>
      <c r="G56" s="64">
        <f>'Jul 2'!$F$21</f>
        <v>0</v>
      </c>
      <c r="H56" s="64">
        <f>'Jul 2'!$G$21</f>
        <v>0</v>
      </c>
      <c r="I56" s="64" t="str">
        <f>'Jul 2'!$M$21</f>
        <v/>
      </c>
      <c r="J56" s="25" t="str">
        <f>'Jul 2'!$S$21</f>
        <v/>
      </c>
      <c r="K56" s="23">
        <f>'Jul 2'!$AG$21</f>
        <v>0</v>
      </c>
      <c r="L56" s="23">
        <f>'Jul 2'!$N$21</f>
        <v>0</v>
      </c>
    </row>
    <row r="57" spans="1:12" x14ac:dyDescent="0.25">
      <c r="A57" s="66" t="str">
        <f t="shared" si="0"/>
        <v>✓</v>
      </c>
      <c r="B57" s="67">
        <v>46205</v>
      </c>
      <c r="C57" s="23">
        <f>'Jul 2'!$D$22</f>
        <v>0</v>
      </c>
      <c r="D57" s="23">
        <f>'Jul 2'!$B$22</f>
        <v>0</v>
      </c>
      <c r="E57" s="64">
        <f>'Jul 2'!$E$22</f>
        <v>0</v>
      </c>
      <c r="F57" s="23">
        <f>'Jul 2'!$A$22</f>
        <v>0</v>
      </c>
      <c r="G57" s="64">
        <f>'Jul 2'!$F$22</f>
        <v>0</v>
      </c>
      <c r="H57" s="64">
        <f>'Jul 2'!$G$22</f>
        <v>0</v>
      </c>
      <c r="I57" s="64" t="str">
        <f>'Jul 2'!$M$22</f>
        <v/>
      </c>
      <c r="J57" s="25" t="str">
        <f>'Jul 2'!$S$22</f>
        <v/>
      </c>
      <c r="K57" s="23">
        <f>'Jul 2'!$AG$22</f>
        <v>0</v>
      </c>
      <c r="L57" s="23">
        <f>'Jul 2'!$N$22</f>
        <v>0</v>
      </c>
    </row>
    <row r="58" spans="1:12" x14ac:dyDescent="0.25">
      <c r="A58" s="66" t="str">
        <f t="shared" si="0"/>
        <v>✓</v>
      </c>
      <c r="B58" s="67">
        <v>46205</v>
      </c>
      <c r="C58" s="23">
        <f>'Jul 2'!$D$23</f>
        <v>0</v>
      </c>
      <c r="D58" s="23">
        <f>'Jul 2'!$B$23</f>
        <v>0</v>
      </c>
      <c r="E58" s="64">
        <f>'Jul 2'!$E$23</f>
        <v>0</v>
      </c>
      <c r="F58" s="23">
        <f>'Jul 2'!$A$23</f>
        <v>0</v>
      </c>
      <c r="G58" s="64">
        <f>'Jul 2'!$F$23</f>
        <v>0</v>
      </c>
      <c r="H58" s="64">
        <f>'Jul 2'!$G$23</f>
        <v>0</v>
      </c>
      <c r="I58" s="64" t="str">
        <f>'Jul 2'!$M$23</f>
        <v/>
      </c>
      <c r="J58" s="25" t="str">
        <f>'Jul 2'!$S$23</f>
        <v/>
      </c>
      <c r="K58" s="23">
        <f>'Jul 2'!$AG$23</f>
        <v>0</v>
      </c>
      <c r="L58" s="23">
        <f>'Jul 2'!$N$23</f>
        <v>0</v>
      </c>
    </row>
    <row r="59" spans="1:12" x14ac:dyDescent="0.25">
      <c r="A59" s="66" t="str">
        <f t="shared" si="0"/>
        <v>✓</v>
      </c>
      <c r="B59" s="67">
        <v>46205</v>
      </c>
      <c r="C59" s="23">
        <f>'Jul 2'!$D$24</f>
        <v>0</v>
      </c>
      <c r="D59" s="23">
        <f>'Jul 2'!$B$24</f>
        <v>0</v>
      </c>
      <c r="E59" s="64">
        <f>'Jul 2'!$E$24</f>
        <v>0</v>
      </c>
      <c r="F59" s="23">
        <f>'Jul 2'!$A$24</f>
        <v>0</v>
      </c>
      <c r="G59" s="64">
        <f>'Jul 2'!$F$24</f>
        <v>0</v>
      </c>
      <c r="H59" s="64">
        <f>'Jul 2'!$G$24</f>
        <v>0</v>
      </c>
      <c r="I59" s="64" t="str">
        <f>'Jul 2'!$M$24</f>
        <v/>
      </c>
      <c r="J59" s="25" t="str">
        <f>'Jul 2'!$S$24</f>
        <v/>
      </c>
      <c r="K59" s="23">
        <f>'Jul 2'!$AG$24</f>
        <v>0</v>
      </c>
      <c r="L59" s="23">
        <f>'Jul 2'!$N$24</f>
        <v>0</v>
      </c>
    </row>
    <row r="60" spans="1:12" x14ac:dyDescent="0.25">
      <c r="A60" s="66" t="str">
        <f t="shared" si="0"/>
        <v>✓</v>
      </c>
      <c r="B60" s="67">
        <v>46205</v>
      </c>
      <c r="C60" s="23">
        <f>'Jul 2'!$D$25</f>
        <v>0</v>
      </c>
      <c r="D60" s="23">
        <f>'Jul 2'!$B$25</f>
        <v>0</v>
      </c>
      <c r="E60" s="64">
        <f>'Jul 2'!$E$25</f>
        <v>0</v>
      </c>
      <c r="F60" s="23">
        <f>'Jul 2'!$A$25</f>
        <v>0</v>
      </c>
      <c r="G60" s="64">
        <f>'Jul 2'!$F$25</f>
        <v>0</v>
      </c>
      <c r="H60" s="64">
        <f>'Jul 2'!$G$25</f>
        <v>0</v>
      </c>
      <c r="I60" s="64" t="str">
        <f>'Jul 2'!$M$25</f>
        <v/>
      </c>
      <c r="J60" s="25" t="str">
        <f>'Jul 2'!$S$25</f>
        <v/>
      </c>
      <c r="K60" s="23">
        <f>'Jul 2'!$AG$25</f>
        <v>0</v>
      </c>
      <c r="L60" s="23">
        <f>'Jul 2'!$N$25</f>
        <v>0</v>
      </c>
    </row>
    <row r="61" spans="1:12" x14ac:dyDescent="0.25">
      <c r="A61" s="66" t="str">
        <f t="shared" si="0"/>
        <v>✓</v>
      </c>
      <c r="B61" s="67">
        <v>46205</v>
      </c>
      <c r="C61" s="23">
        <f>'Jul 2'!$D$26</f>
        <v>0</v>
      </c>
      <c r="D61" s="23">
        <f>'Jul 2'!$B$26</f>
        <v>0</v>
      </c>
      <c r="E61" s="64">
        <f>'Jul 2'!$E$26</f>
        <v>0</v>
      </c>
      <c r="F61" s="23">
        <f>'Jul 2'!$A$26</f>
        <v>0</v>
      </c>
      <c r="G61" s="64">
        <f>'Jul 2'!$F$26</f>
        <v>0</v>
      </c>
      <c r="H61" s="64">
        <f>'Jul 2'!$G$26</f>
        <v>0</v>
      </c>
      <c r="I61" s="64" t="str">
        <f>'Jul 2'!$M$26</f>
        <v/>
      </c>
      <c r="J61" s="25" t="str">
        <f>'Jul 2'!$S$26</f>
        <v/>
      </c>
      <c r="K61" s="23">
        <f>'Jul 2'!$AG$26</f>
        <v>0</v>
      </c>
      <c r="L61" s="23">
        <f>'Jul 2'!$N$26</f>
        <v>0</v>
      </c>
    </row>
    <row r="62" spans="1:12" x14ac:dyDescent="0.25">
      <c r="A62" s="66" t="str">
        <f t="shared" si="0"/>
        <v>✓</v>
      </c>
      <c r="B62" s="67">
        <v>46205</v>
      </c>
      <c r="C62" s="23">
        <f>'Jul 2'!$D$27</f>
        <v>0</v>
      </c>
      <c r="D62" s="23">
        <f>'Jul 2'!$B$27</f>
        <v>0</v>
      </c>
      <c r="E62" s="64">
        <f>'Jul 2'!$E$27</f>
        <v>0</v>
      </c>
      <c r="F62" s="23">
        <f>'Jul 2'!$A$27</f>
        <v>0</v>
      </c>
      <c r="G62" s="64">
        <f>'Jul 2'!$F$27</f>
        <v>0</v>
      </c>
      <c r="H62" s="64">
        <f>'Jul 2'!$G$27</f>
        <v>0</v>
      </c>
      <c r="I62" s="64" t="str">
        <f>'Jul 2'!$M$27</f>
        <v/>
      </c>
      <c r="J62" s="25" t="str">
        <f>'Jul 2'!$S$27</f>
        <v/>
      </c>
      <c r="K62" s="23">
        <f>'Jul 2'!$AG$27</f>
        <v>0</v>
      </c>
      <c r="L62" s="23">
        <f>'Jul 2'!$N$27</f>
        <v>0</v>
      </c>
    </row>
    <row r="63" spans="1:12" x14ac:dyDescent="0.25">
      <c r="A63" s="66" t="str">
        <f t="shared" si="0"/>
        <v>✓</v>
      </c>
      <c r="B63" s="67">
        <v>46205</v>
      </c>
      <c r="C63" s="23">
        <f>'Jul 2'!$D$28</f>
        <v>0</v>
      </c>
      <c r="D63" s="23">
        <f>'Jul 2'!$B$28</f>
        <v>0</v>
      </c>
      <c r="E63" s="64">
        <f>'Jul 2'!$E$28</f>
        <v>0</v>
      </c>
      <c r="F63" s="23">
        <f>'Jul 2'!$A$28</f>
        <v>0</v>
      </c>
      <c r="G63" s="64">
        <f>'Jul 2'!$F$28</f>
        <v>0</v>
      </c>
      <c r="H63" s="64">
        <f>'Jul 2'!$G$28</f>
        <v>0</v>
      </c>
      <c r="I63" s="64" t="str">
        <f>'Jul 2'!$M$28</f>
        <v/>
      </c>
      <c r="J63" s="25" t="str">
        <f>'Jul 2'!$S$28</f>
        <v/>
      </c>
      <c r="K63" s="23">
        <f>'Jul 2'!$AG$28</f>
        <v>0</v>
      </c>
      <c r="L63" s="23">
        <f>'Jul 2'!$N$28</f>
        <v>0</v>
      </c>
    </row>
    <row r="64" spans="1:12" x14ac:dyDescent="0.25">
      <c r="A64" s="66" t="str">
        <f t="shared" si="0"/>
        <v>✓</v>
      </c>
      <c r="B64" s="67">
        <v>46205</v>
      </c>
      <c r="C64" s="23">
        <f>'Jul 2'!$D$29</f>
        <v>0</v>
      </c>
      <c r="D64" s="23">
        <f>'Jul 2'!$B$29</f>
        <v>0</v>
      </c>
      <c r="E64" s="64">
        <f>'Jul 2'!$E$29</f>
        <v>0</v>
      </c>
      <c r="F64" s="23">
        <f>'Jul 2'!$A$29</f>
        <v>0</v>
      </c>
      <c r="G64" s="64">
        <f>'Jul 2'!$F$29</f>
        <v>0</v>
      </c>
      <c r="H64" s="64">
        <f>'Jul 2'!$G$29</f>
        <v>0</v>
      </c>
      <c r="I64" s="64" t="str">
        <f>'Jul 2'!$M$29</f>
        <v/>
      </c>
      <c r="J64" s="25" t="str">
        <f>'Jul 2'!$S$29</f>
        <v/>
      </c>
      <c r="K64" s="23">
        <f>'Jul 2'!$AG$29</f>
        <v>0</v>
      </c>
      <c r="L64" s="23">
        <f>'Jul 2'!$N$29</f>
        <v>0</v>
      </c>
    </row>
    <row r="65" spans="1:12" x14ac:dyDescent="0.25">
      <c r="A65" s="66" t="str">
        <f t="shared" si="0"/>
        <v>✓</v>
      </c>
      <c r="B65" s="67">
        <v>46205</v>
      </c>
      <c r="C65" s="23">
        <f>'Jul 2'!$D$30</f>
        <v>0</v>
      </c>
      <c r="D65" s="23">
        <f>'Jul 2'!$B$30</f>
        <v>0</v>
      </c>
      <c r="E65" s="64">
        <f>'Jul 2'!$E$30</f>
        <v>0</v>
      </c>
      <c r="F65" s="23">
        <f>'Jul 2'!$A$30</f>
        <v>0</v>
      </c>
      <c r="G65" s="64">
        <f>'Jul 2'!$F$30</f>
        <v>0</v>
      </c>
      <c r="H65" s="64">
        <f>'Jul 2'!$G$30</f>
        <v>0</v>
      </c>
      <c r="I65" s="64" t="str">
        <f>'Jul 2'!$M$30</f>
        <v/>
      </c>
      <c r="J65" s="25" t="str">
        <f>'Jul 2'!$S$30</f>
        <v/>
      </c>
      <c r="K65" s="23">
        <f>'Jul 2'!$AG$30</f>
        <v>0</v>
      </c>
      <c r="L65" s="23">
        <f>'Jul 2'!$N$30</f>
        <v>0</v>
      </c>
    </row>
    <row r="66" spans="1:12" x14ac:dyDescent="0.25">
      <c r="A66" s="66" t="str">
        <f t="shared" si="0"/>
        <v>✓</v>
      </c>
      <c r="B66" s="67">
        <v>46205</v>
      </c>
      <c r="C66" s="23">
        <f>'Jul 2'!$D$31</f>
        <v>0</v>
      </c>
      <c r="D66" s="23">
        <f>'Jul 2'!$B$31</f>
        <v>0</v>
      </c>
      <c r="E66" s="64">
        <f>'Jul 2'!$E$31</f>
        <v>0</v>
      </c>
      <c r="F66" s="23">
        <f>'Jul 2'!$A$31</f>
        <v>0</v>
      </c>
      <c r="G66" s="64">
        <f>'Jul 2'!$F$31</f>
        <v>0</v>
      </c>
      <c r="H66" s="64">
        <f>'Jul 2'!$G$31</f>
        <v>0</v>
      </c>
      <c r="I66" s="64" t="str">
        <f>'Jul 2'!$M$31</f>
        <v/>
      </c>
      <c r="J66" s="25" t="str">
        <f>'Jul 2'!$S$31</f>
        <v/>
      </c>
      <c r="K66" s="23">
        <f>'Jul 2'!$AG$31</f>
        <v>0</v>
      </c>
      <c r="L66" s="23">
        <f>'Jul 2'!$N$31</f>
        <v>0</v>
      </c>
    </row>
    <row r="67" spans="1:12" x14ac:dyDescent="0.25">
      <c r="A67" s="66" t="str">
        <f t="shared" si="0"/>
        <v>✓</v>
      </c>
      <c r="B67" s="67">
        <v>46205</v>
      </c>
      <c r="C67" s="23">
        <f>'Jul 2'!$D$32</f>
        <v>0</v>
      </c>
      <c r="D67" s="23">
        <f>'Jul 2'!$B$32</f>
        <v>0</v>
      </c>
      <c r="E67" s="64">
        <f>'Jul 2'!$E$32</f>
        <v>0</v>
      </c>
      <c r="F67" s="23">
        <f>'Jul 2'!$A$32</f>
        <v>0</v>
      </c>
      <c r="G67" s="64">
        <f>'Jul 2'!$F$32</f>
        <v>0</v>
      </c>
      <c r="H67" s="64">
        <f>'Jul 2'!$G$32</f>
        <v>0</v>
      </c>
      <c r="I67" s="64" t="str">
        <f>'Jul 2'!$M$32</f>
        <v/>
      </c>
      <c r="J67" s="25" t="str">
        <f>'Jul 2'!$S$32</f>
        <v/>
      </c>
      <c r="K67" s="23">
        <f>'Jul 2'!$AG$32</f>
        <v>0</v>
      </c>
      <c r="L67" s="23">
        <f>'Jul 2'!$N$32</f>
        <v>0</v>
      </c>
    </row>
    <row r="68" spans="1:12" x14ac:dyDescent="0.25">
      <c r="A68" s="66" t="str">
        <f t="shared" si="0"/>
        <v>✓</v>
      </c>
      <c r="B68" s="67">
        <v>46205</v>
      </c>
      <c r="C68" s="23">
        <f>'Jul 2'!$D$33</f>
        <v>0</v>
      </c>
      <c r="D68" s="23">
        <f>'Jul 2'!$B$33</f>
        <v>0</v>
      </c>
      <c r="E68" s="64">
        <f>'Jul 2'!$E$33</f>
        <v>0</v>
      </c>
      <c r="F68" s="23">
        <f>'Jul 2'!$A$33</f>
        <v>0</v>
      </c>
      <c r="G68" s="64">
        <f>'Jul 2'!$F$33</f>
        <v>0</v>
      </c>
      <c r="H68" s="64">
        <f>'Jul 2'!$G$33</f>
        <v>0</v>
      </c>
      <c r="I68" s="64" t="str">
        <f>'Jul 2'!$M$33</f>
        <v/>
      </c>
      <c r="J68" s="25" t="str">
        <f>'Jul 2'!$S$33</f>
        <v/>
      </c>
      <c r="K68" s="23">
        <f>'Jul 2'!$AG$33</f>
        <v>0</v>
      </c>
      <c r="L68" s="23">
        <f>'Jul 2'!$N$33</f>
        <v>0</v>
      </c>
    </row>
    <row r="69" spans="1:12" x14ac:dyDescent="0.25">
      <c r="A69" s="66" t="str">
        <f t="shared" si="0"/>
        <v>✓</v>
      </c>
      <c r="B69" s="67">
        <v>46205</v>
      </c>
      <c r="C69" s="23">
        <f>'Jul 2'!$D$34</f>
        <v>0</v>
      </c>
      <c r="D69" s="23">
        <f>'Jul 2'!$B$34</f>
        <v>0</v>
      </c>
      <c r="E69" s="64">
        <f>'Jul 2'!$E$34</f>
        <v>0</v>
      </c>
      <c r="F69" s="23">
        <f>'Jul 2'!$A$34</f>
        <v>0</v>
      </c>
      <c r="G69" s="64">
        <f>'Jul 2'!$F$34</f>
        <v>0</v>
      </c>
      <c r="H69" s="64">
        <f>'Jul 2'!$G$34</f>
        <v>0</v>
      </c>
      <c r="I69" s="64" t="str">
        <f>'Jul 2'!$M$34</f>
        <v/>
      </c>
      <c r="J69" s="25" t="str">
        <f>'Jul 2'!$S$34</f>
        <v/>
      </c>
      <c r="K69" s="23">
        <f>'Jul 2'!$AG$34</f>
        <v>0</v>
      </c>
      <c r="L69" s="23">
        <f>'Jul 2'!$N$34</f>
        <v>0</v>
      </c>
    </row>
    <row r="70" spans="1:12" x14ac:dyDescent="0.25">
      <c r="A70" s="66" t="str">
        <f t="shared" si="0"/>
        <v>✓</v>
      </c>
      <c r="B70" s="67">
        <v>46205</v>
      </c>
      <c r="C70" s="23">
        <f>'Jul 2'!$D$35</f>
        <v>0</v>
      </c>
      <c r="D70" s="23">
        <f>'Jul 2'!$B$35</f>
        <v>0</v>
      </c>
      <c r="E70" s="64">
        <f>'Jul 2'!$E$35</f>
        <v>0</v>
      </c>
      <c r="F70" s="23">
        <f>'Jul 2'!$A$35</f>
        <v>0</v>
      </c>
      <c r="G70" s="64">
        <f>'Jul 2'!$F$35</f>
        <v>0</v>
      </c>
      <c r="H70" s="64">
        <f>'Jul 2'!$G$35</f>
        <v>0</v>
      </c>
      <c r="I70" s="64" t="str">
        <f>'Jul 2'!$M$35</f>
        <v/>
      </c>
      <c r="J70" s="25" t="str">
        <f>'Jul 2'!$S$35</f>
        <v/>
      </c>
      <c r="K70" s="23">
        <f>'Jul 2'!$AG$35</f>
        <v>0</v>
      </c>
      <c r="L70" s="23">
        <f>'Jul 2'!$N$35</f>
        <v>0</v>
      </c>
    </row>
    <row r="71" spans="1:12" x14ac:dyDescent="0.25">
      <c r="A71" s="66" t="str">
        <f t="shared" si="0"/>
        <v>✓</v>
      </c>
      <c r="B71" s="67">
        <v>46205</v>
      </c>
      <c r="C71" s="23">
        <f>'Jul 2'!$D$36</f>
        <v>0</v>
      </c>
      <c r="D71" s="23">
        <f>'Jul 2'!$B$36</f>
        <v>0</v>
      </c>
      <c r="E71" s="64">
        <f>'Jul 2'!$E$36</f>
        <v>0</v>
      </c>
      <c r="F71" s="23">
        <f>'Jul 2'!$A$36</f>
        <v>0</v>
      </c>
      <c r="G71" s="64">
        <f>'Jul 2'!$F$36</f>
        <v>0</v>
      </c>
      <c r="H71" s="64">
        <f>'Jul 2'!$G$36</f>
        <v>0</v>
      </c>
      <c r="I71" s="64" t="str">
        <f>'Jul 2'!$M$36</f>
        <v/>
      </c>
      <c r="J71" s="25" t="str">
        <f>'Jul 2'!$S$36</f>
        <v/>
      </c>
      <c r="K71" s="23">
        <f>'Jul 2'!$AG$36</f>
        <v>0</v>
      </c>
      <c r="L71" s="23">
        <f>'Jul 2'!$N$36</f>
        <v>0</v>
      </c>
    </row>
    <row r="72" spans="1:12" x14ac:dyDescent="0.25">
      <c r="A72" s="66" t="str">
        <f t="shared" ref="A72:A135" si="1">IF(C72="","",IF(AND(OR($B$5="",G72=$B$5,H72=$B$5),OR($D$5="",F72=$D$5),OR($E$5="",K72=$E$5),OR($G$5="",L72=$G$5),OR($H$5="",N(J72)&gt;=$H$5),OR($I$5="",ISNUMBER(SEARCH($I$5,C72&amp;" "&amp;D72&amp;" "&amp;E72&amp;" "&amp;I72)))),"✓",""))</f>
        <v>✓</v>
      </c>
      <c r="B72" s="67">
        <v>46205</v>
      </c>
      <c r="C72" s="23">
        <f>'Jul 2'!$D$37</f>
        <v>0</v>
      </c>
      <c r="D72" s="23">
        <f>'Jul 2'!$B$37</f>
        <v>0</v>
      </c>
      <c r="E72" s="64">
        <f>'Jul 2'!$E$37</f>
        <v>0</v>
      </c>
      <c r="F72" s="23">
        <f>'Jul 2'!$A$37</f>
        <v>0</v>
      </c>
      <c r="G72" s="64">
        <f>'Jul 2'!$F$37</f>
        <v>0</v>
      </c>
      <c r="H72" s="64">
        <f>'Jul 2'!$G$37</f>
        <v>0</v>
      </c>
      <c r="I72" s="64" t="str">
        <f>'Jul 2'!$M$37</f>
        <v/>
      </c>
      <c r="J72" s="25" t="str">
        <f>'Jul 2'!$S$37</f>
        <v/>
      </c>
      <c r="K72" s="23">
        <f>'Jul 2'!$AG$37</f>
        <v>0</v>
      </c>
      <c r="L72" s="23">
        <f>'Jul 2'!$N$37</f>
        <v>0</v>
      </c>
    </row>
    <row r="73" spans="1:12" x14ac:dyDescent="0.25">
      <c r="A73" s="66" t="str">
        <f t="shared" si="1"/>
        <v>✓</v>
      </c>
      <c r="B73" s="67">
        <v>46205</v>
      </c>
      <c r="C73" s="23">
        <f>'Jul 2'!$D$38</f>
        <v>0</v>
      </c>
      <c r="D73" s="23">
        <f>'Jul 2'!$B$38</f>
        <v>0</v>
      </c>
      <c r="E73" s="64">
        <f>'Jul 2'!$E$38</f>
        <v>0</v>
      </c>
      <c r="F73" s="23">
        <f>'Jul 2'!$A$38</f>
        <v>0</v>
      </c>
      <c r="G73" s="64">
        <f>'Jul 2'!$F$38</f>
        <v>0</v>
      </c>
      <c r="H73" s="64">
        <f>'Jul 2'!$G$38</f>
        <v>0</v>
      </c>
      <c r="I73" s="64" t="str">
        <f>'Jul 2'!$M$38</f>
        <v/>
      </c>
      <c r="J73" s="25" t="str">
        <f>'Jul 2'!$S$38</f>
        <v/>
      </c>
      <c r="K73" s="23">
        <f>'Jul 2'!$AG$38</f>
        <v>0</v>
      </c>
      <c r="L73" s="23">
        <f>'Jul 2'!$N$38</f>
        <v>0</v>
      </c>
    </row>
    <row r="74" spans="1:12" x14ac:dyDescent="0.25">
      <c r="A74" s="66" t="str">
        <f t="shared" si="1"/>
        <v>✓</v>
      </c>
      <c r="B74" s="67">
        <v>46205</v>
      </c>
      <c r="C74" s="23">
        <f>'Jul 2'!$D$39</f>
        <v>0</v>
      </c>
      <c r="D74" s="23">
        <f>'Jul 2'!$B$39</f>
        <v>0</v>
      </c>
      <c r="E74" s="64">
        <f>'Jul 2'!$E$39</f>
        <v>0</v>
      </c>
      <c r="F74" s="23">
        <f>'Jul 2'!$A$39</f>
        <v>0</v>
      </c>
      <c r="G74" s="64">
        <f>'Jul 2'!$F$39</f>
        <v>0</v>
      </c>
      <c r="H74" s="64">
        <f>'Jul 2'!$G$39</f>
        <v>0</v>
      </c>
      <c r="I74" s="64" t="str">
        <f>'Jul 2'!$M$39</f>
        <v/>
      </c>
      <c r="J74" s="25" t="str">
        <f>'Jul 2'!$S$39</f>
        <v/>
      </c>
      <c r="K74" s="23">
        <f>'Jul 2'!$AG$39</f>
        <v>0</v>
      </c>
      <c r="L74" s="23">
        <f>'Jul 2'!$N$39</f>
        <v>0</v>
      </c>
    </row>
    <row r="75" spans="1:12" x14ac:dyDescent="0.25">
      <c r="A75" s="66" t="str">
        <f t="shared" si="1"/>
        <v>✓</v>
      </c>
      <c r="B75" s="67">
        <v>46205</v>
      </c>
      <c r="C75" s="23">
        <f>'Jul 2'!$D$40</f>
        <v>0</v>
      </c>
      <c r="D75" s="23">
        <f>'Jul 2'!$B$40</f>
        <v>0</v>
      </c>
      <c r="E75" s="64">
        <f>'Jul 2'!$E$40</f>
        <v>0</v>
      </c>
      <c r="F75" s="23">
        <f>'Jul 2'!$A$40</f>
        <v>0</v>
      </c>
      <c r="G75" s="64">
        <f>'Jul 2'!$F$40</f>
        <v>0</v>
      </c>
      <c r="H75" s="64">
        <f>'Jul 2'!$G$40</f>
        <v>0</v>
      </c>
      <c r="I75" s="64" t="str">
        <f>'Jul 2'!$M$40</f>
        <v/>
      </c>
      <c r="J75" s="25" t="str">
        <f>'Jul 2'!$S$40</f>
        <v/>
      </c>
      <c r="K75" s="23">
        <f>'Jul 2'!$AG$40</f>
        <v>0</v>
      </c>
      <c r="L75" s="23">
        <f>'Jul 2'!$N$40</f>
        <v>0</v>
      </c>
    </row>
    <row r="76" spans="1:12" x14ac:dyDescent="0.25">
      <c r="A76" s="66" t="str">
        <f t="shared" si="1"/>
        <v>✓</v>
      </c>
      <c r="B76" s="67">
        <v>46205</v>
      </c>
      <c r="C76" s="23">
        <f>'Jul 2'!$D$41</f>
        <v>0</v>
      </c>
      <c r="D76" s="23">
        <f>'Jul 2'!$B$41</f>
        <v>0</v>
      </c>
      <c r="E76" s="64">
        <f>'Jul 2'!$E$41</f>
        <v>0</v>
      </c>
      <c r="F76" s="23">
        <f>'Jul 2'!$A$41</f>
        <v>0</v>
      </c>
      <c r="G76" s="64">
        <f>'Jul 2'!$F$41</f>
        <v>0</v>
      </c>
      <c r="H76" s="64">
        <f>'Jul 2'!$G$41</f>
        <v>0</v>
      </c>
      <c r="I76" s="64" t="str">
        <f>'Jul 2'!$M$41</f>
        <v/>
      </c>
      <c r="J76" s="25" t="str">
        <f>'Jul 2'!$S$41</f>
        <v/>
      </c>
      <c r="K76" s="23">
        <f>'Jul 2'!$AG$41</f>
        <v>0</v>
      </c>
      <c r="L76" s="23">
        <f>'Jul 2'!$N$41</f>
        <v>0</v>
      </c>
    </row>
    <row r="77" spans="1:12" x14ac:dyDescent="0.25">
      <c r="A77" s="66" t="str">
        <f t="shared" si="1"/>
        <v>✓</v>
      </c>
      <c r="B77" s="67">
        <v>46205</v>
      </c>
      <c r="C77" s="23">
        <f>'Jul 2'!$D$42</f>
        <v>0</v>
      </c>
      <c r="D77" s="23">
        <f>'Jul 2'!$B$42</f>
        <v>0</v>
      </c>
      <c r="E77" s="64">
        <f>'Jul 2'!$E$42</f>
        <v>0</v>
      </c>
      <c r="F77" s="23">
        <f>'Jul 2'!$A$42</f>
        <v>0</v>
      </c>
      <c r="G77" s="64">
        <f>'Jul 2'!$F$42</f>
        <v>0</v>
      </c>
      <c r="H77" s="64">
        <f>'Jul 2'!$G$42</f>
        <v>0</v>
      </c>
      <c r="I77" s="64" t="str">
        <f>'Jul 2'!$M$42</f>
        <v/>
      </c>
      <c r="J77" s="25" t="str">
        <f>'Jul 2'!$S$42</f>
        <v/>
      </c>
      <c r="K77" s="23">
        <f>'Jul 2'!$AG$42</f>
        <v>0</v>
      </c>
      <c r="L77" s="23">
        <f>'Jul 2'!$N$42</f>
        <v>0</v>
      </c>
    </row>
    <row r="78" spans="1:12" x14ac:dyDescent="0.25">
      <c r="A78" s="66" t="str">
        <f t="shared" si="1"/>
        <v>✓</v>
      </c>
      <c r="B78" s="67">
        <v>46206</v>
      </c>
      <c r="C78" s="23">
        <f>'Jul 3'!$D$8</f>
        <v>0</v>
      </c>
      <c r="D78" s="23">
        <f>'Jul 3'!$B$8</f>
        <v>0</v>
      </c>
      <c r="E78" s="64">
        <f>'Jul 3'!$E$8</f>
        <v>0</v>
      </c>
      <c r="F78" s="23">
        <f>'Jul 3'!$A$8</f>
        <v>0</v>
      </c>
      <c r="G78" s="64">
        <f>'Jul 3'!$F$8</f>
        <v>0</v>
      </c>
      <c r="H78" s="64">
        <f>'Jul 3'!$G$8</f>
        <v>0</v>
      </c>
      <c r="I78" s="64" t="str">
        <f>'Jul 3'!$M$8</f>
        <v/>
      </c>
      <c r="J78" s="25" t="str">
        <f>'Jul 3'!$S$8</f>
        <v/>
      </c>
      <c r="K78" s="23">
        <f>'Jul 3'!$AG$8</f>
        <v>0</v>
      </c>
      <c r="L78" s="23">
        <f>'Jul 3'!$N$8</f>
        <v>0</v>
      </c>
    </row>
    <row r="79" spans="1:12" x14ac:dyDescent="0.25">
      <c r="A79" s="66" t="str">
        <f t="shared" si="1"/>
        <v>✓</v>
      </c>
      <c r="B79" s="67">
        <v>46206</v>
      </c>
      <c r="C79" s="23">
        <f>'Jul 3'!$D$9</f>
        <v>0</v>
      </c>
      <c r="D79" s="23">
        <f>'Jul 3'!$B$9</f>
        <v>0</v>
      </c>
      <c r="E79" s="64">
        <f>'Jul 3'!$E$9</f>
        <v>0</v>
      </c>
      <c r="F79" s="23">
        <f>'Jul 3'!$A$9</f>
        <v>0</v>
      </c>
      <c r="G79" s="64">
        <f>'Jul 3'!$F$9</f>
        <v>0</v>
      </c>
      <c r="H79" s="64">
        <f>'Jul 3'!$G$9</f>
        <v>0</v>
      </c>
      <c r="I79" s="64" t="str">
        <f>'Jul 3'!$M$9</f>
        <v/>
      </c>
      <c r="J79" s="25" t="str">
        <f>'Jul 3'!$S$9</f>
        <v/>
      </c>
      <c r="K79" s="23">
        <f>'Jul 3'!$AG$9</f>
        <v>0</v>
      </c>
      <c r="L79" s="23">
        <f>'Jul 3'!$N$9</f>
        <v>0</v>
      </c>
    </row>
    <row r="80" spans="1:12" x14ac:dyDescent="0.25">
      <c r="A80" s="66" t="str">
        <f t="shared" si="1"/>
        <v>✓</v>
      </c>
      <c r="B80" s="67">
        <v>46206</v>
      </c>
      <c r="C80" s="23">
        <f>'Jul 3'!$D$10</f>
        <v>0</v>
      </c>
      <c r="D80" s="23">
        <f>'Jul 3'!$B$10</f>
        <v>0</v>
      </c>
      <c r="E80" s="64">
        <f>'Jul 3'!$E$10</f>
        <v>0</v>
      </c>
      <c r="F80" s="23">
        <f>'Jul 3'!$A$10</f>
        <v>0</v>
      </c>
      <c r="G80" s="64">
        <f>'Jul 3'!$F$10</f>
        <v>0</v>
      </c>
      <c r="H80" s="64">
        <f>'Jul 3'!$G$10</f>
        <v>0</v>
      </c>
      <c r="I80" s="64" t="str">
        <f>'Jul 3'!$M$10</f>
        <v/>
      </c>
      <c r="J80" s="25" t="str">
        <f>'Jul 3'!$S$10</f>
        <v/>
      </c>
      <c r="K80" s="23">
        <f>'Jul 3'!$AG$10</f>
        <v>0</v>
      </c>
      <c r="L80" s="23">
        <f>'Jul 3'!$N$10</f>
        <v>0</v>
      </c>
    </row>
    <row r="81" spans="1:12" x14ac:dyDescent="0.25">
      <c r="A81" s="66" t="str">
        <f t="shared" si="1"/>
        <v>✓</v>
      </c>
      <c r="B81" s="67">
        <v>46206</v>
      </c>
      <c r="C81" s="23">
        <f>'Jul 3'!$D$11</f>
        <v>0</v>
      </c>
      <c r="D81" s="23">
        <f>'Jul 3'!$B$11</f>
        <v>0</v>
      </c>
      <c r="E81" s="64">
        <f>'Jul 3'!$E$11</f>
        <v>0</v>
      </c>
      <c r="F81" s="23">
        <f>'Jul 3'!$A$11</f>
        <v>0</v>
      </c>
      <c r="G81" s="64">
        <f>'Jul 3'!$F$11</f>
        <v>0</v>
      </c>
      <c r="H81" s="64">
        <f>'Jul 3'!$G$11</f>
        <v>0</v>
      </c>
      <c r="I81" s="64" t="str">
        <f>'Jul 3'!$M$11</f>
        <v/>
      </c>
      <c r="J81" s="25" t="str">
        <f>'Jul 3'!$S$11</f>
        <v/>
      </c>
      <c r="K81" s="23">
        <f>'Jul 3'!$AG$11</f>
        <v>0</v>
      </c>
      <c r="L81" s="23">
        <f>'Jul 3'!$N$11</f>
        <v>0</v>
      </c>
    </row>
    <row r="82" spans="1:12" x14ac:dyDescent="0.25">
      <c r="A82" s="66" t="str">
        <f t="shared" si="1"/>
        <v>✓</v>
      </c>
      <c r="B82" s="67">
        <v>46206</v>
      </c>
      <c r="C82" s="23">
        <f>'Jul 3'!$D$12</f>
        <v>0</v>
      </c>
      <c r="D82" s="23">
        <f>'Jul 3'!$B$12</f>
        <v>0</v>
      </c>
      <c r="E82" s="64">
        <f>'Jul 3'!$E$12</f>
        <v>0</v>
      </c>
      <c r="F82" s="23">
        <f>'Jul 3'!$A$12</f>
        <v>0</v>
      </c>
      <c r="G82" s="64">
        <f>'Jul 3'!$F$12</f>
        <v>0</v>
      </c>
      <c r="H82" s="64">
        <f>'Jul 3'!$G$12</f>
        <v>0</v>
      </c>
      <c r="I82" s="64" t="str">
        <f>'Jul 3'!$M$12</f>
        <v/>
      </c>
      <c r="J82" s="25" t="str">
        <f>'Jul 3'!$S$12</f>
        <v/>
      </c>
      <c r="K82" s="23">
        <f>'Jul 3'!$AG$12</f>
        <v>0</v>
      </c>
      <c r="L82" s="23">
        <f>'Jul 3'!$N$12</f>
        <v>0</v>
      </c>
    </row>
    <row r="83" spans="1:12" x14ac:dyDescent="0.25">
      <c r="A83" s="66" t="str">
        <f t="shared" si="1"/>
        <v>✓</v>
      </c>
      <c r="B83" s="67">
        <v>46206</v>
      </c>
      <c r="C83" s="23">
        <f>'Jul 3'!$D$13</f>
        <v>0</v>
      </c>
      <c r="D83" s="23">
        <f>'Jul 3'!$B$13</f>
        <v>0</v>
      </c>
      <c r="E83" s="64">
        <f>'Jul 3'!$E$13</f>
        <v>0</v>
      </c>
      <c r="F83" s="23">
        <f>'Jul 3'!$A$13</f>
        <v>0</v>
      </c>
      <c r="G83" s="64">
        <f>'Jul 3'!$F$13</f>
        <v>0</v>
      </c>
      <c r="H83" s="64">
        <f>'Jul 3'!$G$13</f>
        <v>0</v>
      </c>
      <c r="I83" s="64" t="str">
        <f>'Jul 3'!$M$13</f>
        <v/>
      </c>
      <c r="J83" s="25" t="str">
        <f>'Jul 3'!$S$13</f>
        <v/>
      </c>
      <c r="K83" s="23">
        <f>'Jul 3'!$AG$13</f>
        <v>0</v>
      </c>
      <c r="L83" s="23">
        <f>'Jul 3'!$N$13</f>
        <v>0</v>
      </c>
    </row>
    <row r="84" spans="1:12" x14ac:dyDescent="0.25">
      <c r="A84" s="66" t="str">
        <f t="shared" si="1"/>
        <v>✓</v>
      </c>
      <c r="B84" s="67">
        <v>46206</v>
      </c>
      <c r="C84" s="23">
        <f>'Jul 3'!$D$14</f>
        <v>0</v>
      </c>
      <c r="D84" s="23">
        <f>'Jul 3'!$B$14</f>
        <v>0</v>
      </c>
      <c r="E84" s="64">
        <f>'Jul 3'!$E$14</f>
        <v>0</v>
      </c>
      <c r="F84" s="23">
        <f>'Jul 3'!$A$14</f>
        <v>0</v>
      </c>
      <c r="G84" s="64">
        <f>'Jul 3'!$F$14</f>
        <v>0</v>
      </c>
      <c r="H84" s="64">
        <f>'Jul 3'!$G$14</f>
        <v>0</v>
      </c>
      <c r="I84" s="64" t="str">
        <f>'Jul 3'!$M$14</f>
        <v/>
      </c>
      <c r="J84" s="25" t="str">
        <f>'Jul 3'!$S$14</f>
        <v/>
      </c>
      <c r="K84" s="23">
        <f>'Jul 3'!$AG$14</f>
        <v>0</v>
      </c>
      <c r="L84" s="23">
        <f>'Jul 3'!$N$14</f>
        <v>0</v>
      </c>
    </row>
    <row r="85" spans="1:12" x14ac:dyDescent="0.25">
      <c r="A85" s="66" t="str">
        <f t="shared" si="1"/>
        <v>✓</v>
      </c>
      <c r="B85" s="67">
        <v>46206</v>
      </c>
      <c r="C85" s="23">
        <f>'Jul 3'!$D$15</f>
        <v>0</v>
      </c>
      <c r="D85" s="23">
        <f>'Jul 3'!$B$15</f>
        <v>0</v>
      </c>
      <c r="E85" s="64">
        <f>'Jul 3'!$E$15</f>
        <v>0</v>
      </c>
      <c r="F85" s="23">
        <f>'Jul 3'!$A$15</f>
        <v>0</v>
      </c>
      <c r="G85" s="64">
        <f>'Jul 3'!$F$15</f>
        <v>0</v>
      </c>
      <c r="H85" s="64">
        <f>'Jul 3'!$G$15</f>
        <v>0</v>
      </c>
      <c r="I85" s="64" t="str">
        <f>'Jul 3'!$M$15</f>
        <v/>
      </c>
      <c r="J85" s="25" t="str">
        <f>'Jul 3'!$S$15</f>
        <v/>
      </c>
      <c r="K85" s="23">
        <f>'Jul 3'!$AG$15</f>
        <v>0</v>
      </c>
      <c r="L85" s="23">
        <f>'Jul 3'!$N$15</f>
        <v>0</v>
      </c>
    </row>
    <row r="86" spans="1:12" x14ac:dyDescent="0.25">
      <c r="A86" s="66" t="str">
        <f t="shared" si="1"/>
        <v>✓</v>
      </c>
      <c r="B86" s="67">
        <v>46206</v>
      </c>
      <c r="C86" s="23">
        <f>'Jul 3'!$D$16</f>
        <v>0</v>
      </c>
      <c r="D86" s="23">
        <f>'Jul 3'!$B$16</f>
        <v>0</v>
      </c>
      <c r="E86" s="64">
        <f>'Jul 3'!$E$16</f>
        <v>0</v>
      </c>
      <c r="F86" s="23">
        <f>'Jul 3'!$A$16</f>
        <v>0</v>
      </c>
      <c r="G86" s="64">
        <f>'Jul 3'!$F$16</f>
        <v>0</v>
      </c>
      <c r="H86" s="64">
        <f>'Jul 3'!$G$16</f>
        <v>0</v>
      </c>
      <c r="I86" s="64" t="str">
        <f>'Jul 3'!$M$16</f>
        <v/>
      </c>
      <c r="J86" s="25" t="str">
        <f>'Jul 3'!$S$16</f>
        <v/>
      </c>
      <c r="K86" s="23">
        <f>'Jul 3'!$AG$16</f>
        <v>0</v>
      </c>
      <c r="L86" s="23">
        <f>'Jul 3'!$N$16</f>
        <v>0</v>
      </c>
    </row>
    <row r="87" spans="1:12" x14ac:dyDescent="0.25">
      <c r="A87" s="66" t="str">
        <f t="shared" si="1"/>
        <v>✓</v>
      </c>
      <c r="B87" s="67">
        <v>46206</v>
      </c>
      <c r="C87" s="23">
        <f>'Jul 3'!$D$17</f>
        <v>0</v>
      </c>
      <c r="D87" s="23">
        <f>'Jul 3'!$B$17</f>
        <v>0</v>
      </c>
      <c r="E87" s="64">
        <f>'Jul 3'!$E$17</f>
        <v>0</v>
      </c>
      <c r="F87" s="23">
        <f>'Jul 3'!$A$17</f>
        <v>0</v>
      </c>
      <c r="G87" s="64">
        <f>'Jul 3'!$F$17</f>
        <v>0</v>
      </c>
      <c r="H87" s="64">
        <f>'Jul 3'!$G$17</f>
        <v>0</v>
      </c>
      <c r="I87" s="64" t="str">
        <f>'Jul 3'!$M$17</f>
        <v/>
      </c>
      <c r="J87" s="25" t="str">
        <f>'Jul 3'!$S$17</f>
        <v/>
      </c>
      <c r="K87" s="23">
        <f>'Jul 3'!$AG$17</f>
        <v>0</v>
      </c>
      <c r="L87" s="23">
        <f>'Jul 3'!$N$17</f>
        <v>0</v>
      </c>
    </row>
    <row r="88" spans="1:12" x14ac:dyDescent="0.25">
      <c r="A88" s="66" t="str">
        <f t="shared" si="1"/>
        <v>✓</v>
      </c>
      <c r="B88" s="67">
        <v>46206</v>
      </c>
      <c r="C88" s="23">
        <f>'Jul 3'!$D$18</f>
        <v>0</v>
      </c>
      <c r="D88" s="23">
        <f>'Jul 3'!$B$18</f>
        <v>0</v>
      </c>
      <c r="E88" s="64">
        <f>'Jul 3'!$E$18</f>
        <v>0</v>
      </c>
      <c r="F88" s="23">
        <f>'Jul 3'!$A$18</f>
        <v>0</v>
      </c>
      <c r="G88" s="64">
        <f>'Jul 3'!$F$18</f>
        <v>0</v>
      </c>
      <c r="H88" s="64">
        <f>'Jul 3'!$G$18</f>
        <v>0</v>
      </c>
      <c r="I88" s="64" t="str">
        <f>'Jul 3'!$M$18</f>
        <v/>
      </c>
      <c r="J88" s="25" t="str">
        <f>'Jul 3'!$S$18</f>
        <v/>
      </c>
      <c r="K88" s="23">
        <f>'Jul 3'!$AG$18</f>
        <v>0</v>
      </c>
      <c r="L88" s="23">
        <f>'Jul 3'!$N$18</f>
        <v>0</v>
      </c>
    </row>
    <row r="89" spans="1:12" x14ac:dyDescent="0.25">
      <c r="A89" s="66" t="str">
        <f t="shared" si="1"/>
        <v>✓</v>
      </c>
      <c r="B89" s="67">
        <v>46206</v>
      </c>
      <c r="C89" s="23">
        <f>'Jul 3'!$D$19</f>
        <v>0</v>
      </c>
      <c r="D89" s="23">
        <f>'Jul 3'!$B$19</f>
        <v>0</v>
      </c>
      <c r="E89" s="64">
        <f>'Jul 3'!$E$19</f>
        <v>0</v>
      </c>
      <c r="F89" s="23">
        <f>'Jul 3'!$A$19</f>
        <v>0</v>
      </c>
      <c r="G89" s="64">
        <f>'Jul 3'!$F$19</f>
        <v>0</v>
      </c>
      <c r="H89" s="64">
        <f>'Jul 3'!$G$19</f>
        <v>0</v>
      </c>
      <c r="I89" s="64" t="str">
        <f>'Jul 3'!$M$19</f>
        <v/>
      </c>
      <c r="J89" s="25" t="str">
        <f>'Jul 3'!$S$19</f>
        <v/>
      </c>
      <c r="K89" s="23">
        <f>'Jul 3'!$AG$19</f>
        <v>0</v>
      </c>
      <c r="L89" s="23">
        <f>'Jul 3'!$N$19</f>
        <v>0</v>
      </c>
    </row>
    <row r="90" spans="1:12" x14ac:dyDescent="0.25">
      <c r="A90" s="66" t="str">
        <f t="shared" si="1"/>
        <v>✓</v>
      </c>
      <c r="B90" s="67">
        <v>46206</v>
      </c>
      <c r="C90" s="23">
        <f>'Jul 3'!$D$20</f>
        <v>0</v>
      </c>
      <c r="D90" s="23">
        <f>'Jul 3'!$B$20</f>
        <v>0</v>
      </c>
      <c r="E90" s="64">
        <f>'Jul 3'!$E$20</f>
        <v>0</v>
      </c>
      <c r="F90" s="23">
        <f>'Jul 3'!$A$20</f>
        <v>0</v>
      </c>
      <c r="G90" s="64">
        <f>'Jul 3'!$F$20</f>
        <v>0</v>
      </c>
      <c r="H90" s="64">
        <f>'Jul 3'!$G$20</f>
        <v>0</v>
      </c>
      <c r="I90" s="64" t="str">
        <f>'Jul 3'!$M$20</f>
        <v/>
      </c>
      <c r="J90" s="25" t="str">
        <f>'Jul 3'!$S$20</f>
        <v/>
      </c>
      <c r="K90" s="23">
        <f>'Jul 3'!$AG$20</f>
        <v>0</v>
      </c>
      <c r="L90" s="23">
        <f>'Jul 3'!$N$20</f>
        <v>0</v>
      </c>
    </row>
    <row r="91" spans="1:12" x14ac:dyDescent="0.25">
      <c r="A91" s="66" t="str">
        <f t="shared" si="1"/>
        <v>✓</v>
      </c>
      <c r="B91" s="67">
        <v>46206</v>
      </c>
      <c r="C91" s="23">
        <f>'Jul 3'!$D$21</f>
        <v>0</v>
      </c>
      <c r="D91" s="23">
        <f>'Jul 3'!$B$21</f>
        <v>0</v>
      </c>
      <c r="E91" s="64">
        <f>'Jul 3'!$E$21</f>
        <v>0</v>
      </c>
      <c r="F91" s="23">
        <f>'Jul 3'!$A$21</f>
        <v>0</v>
      </c>
      <c r="G91" s="64">
        <f>'Jul 3'!$F$21</f>
        <v>0</v>
      </c>
      <c r="H91" s="64">
        <f>'Jul 3'!$G$21</f>
        <v>0</v>
      </c>
      <c r="I91" s="64" t="str">
        <f>'Jul 3'!$M$21</f>
        <v/>
      </c>
      <c r="J91" s="25" t="str">
        <f>'Jul 3'!$S$21</f>
        <v/>
      </c>
      <c r="K91" s="23">
        <f>'Jul 3'!$AG$21</f>
        <v>0</v>
      </c>
      <c r="L91" s="23">
        <f>'Jul 3'!$N$21</f>
        <v>0</v>
      </c>
    </row>
    <row r="92" spans="1:12" x14ac:dyDescent="0.25">
      <c r="A92" s="66" t="str">
        <f t="shared" si="1"/>
        <v>✓</v>
      </c>
      <c r="B92" s="67">
        <v>46206</v>
      </c>
      <c r="C92" s="23">
        <f>'Jul 3'!$D$22</f>
        <v>0</v>
      </c>
      <c r="D92" s="23">
        <f>'Jul 3'!$B$22</f>
        <v>0</v>
      </c>
      <c r="E92" s="64">
        <f>'Jul 3'!$E$22</f>
        <v>0</v>
      </c>
      <c r="F92" s="23">
        <f>'Jul 3'!$A$22</f>
        <v>0</v>
      </c>
      <c r="G92" s="64">
        <f>'Jul 3'!$F$22</f>
        <v>0</v>
      </c>
      <c r="H92" s="64">
        <f>'Jul 3'!$G$22</f>
        <v>0</v>
      </c>
      <c r="I92" s="64" t="str">
        <f>'Jul 3'!$M$22</f>
        <v/>
      </c>
      <c r="J92" s="25" t="str">
        <f>'Jul 3'!$S$22</f>
        <v/>
      </c>
      <c r="K92" s="23">
        <f>'Jul 3'!$AG$22</f>
        <v>0</v>
      </c>
      <c r="L92" s="23">
        <f>'Jul 3'!$N$22</f>
        <v>0</v>
      </c>
    </row>
    <row r="93" spans="1:12" x14ac:dyDescent="0.25">
      <c r="A93" s="66" t="str">
        <f t="shared" si="1"/>
        <v>✓</v>
      </c>
      <c r="B93" s="67">
        <v>46206</v>
      </c>
      <c r="C93" s="23">
        <f>'Jul 3'!$D$23</f>
        <v>0</v>
      </c>
      <c r="D93" s="23">
        <f>'Jul 3'!$B$23</f>
        <v>0</v>
      </c>
      <c r="E93" s="64">
        <f>'Jul 3'!$E$23</f>
        <v>0</v>
      </c>
      <c r="F93" s="23">
        <f>'Jul 3'!$A$23</f>
        <v>0</v>
      </c>
      <c r="G93" s="64">
        <f>'Jul 3'!$F$23</f>
        <v>0</v>
      </c>
      <c r="H93" s="64">
        <f>'Jul 3'!$G$23</f>
        <v>0</v>
      </c>
      <c r="I93" s="64" t="str">
        <f>'Jul 3'!$M$23</f>
        <v/>
      </c>
      <c r="J93" s="25" t="str">
        <f>'Jul 3'!$S$23</f>
        <v/>
      </c>
      <c r="K93" s="23">
        <f>'Jul 3'!$AG$23</f>
        <v>0</v>
      </c>
      <c r="L93" s="23">
        <f>'Jul 3'!$N$23</f>
        <v>0</v>
      </c>
    </row>
    <row r="94" spans="1:12" x14ac:dyDescent="0.25">
      <c r="A94" s="66" t="str">
        <f t="shared" si="1"/>
        <v>✓</v>
      </c>
      <c r="B94" s="67">
        <v>46206</v>
      </c>
      <c r="C94" s="23">
        <f>'Jul 3'!$D$24</f>
        <v>0</v>
      </c>
      <c r="D94" s="23">
        <f>'Jul 3'!$B$24</f>
        <v>0</v>
      </c>
      <c r="E94" s="64">
        <f>'Jul 3'!$E$24</f>
        <v>0</v>
      </c>
      <c r="F94" s="23">
        <f>'Jul 3'!$A$24</f>
        <v>0</v>
      </c>
      <c r="G94" s="64">
        <f>'Jul 3'!$F$24</f>
        <v>0</v>
      </c>
      <c r="H94" s="64">
        <f>'Jul 3'!$G$24</f>
        <v>0</v>
      </c>
      <c r="I94" s="64" t="str">
        <f>'Jul 3'!$M$24</f>
        <v/>
      </c>
      <c r="J94" s="25" t="str">
        <f>'Jul 3'!$S$24</f>
        <v/>
      </c>
      <c r="K94" s="23">
        <f>'Jul 3'!$AG$24</f>
        <v>0</v>
      </c>
      <c r="L94" s="23">
        <f>'Jul 3'!$N$24</f>
        <v>0</v>
      </c>
    </row>
    <row r="95" spans="1:12" x14ac:dyDescent="0.25">
      <c r="A95" s="66" t="str">
        <f t="shared" si="1"/>
        <v>✓</v>
      </c>
      <c r="B95" s="67">
        <v>46206</v>
      </c>
      <c r="C95" s="23">
        <f>'Jul 3'!$D$25</f>
        <v>0</v>
      </c>
      <c r="D95" s="23">
        <f>'Jul 3'!$B$25</f>
        <v>0</v>
      </c>
      <c r="E95" s="64">
        <f>'Jul 3'!$E$25</f>
        <v>0</v>
      </c>
      <c r="F95" s="23">
        <f>'Jul 3'!$A$25</f>
        <v>0</v>
      </c>
      <c r="G95" s="64">
        <f>'Jul 3'!$F$25</f>
        <v>0</v>
      </c>
      <c r="H95" s="64">
        <f>'Jul 3'!$G$25</f>
        <v>0</v>
      </c>
      <c r="I95" s="64" t="str">
        <f>'Jul 3'!$M$25</f>
        <v/>
      </c>
      <c r="J95" s="25" t="str">
        <f>'Jul 3'!$S$25</f>
        <v/>
      </c>
      <c r="K95" s="23">
        <f>'Jul 3'!$AG$25</f>
        <v>0</v>
      </c>
      <c r="L95" s="23">
        <f>'Jul 3'!$N$25</f>
        <v>0</v>
      </c>
    </row>
    <row r="96" spans="1:12" x14ac:dyDescent="0.25">
      <c r="A96" s="66" t="str">
        <f t="shared" si="1"/>
        <v>✓</v>
      </c>
      <c r="B96" s="67">
        <v>46206</v>
      </c>
      <c r="C96" s="23">
        <f>'Jul 3'!$D$26</f>
        <v>0</v>
      </c>
      <c r="D96" s="23">
        <f>'Jul 3'!$B$26</f>
        <v>0</v>
      </c>
      <c r="E96" s="64">
        <f>'Jul 3'!$E$26</f>
        <v>0</v>
      </c>
      <c r="F96" s="23">
        <f>'Jul 3'!$A$26</f>
        <v>0</v>
      </c>
      <c r="G96" s="64">
        <f>'Jul 3'!$F$26</f>
        <v>0</v>
      </c>
      <c r="H96" s="64">
        <f>'Jul 3'!$G$26</f>
        <v>0</v>
      </c>
      <c r="I96" s="64" t="str">
        <f>'Jul 3'!$M$26</f>
        <v/>
      </c>
      <c r="J96" s="25" t="str">
        <f>'Jul 3'!$S$26</f>
        <v/>
      </c>
      <c r="K96" s="23">
        <f>'Jul 3'!$AG$26</f>
        <v>0</v>
      </c>
      <c r="L96" s="23">
        <f>'Jul 3'!$N$26</f>
        <v>0</v>
      </c>
    </row>
    <row r="97" spans="1:12" x14ac:dyDescent="0.25">
      <c r="A97" s="66" t="str">
        <f t="shared" si="1"/>
        <v>✓</v>
      </c>
      <c r="B97" s="67">
        <v>46206</v>
      </c>
      <c r="C97" s="23">
        <f>'Jul 3'!$D$27</f>
        <v>0</v>
      </c>
      <c r="D97" s="23">
        <f>'Jul 3'!$B$27</f>
        <v>0</v>
      </c>
      <c r="E97" s="64">
        <f>'Jul 3'!$E$27</f>
        <v>0</v>
      </c>
      <c r="F97" s="23">
        <f>'Jul 3'!$A$27</f>
        <v>0</v>
      </c>
      <c r="G97" s="64">
        <f>'Jul 3'!$F$27</f>
        <v>0</v>
      </c>
      <c r="H97" s="64">
        <f>'Jul 3'!$G$27</f>
        <v>0</v>
      </c>
      <c r="I97" s="64" t="str">
        <f>'Jul 3'!$M$27</f>
        <v/>
      </c>
      <c r="J97" s="25" t="str">
        <f>'Jul 3'!$S$27</f>
        <v/>
      </c>
      <c r="K97" s="23">
        <f>'Jul 3'!$AG$27</f>
        <v>0</v>
      </c>
      <c r="L97" s="23">
        <f>'Jul 3'!$N$27</f>
        <v>0</v>
      </c>
    </row>
    <row r="98" spans="1:12" x14ac:dyDescent="0.25">
      <c r="A98" s="66" t="str">
        <f t="shared" si="1"/>
        <v>✓</v>
      </c>
      <c r="B98" s="67">
        <v>46206</v>
      </c>
      <c r="C98" s="23">
        <f>'Jul 3'!$D$28</f>
        <v>0</v>
      </c>
      <c r="D98" s="23">
        <f>'Jul 3'!$B$28</f>
        <v>0</v>
      </c>
      <c r="E98" s="64">
        <f>'Jul 3'!$E$28</f>
        <v>0</v>
      </c>
      <c r="F98" s="23">
        <f>'Jul 3'!$A$28</f>
        <v>0</v>
      </c>
      <c r="G98" s="64">
        <f>'Jul 3'!$F$28</f>
        <v>0</v>
      </c>
      <c r="H98" s="64">
        <f>'Jul 3'!$G$28</f>
        <v>0</v>
      </c>
      <c r="I98" s="64" t="str">
        <f>'Jul 3'!$M$28</f>
        <v/>
      </c>
      <c r="J98" s="25" t="str">
        <f>'Jul 3'!$S$28</f>
        <v/>
      </c>
      <c r="K98" s="23">
        <f>'Jul 3'!$AG$28</f>
        <v>0</v>
      </c>
      <c r="L98" s="23">
        <f>'Jul 3'!$N$28</f>
        <v>0</v>
      </c>
    </row>
    <row r="99" spans="1:12" x14ac:dyDescent="0.25">
      <c r="A99" s="66" t="str">
        <f t="shared" si="1"/>
        <v>✓</v>
      </c>
      <c r="B99" s="67">
        <v>46206</v>
      </c>
      <c r="C99" s="23">
        <f>'Jul 3'!$D$29</f>
        <v>0</v>
      </c>
      <c r="D99" s="23">
        <f>'Jul 3'!$B$29</f>
        <v>0</v>
      </c>
      <c r="E99" s="64">
        <f>'Jul 3'!$E$29</f>
        <v>0</v>
      </c>
      <c r="F99" s="23">
        <f>'Jul 3'!$A$29</f>
        <v>0</v>
      </c>
      <c r="G99" s="64">
        <f>'Jul 3'!$F$29</f>
        <v>0</v>
      </c>
      <c r="H99" s="64">
        <f>'Jul 3'!$G$29</f>
        <v>0</v>
      </c>
      <c r="I99" s="64" t="str">
        <f>'Jul 3'!$M$29</f>
        <v/>
      </c>
      <c r="J99" s="25" t="str">
        <f>'Jul 3'!$S$29</f>
        <v/>
      </c>
      <c r="K99" s="23">
        <f>'Jul 3'!$AG$29</f>
        <v>0</v>
      </c>
      <c r="L99" s="23">
        <f>'Jul 3'!$N$29</f>
        <v>0</v>
      </c>
    </row>
    <row r="100" spans="1:12" x14ac:dyDescent="0.25">
      <c r="A100" s="66" t="str">
        <f t="shared" si="1"/>
        <v>✓</v>
      </c>
      <c r="B100" s="67">
        <v>46206</v>
      </c>
      <c r="C100" s="23">
        <f>'Jul 3'!$D$30</f>
        <v>0</v>
      </c>
      <c r="D100" s="23">
        <f>'Jul 3'!$B$30</f>
        <v>0</v>
      </c>
      <c r="E100" s="64">
        <f>'Jul 3'!$E$30</f>
        <v>0</v>
      </c>
      <c r="F100" s="23">
        <f>'Jul 3'!$A$30</f>
        <v>0</v>
      </c>
      <c r="G100" s="64">
        <f>'Jul 3'!$F$30</f>
        <v>0</v>
      </c>
      <c r="H100" s="64">
        <f>'Jul 3'!$G$30</f>
        <v>0</v>
      </c>
      <c r="I100" s="64" t="str">
        <f>'Jul 3'!$M$30</f>
        <v/>
      </c>
      <c r="J100" s="25" t="str">
        <f>'Jul 3'!$S$30</f>
        <v/>
      </c>
      <c r="K100" s="23">
        <f>'Jul 3'!$AG$30</f>
        <v>0</v>
      </c>
      <c r="L100" s="23">
        <f>'Jul 3'!$N$30</f>
        <v>0</v>
      </c>
    </row>
    <row r="101" spans="1:12" x14ac:dyDescent="0.25">
      <c r="A101" s="66" t="str">
        <f t="shared" si="1"/>
        <v>✓</v>
      </c>
      <c r="B101" s="67">
        <v>46206</v>
      </c>
      <c r="C101" s="23">
        <f>'Jul 3'!$D$31</f>
        <v>0</v>
      </c>
      <c r="D101" s="23">
        <f>'Jul 3'!$B$31</f>
        <v>0</v>
      </c>
      <c r="E101" s="64">
        <f>'Jul 3'!$E$31</f>
        <v>0</v>
      </c>
      <c r="F101" s="23">
        <f>'Jul 3'!$A$31</f>
        <v>0</v>
      </c>
      <c r="G101" s="64">
        <f>'Jul 3'!$F$31</f>
        <v>0</v>
      </c>
      <c r="H101" s="64">
        <f>'Jul 3'!$G$31</f>
        <v>0</v>
      </c>
      <c r="I101" s="64" t="str">
        <f>'Jul 3'!$M$31</f>
        <v/>
      </c>
      <c r="J101" s="25" t="str">
        <f>'Jul 3'!$S$31</f>
        <v/>
      </c>
      <c r="K101" s="23">
        <f>'Jul 3'!$AG$31</f>
        <v>0</v>
      </c>
      <c r="L101" s="23">
        <f>'Jul 3'!$N$31</f>
        <v>0</v>
      </c>
    </row>
    <row r="102" spans="1:12" x14ac:dyDescent="0.25">
      <c r="A102" s="66" t="str">
        <f t="shared" si="1"/>
        <v>✓</v>
      </c>
      <c r="B102" s="67">
        <v>46206</v>
      </c>
      <c r="C102" s="23">
        <f>'Jul 3'!$D$32</f>
        <v>0</v>
      </c>
      <c r="D102" s="23">
        <f>'Jul 3'!$B$32</f>
        <v>0</v>
      </c>
      <c r="E102" s="64">
        <f>'Jul 3'!$E$32</f>
        <v>0</v>
      </c>
      <c r="F102" s="23">
        <f>'Jul 3'!$A$32</f>
        <v>0</v>
      </c>
      <c r="G102" s="64">
        <f>'Jul 3'!$F$32</f>
        <v>0</v>
      </c>
      <c r="H102" s="64">
        <f>'Jul 3'!$G$32</f>
        <v>0</v>
      </c>
      <c r="I102" s="64" t="str">
        <f>'Jul 3'!$M$32</f>
        <v/>
      </c>
      <c r="J102" s="25" t="str">
        <f>'Jul 3'!$S$32</f>
        <v/>
      </c>
      <c r="K102" s="23">
        <f>'Jul 3'!$AG$32</f>
        <v>0</v>
      </c>
      <c r="L102" s="23">
        <f>'Jul 3'!$N$32</f>
        <v>0</v>
      </c>
    </row>
    <row r="103" spans="1:12" x14ac:dyDescent="0.25">
      <c r="A103" s="66" t="str">
        <f t="shared" si="1"/>
        <v>✓</v>
      </c>
      <c r="B103" s="67">
        <v>46206</v>
      </c>
      <c r="C103" s="23">
        <f>'Jul 3'!$D$33</f>
        <v>0</v>
      </c>
      <c r="D103" s="23">
        <f>'Jul 3'!$B$33</f>
        <v>0</v>
      </c>
      <c r="E103" s="64">
        <f>'Jul 3'!$E$33</f>
        <v>0</v>
      </c>
      <c r="F103" s="23">
        <f>'Jul 3'!$A$33</f>
        <v>0</v>
      </c>
      <c r="G103" s="64">
        <f>'Jul 3'!$F$33</f>
        <v>0</v>
      </c>
      <c r="H103" s="64">
        <f>'Jul 3'!$G$33</f>
        <v>0</v>
      </c>
      <c r="I103" s="64" t="str">
        <f>'Jul 3'!$M$33</f>
        <v/>
      </c>
      <c r="J103" s="25" t="str">
        <f>'Jul 3'!$S$33</f>
        <v/>
      </c>
      <c r="K103" s="23">
        <f>'Jul 3'!$AG$33</f>
        <v>0</v>
      </c>
      <c r="L103" s="23">
        <f>'Jul 3'!$N$33</f>
        <v>0</v>
      </c>
    </row>
    <row r="104" spans="1:12" x14ac:dyDescent="0.25">
      <c r="A104" s="66" t="str">
        <f t="shared" si="1"/>
        <v>✓</v>
      </c>
      <c r="B104" s="67">
        <v>46206</v>
      </c>
      <c r="C104" s="23">
        <f>'Jul 3'!$D$34</f>
        <v>0</v>
      </c>
      <c r="D104" s="23">
        <f>'Jul 3'!$B$34</f>
        <v>0</v>
      </c>
      <c r="E104" s="64">
        <f>'Jul 3'!$E$34</f>
        <v>0</v>
      </c>
      <c r="F104" s="23">
        <f>'Jul 3'!$A$34</f>
        <v>0</v>
      </c>
      <c r="G104" s="64">
        <f>'Jul 3'!$F$34</f>
        <v>0</v>
      </c>
      <c r="H104" s="64">
        <f>'Jul 3'!$G$34</f>
        <v>0</v>
      </c>
      <c r="I104" s="64" t="str">
        <f>'Jul 3'!$M$34</f>
        <v/>
      </c>
      <c r="J104" s="25" t="str">
        <f>'Jul 3'!$S$34</f>
        <v/>
      </c>
      <c r="K104" s="23">
        <f>'Jul 3'!$AG$34</f>
        <v>0</v>
      </c>
      <c r="L104" s="23">
        <f>'Jul 3'!$N$34</f>
        <v>0</v>
      </c>
    </row>
    <row r="105" spans="1:12" x14ac:dyDescent="0.25">
      <c r="A105" s="66" t="str">
        <f t="shared" si="1"/>
        <v>✓</v>
      </c>
      <c r="B105" s="67">
        <v>46206</v>
      </c>
      <c r="C105" s="23">
        <f>'Jul 3'!$D$35</f>
        <v>0</v>
      </c>
      <c r="D105" s="23">
        <f>'Jul 3'!$B$35</f>
        <v>0</v>
      </c>
      <c r="E105" s="64">
        <f>'Jul 3'!$E$35</f>
        <v>0</v>
      </c>
      <c r="F105" s="23">
        <f>'Jul 3'!$A$35</f>
        <v>0</v>
      </c>
      <c r="G105" s="64">
        <f>'Jul 3'!$F$35</f>
        <v>0</v>
      </c>
      <c r="H105" s="64">
        <f>'Jul 3'!$G$35</f>
        <v>0</v>
      </c>
      <c r="I105" s="64" t="str">
        <f>'Jul 3'!$M$35</f>
        <v/>
      </c>
      <c r="J105" s="25" t="str">
        <f>'Jul 3'!$S$35</f>
        <v/>
      </c>
      <c r="K105" s="23">
        <f>'Jul 3'!$AG$35</f>
        <v>0</v>
      </c>
      <c r="L105" s="23">
        <f>'Jul 3'!$N$35</f>
        <v>0</v>
      </c>
    </row>
    <row r="106" spans="1:12" x14ac:dyDescent="0.25">
      <c r="A106" s="66" t="str">
        <f t="shared" si="1"/>
        <v>✓</v>
      </c>
      <c r="B106" s="67">
        <v>46206</v>
      </c>
      <c r="C106" s="23">
        <f>'Jul 3'!$D$36</f>
        <v>0</v>
      </c>
      <c r="D106" s="23">
        <f>'Jul 3'!$B$36</f>
        <v>0</v>
      </c>
      <c r="E106" s="64">
        <f>'Jul 3'!$E$36</f>
        <v>0</v>
      </c>
      <c r="F106" s="23">
        <f>'Jul 3'!$A$36</f>
        <v>0</v>
      </c>
      <c r="G106" s="64">
        <f>'Jul 3'!$F$36</f>
        <v>0</v>
      </c>
      <c r="H106" s="64">
        <f>'Jul 3'!$G$36</f>
        <v>0</v>
      </c>
      <c r="I106" s="64" t="str">
        <f>'Jul 3'!$M$36</f>
        <v/>
      </c>
      <c r="J106" s="25" t="str">
        <f>'Jul 3'!$S$36</f>
        <v/>
      </c>
      <c r="K106" s="23">
        <f>'Jul 3'!$AG$36</f>
        <v>0</v>
      </c>
      <c r="L106" s="23">
        <f>'Jul 3'!$N$36</f>
        <v>0</v>
      </c>
    </row>
    <row r="107" spans="1:12" x14ac:dyDescent="0.25">
      <c r="A107" s="66" t="str">
        <f t="shared" si="1"/>
        <v>✓</v>
      </c>
      <c r="B107" s="67">
        <v>46206</v>
      </c>
      <c r="C107" s="23">
        <f>'Jul 3'!$D$37</f>
        <v>0</v>
      </c>
      <c r="D107" s="23">
        <f>'Jul 3'!$B$37</f>
        <v>0</v>
      </c>
      <c r="E107" s="64">
        <f>'Jul 3'!$E$37</f>
        <v>0</v>
      </c>
      <c r="F107" s="23">
        <f>'Jul 3'!$A$37</f>
        <v>0</v>
      </c>
      <c r="G107" s="64">
        <f>'Jul 3'!$F$37</f>
        <v>0</v>
      </c>
      <c r="H107" s="64">
        <f>'Jul 3'!$G$37</f>
        <v>0</v>
      </c>
      <c r="I107" s="64" t="str">
        <f>'Jul 3'!$M$37</f>
        <v/>
      </c>
      <c r="J107" s="25" t="str">
        <f>'Jul 3'!$S$37</f>
        <v/>
      </c>
      <c r="K107" s="23">
        <f>'Jul 3'!$AG$37</f>
        <v>0</v>
      </c>
      <c r="L107" s="23">
        <f>'Jul 3'!$N$37</f>
        <v>0</v>
      </c>
    </row>
    <row r="108" spans="1:12" x14ac:dyDescent="0.25">
      <c r="A108" s="66" t="str">
        <f t="shared" si="1"/>
        <v>✓</v>
      </c>
      <c r="B108" s="67">
        <v>46206</v>
      </c>
      <c r="C108" s="23">
        <f>'Jul 3'!$D$38</f>
        <v>0</v>
      </c>
      <c r="D108" s="23">
        <f>'Jul 3'!$B$38</f>
        <v>0</v>
      </c>
      <c r="E108" s="64">
        <f>'Jul 3'!$E$38</f>
        <v>0</v>
      </c>
      <c r="F108" s="23">
        <f>'Jul 3'!$A$38</f>
        <v>0</v>
      </c>
      <c r="G108" s="64">
        <f>'Jul 3'!$F$38</f>
        <v>0</v>
      </c>
      <c r="H108" s="64">
        <f>'Jul 3'!$G$38</f>
        <v>0</v>
      </c>
      <c r="I108" s="64" t="str">
        <f>'Jul 3'!$M$38</f>
        <v/>
      </c>
      <c r="J108" s="25" t="str">
        <f>'Jul 3'!$S$38</f>
        <v/>
      </c>
      <c r="K108" s="23">
        <f>'Jul 3'!$AG$38</f>
        <v>0</v>
      </c>
      <c r="L108" s="23">
        <f>'Jul 3'!$N$38</f>
        <v>0</v>
      </c>
    </row>
    <row r="109" spans="1:12" x14ac:dyDescent="0.25">
      <c r="A109" s="66" t="str">
        <f t="shared" si="1"/>
        <v>✓</v>
      </c>
      <c r="B109" s="67">
        <v>46206</v>
      </c>
      <c r="C109" s="23">
        <f>'Jul 3'!$D$39</f>
        <v>0</v>
      </c>
      <c r="D109" s="23">
        <f>'Jul 3'!$B$39</f>
        <v>0</v>
      </c>
      <c r="E109" s="64">
        <f>'Jul 3'!$E$39</f>
        <v>0</v>
      </c>
      <c r="F109" s="23">
        <f>'Jul 3'!$A$39</f>
        <v>0</v>
      </c>
      <c r="G109" s="64">
        <f>'Jul 3'!$F$39</f>
        <v>0</v>
      </c>
      <c r="H109" s="64">
        <f>'Jul 3'!$G$39</f>
        <v>0</v>
      </c>
      <c r="I109" s="64" t="str">
        <f>'Jul 3'!$M$39</f>
        <v/>
      </c>
      <c r="J109" s="25" t="str">
        <f>'Jul 3'!$S$39</f>
        <v/>
      </c>
      <c r="K109" s="23">
        <f>'Jul 3'!$AG$39</f>
        <v>0</v>
      </c>
      <c r="L109" s="23">
        <f>'Jul 3'!$N$39</f>
        <v>0</v>
      </c>
    </row>
    <row r="110" spans="1:12" x14ac:dyDescent="0.25">
      <c r="A110" s="66" t="str">
        <f t="shared" si="1"/>
        <v>✓</v>
      </c>
      <c r="B110" s="67">
        <v>46206</v>
      </c>
      <c r="C110" s="23">
        <f>'Jul 3'!$D$40</f>
        <v>0</v>
      </c>
      <c r="D110" s="23">
        <f>'Jul 3'!$B$40</f>
        <v>0</v>
      </c>
      <c r="E110" s="64">
        <f>'Jul 3'!$E$40</f>
        <v>0</v>
      </c>
      <c r="F110" s="23">
        <f>'Jul 3'!$A$40</f>
        <v>0</v>
      </c>
      <c r="G110" s="64">
        <f>'Jul 3'!$F$40</f>
        <v>0</v>
      </c>
      <c r="H110" s="64">
        <f>'Jul 3'!$G$40</f>
        <v>0</v>
      </c>
      <c r="I110" s="64" t="str">
        <f>'Jul 3'!$M$40</f>
        <v/>
      </c>
      <c r="J110" s="25" t="str">
        <f>'Jul 3'!$S$40</f>
        <v/>
      </c>
      <c r="K110" s="23">
        <f>'Jul 3'!$AG$40</f>
        <v>0</v>
      </c>
      <c r="L110" s="23">
        <f>'Jul 3'!$N$40</f>
        <v>0</v>
      </c>
    </row>
    <row r="111" spans="1:12" x14ac:dyDescent="0.25">
      <c r="A111" s="66" t="str">
        <f t="shared" si="1"/>
        <v>✓</v>
      </c>
      <c r="B111" s="67">
        <v>46206</v>
      </c>
      <c r="C111" s="23">
        <f>'Jul 3'!$D$41</f>
        <v>0</v>
      </c>
      <c r="D111" s="23">
        <f>'Jul 3'!$B$41</f>
        <v>0</v>
      </c>
      <c r="E111" s="64">
        <f>'Jul 3'!$E$41</f>
        <v>0</v>
      </c>
      <c r="F111" s="23">
        <f>'Jul 3'!$A$41</f>
        <v>0</v>
      </c>
      <c r="G111" s="64">
        <f>'Jul 3'!$F$41</f>
        <v>0</v>
      </c>
      <c r="H111" s="64">
        <f>'Jul 3'!$G$41</f>
        <v>0</v>
      </c>
      <c r="I111" s="64" t="str">
        <f>'Jul 3'!$M$41</f>
        <v/>
      </c>
      <c r="J111" s="25" t="str">
        <f>'Jul 3'!$S$41</f>
        <v/>
      </c>
      <c r="K111" s="23">
        <f>'Jul 3'!$AG$41</f>
        <v>0</v>
      </c>
      <c r="L111" s="23">
        <f>'Jul 3'!$N$41</f>
        <v>0</v>
      </c>
    </row>
    <row r="112" spans="1:12" x14ac:dyDescent="0.25">
      <c r="A112" s="66" t="str">
        <f t="shared" si="1"/>
        <v>✓</v>
      </c>
      <c r="B112" s="67">
        <v>46206</v>
      </c>
      <c r="C112" s="23">
        <f>'Jul 3'!$D$42</f>
        <v>0</v>
      </c>
      <c r="D112" s="23">
        <f>'Jul 3'!$B$42</f>
        <v>0</v>
      </c>
      <c r="E112" s="64">
        <f>'Jul 3'!$E$42</f>
        <v>0</v>
      </c>
      <c r="F112" s="23">
        <f>'Jul 3'!$A$42</f>
        <v>0</v>
      </c>
      <c r="G112" s="64">
        <f>'Jul 3'!$F$42</f>
        <v>0</v>
      </c>
      <c r="H112" s="64">
        <f>'Jul 3'!$G$42</f>
        <v>0</v>
      </c>
      <c r="I112" s="64" t="str">
        <f>'Jul 3'!$M$42</f>
        <v/>
      </c>
      <c r="J112" s="25" t="str">
        <f>'Jul 3'!$S$42</f>
        <v/>
      </c>
      <c r="K112" s="23">
        <f>'Jul 3'!$AG$42</f>
        <v>0</v>
      </c>
      <c r="L112" s="23">
        <f>'Jul 3'!$N$42</f>
        <v>0</v>
      </c>
    </row>
    <row r="113" spans="1:12" x14ac:dyDescent="0.25">
      <c r="A113" s="66" t="str">
        <f t="shared" si="1"/>
        <v>✓</v>
      </c>
      <c r="B113" s="67">
        <v>46207</v>
      </c>
      <c r="C113" s="23">
        <f>'Jul 4'!$D$8</f>
        <v>0</v>
      </c>
      <c r="D113" s="23">
        <f>'Jul 4'!$B$8</f>
        <v>0</v>
      </c>
      <c r="E113" s="64">
        <f>'Jul 4'!$E$8</f>
        <v>0</v>
      </c>
      <c r="F113" s="23">
        <f>'Jul 4'!$A$8</f>
        <v>0</v>
      </c>
      <c r="G113" s="64">
        <f>'Jul 4'!$F$8</f>
        <v>0</v>
      </c>
      <c r="H113" s="64">
        <f>'Jul 4'!$G$8</f>
        <v>0</v>
      </c>
      <c r="I113" s="64" t="str">
        <f>'Jul 4'!$M$8</f>
        <v/>
      </c>
      <c r="J113" s="25" t="str">
        <f>'Jul 4'!$S$8</f>
        <v/>
      </c>
      <c r="K113" s="23">
        <f>'Jul 4'!$AG$8</f>
        <v>0</v>
      </c>
      <c r="L113" s="23">
        <f>'Jul 4'!$N$8</f>
        <v>0</v>
      </c>
    </row>
    <row r="114" spans="1:12" x14ac:dyDescent="0.25">
      <c r="A114" s="66" t="str">
        <f t="shared" si="1"/>
        <v>✓</v>
      </c>
      <c r="B114" s="67">
        <v>46207</v>
      </c>
      <c r="C114" s="23">
        <f>'Jul 4'!$D$9</f>
        <v>0</v>
      </c>
      <c r="D114" s="23">
        <f>'Jul 4'!$B$9</f>
        <v>0</v>
      </c>
      <c r="E114" s="64">
        <f>'Jul 4'!$E$9</f>
        <v>0</v>
      </c>
      <c r="F114" s="23">
        <f>'Jul 4'!$A$9</f>
        <v>0</v>
      </c>
      <c r="G114" s="64">
        <f>'Jul 4'!$F$9</f>
        <v>0</v>
      </c>
      <c r="H114" s="64">
        <f>'Jul 4'!$G$9</f>
        <v>0</v>
      </c>
      <c r="I114" s="64" t="str">
        <f>'Jul 4'!$M$9</f>
        <v/>
      </c>
      <c r="J114" s="25" t="str">
        <f>'Jul 4'!$S$9</f>
        <v/>
      </c>
      <c r="K114" s="23">
        <f>'Jul 4'!$AG$9</f>
        <v>0</v>
      </c>
      <c r="L114" s="23">
        <f>'Jul 4'!$N$9</f>
        <v>0</v>
      </c>
    </row>
    <row r="115" spans="1:12" x14ac:dyDescent="0.25">
      <c r="A115" s="66" t="str">
        <f t="shared" si="1"/>
        <v>✓</v>
      </c>
      <c r="B115" s="67">
        <v>46207</v>
      </c>
      <c r="C115" s="23">
        <f>'Jul 4'!$D$10</f>
        <v>0</v>
      </c>
      <c r="D115" s="23">
        <f>'Jul 4'!$B$10</f>
        <v>0</v>
      </c>
      <c r="E115" s="64">
        <f>'Jul 4'!$E$10</f>
        <v>0</v>
      </c>
      <c r="F115" s="23">
        <f>'Jul 4'!$A$10</f>
        <v>0</v>
      </c>
      <c r="G115" s="64">
        <f>'Jul 4'!$F$10</f>
        <v>0</v>
      </c>
      <c r="H115" s="64">
        <f>'Jul 4'!$G$10</f>
        <v>0</v>
      </c>
      <c r="I115" s="64" t="str">
        <f>'Jul 4'!$M$10</f>
        <v/>
      </c>
      <c r="J115" s="25" t="str">
        <f>'Jul 4'!$S$10</f>
        <v/>
      </c>
      <c r="K115" s="23">
        <f>'Jul 4'!$AG$10</f>
        <v>0</v>
      </c>
      <c r="L115" s="23">
        <f>'Jul 4'!$N$10</f>
        <v>0</v>
      </c>
    </row>
    <row r="116" spans="1:12" x14ac:dyDescent="0.25">
      <c r="A116" s="66" t="str">
        <f t="shared" si="1"/>
        <v>✓</v>
      </c>
      <c r="B116" s="67">
        <v>46207</v>
      </c>
      <c r="C116" s="23">
        <f>'Jul 4'!$D$11</f>
        <v>0</v>
      </c>
      <c r="D116" s="23">
        <f>'Jul 4'!$B$11</f>
        <v>0</v>
      </c>
      <c r="E116" s="64">
        <f>'Jul 4'!$E$11</f>
        <v>0</v>
      </c>
      <c r="F116" s="23">
        <f>'Jul 4'!$A$11</f>
        <v>0</v>
      </c>
      <c r="G116" s="64">
        <f>'Jul 4'!$F$11</f>
        <v>0</v>
      </c>
      <c r="H116" s="64">
        <f>'Jul 4'!$G$11</f>
        <v>0</v>
      </c>
      <c r="I116" s="64" t="str">
        <f>'Jul 4'!$M$11</f>
        <v/>
      </c>
      <c r="J116" s="25" t="str">
        <f>'Jul 4'!$S$11</f>
        <v/>
      </c>
      <c r="K116" s="23">
        <f>'Jul 4'!$AG$11</f>
        <v>0</v>
      </c>
      <c r="L116" s="23">
        <f>'Jul 4'!$N$11</f>
        <v>0</v>
      </c>
    </row>
    <row r="117" spans="1:12" x14ac:dyDescent="0.25">
      <c r="A117" s="66" t="str">
        <f t="shared" si="1"/>
        <v>✓</v>
      </c>
      <c r="B117" s="67">
        <v>46207</v>
      </c>
      <c r="C117" s="23">
        <f>'Jul 4'!$D$12</f>
        <v>0</v>
      </c>
      <c r="D117" s="23">
        <f>'Jul 4'!$B$12</f>
        <v>0</v>
      </c>
      <c r="E117" s="64">
        <f>'Jul 4'!$E$12</f>
        <v>0</v>
      </c>
      <c r="F117" s="23">
        <f>'Jul 4'!$A$12</f>
        <v>0</v>
      </c>
      <c r="G117" s="64">
        <f>'Jul 4'!$F$12</f>
        <v>0</v>
      </c>
      <c r="H117" s="64">
        <f>'Jul 4'!$G$12</f>
        <v>0</v>
      </c>
      <c r="I117" s="64" t="str">
        <f>'Jul 4'!$M$12</f>
        <v/>
      </c>
      <c r="J117" s="25" t="str">
        <f>'Jul 4'!$S$12</f>
        <v/>
      </c>
      <c r="K117" s="23">
        <f>'Jul 4'!$AG$12</f>
        <v>0</v>
      </c>
      <c r="L117" s="23">
        <f>'Jul 4'!$N$12</f>
        <v>0</v>
      </c>
    </row>
    <row r="118" spans="1:12" x14ac:dyDescent="0.25">
      <c r="A118" s="66" t="str">
        <f t="shared" si="1"/>
        <v>✓</v>
      </c>
      <c r="B118" s="67">
        <v>46207</v>
      </c>
      <c r="C118" s="23">
        <f>'Jul 4'!$D$13</f>
        <v>0</v>
      </c>
      <c r="D118" s="23">
        <f>'Jul 4'!$B$13</f>
        <v>0</v>
      </c>
      <c r="E118" s="64">
        <f>'Jul 4'!$E$13</f>
        <v>0</v>
      </c>
      <c r="F118" s="23">
        <f>'Jul 4'!$A$13</f>
        <v>0</v>
      </c>
      <c r="G118" s="64">
        <f>'Jul 4'!$F$13</f>
        <v>0</v>
      </c>
      <c r="H118" s="64">
        <f>'Jul 4'!$G$13</f>
        <v>0</v>
      </c>
      <c r="I118" s="64" t="str">
        <f>'Jul 4'!$M$13</f>
        <v/>
      </c>
      <c r="J118" s="25" t="str">
        <f>'Jul 4'!$S$13</f>
        <v/>
      </c>
      <c r="K118" s="23">
        <f>'Jul 4'!$AG$13</f>
        <v>0</v>
      </c>
      <c r="L118" s="23">
        <f>'Jul 4'!$N$13</f>
        <v>0</v>
      </c>
    </row>
    <row r="119" spans="1:12" x14ac:dyDescent="0.25">
      <c r="A119" s="66" t="str">
        <f t="shared" si="1"/>
        <v>✓</v>
      </c>
      <c r="B119" s="67">
        <v>46207</v>
      </c>
      <c r="C119" s="23">
        <f>'Jul 4'!$D$14</f>
        <v>0</v>
      </c>
      <c r="D119" s="23">
        <f>'Jul 4'!$B$14</f>
        <v>0</v>
      </c>
      <c r="E119" s="64">
        <f>'Jul 4'!$E$14</f>
        <v>0</v>
      </c>
      <c r="F119" s="23">
        <f>'Jul 4'!$A$14</f>
        <v>0</v>
      </c>
      <c r="G119" s="64">
        <f>'Jul 4'!$F$14</f>
        <v>0</v>
      </c>
      <c r="H119" s="64">
        <f>'Jul 4'!$G$14</f>
        <v>0</v>
      </c>
      <c r="I119" s="64" t="str">
        <f>'Jul 4'!$M$14</f>
        <v/>
      </c>
      <c r="J119" s="25" t="str">
        <f>'Jul 4'!$S$14</f>
        <v/>
      </c>
      <c r="K119" s="23">
        <f>'Jul 4'!$AG$14</f>
        <v>0</v>
      </c>
      <c r="L119" s="23">
        <f>'Jul 4'!$N$14</f>
        <v>0</v>
      </c>
    </row>
    <row r="120" spans="1:12" x14ac:dyDescent="0.25">
      <c r="A120" s="66" t="str">
        <f t="shared" si="1"/>
        <v>✓</v>
      </c>
      <c r="B120" s="67">
        <v>46207</v>
      </c>
      <c r="C120" s="23">
        <f>'Jul 4'!$D$15</f>
        <v>0</v>
      </c>
      <c r="D120" s="23">
        <f>'Jul 4'!$B$15</f>
        <v>0</v>
      </c>
      <c r="E120" s="64">
        <f>'Jul 4'!$E$15</f>
        <v>0</v>
      </c>
      <c r="F120" s="23">
        <f>'Jul 4'!$A$15</f>
        <v>0</v>
      </c>
      <c r="G120" s="64">
        <f>'Jul 4'!$F$15</f>
        <v>0</v>
      </c>
      <c r="H120" s="64">
        <f>'Jul 4'!$G$15</f>
        <v>0</v>
      </c>
      <c r="I120" s="64" t="str">
        <f>'Jul 4'!$M$15</f>
        <v/>
      </c>
      <c r="J120" s="25" t="str">
        <f>'Jul 4'!$S$15</f>
        <v/>
      </c>
      <c r="K120" s="23">
        <f>'Jul 4'!$AG$15</f>
        <v>0</v>
      </c>
      <c r="L120" s="23">
        <f>'Jul 4'!$N$15</f>
        <v>0</v>
      </c>
    </row>
    <row r="121" spans="1:12" x14ac:dyDescent="0.25">
      <c r="A121" s="66" t="str">
        <f t="shared" si="1"/>
        <v>✓</v>
      </c>
      <c r="B121" s="67">
        <v>46207</v>
      </c>
      <c r="C121" s="23">
        <f>'Jul 4'!$D$16</f>
        <v>0</v>
      </c>
      <c r="D121" s="23">
        <f>'Jul 4'!$B$16</f>
        <v>0</v>
      </c>
      <c r="E121" s="64">
        <f>'Jul 4'!$E$16</f>
        <v>0</v>
      </c>
      <c r="F121" s="23">
        <f>'Jul 4'!$A$16</f>
        <v>0</v>
      </c>
      <c r="G121" s="64">
        <f>'Jul 4'!$F$16</f>
        <v>0</v>
      </c>
      <c r="H121" s="64">
        <f>'Jul 4'!$G$16</f>
        <v>0</v>
      </c>
      <c r="I121" s="64" t="str">
        <f>'Jul 4'!$M$16</f>
        <v/>
      </c>
      <c r="J121" s="25" t="str">
        <f>'Jul 4'!$S$16</f>
        <v/>
      </c>
      <c r="K121" s="23">
        <f>'Jul 4'!$AG$16</f>
        <v>0</v>
      </c>
      <c r="L121" s="23">
        <f>'Jul 4'!$N$16</f>
        <v>0</v>
      </c>
    </row>
    <row r="122" spans="1:12" x14ac:dyDescent="0.25">
      <c r="A122" s="66" t="str">
        <f t="shared" si="1"/>
        <v>✓</v>
      </c>
      <c r="B122" s="67">
        <v>46207</v>
      </c>
      <c r="C122" s="23">
        <f>'Jul 4'!$D$17</f>
        <v>0</v>
      </c>
      <c r="D122" s="23">
        <f>'Jul 4'!$B$17</f>
        <v>0</v>
      </c>
      <c r="E122" s="64">
        <f>'Jul 4'!$E$17</f>
        <v>0</v>
      </c>
      <c r="F122" s="23">
        <f>'Jul 4'!$A$17</f>
        <v>0</v>
      </c>
      <c r="G122" s="64">
        <f>'Jul 4'!$F$17</f>
        <v>0</v>
      </c>
      <c r="H122" s="64">
        <f>'Jul 4'!$G$17</f>
        <v>0</v>
      </c>
      <c r="I122" s="64" t="str">
        <f>'Jul 4'!$M$17</f>
        <v/>
      </c>
      <c r="J122" s="25" t="str">
        <f>'Jul 4'!$S$17</f>
        <v/>
      </c>
      <c r="K122" s="23">
        <f>'Jul 4'!$AG$17</f>
        <v>0</v>
      </c>
      <c r="L122" s="23">
        <f>'Jul 4'!$N$17</f>
        <v>0</v>
      </c>
    </row>
    <row r="123" spans="1:12" x14ac:dyDescent="0.25">
      <c r="A123" s="66" t="str">
        <f t="shared" si="1"/>
        <v>✓</v>
      </c>
      <c r="B123" s="67">
        <v>46207</v>
      </c>
      <c r="C123" s="23">
        <f>'Jul 4'!$D$18</f>
        <v>0</v>
      </c>
      <c r="D123" s="23">
        <f>'Jul 4'!$B$18</f>
        <v>0</v>
      </c>
      <c r="E123" s="64">
        <f>'Jul 4'!$E$18</f>
        <v>0</v>
      </c>
      <c r="F123" s="23">
        <f>'Jul 4'!$A$18</f>
        <v>0</v>
      </c>
      <c r="G123" s="64">
        <f>'Jul 4'!$F$18</f>
        <v>0</v>
      </c>
      <c r="H123" s="64">
        <f>'Jul 4'!$G$18</f>
        <v>0</v>
      </c>
      <c r="I123" s="64" t="str">
        <f>'Jul 4'!$M$18</f>
        <v/>
      </c>
      <c r="J123" s="25" t="str">
        <f>'Jul 4'!$S$18</f>
        <v/>
      </c>
      <c r="K123" s="23">
        <f>'Jul 4'!$AG$18</f>
        <v>0</v>
      </c>
      <c r="L123" s="23">
        <f>'Jul 4'!$N$18</f>
        <v>0</v>
      </c>
    </row>
    <row r="124" spans="1:12" x14ac:dyDescent="0.25">
      <c r="A124" s="66" t="str">
        <f t="shared" si="1"/>
        <v>✓</v>
      </c>
      <c r="B124" s="67">
        <v>46207</v>
      </c>
      <c r="C124" s="23">
        <f>'Jul 4'!$D$19</f>
        <v>0</v>
      </c>
      <c r="D124" s="23">
        <f>'Jul 4'!$B$19</f>
        <v>0</v>
      </c>
      <c r="E124" s="64">
        <f>'Jul 4'!$E$19</f>
        <v>0</v>
      </c>
      <c r="F124" s="23">
        <f>'Jul 4'!$A$19</f>
        <v>0</v>
      </c>
      <c r="G124" s="64">
        <f>'Jul 4'!$F$19</f>
        <v>0</v>
      </c>
      <c r="H124" s="64">
        <f>'Jul 4'!$G$19</f>
        <v>0</v>
      </c>
      <c r="I124" s="64" t="str">
        <f>'Jul 4'!$M$19</f>
        <v/>
      </c>
      <c r="J124" s="25" t="str">
        <f>'Jul 4'!$S$19</f>
        <v/>
      </c>
      <c r="K124" s="23">
        <f>'Jul 4'!$AG$19</f>
        <v>0</v>
      </c>
      <c r="L124" s="23">
        <f>'Jul 4'!$N$19</f>
        <v>0</v>
      </c>
    </row>
    <row r="125" spans="1:12" x14ac:dyDescent="0.25">
      <c r="A125" s="66" t="str">
        <f t="shared" si="1"/>
        <v>✓</v>
      </c>
      <c r="B125" s="67">
        <v>46207</v>
      </c>
      <c r="C125" s="23">
        <f>'Jul 4'!$D$20</f>
        <v>0</v>
      </c>
      <c r="D125" s="23">
        <f>'Jul 4'!$B$20</f>
        <v>0</v>
      </c>
      <c r="E125" s="64">
        <f>'Jul 4'!$E$20</f>
        <v>0</v>
      </c>
      <c r="F125" s="23">
        <f>'Jul 4'!$A$20</f>
        <v>0</v>
      </c>
      <c r="G125" s="64">
        <f>'Jul 4'!$F$20</f>
        <v>0</v>
      </c>
      <c r="H125" s="64">
        <f>'Jul 4'!$G$20</f>
        <v>0</v>
      </c>
      <c r="I125" s="64" t="str">
        <f>'Jul 4'!$M$20</f>
        <v/>
      </c>
      <c r="J125" s="25" t="str">
        <f>'Jul 4'!$S$20</f>
        <v/>
      </c>
      <c r="K125" s="23">
        <f>'Jul 4'!$AG$20</f>
        <v>0</v>
      </c>
      <c r="L125" s="23">
        <f>'Jul 4'!$N$20</f>
        <v>0</v>
      </c>
    </row>
    <row r="126" spans="1:12" x14ac:dyDescent="0.25">
      <c r="A126" s="66" t="str">
        <f t="shared" si="1"/>
        <v>✓</v>
      </c>
      <c r="B126" s="67">
        <v>46207</v>
      </c>
      <c r="C126" s="23">
        <f>'Jul 4'!$D$21</f>
        <v>0</v>
      </c>
      <c r="D126" s="23">
        <f>'Jul 4'!$B$21</f>
        <v>0</v>
      </c>
      <c r="E126" s="64">
        <f>'Jul 4'!$E$21</f>
        <v>0</v>
      </c>
      <c r="F126" s="23">
        <f>'Jul 4'!$A$21</f>
        <v>0</v>
      </c>
      <c r="G126" s="64">
        <f>'Jul 4'!$F$21</f>
        <v>0</v>
      </c>
      <c r="H126" s="64">
        <f>'Jul 4'!$G$21</f>
        <v>0</v>
      </c>
      <c r="I126" s="64" t="str">
        <f>'Jul 4'!$M$21</f>
        <v/>
      </c>
      <c r="J126" s="25" t="str">
        <f>'Jul 4'!$S$21</f>
        <v/>
      </c>
      <c r="K126" s="23">
        <f>'Jul 4'!$AG$21</f>
        <v>0</v>
      </c>
      <c r="L126" s="23">
        <f>'Jul 4'!$N$21</f>
        <v>0</v>
      </c>
    </row>
    <row r="127" spans="1:12" x14ac:dyDescent="0.25">
      <c r="A127" s="66" t="str">
        <f t="shared" si="1"/>
        <v>✓</v>
      </c>
      <c r="B127" s="67">
        <v>46207</v>
      </c>
      <c r="C127" s="23">
        <f>'Jul 4'!$D$22</f>
        <v>0</v>
      </c>
      <c r="D127" s="23">
        <f>'Jul 4'!$B$22</f>
        <v>0</v>
      </c>
      <c r="E127" s="64">
        <f>'Jul 4'!$E$22</f>
        <v>0</v>
      </c>
      <c r="F127" s="23">
        <f>'Jul 4'!$A$22</f>
        <v>0</v>
      </c>
      <c r="G127" s="64">
        <f>'Jul 4'!$F$22</f>
        <v>0</v>
      </c>
      <c r="H127" s="64">
        <f>'Jul 4'!$G$22</f>
        <v>0</v>
      </c>
      <c r="I127" s="64" t="str">
        <f>'Jul 4'!$M$22</f>
        <v/>
      </c>
      <c r="J127" s="25" t="str">
        <f>'Jul 4'!$S$22</f>
        <v/>
      </c>
      <c r="K127" s="23">
        <f>'Jul 4'!$AG$22</f>
        <v>0</v>
      </c>
      <c r="L127" s="23">
        <f>'Jul 4'!$N$22</f>
        <v>0</v>
      </c>
    </row>
    <row r="128" spans="1:12" x14ac:dyDescent="0.25">
      <c r="A128" s="66" t="str">
        <f t="shared" si="1"/>
        <v>✓</v>
      </c>
      <c r="B128" s="67">
        <v>46207</v>
      </c>
      <c r="C128" s="23">
        <f>'Jul 4'!$D$23</f>
        <v>0</v>
      </c>
      <c r="D128" s="23">
        <f>'Jul 4'!$B$23</f>
        <v>0</v>
      </c>
      <c r="E128" s="64">
        <f>'Jul 4'!$E$23</f>
        <v>0</v>
      </c>
      <c r="F128" s="23">
        <f>'Jul 4'!$A$23</f>
        <v>0</v>
      </c>
      <c r="G128" s="64">
        <f>'Jul 4'!$F$23</f>
        <v>0</v>
      </c>
      <c r="H128" s="64">
        <f>'Jul 4'!$G$23</f>
        <v>0</v>
      </c>
      <c r="I128" s="64" t="str">
        <f>'Jul 4'!$M$23</f>
        <v/>
      </c>
      <c r="J128" s="25" t="str">
        <f>'Jul 4'!$S$23</f>
        <v/>
      </c>
      <c r="K128" s="23">
        <f>'Jul 4'!$AG$23</f>
        <v>0</v>
      </c>
      <c r="L128" s="23">
        <f>'Jul 4'!$N$23</f>
        <v>0</v>
      </c>
    </row>
    <row r="129" spans="1:12" x14ac:dyDescent="0.25">
      <c r="A129" s="66" t="str">
        <f t="shared" si="1"/>
        <v>✓</v>
      </c>
      <c r="B129" s="67">
        <v>46207</v>
      </c>
      <c r="C129" s="23">
        <f>'Jul 4'!$D$24</f>
        <v>0</v>
      </c>
      <c r="D129" s="23">
        <f>'Jul 4'!$B$24</f>
        <v>0</v>
      </c>
      <c r="E129" s="64">
        <f>'Jul 4'!$E$24</f>
        <v>0</v>
      </c>
      <c r="F129" s="23">
        <f>'Jul 4'!$A$24</f>
        <v>0</v>
      </c>
      <c r="G129" s="64">
        <f>'Jul 4'!$F$24</f>
        <v>0</v>
      </c>
      <c r="H129" s="64">
        <f>'Jul 4'!$G$24</f>
        <v>0</v>
      </c>
      <c r="I129" s="64" t="str">
        <f>'Jul 4'!$M$24</f>
        <v/>
      </c>
      <c r="J129" s="25" t="str">
        <f>'Jul 4'!$S$24</f>
        <v/>
      </c>
      <c r="K129" s="23">
        <f>'Jul 4'!$AG$24</f>
        <v>0</v>
      </c>
      <c r="L129" s="23">
        <f>'Jul 4'!$N$24</f>
        <v>0</v>
      </c>
    </row>
    <row r="130" spans="1:12" x14ac:dyDescent="0.25">
      <c r="A130" s="66" t="str">
        <f t="shared" si="1"/>
        <v>✓</v>
      </c>
      <c r="B130" s="67">
        <v>46207</v>
      </c>
      <c r="C130" s="23">
        <f>'Jul 4'!$D$25</f>
        <v>0</v>
      </c>
      <c r="D130" s="23">
        <f>'Jul 4'!$B$25</f>
        <v>0</v>
      </c>
      <c r="E130" s="64">
        <f>'Jul 4'!$E$25</f>
        <v>0</v>
      </c>
      <c r="F130" s="23">
        <f>'Jul 4'!$A$25</f>
        <v>0</v>
      </c>
      <c r="G130" s="64">
        <f>'Jul 4'!$F$25</f>
        <v>0</v>
      </c>
      <c r="H130" s="64">
        <f>'Jul 4'!$G$25</f>
        <v>0</v>
      </c>
      <c r="I130" s="64" t="str">
        <f>'Jul 4'!$M$25</f>
        <v/>
      </c>
      <c r="J130" s="25" t="str">
        <f>'Jul 4'!$S$25</f>
        <v/>
      </c>
      <c r="K130" s="23">
        <f>'Jul 4'!$AG$25</f>
        <v>0</v>
      </c>
      <c r="L130" s="23">
        <f>'Jul 4'!$N$25</f>
        <v>0</v>
      </c>
    </row>
    <row r="131" spans="1:12" x14ac:dyDescent="0.25">
      <c r="A131" s="66" t="str">
        <f t="shared" si="1"/>
        <v>✓</v>
      </c>
      <c r="B131" s="67">
        <v>46207</v>
      </c>
      <c r="C131" s="23">
        <f>'Jul 4'!$D$26</f>
        <v>0</v>
      </c>
      <c r="D131" s="23">
        <f>'Jul 4'!$B$26</f>
        <v>0</v>
      </c>
      <c r="E131" s="64">
        <f>'Jul 4'!$E$26</f>
        <v>0</v>
      </c>
      <c r="F131" s="23">
        <f>'Jul 4'!$A$26</f>
        <v>0</v>
      </c>
      <c r="G131" s="64">
        <f>'Jul 4'!$F$26</f>
        <v>0</v>
      </c>
      <c r="H131" s="64">
        <f>'Jul 4'!$G$26</f>
        <v>0</v>
      </c>
      <c r="I131" s="64" t="str">
        <f>'Jul 4'!$M$26</f>
        <v/>
      </c>
      <c r="J131" s="25" t="str">
        <f>'Jul 4'!$S$26</f>
        <v/>
      </c>
      <c r="K131" s="23">
        <f>'Jul 4'!$AG$26</f>
        <v>0</v>
      </c>
      <c r="L131" s="23">
        <f>'Jul 4'!$N$26</f>
        <v>0</v>
      </c>
    </row>
    <row r="132" spans="1:12" x14ac:dyDescent="0.25">
      <c r="A132" s="66" t="str">
        <f t="shared" si="1"/>
        <v>✓</v>
      </c>
      <c r="B132" s="67">
        <v>46207</v>
      </c>
      <c r="C132" s="23">
        <f>'Jul 4'!$D$27</f>
        <v>0</v>
      </c>
      <c r="D132" s="23">
        <f>'Jul 4'!$B$27</f>
        <v>0</v>
      </c>
      <c r="E132" s="64">
        <f>'Jul 4'!$E$27</f>
        <v>0</v>
      </c>
      <c r="F132" s="23">
        <f>'Jul 4'!$A$27</f>
        <v>0</v>
      </c>
      <c r="G132" s="64">
        <f>'Jul 4'!$F$27</f>
        <v>0</v>
      </c>
      <c r="H132" s="64">
        <f>'Jul 4'!$G$27</f>
        <v>0</v>
      </c>
      <c r="I132" s="64" t="str">
        <f>'Jul 4'!$M$27</f>
        <v/>
      </c>
      <c r="J132" s="25" t="str">
        <f>'Jul 4'!$S$27</f>
        <v/>
      </c>
      <c r="K132" s="23">
        <f>'Jul 4'!$AG$27</f>
        <v>0</v>
      </c>
      <c r="L132" s="23">
        <f>'Jul 4'!$N$27</f>
        <v>0</v>
      </c>
    </row>
    <row r="133" spans="1:12" x14ac:dyDescent="0.25">
      <c r="A133" s="66" t="str">
        <f t="shared" si="1"/>
        <v>✓</v>
      </c>
      <c r="B133" s="67">
        <v>46207</v>
      </c>
      <c r="C133" s="23">
        <f>'Jul 4'!$D$28</f>
        <v>0</v>
      </c>
      <c r="D133" s="23">
        <f>'Jul 4'!$B$28</f>
        <v>0</v>
      </c>
      <c r="E133" s="64">
        <f>'Jul 4'!$E$28</f>
        <v>0</v>
      </c>
      <c r="F133" s="23">
        <f>'Jul 4'!$A$28</f>
        <v>0</v>
      </c>
      <c r="G133" s="64">
        <f>'Jul 4'!$F$28</f>
        <v>0</v>
      </c>
      <c r="H133" s="64">
        <f>'Jul 4'!$G$28</f>
        <v>0</v>
      </c>
      <c r="I133" s="64" t="str">
        <f>'Jul 4'!$M$28</f>
        <v/>
      </c>
      <c r="J133" s="25" t="str">
        <f>'Jul 4'!$S$28</f>
        <v/>
      </c>
      <c r="K133" s="23">
        <f>'Jul 4'!$AG$28</f>
        <v>0</v>
      </c>
      <c r="L133" s="23">
        <f>'Jul 4'!$N$28</f>
        <v>0</v>
      </c>
    </row>
    <row r="134" spans="1:12" x14ac:dyDescent="0.25">
      <c r="A134" s="66" t="str">
        <f t="shared" si="1"/>
        <v>✓</v>
      </c>
      <c r="B134" s="67">
        <v>46207</v>
      </c>
      <c r="C134" s="23">
        <f>'Jul 4'!$D$29</f>
        <v>0</v>
      </c>
      <c r="D134" s="23">
        <f>'Jul 4'!$B$29</f>
        <v>0</v>
      </c>
      <c r="E134" s="64">
        <f>'Jul 4'!$E$29</f>
        <v>0</v>
      </c>
      <c r="F134" s="23">
        <f>'Jul 4'!$A$29</f>
        <v>0</v>
      </c>
      <c r="G134" s="64">
        <f>'Jul 4'!$F$29</f>
        <v>0</v>
      </c>
      <c r="H134" s="64">
        <f>'Jul 4'!$G$29</f>
        <v>0</v>
      </c>
      <c r="I134" s="64" t="str">
        <f>'Jul 4'!$M$29</f>
        <v/>
      </c>
      <c r="J134" s="25" t="str">
        <f>'Jul 4'!$S$29</f>
        <v/>
      </c>
      <c r="K134" s="23">
        <f>'Jul 4'!$AG$29</f>
        <v>0</v>
      </c>
      <c r="L134" s="23">
        <f>'Jul 4'!$N$29</f>
        <v>0</v>
      </c>
    </row>
    <row r="135" spans="1:12" x14ac:dyDescent="0.25">
      <c r="A135" s="66" t="str">
        <f t="shared" si="1"/>
        <v>✓</v>
      </c>
      <c r="B135" s="67">
        <v>46207</v>
      </c>
      <c r="C135" s="23">
        <f>'Jul 4'!$D$30</f>
        <v>0</v>
      </c>
      <c r="D135" s="23">
        <f>'Jul 4'!$B$30</f>
        <v>0</v>
      </c>
      <c r="E135" s="64">
        <f>'Jul 4'!$E$30</f>
        <v>0</v>
      </c>
      <c r="F135" s="23">
        <f>'Jul 4'!$A$30</f>
        <v>0</v>
      </c>
      <c r="G135" s="64">
        <f>'Jul 4'!$F$30</f>
        <v>0</v>
      </c>
      <c r="H135" s="64">
        <f>'Jul 4'!$G$30</f>
        <v>0</v>
      </c>
      <c r="I135" s="64" t="str">
        <f>'Jul 4'!$M$30</f>
        <v/>
      </c>
      <c r="J135" s="25" t="str">
        <f>'Jul 4'!$S$30</f>
        <v/>
      </c>
      <c r="K135" s="23">
        <f>'Jul 4'!$AG$30</f>
        <v>0</v>
      </c>
      <c r="L135" s="23">
        <f>'Jul 4'!$N$30</f>
        <v>0</v>
      </c>
    </row>
    <row r="136" spans="1:12" x14ac:dyDescent="0.25">
      <c r="A136" s="66" t="str">
        <f t="shared" ref="A136:A199" si="2">IF(C136="","",IF(AND(OR($B$5="",G136=$B$5,H136=$B$5),OR($D$5="",F136=$D$5),OR($E$5="",K136=$E$5),OR($G$5="",L136=$G$5),OR($H$5="",N(J136)&gt;=$H$5),OR($I$5="",ISNUMBER(SEARCH($I$5,C136&amp;" "&amp;D136&amp;" "&amp;E136&amp;" "&amp;I136)))),"✓",""))</f>
        <v>✓</v>
      </c>
      <c r="B136" s="67">
        <v>46207</v>
      </c>
      <c r="C136" s="23">
        <f>'Jul 4'!$D$31</f>
        <v>0</v>
      </c>
      <c r="D136" s="23">
        <f>'Jul 4'!$B$31</f>
        <v>0</v>
      </c>
      <c r="E136" s="64">
        <f>'Jul 4'!$E$31</f>
        <v>0</v>
      </c>
      <c r="F136" s="23">
        <f>'Jul 4'!$A$31</f>
        <v>0</v>
      </c>
      <c r="G136" s="64">
        <f>'Jul 4'!$F$31</f>
        <v>0</v>
      </c>
      <c r="H136" s="64">
        <f>'Jul 4'!$G$31</f>
        <v>0</v>
      </c>
      <c r="I136" s="64" t="str">
        <f>'Jul 4'!$M$31</f>
        <v/>
      </c>
      <c r="J136" s="25" t="str">
        <f>'Jul 4'!$S$31</f>
        <v/>
      </c>
      <c r="K136" s="23">
        <f>'Jul 4'!$AG$31</f>
        <v>0</v>
      </c>
      <c r="L136" s="23">
        <f>'Jul 4'!$N$31</f>
        <v>0</v>
      </c>
    </row>
    <row r="137" spans="1:12" x14ac:dyDescent="0.25">
      <c r="A137" s="66" t="str">
        <f t="shared" si="2"/>
        <v>✓</v>
      </c>
      <c r="B137" s="67">
        <v>46207</v>
      </c>
      <c r="C137" s="23">
        <f>'Jul 4'!$D$32</f>
        <v>0</v>
      </c>
      <c r="D137" s="23">
        <f>'Jul 4'!$B$32</f>
        <v>0</v>
      </c>
      <c r="E137" s="64">
        <f>'Jul 4'!$E$32</f>
        <v>0</v>
      </c>
      <c r="F137" s="23">
        <f>'Jul 4'!$A$32</f>
        <v>0</v>
      </c>
      <c r="G137" s="64">
        <f>'Jul 4'!$F$32</f>
        <v>0</v>
      </c>
      <c r="H137" s="64">
        <f>'Jul 4'!$G$32</f>
        <v>0</v>
      </c>
      <c r="I137" s="64" t="str">
        <f>'Jul 4'!$M$32</f>
        <v/>
      </c>
      <c r="J137" s="25" t="str">
        <f>'Jul 4'!$S$32</f>
        <v/>
      </c>
      <c r="K137" s="23">
        <f>'Jul 4'!$AG$32</f>
        <v>0</v>
      </c>
      <c r="L137" s="23">
        <f>'Jul 4'!$N$32</f>
        <v>0</v>
      </c>
    </row>
    <row r="138" spans="1:12" x14ac:dyDescent="0.25">
      <c r="A138" s="66" t="str">
        <f t="shared" si="2"/>
        <v>✓</v>
      </c>
      <c r="B138" s="67">
        <v>46207</v>
      </c>
      <c r="C138" s="23">
        <f>'Jul 4'!$D$33</f>
        <v>0</v>
      </c>
      <c r="D138" s="23">
        <f>'Jul 4'!$B$33</f>
        <v>0</v>
      </c>
      <c r="E138" s="64">
        <f>'Jul 4'!$E$33</f>
        <v>0</v>
      </c>
      <c r="F138" s="23">
        <f>'Jul 4'!$A$33</f>
        <v>0</v>
      </c>
      <c r="G138" s="64">
        <f>'Jul 4'!$F$33</f>
        <v>0</v>
      </c>
      <c r="H138" s="64">
        <f>'Jul 4'!$G$33</f>
        <v>0</v>
      </c>
      <c r="I138" s="64" t="str">
        <f>'Jul 4'!$M$33</f>
        <v/>
      </c>
      <c r="J138" s="25" t="str">
        <f>'Jul 4'!$S$33</f>
        <v/>
      </c>
      <c r="K138" s="23">
        <f>'Jul 4'!$AG$33</f>
        <v>0</v>
      </c>
      <c r="L138" s="23">
        <f>'Jul 4'!$N$33</f>
        <v>0</v>
      </c>
    </row>
    <row r="139" spans="1:12" x14ac:dyDescent="0.25">
      <c r="A139" s="66" t="str">
        <f t="shared" si="2"/>
        <v>✓</v>
      </c>
      <c r="B139" s="67">
        <v>46207</v>
      </c>
      <c r="C139" s="23">
        <f>'Jul 4'!$D$34</f>
        <v>0</v>
      </c>
      <c r="D139" s="23">
        <f>'Jul 4'!$B$34</f>
        <v>0</v>
      </c>
      <c r="E139" s="64">
        <f>'Jul 4'!$E$34</f>
        <v>0</v>
      </c>
      <c r="F139" s="23">
        <f>'Jul 4'!$A$34</f>
        <v>0</v>
      </c>
      <c r="G139" s="64">
        <f>'Jul 4'!$F$34</f>
        <v>0</v>
      </c>
      <c r="H139" s="64">
        <f>'Jul 4'!$G$34</f>
        <v>0</v>
      </c>
      <c r="I139" s="64" t="str">
        <f>'Jul 4'!$M$34</f>
        <v/>
      </c>
      <c r="J139" s="25" t="str">
        <f>'Jul 4'!$S$34</f>
        <v/>
      </c>
      <c r="K139" s="23">
        <f>'Jul 4'!$AG$34</f>
        <v>0</v>
      </c>
      <c r="L139" s="23">
        <f>'Jul 4'!$N$34</f>
        <v>0</v>
      </c>
    </row>
    <row r="140" spans="1:12" x14ac:dyDescent="0.25">
      <c r="A140" s="66" t="str">
        <f t="shared" si="2"/>
        <v>✓</v>
      </c>
      <c r="B140" s="67">
        <v>46207</v>
      </c>
      <c r="C140" s="23">
        <f>'Jul 4'!$D$35</f>
        <v>0</v>
      </c>
      <c r="D140" s="23">
        <f>'Jul 4'!$B$35</f>
        <v>0</v>
      </c>
      <c r="E140" s="64">
        <f>'Jul 4'!$E$35</f>
        <v>0</v>
      </c>
      <c r="F140" s="23">
        <f>'Jul 4'!$A$35</f>
        <v>0</v>
      </c>
      <c r="G140" s="64">
        <f>'Jul 4'!$F$35</f>
        <v>0</v>
      </c>
      <c r="H140" s="64">
        <f>'Jul 4'!$G$35</f>
        <v>0</v>
      </c>
      <c r="I140" s="64" t="str">
        <f>'Jul 4'!$M$35</f>
        <v/>
      </c>
      <c r="J140" s="25" t="str">
        <f>'Jul 4'!$S$35</f>
        <v/>
      </c>
      <c r="K140" s="23">
        <f>'Jul 4'!$AG$35</f>
        <v>0</v>
      </c>
      <c r="L140" s="23">
        <f>'Jul 4'!$N$35</f>
        <v>0</v>
      </c>
    </row>
    <row r="141" spans="1:12" x14ac:dyDescent="0.25">
      <c r="A141" s="66" t="str">
        <f t="shared" si="2"/>
        <v>✓</v>
      </c>
      <c r="B141" s="67">
        <v>46207</v>
      </c>
      <c r="C141" s="23">
        <f>'Jul 4'!$D$36</f>
        <v>0</v>
      </c>
      <c r="D141" s="23">
        <f>'Jul 4'!$B$36</f>
        <v>0</v>
      </c>
      <c r="E141" s="64">
        <f>'Jul 4'!$E$36</f>
        <v>0</v>
      </c>
      <c r="F141" s="23">
        <f>'Jul 4'!$A$36</f>
        <v>0</v>
      </c>
      <c r="G141" s="64">
        <f>'Jul 4'!$F$36</f>
        <v>0</v>
      </c>
      <c r="H141" s="64">
        <f>'Jul 4'!$G$36</f>
        <v>0</v>
      </c>
      <c r="I141" s="64" t="str">
        <f>'Jul 4'!$M$36</f>
        <v/>
      </c>
      <c r="J141" s="25" t="str">
        <f>'Jul 4'!$S$36</f>
        <v/>
      </c>
      <c r="K141" s="23">
        <f>'Jul 4'!$AG$36</f>
        <v>0</v>
      </c>
      <c r="L141" s="23">
        <f>'Jul 4'!$N$36</f>
        <v>0</v>
      </c>
    </row>
    <row r="142" spans="1:12" x14ac:dyDescent="0.25">
      <c r="A142" s="66" t="str">
        <f t="shared" si="2"/>
        <v>✓</v>
      </c>
      <c r="B142" s="67">
        <v>46207</v>
      </c>
      <c r="C142" s="23">
        <f>'Jul 4'!$D$37</f>
        <v>0</v>
      </c>
      <c r="D142" s="23">
        <f>'Jul 4'!$B$37</f>
        <v>0</v>
      </c>
      <c r="E142" s="64">
        <f>'Jul 4'!$E$37</f>
        <v>0</v>
      </c>
      <c r="F142" s="23">
        <f>'Jul 4'!$A$37</f>
        <v>0</v>
      </c>
      <c r="G142" s="64">
        <f>'Jul 4'!$F$37</f>
        <v>0</v>
      </c>
      <c r="H142" s="64">
        <f>'Jul 4'!$G$37</f>
        <v>0</v>
      </c>
      <c r="I142" s="64" t="str">
        <f>'Jul 4'!$M$37</f>
        <v/>
      </c>
      <c r="J142" s="25" t="str">
        <f>'Jul 4'!$S$37</f>
        <v/>
      </c>
      <c r="K142" s="23">
        <f>'Jul 4'!$AG$37</f>
        <v>0</v>
      </c>
      <c r="L142" s="23">
        <f>'Jul 4'!$N$37</f>
        <v>0</v>
      </c>
    </row>
    <row r="143" spans="1:12" x14ac:dyDescent="0.25">
      <c r="A143" s="66" t="str">
        <f t="shared" si="2"/>
        <v>✓</v>
      </c>
      <c r="B143" s="67">
        <v>46207</v>
      </c>
      <c r="C143" s="23">
        <f>'Jul 4'!$D$38</f>
        <v>0</v>
      </c>
      <c r="D143" s="23">
        <f>'Jul 4'!$B$38</f>
        <v>0</v>
      </c>
      <c r="E143" s="64">
        <f>'Jul 4'!$E$38</f>
        <v>0</v>
      </c>
      <c r="F143" s="23">
        <f>'Jul 4'!$A$38</f>
        <v>0</v>
      </c>
      <c r="G143" s="64">
        <f>'Jul 4'!$F$38</f>
        <v>0</v>
      </c>
      <c r="H143" s="64">
        <f>'Jul 4'!$G$38</f>
        <v>0</v>
      </c>
      <c r="I143" s="64" t="str">
        <f>'Jul 4'!$M$38</f>
        <v/>
      </c>
      <c r="J143" s="25" t="str">
        <f>'Jul 4'!$S$38</f>
        <v/>
      </c>
      <c r="K143" s="23">
        <f>'Jul 4'!$AG$38</f>
        <v>0</v>
      </c>
      <c r="L143" s="23">
        <f>'Jul 4'!$N$38</f>
        <v>0</v>
      </c>
    </row>
    <row r="144" spans="1:12" x14ac:dyDescent="0.25">
      <c r="A144" s="66" t="str">
        <f t="shared" si="2"/>
        <v>✓</v>
      </c>
      <c r="B144" s="67">
        <v>46207</v>
      </c>
      <c r="C144" s="23">
        <f>'Jul 4'!$D$39</f>
        <v>0</v>
      </c>
      <c r="D144" s="23">
        <f>'Jul 4'!$B$39</f>
        <v>0</v>
      </c>
      <c r="E144" s="64">
        <f>'Jul 4'!$E$39</f>
        <v>0</v>
      </c>
      <c r="F144" s="23">
        <f>'Jul 4'!$A$39</f>
        <v>0</v>
      </c>
      <c r="G144" s="64">
        <f>'Jul 4'!$F$39</f>
        <v>0</v>
      </c>
      <c r="H144" s="64">
        <f>'Jul 4'!$G$39</f>
        <v>0</v>
      </c>
      <c r="I144" s="64" t="str">
        <f>'Jul 4'!$M$39</f>
        <v/>
      </c>
      <c r="J144" s="25" t="str">
        <f>'Jul 4'!$S$39</f>
        <v/>
      </c>
      <c r="K144" s="23">
        <f>'Jul 4'!$AG$39</f>
        <v>0</v>
      </c>
      <c r="L144" s="23">
        <f>'Jul 4'!$N$39</f>
        <v>0</v>
      </c>
    </row>
    <row r="145" spans="1:12" x14ac:dyDescent="0.25">
      <c r="A145" s="66" t="str">
        <f t="shared" si="2"/>
        <v>✓</v>
      </c>
      <c r="B145" s="67">
        <v>46207</v>
      </c>
      <c r="C145" s="23">
        <f>'Jul 4'!$D$40</f>
        <v>0</v>
      </c>
      <c r="D145" s="23">
        <f>'Jul 4'!$B$40</f>
        <v>0</v>
      </c>
      <c r="E145" s="64">
        <f>'Jul 4'!$E$40</f>
        <v>0</v>
      </c>
      <c r="F145" s="23">
        <f>'Jul 4'!$A$40</f>
        <v>0</v>
      </c>
      <c r="G145" s="64">
        <f>'Jul 4'!$F$40</f>
        <v>0</v>
      </c>
      <c r="H145" s="64">
        <f>'Jul 4'!$G$40</f>
        <v>0</v>
      </c>
      <c r="I145" s="64" t="str">
        <f>'Jul 4'!$M$40</f>
        <v/>
      </c>
      <c r="J145" s="25" t="str">
        <f>'Jul 4'!$S$40</f>
        <v/>
      </c>
      <c r="K145" s="23">
        <f>'Jul 4'!$AG$40</f>
        <v>0</v>
      </c>
      <c r="L145" s="23">
        <f>'Jul 4'!$N$40</f>
        <v>0</v>
      </c>
    </row>
    <row r="146" spans="1:12" x14ac:dyDescent="0.25">
      <c r="A146" s="66" t="str">
        <f t="shared" si="2"/>
        <v>✓</v>
      </c>
      <c r="B146" s="67">
        <v>46207</v>
      </c>
      <c r="C146" s="23">
        <f>'Jul 4'!$D$41</f>
        <v>0</v>
      </c>
      <c r="D146" s="23">
        <f>'Jul 4'!$B$41</f>
        <v>0</v>
      </c>
      <c r="E146" s="64">
        <f>'Jul 4'!$E$41</f>
        <v>0</v>
      </c>
      <c r="F146" s="23">
        <f>'Jul 4'!$A$41</f>
        <v>0</v>
      </c>
      <c r="G146" s="64">
        <f>'Jul 4'!$F$41</f>
        <v>0</v>
      </c>
      <c r="H146" s="64">
        <f>'Jul 4'!$G$41</f>
        <v>0</v>
      </c>
      <c r="I146" s="64" t="str">
        <f>'Jul 4'!$M$41</f>
        <v/>
      </c>
      <c r="J146" s="25" t="str">
        <f>'Jul 4'!$S$41</f>
        <v/>
      </c>
      <c r="K146" s="23">
        <f>'Jul 4'!$AG$41</f>
        <v>0</v>
      </c>
      <c r="L146" s="23">
        <f>'Jul 4'!$N$41</f>
        <v>0</v>
      </c>
    </row>
    <row r="147" spans="1:12" x14ac:dyDescent="0.25">
      <c r="A147" s="66" t="str">
        <f t="shared" si="2"/>
        <v>✓</v>
      </c>
      <c r="B147" s="67">
        <v>46207</v>
      </c>
      <c r="C147" s="23">
        <f>'Jul 4'!$D$42</f>
        <v>0</v>
      </c>
      <c r="D147" s="23">
        <f>'Jul 4'!$B$42</f>
        <v>0</v>
      </c>
      <c r="E147" s="64">
        <f>'Jul 4'!$E$42</f>
        <v>0</v>
      </c>
      <c r="F147" s="23">
        <f>'Jul 4'!$A$42</f>
        <v>0</v>
      </c>
      <c r="G147" s="64">
        <f>'Jul 4'!$F$42</f>
        <v>0</v>
      </c>
      <c r="H147" s="64">
        <f>'Jul 4'!$G$42</f>
        <v>0</v>
      </c>
      <c r="I147" s="64" t="str">
        <f>'Jul 4'!$M$42</f>
        <v/>
      </c>
      <c r="J147" s="25" t="str">
        <f>'Jul 4'!$S$42</f>
        <v/>
      </c>
      <c r="K147" s="23">
        <f>'Jul 4'!$AG$42</f>
        <v>0</v>
      </c>
      <c r="L147" s="23">
        <f>'Jul 4'!$N$42</f>
        <v>0</v>
      </c>
    </row>
    <row r="148" spans="1:12" x14ac:dyDescent="0.25">
      <c r="A148" s="66" t="str">
        <f t="shared" si="2"/>
        <v>✓</v>
      </c>
      <c r="B148" s="67">
        <v>46208</v>
      </c>
      <c r="C148" s="23">
        <f>'Jul 5'!$D$8</f>
        <v>0</v>
      </c>
      <c r="D148" s="23">
        <f>'Jul 5'!$B$8</f>
        <v>0</v>
      </c>
      <c r="E148" s="64">
        <f>'Jul 5'!$E$8</f>
        <v>0</v>
      </c>
      <c r="F148" s="23">
        <f>'Jul 5'!$A$8</f>
        <v>0</v>
      </c>
      <c r="G148" s="64">
        <f>'Jul 5'!$F$8</f>
        <v>0</v>
      </c>
      <c r="H148" s="64">
        <f>'Jul 5'!$G$8</f>
        <v>0</v>
      </c>
      <c r="I148" s="64" t="str">
        <f>'Jul 5'!$M$8</f>
        <v/>
      </c>
      <c r="J148" s="25" t="str">
        <f>'Jul 5'!$S$8</f>
        <v/>
      </c>
      <c r="K148" s="23">
        <f>'Jul 5'!$AG$8</f>
        <v>0</v>
      </c>
      <c r="L148" s="23">
        <f>'Jul 5'!$N$8</f>
        <v>0</v>
      </c>
    </row>
    <row r="149" spans="1:12" x14ac:dyDescent="0.25">
      <c r="A149" s="66" t="str">
        <f t="shared" si="2"/>
        <v>✓</v>
      </c>
      <c r="B149" s="67">
        <v>46208</v>
      </c>
      <c r="C149" s="23">
        <f>'Jul 5'!$D$9</f>
        <v>0</v>
      </c>
      <c r="D149" s="23">
        <f>'Jul 5'!$B$9</f>
        <v>0</v>
      </c>
      <c r="E149" s="64">
        <f>'Jul 5'!$E$9</f>
        <v>0</v>
      </c>
      <c r="F149" s="23">
        <f>'Jul 5'!$A$9</f>
        <v>0</v>
      </c>
      <c r="G149" s="64">
        <f>'Jul 5'!$F$9</f>
        <v>0</v>
      </c>
      <c r="H149" s="64">
        <f>'Jul 5'!$G$9</f>
        <v>0</v>
      </c>
      <c r="I149" s="64" t="str">
        <f>'Jul 5'!$M$9</f>
        <v/>
      </c>
      <c r="J149" s="25" t="str">
        <f>'Jul 5'!$S$9</f>
        <v/>
      </c>
      <c r="K149" s="23">
        <f>'Jul 5'!$AG$9</f>
        <v>0</v>
      </c>
      <c r="L149" s="23">
        <f>'Jul 5'!$N$9</f>
        <v>0</v>
      </c>
    </row>
    <row r="150" spans="1:12" x14ac:dyDescent="0.25">
      <c r="A150" s="66" t="str">
        <f t="shared" si="2"/>
        <v>✓</v>
      </c>
      <c r="B150" s="67">
        <v>46208</v>
      </c>
      <c r="C150" s="23">
        <f>'Jul 5'!$D$10</f>
        <v>0</v>
      </c>
      <c r="D150" s="23">
        <f>'Jul 5'!$B$10</f>
        <v>0</v>
      </c>
      <c r="E150" s="64">
        <f>'Jul 5'!$E$10</f>
        <v>0</v>
      </c>
      <c r="F150" s="23">
        <f>'Jul 5'!$A$10</f>
        <v>0</v>
      </c>
      <c r="G150" s="64">
        <f>'Jul 5'!$F$10</f>
        <v>0</v>
      </c>
      <c r="H150" s="64">
        <f>'Jul 5'!$G$10</f>
        <v>0</v>
      </c>
      <c r="I150" s="64" t="str">
        <f>'Jul 5'!$M$10</f>
        <v/>
      </c>
      <c r="J150" s="25" t="str">
        <f>'Jul 5'!$S$10</f>
        <v/>
      </c>
      <c r="K150" s="23">
        <f>'Jul 5'!$AG$10</f>
        <v>0</v>
      </c>
      <c r="L150" s="23">
        <f>'Jul 5'!$N$10</f>
        <v>0</v>
      </c>
    </row>
    <row r="151" spans="1:12" x14ac:dyDescent="0.25">
      <c r="A151" s="66" t="str">
        <f t="shared" si="2"/>
        <v>✓</v>
      </c>
      <c r="B151" s="67">
        <v>46208</v>
      </c>
      <c r="C151" s="23">
        <f>'Jul 5'!$D$11</f>
        <v>0</v>
      </c>
      <c r="D151" s="23">
        <f>'Jul 5'!$B$11</f>
        <v>0</v>
      </c>
      <c r="E151" s="64">
        <f>'Jul 5'!$E$11</f>
        <v>0</v>
      </c>
      <c r="F151" s="23">
        <f>'Jul 5'!$A$11</f>
        <v>0</v>
      </c>
      <c r="G151" s="64">
        <f>'Jul 5'!$F$11</f>
        <v>0</v>
      </c>
      <c r="H151" s="64">
        <f>'Jul 5'!$G$11</f>
        <v>0</v>
      </c>
      <c r="I151" s="64" t="str">
        <f>'Jul 5'!$M$11</f>
        <v/>
      </c>
      <c r="J151" s="25" t="str">
        <f>'Jul 5'!$S$11</f>
        <v/>
      </c>
      <c r="K151" s="23">
        <f>'Jul 5'!$AG$11</f>
        <v>0</v>
      </c>
      <c r="L151" s="23">
        <f>'Jul 5'!$N$11</f>
        <v>0</v>
      </c>
    </row>
    <row r="152" spans="1:12" x14ac:dyDescent="0.25">
      <c r="A152" s="66" t="str">
        <f t="shared" si="2"/>
        <v>✓</v>
      </c>
      <c r="B152" s="67">
        <v>46208</v>
      </c>
      <c r="C152" s="23">
        <f>'Jul 5'!$D$12</f>
        <v>0</v>
      </c>
      <c r="D152" s="23">
        <f>'Jul 5'!$B$12</f>
        <v>0</v>
      </c>
      <c r="E152" s="64">
        <f>'Jul 5'!$E$12</f>
        <v>0</v>
      </c>
      <c r="F152" s="23">
        <f>'Jul 5'!$A$12</f>
        <v>0</v>
      </c>
      <c r="G152" s="64">
        <f>'Jul 5'!$F$12</f>
        <v>0</v>
      </c>
      <c r="H152" s="64">
        <f>'Jul 5'!$G$12</f>
        <v>0</v>
      </c>
      <c r="I152" s="64" t="str">
        <f>'Jul 5'!$M$12</f>
        <v/>
      </c>
      <c r="J152" s="25" t="str">
        <f>'Jul 5'!$S$12</f>
        <v/>
      </c>
      <c r="K152" s="23">
        <f>'Jul 5'!$AG$12</f>
        <v>0</v>
      </c>
      <c r="L152" s="23">
        <f>'Jul 5'!$N$12</f>
        <v>0</v>
      </c>
    </row>
    <row r="153" spans="1:12" x14ac:dyDescent="0.25">
      <c r="A153" s="66" t="str">
        <f t="shared" si="2"/>
        <v>✓</v>
      </c>
      <c r="B153" s="67">
        <v>46208</v>
      </c>
      <c r="C153" s="23">
        <f>'Jul 5'!$D$13</f>
        <v>0</v>
      </c>
      <c r="D153" s="23">
        <f>'Jul 5'!$B$13</f>
        <v>0</v>
      </c>
      <c r="E153" s="64">
        <f>'Jul 5'!$E$13</f>
        <v>0</v>
      </c>
      <c r="F153" s="23">
        <f>'Jul 5'!$A$13</f>
        <v>0</v>
      </c>
      <c r="G153" s="64">
        <f>'Jul 5'!$F$13</f>
        <v>0</v>
      </c>
      <c r="H153" s="64">
        <f>'Jul 5'!$G$13</f>
        <v>0</v>
      </c>
      <c r="I153" s="64" t="str">
        <f>'Jul 5'!$M$13</f>
        <v/>
      </c>
      <c r="J153" s="25" t="str">
        <f>'Jul 5'!$S$13</f>
        <v/>
      </c>
      <c r="K153" s="23">
        <f>'Jul 5'!$AG$13</f>
        <v>0</v>
      </c>
      <c r="L153" s="23">
        <f>'Jul 5'!$N$13</f>
        <v>0</v>
      </c>
    </row>
    <row r="154" spans="1:12" x14ac:dyDescent="0.25">
      <c r="A154" s="66" t="str">
        <f t="shared" si="2"/>
        <v>✓</v>
      </c>
      <c r="B154" s="67">
        <v>46208</v>
      </c>
      <c r="C154" s="23">
        <f>'Jul 5'!$D$14</f>
        <v>0</v>
      </c>
      <c r="D154" s="23">
        <f>'Jul 5'!$B$14</f>
        <v>0</v>
      </c>
      <c r="E154" s="64">
        <f>'Jul 5'!$E$14</f>
        <v>0</v>
      </c>
      <c r="F154" s="23">
        <f>'Jul 5'!$A$14</f>
        <v>0</v>
      </c>
      <c r="G154" s="64">
        <f>'Jul 5'!$F$14</f>
        <v>0</v>
      </c>
      <c r="H154" s="64">
        <f>'Jul 5'!$G$14</f>
        <v>0</v>
      </c>
      <c r="I154" s="64" t="str">
        <f>'Jul 5'!$M$14</f>
        <v/>
      </c>
      <c r="J154" s="25" t="str">
        <f>'Jul 5'!$S$14</f>
        <v/>
      </c>
      <c r="K154" s="23">
        <f>'Jul 5'!$AG$14</f>
        <v>0</v>
      </c>
      <c r="L154" s="23">
        <f>'Jul 5'!$N$14</f>
        <v>0</v>
      </c>
    </row>
    <row r="155" spans="1:12" x14ac:dyDescent="0.25">
      <c r="A155" s="66" t="str">
        <f t="shared" si="2"/>
        <v>✓</v>
      </c>
      <c r="B155" s="67">
        <v>46208</v>
      </c>
      <c r="C155" s="23">
        <f>'Jul 5'!$D$15</f>
        <v>0</v>
      </c>
      <c r="D155" s="23">
        <f>'Jul 5'!$B$15</f>
        <v>0</v>
      </c>
      <c r="E155" s="64">
        <f>'Jul 5'!$E$15</f>
        <v>0</v>
      </c>
      <c r="F155" s="23">
        <f>'Jul 5'!$A$15</f>
        <v>0</v>
      </c>
      <c r="G155" s="64">
        <f>'Jul 5'!$F$15</f>
        <v>0</v>
      </c>
      <c r="H155" s="64">
        <f>'Jul 5'!$G$15</f>
        <v>0</v>
      </c>
      <c r="I155" s="64" t="str">
        <f>'Jul 5'!$M$15</f>
        <v/>
      </c>
      <c r="J155" s="25" t="str">
        <f>'Jul 5'!$S$15</f>
        <v/>
      </c>
      <c r="K155" s="23">
        <f>'Jul 5'!$AG$15</f>
        <v>0</v>
      </c>
      <c r="L155" s="23">
        <f>'Jul 5'!$N$15</f>
        <v>0</v>
      </c>
    </row>
    <row r="156" spans="1:12" x14ac:dyDescent="0.25">
      <c r="A156" s="66" t="str">
        <f t="shared" si="2"/>
        <v>✓</v>
      </c>
      <c r="B156" s="67">
        <v>46208</v>
      </c>
      <c r="C156" s="23">
        <f>'Jul 5'!$D$16</f>
        <v>0</v>
      </c>
      <c r="D156" s="23">
        <f>'Jul 5'!$B$16</f>
        <v>0</v>
      </c>
      <c r="E156" s="64">
        <f>'Jul 5'!$E$16</f>
        <v>0</v>
      </c>
      <c r="F156" s="23">
        <f>'Jul 5'!$A$16</f>
        <v>0</v>
      </c>
      <c r="G156" s="64">
        <f>'Jul 5'!$F$16</f>
        <v>0</v>
      </c>
      <c r="H156" s="64">
        <f>'Jul 5'!$G$16</f>
        <v>0</v>
      </c>
      <c r="I156" s="64" t="str">
        <f>'Jul 5'!$M$16</f>
        <v/>
      </c>
      <c r="J156" s="25" t="str">
        <f>'Jul 5'!$S$16</f>
        <v/>
      </c>
      <c r="K156" s="23">
        <f>'Jul 5'!$AG$16</f>
        <v>0</v>
      </c>
      <c r="L156" s="23">
        <f>'Jul 5'!$N$16</f>
        <v>0</v>
      </c>
    </row>
    <row r="157" spans="1:12" x14ac:dyDescent="0.25">
      <c r="A157" s="66" t="str">
        <f t="shared" si="2"/>
        <v>✓</v>
      </c>
      <c r="B157" s="67">
        <v>46208</v>
      </c>
      <c r="C157" s="23">
        <f>'Jul 5'!$D$17</f>
        <v>0</v>
      </c>
      <c r="D157" s="23">
        <f>'Jul 5'!$B$17</f>
        <v>0</v>
      </c>
      <c r="E157" s="64">
        <f>'Jul 5'!$E$17</f>
        <v>0</v>
      </c>
      <c r="F157" s="23">
        <f>'Jul 5'!$A$17</f>
        <v>0</v>
      </c>
      <c r="G157" s="64">
        <f>'Jul 5'!$F$17</f>
        <v>0</v>
      </c>
      <c r="H157" s="64">
        <f>'Jul 5'!$G$17</f>
        <v>0</v>
      </c>
      <c r="I157" s="64" t="str">
        <f>'Jul 5'!$M$17</f>
        <v/>
      </c>
      <c r="J157" s="25" t="str">
        <f>'Jul 5'!$S$17</f>
        <v/>
      </c>
      <c r="K157" s="23">
        <f>'Jul 5'!$AG$17</f>
        <v>0</v>
      </c>
      <c r="L157" s="23">
        <f>'Jul 5'!$N$17</f>
        <v>0</v>
      </c>
    </row>
    <row r="158" spans="1:12" x14ac:dyDescent="0.25">
      <c r="A158" s="66" t="str">
        <f t="shared" si="2"/>
        <v>✓</v>
      </c>
      <c r="B158" s="67">
        <v>46208</v>
      </c>
      <c r="C158" s="23">
        <f>'Jul 5'!$D$18</f>
        <v>0</v>
      </c>
      <c r="D158" s="23">
        <f>'Jul 5'!$B$18</f>
        <v>0</v>
      </c>
      <c r="E158" s="64">
        <f>'Jul 5'!$E$18</f>
        <v>0</v>
      </c>
      <c r="F158" s="23">
        <f>'Jul 5'!$A$18</f>
        <v>0</v>
      </c>
      <c r="G158" s="64">
        <f>'Jul 5'!$F$18</f>
        <v>0</v>
      </c>
      <c r="H158" s="64">
        <f>'Jul 5'!$G$18</f>
        <v>0</v>
      </c>
      <c r="I158" s="64" t="str">
        <f>'Jul 5'!$M$18</f>
        <v/>
      </c>
      <c r="J158" s="25" t="str">
        <f>'Jul 5'!$S$18</f>
        <v/>
      </c>
      <c r="K158" s="23">
        <f>'Jul 5'!$AG$18</f>
        <v>0</v>
      </c>
      <c r="L158" s="23">
        <f>'Jul 5'!$N$18</f>
        <v>0</v>
      </c>
    </row>
    <row r="159" spans="1:12" x14ac:dyDescent="0.25">
      <c r="A159" s="66" t="str">
        <f t="shared" si="2"/>
        <v>✓</v>
      </c>
      <c r="B159" s="67">
        <v>46208</v>
      </c>
      <c r="C159" s="23">
        <f>'Jul 5'!$D$19</f>
        <v>0</v>
      </c>
      <c r="D159" s="23">
        <f>'Jul 5'!$B$19</f>
        <v>0</v>
      </c>
      <c r="E159" s="64">
        <f>'Jul 5'!$E$19</f>
        <v>0</v>
      </c>
      <c r="F159" s="23">
        <f>'Jul 5'!$A$19</f>
        <v>0</v>
      </c>
      <c r="G159" s="64">
        <f>'Jul 5'!$F$19</f>
        <v>0</v>
      </c>
      <c r="H159" s="64">
        <f>'Jul 5'!$G$19</f>
        <v>0</v>
      </c>
      <c r="I159" s="64" t="str">
        <f>'Jul 5'!$M$19</f>
        <v/>
      </c>
      <c r="J159" s="25" t="str">
        <f>'Jul 5'!$S$19</f>
        <v/>
      </c>
      <c r="K159" s="23">
        <f>'Jul 5'!$AG$19</f>
        <v>0</v>
      </c>
      <c r="L159" s="23">
        <f>'Jul 5'!$N$19</f>
        <v>0</v>
      </c>
    </row>
    <row r="160" spans="1:12" x14ac:dyDescent="0.25">
      <c r="A160" s="66" t="str">
        <f t="shared" si="2"/>
        <v>✓</v>
      </c>
      <c r="B160" s="67">
        <v>46208</v>
      </c>
      <c r="C160" s="23">
        <f>'Jul 5'!$D$20</f>
        <v>0</v>
      </c>
      <c r="D160" s="23">
        <f>'Jul 5'!$B$20</f>
        <v>0</v>
      </c>
      <c r="E160" s="64">
        <f>'Jul 5'!$E$20</f>
        <v>0</v>
      </c>
      <c r="F160" s="23">
        <f>'Jul 5'!$A$20</f>
        <v>0</v>
      </c>
      <c r="G160" s="64">
        <f>'Jul 5'!$F$20</f>
        <v>0</v>
      </c>
      <c r="H160" s="64">
        <f>'Jul 5'!$G$20</f>
        <v>0</v>
      </c>
      <c r="I160" s="64" t="str">
        <f>'Jul 5'!$M$20</f>
        <v/>
      </c>
      <c r="J160" s="25" t="str">
        <f>'Jul 5'!$S$20</f>
        <v/>
      </c>
      <c r="K160" s="23">
        <f>'Jul 5'!$AG$20</f>
        <v>0</v>
      </c>
      <c r="L160" s="23">
        <f>'Jul 5'!$N$20</f>
        <v>0</v>
      </c>
    </row>
    <row r="161" spans="1:12" x14ac:dyDescent="0.25">
      <c r="A161" s="66" t="str">
        <f t="shared" si="2"/>
        <v>✓</v>
      </c>
      <c r="B161" s="67">
        <v>46208</v>
      </c>
      <c r="C161" s="23">
        <f>'Jul 5'!$D$21</f>
        <v>0</v>
      </c>
      <c r="D161" s="23">
        <f>'Jul 5'!$B$21</f>
        <v>0</v>
      </c>
      <c r="E161" s="64">
        <f>'Jul 5'!$E$21</f>
        <v>0</v>
      </c>
      <c r="F161" s="23">
        <f>'Jul 5'!$A$21</f>
        <v>0</v>
      </c>
      <c r="G161" s="64">
        <f>'Jul 5'!$F$21</f>
        <v>0</v>
      </c>
      <c r="H161" s="64">
        <f>'Jul 5'!$G$21</f>
        <v>0</v>
      </c>
      <c r="I161" s="64" t="str">
        <f>'Jul 5'!$M$21</f>
        <v/>
      </c>
      <c r="J161" s="25" t="str">
        <f>'Jul 5'!$S$21</f>
        <v/>
      </c>
      <c r="K161" s="23">
        <f>'Jul 5'!$AG$21</f>
        <v>0</v>
      </c>
      <c r="L161" s="23">
        <f>'Jul 5'!$N$21</f>
        <v>0</v>
      </c>
    </row>
    <row r="162" spans="1:12" x14ac:dyDescent="0.25">
      <c r="A162" s="66" t="str">
        <f t="shared" si="2"/>
        <v>✓</v>
      </c>
      <c r="B162" s="67">
        <v>46208</v>
      </c>
      <c r="C162" s="23">
        <f>'Jul 5'!$D$22</f>
        <v>0</v>
      </c>
      <c r="D162" s="23">
        <f>'Jul 5'!$B$22</f>
        <v>0</v>
      </c>
      <c r="E162" s="64">
        <f>'Jul 5'!$E$22</f>
        <v>0</v>
      </c>
      <c r="F162" s="23">
        <f>'Jul 5'!$A$22</f>
        <v>0</v>
      </c>
      <c r="G162" s="64">
        <f>'Jul 5'!$F$22</f>
        <v>0</v>
      </c>
      <c r="H162" s="64">
        <f>'Jul 5'!$G$22</f>
        <v>0</v>
      </c>
      <c r="I162" s="64" t="str">
        <f>'Jul 5'!$M$22</f>
        <v/>
      </c>
      <c r="J162" s="25" t="str">
        <f>'Jul 5'!$S$22</f>
        <v/>
      </c>
      <c r="K162" s="23">
        <f>'Jul 5'!$AG$22</f>
        <v>0</v>
      </c>
      <c r="L162" s="23">
        <f>'Jul 5'!$N$22</f>
        <v>0</v>
      </c>
    </row>
    <row r="163" spans="1:12" x14ac:dyDescent="0.25">
      <c r="A163" s="66" t="str">
        <f t="shared" si="2"/>
        <v>✓</v>
      </c>
      <c r="B163" s="67">
        <v>46208</v>
      </c>
      <c r="C163" s="23">
        <f>'Jul 5'!$D$23</f>
        <v>0</v>
      </c>
      <c r="D163" s="23">
        <f>'Jul 5'!$B$23</f>
        <v>0</v>
      </c>
      <c r="E163" s="64">
        <f>'Jul 5'!$E$23</f>
        <v>0</v>
      </c>
      <c r="F163" s="23">
        <f>'Jul 5'!$A$23</f>
        <v>0</v>
      </c>
      <c r="G163" s="64">
        <f>'Jul 5'!$F$23</f>
        <v>0</v>
      </c>
      <c r="H163" s="64">
        <f>'Jul 5'!$G$23</f>
        <v>0</v>
      </c>
      <c r="I163" s="64" t="str">
        <f>'Jul 5'!$M$23</f>
        <v/>
      </c>
      <c r="J163" s="25" t="str">
        <f>'Jul 5'!$S$23</f>
        <v/>
      </c>
      <c r="K163" s="23">
        <f>'Jul 5'!$AG$23</f>
        <v>0</v>
      </c>
      <c r="L163" s="23">
        <f>'Jul 5'!$N$23</f>
        <v>0</v>
      </c>
    </row>
    <row r="164" spans="1:12" x14ac:dyDescent="0.25">
      <c r="A164" s="66" t="str">
        <f t="shared" si="2"/>
        <v>✓</v>
      </c>
      <c r="B164" s="67">
        <v>46208</v>
      </c>
      <c r="C164" s="23">
        <f>'Jul 5'!$D$24</f>
        <v>0</v>
      </c>
      <c r="D164" s="23">
        <f>'Jul 5'!$B$24</f>
        <v>0</v>
      </c>
      <c r="E164" s="64">
        <f>'Jul 5'!$E$24</f>
        <v>0</v>
      </c>
      <c r="F164" s="23">
        <f>'Jul 5'!$A$24</f>
        <v>0</v>
      </c>
      <c r="G164" s="64">
        <f>'Jul 5'!$F$24</f>
        <v>0</v>
      </c>
      <c r="H164" s="64">
        <f>'Jul 5'!$G$24</f>
        <v>0</v>
      </c>
      <c r="I164" s="64" t="str">
        <f>'Jul 5'!$M$24</f>
        <v/>
      </c>
      <c r="J164" s="25" t="str">
        <f>'Jul 5'!$S$24</f>
        <v/>
      </c>
      <c r="K164" s="23">
        <f>'Jul 5'!$AG$24</f>
        <v>0</v>
      </c>
      <c r="L164" s="23">
        <f>'Jul 5'!$N$24</f>
        <v>0</v>
      </c>
    </row>
    <row r="165" spans="1:12" x14ac:dyDescent="0.25">
      <c r="A165" s="66" t="str">
        <f t="shared" si="2"/>
        <v>✓</v>
      </c>
      <c r="B165" s="67">
        <v>46208</v>
      </c>
      <c r="C165" s="23">
        <f>'Jul 5'!$D$25</f>
        <v>0</v>
      </c>
      <c r="D165" s="23">
        <f>'Jul 5'!$B$25</f>
        <v>0</v>
      </c>
      <c r="E165" s="64">
        <f>'Jul 5'!$E$25</f>
        <v>0</v>
      </c>
      <c r="F165" s="23">
        <f>'Jul 5'!$A$25</f>
        <v>0</v>
      </c>
      <c r="G165" s="64">
        <f>'Jul 5'!$F$25</f>
        <v>0</v>
      </c>
      <c r="H165" s="64">
        <f>'Jul 5'!$G$25</f>
        <v>0</v>
      </c>
      <c r="I165" s="64" t="str">
        <f>'Jul 5'!$M$25</f>
        <v/>
      </c>
      <c r="J165" s="25" t="str">
        <f>'Jul 5'!$S$25</f>
        <v/>
      </c>
      <c r="K165" s="23">
        <f>'Jul 5'!$AG$25</f>
        <v>0</v>
      </c>
      <c r="L165" s="23">
        <f>'Jul 5'!$N$25</f>
        <v>0</v>
      </c>
    </row>
    <row r="166" spans="1:12" x14ac:dyDescent="0.25">
      <c r="A166" s="66" t="str">
        <f t="shared" si="2"/>
        <v>✓</v>
      </c>
      <c r="B166" s="67">
        <v>46208</v>
      </c>
      <c r="C166" s="23">
        <f>'Jul 5'!$D$26</f>
        <v>0</v>
      </c>
      <c r="D166" s="23">
        <f>'Jul 5'!$B$26</f>
        <v>0</v>
      </c>
      <c r="E166" s="64">
        <f>'Jul 5'!$E$26</f>
        <v>0</v>
      </c>
      <c r="F166" s="23">
        <f>'Jul 5'!$A$26</f>
        <v>0</v>
      </c>
      <c r="G166" s="64">
        <f>'Jul 5'!$F$26</f>
        <v>0</v>
      </c>
      <c r="H166" s="64">
        <f>'Jul 5'!$G$26</f>
        <v>0</v>
      </c>
      <c r="I166" s="64" t="str">
        <f>'Jul 5'!$M$26</f>
        <v/>
      </c>
      <c r="J166" s="25" t="str">
        <f>'Jul 5'!$S$26</f>
        <v/>
      </c>
      <c r="K166" s="23">
        <f>'Jul 5'!$AG$26</f>
        <v>0</v>
      </c>
      <c r="L166" s="23">
        <f>'Jul 5'!$N$26</f>
        <v>0</v>
      </c>
    </row>
    <row r="167" spans="1:12" x14ac:dyDescent="0.25">
      <c r="A167" s="66" t="str">
        <f t="shared" si="2"/>
        <v>✓</v>
      </c>
      <c r="B167" s="67">
        <v>46208</v>
      </c>
      <c r="C167" s="23">
        <f>'Jul 5'!$D$27</f>
        <v>0</v>
      </c>
      <c r="D167" s="23">
        <f>'Jul 5'!$B$27</f>
        <v>0</v>
      </c>
      <c r="E167" s="64">
        <f>'Jul 5'!$E$27</f>
        <v>0</v>
      </c>
      <c r="F167" s="23">
        <f>'Jul 5'!$A$27</f>
        <v>0</v>
      </c>
      <c r="G167" s="64">
        <f>'Jul 5'!$F$27</f>
        <v>0</v>
      </c>
      <c r="H167" s="64">
        <f>'Jul 5'!$G$27</f>
        <v>0</v>
      </c>
      <c r="I167" s="64" t="str">
        <f>'Jul 5'!$M$27</f>
        <v/>
      </c>
      <c r="J167" s="25" t="str">
        <f>'Jul 5'!$S$27</f>
        <v/>
      </c>
      <c r="K167" s="23">
        <f>'Jul 5'!$AG$27</f>
        <v>0</v>
      </c>
      <c r="L167" s="23">
        <f>'Jul 5'!$N$27</f>
        <v>0</v>
      </c>
    </row>
    <row r="168" spans="1:12" x14ac:dyDescent="0.25">
      <c r="A168" s="66" t="str">
        <f t="shared" si="2"/>
        <v>✓</v>
      </c>
      <c r="B168" s="67">
        <v>46208</v>
      </c>
      <c r="C168" s="23">
        <f>'Jul 5'!$D$28</f>
        <v>0</v>
      </c>
      <c r="D168" s="23">
        <f>'Jul 5'!$B$28</f>
        <v>0</v>
      </c>
      <c r="E168" s="64">
        <f>'Jul 5'!$E$28</f>
        <v>0</v>
      </c>
      <c r="F168" s="23">
        <f>'Jul 5'!$A$28</f>
        <v>0</v>
      </c>
      <c r="G168" s="64">
        <f>'Jul 5'!$F$28</f>
        <v>0</v>
      </c>
      <c r="H168" s="64">
        <f>'Jul 5'!$G$28</f>
        <v>0</v>
      </c>
      <c r="I168" s="64" t="str">
        <f>'Jul 5'!$M$28</f>
        <v/>
      </c>
      <c r="J168" s="25" t="str">
        <f>'Jul 5'!$S$28</f>
        <v/>
      </c>
      <c r="K168" s="23">
        <f>'Jul 5'!$AG$28</f>
        <v>0</v>
      </c>
      <c r="L168" s="23">
        <f>'Jul 5'!$N$28</f>
        <v>0</v>
      </c>
    </row>
    <row r="169" spans="1:12" x14ac:dyDescent="0.25">
      <c r="A169" s="66" t="str">
        <f t="shared" si="2"/>
        <v>✓</v>
      </c>
      <c r="B169" s="67">
        <v>46208</v>
      </c>
      <c r="C169" s="23">
        <f>'Jul 5'!$D$29</f>
        <v>0</v>
      </c>
      <c r="D169" s="23">
        <f>'Jul 5'!$B$29</f>
        <v>0</v>
      </c>
      <c r="E169" s="64">
        <f>'Jul 5'!$E$29</f>
        <v>0</v>
      </c>
      <c r="F169" s="23">
        <f>'Jul 5'!$A$29</f>
        <v>0</v>
      </c>
      <c r="G169" s="64">
        <f>'Jul 5'!$F$29</f>
        <v>0</v>
      </c>
      <c r="H169" s="64">
        <f>'Jul 5'!$G$29</f>
        <v>0</v>
      </c>
      <c r="I169" s="64" t="str">
        <f>'Jul 5'!$M$29</f>
        <v/>
      </c>
      <c r="J169" s="25" t="str">
        <f>'Jul 5'!$S$29</f>
        <v/>
      </c>
      <c r="K169" s="23">
        <f>'Jul 5'!$AG$29</f>
        <v>0</v>
      </c>
      <c r="L169" s="23">
        <f>'Jul 5'!$N$29</f>
        <v>0</v>
      </c>
    </row>
    <row r="170" spans="1:12" x14ac:dyDescent="0.25">
      <c r="A170" s="66" t="str">
        <f t="shared" si="2"/>
        <v>✓</v>
      </c>
      <c r="B170" s="67">
        <v>46208</v>
      </c>
      <c r="C170" s="23">
        <f>'Jul 5'!$D$30</f>
        <v>0</v>
      </c>
      <c r="D170" s="23">
        <f>'Jul 5'!$B$30</f>
        <v>0</v>
      </c>
      <c r="E170" s="64">
        <f>'Jul 5'!$E$30</f>
        <v>0</v>
      </c>
      <c r="F170" s="23">
        <f>'Jul 5'!$A$30</f>
        <v>0</v>
      </c>
      <c r="G170" s="64">
        <f>'Jul 5'!$F$30</f>
        <v>0</v>
      </c>
      <c r="H170" s="64">
        <f>'Jul 5'!$G$30</f>
        <v>0</v>
      </c>
      <c r="I170" s="64" t="str">
        <f>'Jul 5'!$M$30</f>
        <v/>
      </c>
      <c r="J170" s="25" t="str">
        <f>'Jul 5'!$S$30</f>
        <v/>
      </c>
      <c r="K170" s="23">
        <f>'Jul 5'!$AG$30</f>
        <v>0</v>
      </c>
      <c r="L170" s="23">
        <f>'Jul 5'!$N$30</f>
        <v>0</v>
      </c>
    </row>
    <row r="171" spans="1:12" x14ac:dyDescent="0.25">
      <c r="A171" s="66" t="str">
        <f t="shared" si="2"/>
        <v>✓</v>
      </c>
      <c r="B171" s="67">
        <v>46208</v>
      </c>
      <c r="C171" s="23">
        <f>'Jul 5'!$D$31</f>
        <v>0</v>
      </c>
      <c r="D171" s="23">
        <f>'Jul 5'!$B$31</f>
        <v>0</v>
      </c>
      <c r="E171" s="64">
        <f>'Jul 5'!$E$31</f>
        <v>0</v>
      </c>
      <c r="F171" s="23">
        <f>'Jul 5'!$A$31</f>
        <v>0</v>
      </c>
      <c r="G171" s="64">
        <f>'Jul 5'!$F$31</f>
        <v>0</v>
      </c>
      <c r="H171" s="64">
        <f>'Jul 5'!$G$31</f>
        <v>0</v>
      </c>
      <c r="I171" s="64" t="str">
        <f>'Jul 5'!$M$31</f>
        <v/>
      </c>
      <c r="J171" s="25" t="str">
        <f>'Jul 5'!$S$31</f>
        <v/>
      </c>
      <c r="K171" s="23">
        <f>'Jul 5'!$AG$31</f>
        <v>0</v>
      </c>
      <c r="L171" s="23">
        <f>'Jul 5'!$N$31</f>
        <v>0</v>
      </c>
    </row>
    <row r="172" spans="1:12" x14ac:dyDescent="0.25">
      <c r="A172" s="66" t="str">
        <f t="shared" si="2"/>
        <v>✓</v>
      </c>
      <c r="B172" s="67">
        <v>46208</v>
      </c>
      <c r="C172" s="23">
        <f>'Jul 5'!$D$32</f>
        <v>0</v>
      </c>
      <c r="D172" s="23">
        <f>'Jul 5'!$B$32</f>
        <v>0</v>
      </c>
      <c r="E172" s="64">
        <f>'Jul 5'!$E$32</f>
        <v>0</v>
      </c>
      <c r="F172" s="23">
        <f>'Jul 5'!$A$32</f>
        <v>0</v>
      </c>
      <c r="G172" s="64">
        <f>'Jul 5'!$F$32</f>
        <v>0</v>
      </c>
      <c r="H172" s="64">
        <f>'Jul 5'!$G$32</f>
        <v>0</v>
      </c>
      <c r="I172" s="64" t="str">
        <f>'Jul 5'!$M$32</f>
        <v/>
      </c>
      <c r="J172" s="25" t="str">
        <f>'Jul 5'!$S$32</f>
        <v/>
      </c>
      <c r="K172" s="23">
        <f>'Jul 5'!$AG$32</f>
        <v>0</v>
      </c>
      <c r="L172" s="23">
        <f>'Jul 5'!$N$32</f>
        <v>0</v>
      </c>
    </row>
    <row r="173" spans="1:12" x14ac:dyDescent="0.25">
      <c r="A173" s="66" t="str">
        <f t="shared" si="2"/>
        <v>✓</v>
      </c>
      <c r="B173" s="67">
        <v>46208</v>
      </c>
      <c r="C173" s="23">
        <f>'Jul 5'!$D$33</f>
        <v>0</v>
      </c>
      <c r="D173" s="23">
        <f>'Jul 5'!$B$33</f>
        <v>0</v>
      </c>
      <c r="E173" s="64">
        <f>'Jul 5'!$E$33</f>
        <v>0</v>
      </c>
      <c r="F173" s="23">
        <f>'Jul 5'!$A$33</f>
        <v>0</v>
      </c>
      <c r="G173" s="64">
        <f>'Jul 5'!$F$33</f>
        <v>0</v>
      </c>
      <c r="H173" s="64">
        <f>'Jul 5'!$G$33</f>
        <v>0</v>
      </c>
      <c r="I173" s="64" t="str">
        <f>'Jul 5'!$M$33</f>
        <v/>
      </c>
      <c r="J173" s="25" t="str">
        <f>'Jul 5'!$S$33</f>
        <v/>
      </c>
      <c r="K173" s="23">
        <f>'Jul 5'!$AG$33</f>
        <v>0</v>
      </c>
      <c r="L173" s="23">
        <f>'Jul 5'!$N$33</f>
        <v>0</v>
      </c>
    </row>
    <row r="174" spans="1:12" x14ac:dyDescent="0.25">
      <c r="A174" s="66" t="str">
        <f t="shared" si="2"/>
        <v>✓</v>
      </c>
      <c r="B174" s="67">
        <v>46208</v>
      </c>
      <c r="C174" s="23">
        <f>'Jul 5'!$D$34</f>
        <v>0</v>
      </c>
      <c r="D174" s="23">
        <f>'Jul 5'!$B$34</f>
        <v>0</v>
      </c>
      <c r="E174" s="64">
        <f>'Jul 5'!$E$34</f>
        <v>0</v>
      </c>
      <c r="F174" s="23">
        <f>'Jul 5'!$A$34</f>
        <v>0</v>
      </c>
      <c r="G174" s="64">
        <f>'Jul 5'!$F$34</f>
        <v>0</v>
      </c>
      <c r="H174" s="64">
        <f>'Jul 5'!$G$34</f>
        <v>0</v>
      </c>
      <c r="I174" s="64" t="str">
        <f>'Jul 5'!$M$34</f>
        <v/>
      </c>
      <c r="J174" s="25" t="str">
        <f>'Jul 5'!$S$34</f>
        <v/>
      </c>
      <c r="K174" s="23">
        <f>'Jul 5'!$AG$34</f>
        <v>0</v>
      </c>
      <c r="L174" s="23">
        <f>'Jul 5'!$N$34</f>
        <v>0</v>
      </c>
    </row>
    <row r="175" spans="1:12" x14ac:dyDescent="0.25">
      <c r="A175" s="66" t="str">
        <f t="shared" si="2"/>
        <v>✓</v>
      </c>
      <c r="B175" s="67">
        <v>46208</v>
      </c>
      <c r="C175" s="23">
        <f>'Jul 5'!$D$35</f>
        <v>0</v>
      </c>
      <c r="D175" s="23">
        <f>'Jul 5'!$B$35</f>
        <v>0</v>
      </c>
      <c r="E175" s="64">
        <f>'Jul 5'!$E$35</f>
        <v>0</v>
      </c>
      <c r="F175" s="23">
        <f>'Jul 5'!$A$35</f>
        <v>0</v>
      </c>
      <c r="G175" s="64">
        <f>'Jul 5'!$F$35</f>
        <v>0</v>
      </c>
      <c r="H175" s="64">
        <f>'Jul 5'!$G$35</f>
        <v>0</v>
      </c>
      <c r="I175" s="64" t="str">
        <f>'Jul 5'!$M$35</f>
        <v/>
      </c>
      <c r="J175" s="25" t="str">
        <f>'Jul 5'!$S$35</f>
        <v/>
      </c>
      <c r="K175" s="23">
        <f>'Jul 5'!$AG$35</f>
        <v>0</v>
      </c>
      <c r="L175" s="23">
        <f>'Jul 5'!$N$35</f>
        <v>0</v>
      </c>
    </row>
    <row r="176" spans="1:12" x14ac:dyDescent="0.25">
      <c r="A176" s="66" t="str">
        <f t="shared" si="2"/>
        <v>✓</v>
      </c>
      <c r="B176" s="67">
        <v>46208</v>
      </c>
      <c r="C176" s="23">
        <f>'Jul 5'!$D$36</f>
        <v>0</v>
      </c>
      <c r="D176" s="23">
        <f>'Jul 5'!$B$36</f>
        <v>0</v>
      </c>
      <c r="E176" s="64">
        <f>'Jul 5'!$E$36</f>
        <v>0</v>
      </c>
      <c r="F176" s="23">
        <f>'Jul 5'!$A$36</f>
        <v>0</v>
      </c>
      <c r="G176" s="64">
        <f>'Jul 5'!$F$36</f>
        <v>0</v>
      </c>
      <c r="H176" s="64">
        <f>'Jul 5'!$G$36</f>
        <v>0</v>
      </c>
      <c r="I176" s="64" t="str">
        <f>'Jul 5'!$M$36</f>
        <v/>
      </c>
      <c r="J176" s="25" t="str">
        <f>'Jul 5'!$S$36</f>
        <v/>
      </c>
      <c r="K176" s="23">
        <f>'Jul 5'!$AG$36</f>
        <v>0</v>
      </c>
      <c r="L176" s="23">
        <f>'Jul 5'!$N$36</f>
        <v>0</v>
      </c>
    </row>
    <row r="177" spans="1:12" x14ac:dyDescent="0.25">
      <c r="A177" s="66" t="str">
        <f t="shared" si="2"/>
        <v>✓</v>
      </c>
      <c r="B177" s="67">
        <v>46208</v>
      </c>
      <c r="C177" s="23">
        <f>'Jul 5'!$D$37</f>
        <v>0</v>
      </c>
      <c r="D177" s="23">
        <f>'Jul 5'!$B$37</f>
        <v>0</v>
      </c>
      <c r="E177" s="64">
        <f>'Jul 5'!$E$37</f>
        <v>0</v>
      </c>
      <c r="F177" s="23">
        <f>'Jul 5'!$A$37</f>
        <v>0</v>
      </c>
      <c r="G177" s="64">
        <f>'Jul 5'!$F$37</f>
        <v>0</v>
      </c>
      <c r="H177" s="64">
        <f>'Jul 5'!$G$37</f>
        <v>0</v>
      </c>
      <c r="I177" s="64" t="str">
        <f>'Jul 5'!$M$37</f>
        <v/>
      </c>
      <c r="J177" s="25" t="str">
        <f>'Jul 5'!$S$37</f>
        <v/>
      </c>
      <c r="K177" s="23">
        <f>'Jul 5'!$AG$37</f>
        <v>0</v>
      </c>
      <c r="L177" s="23">
        <f>'Jul 5'!$N$37</f>
        <v>0</v>
      </c>
    </row>
    <row r="178" spans="1:12" x14ac:dyDescent="0.25">
      <c r="A178" s="66" t="str">
        <f t="shared" si="2"/>
        <v>✓</v>
      </c>
      <c r="B178" s="67">
        <v>46208</v>
      </c>
      <c r="C178" s="23">
        <f>'Jul 5'!$D$38</f>
        <v>0</v>
      </c>
      <c r="D178" s="23">
        <f>'Jul 5'!$B$38</f>
        <v>0</v>
      </c>
      <c r="E178" s="64">
        <f>'Jul 5'!$E$38</f>
        <v>0</v>
      </c>
      <c r="F178" s="23">
        <f>'Jul 5'!$A$38</f>
        <v>0</v>
      </c>
      <c r="G178" s="64">
        <f>'Jul 5'!$F$38</f>
        <v>0</v>
      </c>
      <c r="H178" s="64">
        <f>'Jul 5'!$G$38</f>
        <v>0</v>
      </c>
      <c r="I178" s="64" t="str">
        <f>'Jul 5'!$M$38</f>
        <v/>
      </c>
      <c r="J178" s="25" t="str">
        <f>'Jul 5'!$S$38</f>
        <v/>
      </c>
      <c r="K178" s="23">
        <f>'Jul 5'!$AG$38</f>
        <v>0</v>
      </c>
      <c r="L178" s="23">
        <f>'Jul 5'!$N$38</f>
        <v>0</v>
      </c>
    </row>
    <row r="179" spans="1:12" x14ac:dyDescent="0.25">
      <c r="A179" s="66" t="str">
        <f t="shared" si="2"/>
        <v>✓</v>
      </c>
      <c r="B179" s="67">
        <v>46208</v>
      </c>
      <c r="C179" s="23">
        <f>'Jul 5'!$D$39</f>
        <v>0</v>
      </c>
      <c r="D179" s="23">
        <f>'Jul 5'!$B$39</f>
        <v>0</v>
      </c>
      <c r="E179" s="64">
        <f>'Jul 5'!$E$39</f>
        <v>0</v>
      </c>
      <c r="F179" s="23">
        <f>'Jul 5'!$A$39</f>
        <v>0</v>
      </c>
      <c r="G179" s="64">
        <f>'Jul 5'!$F$39</f>
        <v>0</v>
      </c>
      <c r="H179" s="64">
        <f>'Jul 5'!$G$39</f>
        <v>0</v>
      </c>
      <c r="I179" s="64" t="str">
        <f>'Jul 5'!$M$39</f>
        <v/>
      </c>
      <c r="J179" s="25" t="str">
        <f>'Jul 5'!$S$39</f>
        <v/>
      </c>
      <c r="K179" s="23">
        <f>'Jul 5'!$AG$39</f>
        <v>0</v>
      </c>
      <c r="L179" s="23">
        <f>'Jul 5'!$N$39</f>
        <v>0</v>
      </c>
    </row>
    <row r="180" spans="1:12" x14ac:dyDescent="0.25">
      <c r="A180" s="66" t="str">
        <f t="shared" si="2"/>
        <v>✓</v>
      </c>
      <c r="B180" s="67">
        <v>46208</v>
      </c>
      <c r="C180" s="23">
        <f>'Jul 5'!$D$40</f>
        <v>0</v>
      </c>
      <c r="D180" s="23">
        <f>'Jul 5'!$B$40</f>
        <v>0</v>
      </c>
      <c r="E180" s="64">
        <f>'Jul 5'!$E$40</f>
        <v>0</v>
      </c>
      <c r="F180" s="23">
        <f>'Jul 5'!$A$40</f>
        <v>0</v>
      </c>
      <c r="G180" s="64">
        <f>'Jul 5'!$F$40</f>
        <v>0</v>
      </c>
      <c r="H180" s="64">
        <f>'Jul 5'!$G$40</f>
        <v>0</v>
      </c>
      <c r="I180" s="64" t="str">
        <f>'Jul 5'!$M$40</f>
        <v/>
      </c>
      <c r="J180" s="25" t="str">
        <f>'Jul 5'!$S$40</f>
        <v/>
      </c>
      <c r="K180" s="23">
        <f>'Jul 5'!$AG$40</f>
        <v>0</v>
      </c>
      <c r="L180" s="23">
        <f>'Jul 5'!$N$40</f>
        <v>0</v>
      </c>
    </row>
    <row r="181" spans="1:12" x14ac:dyDescent="0.25">
      <c r="A181" s="66" t="str">
        <f t="shared" si="2"/>
        <v>✓</v>
      </c>
      <c r="B181" s="67">
        <v>46208</v>
      </c>
      <c r="C181" s="23">
        <f>'Jul 5'!$D$41</f>
        <v>0</v>
      </c>
      <c r="D181" s="23">
        <f>'Jul 5'!$B$41</f>
        <v>0</v>
      </c>
      <c r="E181" s="64">
        <f>'Jul 5'!$E$41</f>
        <v>0</v>
      </c>
      <c r="F181" s="23">
        <f>'Jul 5'!$A$41</f>
        <v>0</v>
      </c>
      <c r="G181" s="64">
        <f>'Jul 5'!$F$41</f>
        <v>0</v>
      </c>
      <c r="H181" s="64">
        <f>'Jul 5'!$G$41</f>
        <v>0</v>
      </c>
      <c r="I181" s="64" t="str">
        <f>'Jul 5'!$M$41</f>
        <v/>
      </c>
      <c r="J181" s="25" t="str">
        <f>'Jul 5'!$S$41</f>
        <v/>
      </c>
      <c r="K181" s="23">
        <f>'Jul 5'!$AG$41</f>
        <v>0</v>
      </c>
      <c r="L181" s="23">
        <f>'Jul 5'!$N$41</f>
        <v>0</v>
      </c>
    </row>
    <row r="182" spans="1:12" x14ac:dyDescent="0.25">
      <c r="A182" s="66" t="str">
        <f t="shared" si="2"/>
        <v>✓</v>
      </c>
      <c r="B182" s="67">
        <v>46208</v>
      </c>
      <c r="C182" s="23">
        <f>'Jul 5'!$D$42</f>
        <v>0</v>
      </c>
      <c r="D182" s="23">
        <f>'Jul 5'!$B$42</f>
        <v>0</v>
      </c>
      <c r="E182" s="64">
        <f>'Jul 5'!$E$42</f>
        <v>0</v>
      </c>
      <c r="F182" s="23">
        <f>'Jul 5'!$A$42</f>
        <v>0</v>
      </c>
      <c r="G182" s="64">
        <f>'Jul 5'!$F$42</f>
        <v>0</v>
      </c>
      <c r="H182" s="64">
        <f>'Jul 5'!$G$42</f>
        <v>0</v>
      </c>
      <c r="I182" s="64" t="str">
        <f>'Jul 5'!$M$42</f>
        <v/>
      </c>
      <c r="J182" s="25" t="str">
        <f>'Jul 5'!$S$42</f>
        <v/>
      </c>
      <c r="K182" s="23">
        <f>'Jul 5'!$AG$42</f>
        <v>0</v>
      </c>
      <c r="L182" s="23">
        <f>'Jul 5'!$N$42</f>
        <v>0</v>
      </c>
    </row>
    <row r="183" spans="1:12" x14ac:dyDescent="0.25">
      <c r="A183" s="66" t="str">
        <f t="shared" si="2"/>
        <v>✓</v>
      </c>
      <c r="B183" s="67">
        <v>46209</v>
      </c>
      <c r="C183" s="23">
        <f>'Jul 6'!$D$8</f>
        <v>0</v>
      </c>
      <c r="D183" s="23">
        <f>'Jul 6'!$B$8</f>
        <v>0</v>
      </c>
      <c r="E183" s="64">
        <f>'Jul 6'!$E$8</f>
        <v>0</v>
      </c>
      <c r="F183" s="23">
        <f>'Jul 6'!$A$8</f>
        <v>0</v>
      </c>
      <c r="G183" s="64">
        <f>'Jul 6'!$F$8</f>
        <v>0</v>
      </c>
      <c r="H183" s="64">
        <f>'Jul 6'!$G$8</f>
        <v>0</v>
      </c>
      <c r="I183" s="64" t="str">
        <f>'Jul 6'!$M$8</f>
        <v/>
      </c>
      <c r="J183" s="25" t="str">
        <f>'Jul 6'!$S$8</f>
        <v/>
      </c>
      <c r="K183" s="23">
        <f>'Jul 6'!$AG$8</f>
        <v>0</v>
      </c>
      <c r="L183" s="23">
        <f>'Jul 6'!$N$8</f>
        <v>0</v>
      </c>
    </row>
    <row r="184" spans="1:12" x14ac:dyDescent="0.25">
      <c r="A184" s="66" t="str">
        <f t="shared" si="2"/>
        <v>✓</v>
      </c>
      <c r="B184" s="67">
        <v>46209</v>
      </c>
      <c r="C184" s="23">
        <f>'Jul 6'!$D$9</f>
        <v>0</v>
      </c>
      <c r="D184" s="23">
        <f>'Jul 6'!$B$9</f>
        <v>0</v>
      </c>
      <c r="E184" s="64">
        <f>'Jul 6'!$E$9</f>
        <v>0</v>
      </c>
      <c r="F184" s="23">
        <f>'Jul 6'!$A$9</f>
        <v>0</v>
      </c>
      <c r="G184" s="64">
        <f>'Jul 6'!$F$9</f>
        <v>0</v>
      </c>
      <c r="H184" s="64">
        <f>'Jul 6'!$G$9</f>
        <v>0</v>
      </c>
      <c r="I184" s="64" t="str">
        <f>'Jul 6'!$M$9</f>
        <v/>
      </c>
      <c r="J184" s="25" t="str">
        <f>'Jul 6'!$S$9</f>
        <v/>
      </c>
      <c r="K184" s="23">
        <f>'Jul 6'!$AG$9</f>
        <v>0</v>
      </c>
      <c r="L184" s="23">
        <f>'Jul 6'!$N$9</f>
        <v>0</v>
      </c>
    </row>
    <row r="185" spans="1:12" x14ac:dyDescent="0.25">
      <c r="A185" s="66" t="str">
        <f t="shared" si="2"/>
        <v>✓</v>
      </c>
      <c r="B185" s="67">
        <v>46209</v>
      </c>
      <c r="C185" s="23">
        <f>'Jul 6'!$D$10</f>
        <v>0</v>
      </c>
      <c r="D185" s="23">
        <f>'Jul 6'!$B$10</f>
        <v>0</v>
      </c>
      <c r="E185" s="64">
        <f>'Jul 6'!$E$10</f>
        <v>0</v>
      </c>
      <c r="F185" s="23">
        <f>'Jul 6'!$A$10</f>
        <v>0</v>
      </c>
      <c r="G185" s="64">
        <f>'Jul 6'!$F$10</f>
        <v>0</v>
      </c>
      <c r="H185" s="64">
        <f>'Jul 6'!$G$10</f>
        <v>0</v>
      </c>
      <c r="I185" s="64" t="str">
        <f>'Jul 6'!$M$10</f>
        <v/>
      </c>
      <c r="J185" s="25" t="str">
        <f>'Jul 6'!$S$10</f>
        <v/>
      </c>
      <c r="K185" s="23">
        <f>'Jul 6'!$AG$10</f>
        <v>0</v>
      </c>
      <c r="L185" s="23">
        <f>'Jul 6'!$N$10</f>
        <v>0</v>
      </c>
    </row>
    <row r="186" spans="1:12" x14ac:dyDescent="0.25">
      <c r="A186" s="66" t="str">
        <f t="shared" si="2"/>
        <v>✓</v>
      </c>
      <c r="B186" s="67">
        <v>46209</v>
      </c>
      <c r="C186" s="23">
        <f>'Jul 6'!$D$11</f>
        <v>0</v>
      </c>
      <c r="D186" s="23">
        <f>'Jul 6'!$B$11</f>
        <v>0</v>
      </c>
      <c r="E186" s="64">
        <f>'Jul 6'!$E$11</f>
        <v>0</v>
      </c>
      <c r="F186" s="23">
        <f>'Jul 6'!$A$11</f>
        <v>0</v>
      </c>
      <c r="G186" s="64">
        <f>'Jul 6'!$F$11</f>
        <v>0</v>
      </c>
      <c r="H186" s="64">
        <f>'Jul 6'!$G$11</f>
        <v>0</v>
      </c>
      <c r="I186" s="64" t="str">
        <f>'Jul 6'!$M$11</f>
        <v/>
      </c>
      <c r="J186" s="25" t="str">
        <f>'Jul 6'!$S$11</f>
        <v/>
      </c>
      <c r="K186" s="23">
        <f>'Jul 6'!$AG$11</f>
        <v>0</v>
      </c>
      <c r="L186" s="23">
        <f>'Jul 6'!$N$11</f>
        <v>0</v>
      </c>
    </row>
    <row r="187" spans="1:12" x14ac:dyDescent="0.25">
      <c r="A187" s="66" t="str">
        <f t="shared" si="2"/>
        <v>✓</v>
      </c>
      <c r="B187" s="67">
        <v>46209</v>
      </c>
      <c r="C187" s="23">
        <f>'Jul 6'!$D$12</f>
        <v>0</v>
      </c>
      <c r="D187" s="23">
        <f>'Jul 6'!$B$12</f>
        <v>0</v>
      </c>
      <c r="E187" s="64">
        <f>'Jul 6'!$E$12</f>
        <v>0</v>
      </c>
      <c r="F187" s="23">
        <f>'Jul 6'!$A$12</f>
        <v>0</v>
      </c>
      <c r="G187" s="64">
        <f>'Jul 6'!$F$12</f>
        <v>0</v>
      </c>
      <c r="H187" s="64">
        <f>'Jul 6'!$G$12</f>
        <v>0</v>
      </c>
      <c r="I187" s="64" t="str">
        <f>'Jul 6'!$M$12</f>
        <v/>
      </c>
      <c r="J187" s="25" t="str">
        <f>'Jul 6'!$S$12</f>
        <v/>
      </c>
      <c r="K187" s="23">
        <f>'Jul 6'!$AG$12</f>
        <v>0</v>
      </c>
      <c r="L187" s="23">
        <f>'Jul 6'!$N$12</f>
        <v>0</v>
      </c>
    </row>
    <row r="188" spans="1:12" x14ac:dyDescent="0.25">
      <c r="A188" s="66" t="str">
        <f t="shared" si="2"/>
        <v>✓</v>
      </c>
      <c r="B188" s="67">
        <v>46209</v>
      </c>
      <c r="C188" s="23">
        <f>'Jul 6'!$D$13</f>
        <v>0</v>
      </c>
      <c r="D188" s="23">
        <f>'Jul 6'!$B$13</f>
        <v>0</v>
      </c>
      <c r="E188" s="64">
        <f>'Jul 6'!$E$13</f>
        <v>0</v>
      </c>
      <c r="F188" s="23">
        <f>'Jul 6'!$A$13</f>
        <v>0</v>
      </c>
      <c r="G188" s="64">
        <f>'Jul 6'!$F$13</f>
        <v>0</v>
      </c>
      <c r="H188" s="64">
        <f>'Jul 6'!$G$13</f>
        <v>0</v>
      </c>
      <c r="I188" s="64" t="str">
        <f>'Jul 6'!$M$13</f>
        <v/>
      </c>
      <c r="J188" s="25" t="str">
        <f>'Jul 6'!$S$13</f>
        <v/>
      </c>
      <c r="K188" s="23">
        <f>'Jul 6'!$AG$13</f>
        <v>0</v>
      </c>
      <c r="L188" s="23">
        <f>'Jul 6'!$N$13</f>
        <v>0</v>
      </c>
    </row>
    <row r="189" spans="1:12" x14ac:dyDescent="0.25">
      <c r="A189" s="66" t="str">
        <f t="shared" si="2"/>
        <v>✓</v>
      </c>
      <c r="B189" s="67">
        <v>46209</v>
      </c>
      <c r="C189" s="23">
        <f>'Jul 6'!$D$14</f>
        <v>0</v>
      </c>
      <c r="D189" s="23">
        <f>'Jul 6'!$B$14</f>
        <v>0</v>
      </c>
      <c r="E189" s="64">
        <f>'Jul 6'!$E$14</f>
        <v>0</v>
      </c>
      <c r="F189" s="23">
        <f>'Jul 6'!$A$14</f>
        <v>0</v>
      </c>
      <c r="G189" s="64">
        <f>'Jul 6'!$F$14</f>
        <v>0</v>
      </c>
      <c r="H189" s="64">
        <f>'Jul 6'!$G$14</f>
        <v>0</v>
      </c>
      <c r="I189" s="64" t="str">
        <f>'Jul 6'!$M$14</f>
        <v/>
      </c>
      <c r="J189" s="25" t="str">
        <f>'Jul 6'!$S$14</f>
        <v/>
      </c>
      <c r="K189" s="23">
        <f>'Jul 6'!$AG$14</f>
        <v>0</v>
      </c>
      <c r="L189" s="23">
        <f>'Jul 6'!$N$14</f>
        <v>0</v>
      </c>
    </row>
    <row r="190" spans="1:12" x14ac:dyDescent="0.25">
      <c r="A190" s="66" t="str">
        <f t="shared" si="2"/>
        <v>✓</v>
      </c>
      <c r="B190" s="67">
        <v>46209</v>
      </c>
      <c r="C190" s="23">
        <f>'Jul 6'!$D$15</f>
        <v>0</v>
      </c>
      <c r="D190" s="23">
        <f>'Jul 6'!$B$15</f>
        <v>0</v>
      </c>
      <c r="E190" s="64">
        <f>'Jul 6'!$E$15</f>
        <v>0</v>
      </c>
      <c r="F190" s="23">
        <f>'Jul 6'!$A$15</f>
        <v>0</v>
      </c>
      <c r="G190" s="64">
        <f>'Jul 6'!$F$15</f>
        <v>0</v>
      </c>
      <c r="H190" s="64">
        <f>'Jul 6'!$G$15</f>
        <v>0</v>
      </c>
      <c r="I190" s="64" t="str">
        <f>'Jul 6'!$M$15</f>
        <v/>
      </c>
      <c r="J190" s="25" t="str">
        <f>'Jul 6'!$S$15</f>
        <v/>
      </c>
      <c r="K190" s="23">
        <f>'Jul 6'!$AG$15</f>
        <v>0</v>
      </c>
      <c r="L190" s="23">
        <f>'Jul 6'!$N$15</f>
        <v>0</v>
      </c>
    </row>
    <row r="191" spans="1:12" x14ac:dyDescent="0.25">
      <c r="A191" s="66" t="str">
        <f t="shared" si="2"/>
        <v>✓</v>
      </c>
      <c r="B191" s="67">
        <v>46209</v>
      </c>
      <c r="C191" s="23">
        <f>'Jul 6'!$D$16</f>
        <v>0</v>
      </c>
      <c r="D191" s="23">
        <f>'Jul 6'!$B$16</f>
        <v>0</v>
      </c>
      <c r="E191" s="64">
        <f>'Jul 6'!$E$16</f>
        <v>0</v>
      </c>
      <c r="F191" s="23">
        <f>'Jul 6'!$A$16</f>
        <v>0</v>
      </c>
      <c r="G191" s="64">
        <f>'Jul 6'!$F$16</f>
        <v>0</v>
      </c>
      <c r="H191" s="64">
        <f>'Jul 6'!$G$16</f>
        <v>0</v>
      </c>
      <c r="I191" s="64" t="str">
        <f>'Jul 6'!$M$16</f>
        <v/>
      </c>
      <c r="J191" s="25" t="str">
        <f>'Jul 6'!$S$16</f>
        <v/>
      </c>
      <c r="K191" s="23">
        <f>'Jul 6'!$AG$16</f>
        <v>0</v>
      </c>
      <c r="L191" s="23">
        <f>'Jul 6'!$N$16</f>
        <v>0</v>
      </c>
    </row>
    <row r="192" spans="1:12" x14ac:dyDescent="0.25">
      <c r="A192" s="66" t="str">
        <f t="shared" si="2"/>
        <v>✓</v>
      </c>
      <c r="B192" s="67">
        <v>46209</v>
      </c>
      <c r="C192" s="23">
        <f>'Jul 6'!$D$17</f>
        <v>0</v>
      </c>
      <c r="D192" s="23">
        <f>'Jul 6'!$B$17</f>
        <v>0</v>
      </c>
      <c r="E192" s="64">
        <f>'Jul 6'!$E$17</f>
        <v>0</v>
      </c>
      <c r="F192" s="23">
        <f>'Jul 6'!$A$17</f>
        <v>0</v>
      </c>
      <c r="G192" s="64">
        <f>'Jul 6'!$F$17</f>
        <v>0</v>
      </c>
      <c r="H192" s="64">
        <f>'Jul 6'!$G$17</f>
        <v>0</v>
      </c>
      <c r="I192" s="64" t="str">
        <f>'Jul 6'!$M$17</f>
        <v/>
      </c>
      <c r="J192" s="25" t="str">
        <f>'Jul 6'!$S$17</f>
        <v/>
      </c>
      <c r="K192" s="23">
        <f>'Jul 6'!$AG$17</f>
        <v>0</v>
      </c>
      <c r="L192" s="23">
        <f>'Jul 6'!$N$17</f>
        <v>0</v>
      </c>
    </row>
    <row r="193" spans="1:12" x14ac:dyDescent="0.25">
      <c r="A193" s="66" t="str">
        <f t="shared" si="2"/>
        <v>✓</v>
      </c>
      <c r="B193" s="67">
        <v>46209</v>
      </c>
      <c r="C193" s="23">
        <f>'Jul 6'!$D$18</f>
        <v>0</v>
      </c>
      <c r="D193" s="23">
        <f>'Jul 6'!$B$18</f>
        <v>0</v>
      </c>
      <c r="E193" s="64">
        <f>'Jul 6'!$E$18</f>
        <v>0</v>
      </c>
      <c r="F193" s="23">
        <f>'Jul 6'!$A$18</f>
        <v>0</v>
      </c>
      <c r="G193" s="64">
        <f>'Jul 6'!$F$18</f>
        <v>0</v>
      </c>
      <c r="H193" s="64">
        <f>'Jul 6'!$G$18</f>
        <v>0</v>
      </c>
      <c r="I193" s="64" t="str">
        <f>'Jul 6'!$M$18</f>
        <v/>
      </c>
      <c r="J193" s="25" t="str">
        <f>'Jul 6'!$S$18</f>
        <v/>
      </c>
      <c r="K193" s="23">
        <f>'Jul 6'!$AG$18</f>
        <v>0</v>
      </c>
      <c r="L193" s="23">
        <f>'Jul 6'!$N$18</f>
        <v>0</v>
      </c>
    </row>
    <row r="194" spans="1:12" x14ac:dyDescent="0.25">
      <c r="A194" s="66" t="str">
        <f t="shared" si="2"/>
        <v>✓</v>
      </c>
      <c r="B194" s="67">
        <v>46209</v>
      </c>
      <c r="C194" s="23">
        <f>'Jul 6'!$D$19</f>
        <v>0</v>
      </c>
      <c r="D194" s="23">
        <f>'Jul 6'!$B$19</f>
        <v>0</v>
      </c>
      <c r="E194" s="64">
        <f>'Jul 6'!$E$19</f>
        <v>0</v>
      </c>
      <c r="F194" s="23">
        <f>'Jul 6'!$A$19</f>
        <v>0</v>
      </c>
      <c r="G194" s="64">
        <f>'Jul 6'!$F$19</f>
        <v>0</v>
      </c>
      <c r="H194" s="64">
        <f>'Jul 6'!$G$19</f>
        <v>0</v>
      </c>
      <c r="I194" s="64" t="str">
        <f>'Jul 6'!$M$19</f>
        <v/>
      </c>
      <c r="J194" s="25" t="str">
        <f>'Jul 6'!$S$19</f>
        <v/>
      </c>
      <c r="K194" s="23">
        <f>'Jul 6'!$AG$19</f>
        <v>0</v>
      </c>
      <c r="L194" s="23">
        <f>'Jul 6'!$N$19</f>
        <v>0</v>
      </c>
    </row>
    <row r="195" spans="1:12" x14ac:dyDescent="0.25">
      <c r="A195" s="66" t="str">
        <f t="shared" si="2"/>
        <v>✓</v>
      </c>
      <c r="B195" s="67">
        <v>46209</v>
      </c>
      <c r="C195" s="23">
        <f>'Jul 6'!$D$20</f>
        <v>0</v>
      </c>
      <c r="D195" s="23">
        <f>'Jul 6'!$B$20</f>
        <v>0</v>
      </c>
      <c r="E195" s="64">
        <f>'Jul 6'!$E$20</f>
        <v>0</v>
      </c>
      <c r="F195" s="23">
        <f>'Jul 6'!$A$20</f>
        <v>0</v>
      </c>
      <c r="G195" s="64">
        <f>'Jul 6'!$F$20</f>
        <v>0</v>
      </c>
      <c r="H195" s="64">
        <f>'Jul 6'!$G$20</f>
        <v>0</v>
      </c>
      <c r="I195" s="64" t="str">
        <f>'Jul 6'!$M$20</f>
        <v/>
      </c>
      <c r="J195" s="25" t="str">
        <f>'Jul 6'!$S$20</f>
        <v/>
      </c>
      <c r="K195" s="23">
        <f>'Jul 6'!$AG$20</f>
        <v>0</v>
      </c>
      <c r="L195" s="23">
        <f>'Jul 6'!$N$20</f>
        <v>0</v>
      </c>
    </row>
    <row r="196" spans="1:12" x14ac:dyDescent="0.25">
      <c r="A196" s="66" t="str">
        <f t="shared" si="2"/>
        <v>✓</v>
      </c>
      <c r="B196" s="67">
        <v>46209</v>
      </c>
      <c r="C196" s="23">
        <f>'Jul 6'!$D$21</f>
        <v>0</v>
      </c>
      <c r="D196" s="23">
        <f>'Jul 6'!$B$21</f>
        <v>0</v>
      </c>
      <c r="E196" s="64">
        <f>'Jul 6'!$E$21</f>
        <v>0</v>
      </c>
      <c r="F196" s="23">
        <f>'Jul 6'!$A$21</f>
        <v>0</v>
      </c>
      <c r="G196" s="64">
        <f>'Jul 6'!$F$21</f>
        <v>0</v>
      </c>
      <c r="H196" s="64">
        <f>'Jul 6'!$G$21</f>
        <v>0</v>
      </c>
      <c r="I196" s="64" t="str">
        <f>'Jul 6'!$M$21</f>
        <v/>
      </c>
      <c r="J196" s="25" t="str">
        <f>'Jul 6'!$S$21</f>
        <v/>
      </c>
      <c r="K196" s="23">
        <f>'Jul 6'!$AG$21</f>
        <v>0</v>
      </c>
      <c r="L196" s="23">
        <f>'Jul 6'!$N$21</f>
        <v>0</v>
      </c>
    </row>
    <row r="197" spans="1:12" x14ac:dyDescent="0.25">
      <c r="A197" s="66" t="str">
        <f t="shared" si="2"/>
        <v>✓</v>
      </c>
      <c r="B197" s="67">
        <v>46209</v>
      </c>
      <c r="C197" s="23">
        <f>'Jul 6'!$D$22</f>
        <v>0</v>
      </c>
      <c r="D197" s="23">
        <f>'Jul 6'!$B$22</f>
        <v>0</v>
      </c>
      <c r="E197" s="64">
        <f>'Jul 6'!$E$22</f>
        <v>0</v>
      </c>
      <c r="F197" s="23">
        <f>'Jul 6'!$A$22</f>
        <v>0</v>
      </c>
      <c r="G197" s="64">
        <f>'Jul 6'!$F$22</f>
        <v>0</v>
      </c>
      <c r="H197" s="64">
        <f>'Jul 6'!$G$22</f>
        <v>0</v>
      </c>
      <c r="I197" s="64" t="str">
        <f>'Jul 6'!$M$22</f>
        <v/>
      </c>
      <c r="J197" s="25" t="str">
        <f>'Jul 6'!$S$22</f>
        <v/>
      </c>
      <c r="K197" s="23">
        <f>'Jul 6'!$AG$22</f>
        <v>0</v>
      </c>
      <c r="L197" s="23">
        <f>'Jul 6'!$N$22</f>
        <v>0</v>
      </c>
    </row>
    <row r="198" spans="1:12" x14ac:dyDescent="0.25">
      <c r="A198" s="66" t="str">
        <f t="shared" si="2"/>
        <v>✓</v>
      </c>
      <c r="B198" s="67">
        <v>46209</v>
      </c>
      <c r="C198" s="23">
        <f>'Jul 6'!$D$23</f>
        <v>0</v>
      </c>
      <c r="D198" s="23">
        <f>'Jul 6'!$B$23</f>
        <v>0</v>
      </c>
      <c r="E198" s="64">
        <f>'Jul 6'!$E$23</f>
        <v>0</v>
      </c>
      <c r="F198" s="23">
        <f>'Jul 6'!$A$23</f>
        <v>0</v>
      </c>
      <c r="G198" s="64">
        <f>'Jul 6'!$F$23</f>
        <v>0</v>
      </c>
      <c r="H198" s="64">
        <f>'Jul 6'!$G$23</f>
        <v>0</v>
      </c>
      <c r="I198" s="64" t="str">
        <f>'Jul 6'!$M$23</f>
        <v/>
      </c>
      <c r="J198" s="25" t="str">
        <f>'Jul 6'!$S$23</f>
        <v/>
      </c>
      <c r="K198" s="23">
        <f>'Jul 6'!$AG$23</f>
        <v>0</v>
      </c>
      <c r="L198" s="23">
        <f>'Jul 6'!$N$23</f>
        <v>0</v>
      </c>
    </row>
    <row r="199" spans="1:12" x14ac:dyDescent="0.25">
      <c r="A199" s="66" t="str">
        <f t="shared" si="2"/>
        <v>✓</v>
      </c>
      <c r="B199" s="67">
        <v>46209</v>
      </c>
      <c r="C199" s="23">
        <f>'Jul 6'!$D$24</f>
        <v>0</v>
      </c>
      <c r="D199" s="23">
        <f>'Jul 6'!$B$24</f>
        <v>0</v>
      </c>
      <c r="E199" s="64">
        <f>'Jul 6'!$E$24</f>
        <v>0</v>
      </c>
      <c r="F199" s="23">
        <f>'Jul 6'!$A$24</f>
        <v>0</v>
      </c>
      <c r="G199" s="64">
        <f>'Jul 6'!$F$24</f>
        <v>0</v>
      </c>
      <c r="H199" s="64">
        <f>'Jul 6'!$G$24</f>
        <v>0</v>
      </c>
      <c r="I199" s="64" t="str">
        <f>'Jul 6'!$M$24</f>
        <v/>
      </c>
      <c r="J199" s="25" t="str">
        <f>'Jul 6'!$S$24</f>
        <v/>
      </c>
      <c r="K199" s="23">
        <f>'Jul 6'!$AG$24</f>
        <v>0</v>
      </c>
      <c r="L199" s="23">
        <f>'Jul 6'!$N$24</f>
        <v>0</v>
      </c>
    </row>
    <row r="200" spans="1:12" x14ac:dyDescent="0.25">
      <c r="A200" s="66" t="str">
        <f t="shared" ref="A200:A263" si="3">IF(C200="","",IF(AND(OR($B$5="",G200=$B$5,H200=$B$5),OR($D$5="",F200=$D$5),OR($E$5="",K200=$E$5),OR($G$5="",L200=$G$5),OR($H$5="",N(J200)&gt;=$H$5),OR($I$5="",ISNUMBER(SEARCH($I$5,C200&amp;" "&amp;D200&amp;" "&amp;E200&amp;" "&amp;I200)))),"✓",""))</f>
        <v>✓</v>
      </c>
      <c r="B200" s="67">
        <v>46209</v>
      </c>
      <c r="C200" s="23">
        <f>'Jul 6'!$D$25</f>
        <v>0</v>
      </c>
      <c r="D200" s="23">
        <f>'Jul 6'!$B$25</f>
        <v>0</v>
      </c>
      <c r="E200" s="64">
        <f>'Jul 6'!$E$25</f>
        <v>0</v>
      </c>
      <c r="F200" s="23">
        <f>'Jul 6'!$A$25</f>
        <v>0</v>
      </c>
      <c r="G200" s="64">
        <f>'Jul 6'!$F$25</f>
        <v>0</v>
      </c>
      <c r="H200" s="64">
        <f>'Jul 6'!$G$25</f>
        <v>0</v>
      </c>
      <c r="I200" s="64" t="str">
        <f>'Jul 6'!$M$25</f>
        <v/>
      </c>
      <c r="J200" s="25" t="str">
        <f>'Jul 6'!$S$25</f>
        <v/>
      </c>
      <c r="K200" s="23">
        <f>'Jul 6'!$AG$25</f>
        <v>0</v>
      </c>
      <c r="L200" s="23">
        <f>'Jul 6'!$N$25</f>
        <v>0</v>
      </c>
    </row>
    <row r="201" spans="1:12" x14ac:dyDescent="0.25">
      <c r="A201" s="66" t="str">
        <f t="shared" si="3"/>
        <v>✓</v>
      </c>
      <c r="B201" s="67">
        <v>46209</v>
      </c>
      <c r="C201" s="23">
        <f>'Jul 6'!$D$26</f>
        <v>0</v>
      </c>
      <c r="D201" s="23">
        <f>'Jul 6'!$B$26</f>
        <v>0</v>
      </c>
      <c r="E201" s="64">
        <f>'Jul 6'!$E$26</f>
        <v>0</v>
      </c>
      <c r="F201" s="23">
        <f>'Jul 6'!$A$26</f>
        <v>0</v>
      </c>
      <c r="G201" s="64">
        <f>'Jul 6'!$F$26</f>
        <v>0</v>
      </c>
      <c r="H201" s="64">
        <f>'Jul 6'!$G$26</f>
        <v>0</v>
      </c>
      <c r="I201" s="64" t="str">
        <f>'Jul 6'!$M$26</f>
        <v/>
      </c>
      <c r="J201" s="25" t="str">
        <f>'Jul 6'!$S$26</f>
        <v/>
      </c>
      <c r="K201" s="23">
        <f>'Jul 6'!$AG$26</f>
        <v>0</v>
      </c>
      <c r="L201" s="23">
        <f>'Jul 6'!$N$26</f>
        <v>0</v>
      </c>
    </row>
    <row r="202" spans="1:12" x14ac:dyDescent="0.25">
      <c r="A202" s="66" t="str">
        <f t="shared" si="3"/>
        <v>✓</v>
      </c>
      <c r="B202" s="67">
        <v>46209</v>
      </c>
      <c r="C202" s="23">
        <f>'Jul 6'!$D$27</f>
        <v>0</v>
      </c>
      <c r="D202" s="23">
        <f>'Jul 6'!$B$27</f>
        <v>0</v>
      </c>
      <c r="E202" s="64">
        <f>'Jul 6'!$E$27</f>
        <v>0</v>
      </c>
      <c r="F202" s="23">
        <f>'Jul 6'!$A$27</f>
        <v>0</v>
      </c>
      <c r="G202" s="64">
        <f>'Jul 6'!$F$27</f>
        <v>0</v>
      </c>
      <c r="H202" s="64">
        <f>'Jul 6'!$G$27</f>
        <v>0</v>
      </c>
      <c r="I202" s="64" t="str">
        <f>'Jul 6'!$M$27</f>
        <v/>
      </c>
      <c r="J202" s="25" t="str">
        <f>'Jul 6'!$S$27</f>
        <v/>
      </c>
      <c r="K202" s="23">
        <f>'Jul 6'!$AG$27</f>
        <v>0</v>
      </c>
      <c r="L202" s="23">
        <f>'Jul 6'!$N$27</f>
        <v>0</v>
      </c>
    </row>
    <row r="203" spans="1:12" x14ac:dyDescent="0.25">
      <c r="A203" s="66" t="str">
        <f t="shared" si="3"/>
        <v>✓</v>
      </c>
      <c r="B203" s="67">
        <v>46209</v>
      </c>
      <c r="C203" s="23">
        <f>'Jul 6'!$D$28</f>
        <v>0</v>
      </c>
      <c r="D203" s="23">
        <f>'Jul 6'!$B$28</f>
        <v>0</v>
      </c>
      <c r="E203" s="64">
        <f>'Jul 6'!$E$28</f>
        <v>0</v>
      </c>
      <c r="F203" s="23">
        <f>'Jul 6'!$A$28</f>
        <v>0</v>
      </c>
      <c r="G203" s="64">
        <f>'Jul 6'!$F$28</f>
        <v>0</v>
      </c>
      <c r="H203" s="64">
        <f>'Jul 6'!$G$28</f>
        <v>0</v>
      </c>
      <c r="I203" s="64" t="str">
        <f>'Jul 6'!$M$28</f>
        <v/>
      </c>
      <c r="J203" s="25" t="str">
        <f>'Jul 6'!$S$28</f>
        <v/>
      </c>
      <c r="K203" s="23">
        <f>'Jul 6'!$AG$28</f>
        <v>0</v>
      </c>
      <c r="L203" s="23">
        <f>'Jul 6'!$N$28</f>
        <v>0</v>
      </c>
    </row>
    <row r="204" spans="1:12" x14ac:dyDescent="0.25">
      <c r="A204" s="66" t="str">
        <f t="shared" si="3"/>
        <v>✓</v>
      </c>
      <c r="B204" s="67">
        <v>46209</v>
      </c>
      <c r="C204" s="23">
        <f>'Jul 6'!$D$29</f>
        <v>0</v>
      </c>
      <c r="D204" s="23">
        <f>'Jul 6'!$B$29</f>
        <v>0</v>
      </c>
      <c r="E204" s="64">
        <f>'Jul 6'!$E$29</f>
        <v>0</v>
      </c>
      <c r="F204" s="23">
        <f>'Jul 6'!$A$29</f>
        <v>0</v>
      </c>
      <c r="G204" s="64">
        <f>'Jul 6'!$F$29</f>
        <v>0</v>
      </c>
      <c r="H204" s="64">
        <f>'Jul 6'!$G$29</f>
        <v>0</v>
      </c>
      <c r="I204" s="64" t="str">
        <f>'Jul 6'!$M$29</f>
        <v/>
      </c>
      <c r="J204" s="25" t="str">
        <f>'Jul 6'!$S$29</f>
        <v/>
      </c>
      <c r="K204" s="23">
        <f>'Jul 6'!$AG$29</f>
        <v>0</v>
      </c>
      <c r="L204" s="23">
        <f>'Jul 6'!$N$29</f>
        <v>0</v>
      </c>
    </row>
    <row r="205" spans="1:12" x14ac:dyDescent="0.25">
      <c r="A205" s="66" t="str">
        <f t="shared" si="3"/>
        <v>✓</v>
      </c>
      <c r="B205" s="67">
        <v>46209</v>
      </c>
      <c r="C205" s="23">
        <f>'Jul 6'!$D$30</f>
        <v>0</v>
      </c>
      <c r="D205" s="23">
        <f>'Jul 6'!$B$30</f>
        <v>0</v>
      </c>
      <c r="E205" s="64">
        <f>'Jul 6'!$E$30</f>
        <v>0</v>
      </c>
      <c r="F205" s="23">
        <f>'Jul 6'!$A$30</f>
        <v>0</v>
      </c>
      <c r="G205" s="64">
        <f>'Jul 6'!$F$30</f>
        <v>0</v>
      </c>
      <c r="H205" s="64">
        <f>'Jul 6'!$G$30</f>
        <v>0</v>
      </c>
      <c r="I205" s="64" t="str">
        <f>'Jul 6'!$M$30</f>
        <v/>
      </c>
      <c r="J205" s="25" t="str">
        <f>'Jul 6'!$S$30</f>
        <v/>
      </c>
      <c r="K205" s="23">
        <f>'Jul 6'!$AG$30</f>
        <v>0</v>
      </c>
      <c r="L205" s="23">
        <f>'Jul 6'!$N$30</f>
        <v>0</v>
      </c>
    </row>
    <row r="206" spans="1:12" x14ac:dyDescent="0.25">
      <c r="A206" s="66" t="str">
        <f t="shared" si="3"/>
        <v>✓</v>
      </c>
      <c r="B206" s="67">
        <v>46209</v>
      </c>
      <c r="C206" s="23">
        <f>'Jul 6'!$D$31</f>
        <v>0</v>
      </c>
      <c r="D206" s="23">
        <f>'Jul 6'!$B$31</f>
        <v>0</v>
      </c>
      <c r="E206" s="64">
        <f>'Jul 6'!$E$31</f>
        <v>0</v>
      </c>
      <c r="F206" s="23">
        <f>'Jul 6'!$A$31</f>
        <v>0</v>
      </c>
      <c r="G206" s="64">
        <f>'Jul 6'!$F$31</f>
        <v>0</v>
      </c>
      <c r="H206" s="64">
        <f>'Jul 6'!$G$31</f>
        <v>0</v>
      </c>
      <c r="I206" s="64" t="str">
        <f>'Jul 6'!$M$31</f>
        <v/>
      </c>
      <c r="J206" s="25" t="str">
        <f>'Jul 6'!$S$31</f>
        <v/>
      </c>
      <c r="K206" s="23">
        <f>'Jul 6'!$AG$31</f>
        <v>0</v>
      </c>
      <c r="L206" s="23">
        <f>'Jul 6'!$N$31</f>
        <v>0</v>
      </c>
    </row>
    <row r="207" spans="1:12" x14ac:dyDescent="0.25">
      <c r="A207" s="66" t="str">
        <f t="shared" si="3"/>
        <v>✓</v>
      </c>
      <c r="B207" s="67">
        <v>46209</v>
      </c>
      <c r="C207" s="23">
        <f>'Jul 6'!$D$32</f>
        <v>0</v>
      </c>
      <c r="D207" s="23">
        <f>'Jul 6'!$B$32</f>
        <v>0</v>
      </c>
      <c r="E207" s="64">
        <f>'Jul 6'!$E$32</f>
        <v>0</v>
      </c>
      <c r="F207" s="23">
        <f>'Jul 6'!$A$32</f>
        <v>0</v>
      </c>
      <c r="G207" s="64">
        <f>'Jul 6'!$F$32</f>
        <v>0</v>
      </c>
      <c r="H207" s="64">
        <f>'Jul 6'!$G$32</f>
        <v>0</v>
      </c>
      <c r="I207" s="64" t="str">
        <f>'Jul 6'!$M$32</f>
        <v/>
      </c>
      <c r="J207" s="25" t="str">
        <f>'Jul 6'!$S$32</f>
        <v/>
      </c>
      <c r="K207" s="23">
        <f>'Jul 6'!$AG$32</f>
        <v>0</v>
      </c>
      <c r="L207" s="23">
        <f>'Jul 6'!$N$32</f>
        <v>0</v>
      </c>
    </row>
    <row r="208" spans="1:12" x14ac:dyDescent="0.25">
      <c r="A208" s="66" t="str">
        <f t="shared" si="3"/>
        <v>✓</v>
      </c>
      <c r="B208" s="67">
        <v>46209</v>
      </c>
      <c r="C208" s="23">
        <f>'Jul 6'!$D$33</f>
        <v>0</v>
      </c>
      <c r="D208" s="23">
        <f>'Jul 6'!$B$33</f>
        <v>0</v>
      </c>
      <c r="E208" s="64">
        <f>'Jul 6'!$E$33</f>
        <v>0</v>
      </c>
      <c r="F208" s="23">
        <f>'Jul 6'!$A$33</f>
        <v>0</v>
      </c>
      <c r="G208" s="64">
        <f>'Jul 6'!$F$33</f>
        <v>0</v>
      </c>
      <c r="H208" s="64">
        <f>'Jul 6'!$G$33</f>
        <v>0</v>
      </c>
      <c r="I208" s="64" t="str">
        <f>'Jul 6'!$M$33</f>
        <v/>
      </c>
      <c r="J208" s="25" t="str">
        <f>'Jul 6'!$S$33</f>
        <v/>
      </c>
      <c r="K208" s="23">
        <f>'Jul 6'!$AG$33</f>
        <v>0</v>
      </c>
      <c r="L208" s="23">
        <f>'Jul 6'!$N$33</f>
        <v>0</v>
      </c>
    </row>
    <row r="209" spans="1:12" x14ac:dyDescent="0.25">
      <c r="A209" s="66" t="str">
        <f t="shared" si="3"/>
        <v>✓</v>
      </c>
      <c r="B209" s="67">
        <v>46209</v>
      </c>
      <c r="C209" s="23">
        <f>'Jul 6'!$D$34</f>
        <v>0</v>
      </c>
      <c r="D209" s="23">
        <f>'Jul 6'!$B$34</f>
        <v>0</v>
      </c>
      <c r="E209" s="64">
        <f>'Jul 6'!$E$34</f>
        <v>0</v>
      </c>
      <c r="F209" s="23">
        <f>'Jul 6'!$A$34</f>
        <v>0</v>
      </c>
      <c r="G209" s="64">
        <f>'Jul 6'!$F$34</f>
        <v>0</v>
      </c>
      <c r="H209" s="64">
        <f>'Jul 6'!$G$34</f>
        <v>0</v>
      </c>
      <c r="I209" s="64" t="str">
        <f>'Jul 6'!$M$34</f>
        <v/>
      </c>
      <c r="J209" s="25" t="str">
        <f>'Jul 6'!$S$34</f>
        <v/>
      </c>
      <c r="K209" s="23">
        <f>'Jul 6'!$AG$34</f>
        <v>0</v>
      </c>
      <c r="L209" s="23">
        <f>'Jul 6'!$N$34</f>
        <v>0</v>
      </c>
    </row>
    <row r="210" spans="1:12" x14ac:dyDescent="0.25">
      <c r="A210" s="66" t="str">
        <f t="shared" si="3"/>
        <v>✓</v>
      </c>
      <c r="B210" s="67">
        <v>46209</v>
      </c>
      <c r="C210" s="23">
        <f>'Jul 6'!$D$35</f>
        <v>0</v>
      </c>
      <c r="D210" s="23">
        <f>'Jul 6'!$B$35</f>
        <v>0</v>
      </c>
      <c r="E210" s="64">
        <f>'Jul 6'!$E$35</f>
        <v>0</v>
      </c>
      <c r="F210" s="23">
        <f>'Jul 6'!$A$35</f>
        <v>0</v>
      </c>
      <c r="G210" s="64">
        <f>'Jul 6'!$F$35</f>
        <v>0</v>
      </c>
      <c r="H210" s="64">
        <f>'Jul 6'!$G$35</f>
        <v>0</v>
      </c>
      <c r="I210" s="64" t="str">
        <f>'Jul 6'!$M$35</f>
        <v/>
      </c>
      <c r="J210" s="25" t="str">
        <f>'Jul 6'!$S$35</f>
        <v/>
      </c>
      <c r="K210" s="23">
        <f>'Jul 6'!$AG$35</f>
        <v>0</v>
      </c>
      <c r="L210" s="23">
        <f>'Jul 6'!$N$35</f>
        <v>0</v>
      </c>
    </row>
    <row r="211" spans="1:12" x14ac:dyDescent="0.25">
      <c r="A211" s="66" t="str">
        <f t="shared" si="3"/>
        <v>✓</v>
      </c>
      <c r="B211" s="67">
        <v>46209</v>
      </c>
      <c r="C211" s="23">
        <f>'Jul 6'!$D$36</f>
        <v>0</v>
      </c>
      <c r="D211" s="23">
        <f>'Jul 6'!$B$36</f>
        <v>0</v>
      </c>
      <c r="E211" s="64">
        <f>'Jul 6'!$E$36</f>
        <v>0</v>
      </c>
      <c r="F211" s="23">
        <f>'Jul 6'!$A$36</f>
        <v>0</v>
      </c>
      <c r="G211" s="64">
        <f>'Jul 6'!$F$36</f>
        <v>0</v>
      </c>
      <c r="H211" s="64">
        <f>'Jul 6'!$G$36</f>
        <v>0</v>
      </c>
      <c r="I211" s="64" t="str">
        <f>'Jul 6'!$M$36</f>
        <v/>
      </c>
      <c r="J211" s="25" t="str">
        <f>'Jul 6'!$S$36</f>
        <v/>
      </c>
      <c r="K211" s="23">
        <f>'Jul 6'!$AG$36</f>
        <v>0</v>
      </c>
      <c r="L211" s="23">
        <f>'Jul 6'!$N$36</f>
        <v>0</v>
      </c>
    </row>
    <row r="212" spans="1:12" x14ac:dyDescent="0.25">
      <c r="A212" s="66" t="str">
        <f t="shared" si="3"/>
        <v>✓</v>
      </c>
      <c r="B212" s="67">
        <v>46209</v>
      </c>
      <c r="C212" s="23">
        <f>'Jul 6'!$D$37</f>
        <v>0</v>
      </c>
      <c r="D212" s="23">
        <f>'Jul 6'!$B$37</f>
        <v>0</v>
      </c>
      <c r="E212" s="64">
        <f>'Jul 6'!$E$37</f>
        <v>0</v>
      </c>
      <c r="F212" s="23">
        <f>'Jul 6'!$A$37</f>
        <v>0</v>
      </c>
      <c r="G212" s="64">
        <f>'Jul 6'!$F$37</f>
        <v>0</v>
      </c>
      <c r="H212" s="64">
        <f>'Jul 6'!$G$37</f>
        <v>0</v>
      </c>
      <c r="I212" s="64" t="str">
        <f>'Jul 6'!$M$37</f>
        <v/>
      </c>
      <c r="J212" s="25" t="str">
        <f>'Jul 6'!$S$37</f>
        <v/>
      </c>
      <c r="K212" s="23">
        <f>'Jul 6'!$AG$37</f>
        <v>0</v>
      </c>
      <c r="L212" s="23">
        <f>'Jul 6'!$N$37</f>
        <v>0</v>
      </c>
    </row>
    <row r="213" spans="1:12" x14ac:dyDescent="0.25">
      <c r="A213" s="66" t="str">
        <f t="shared" si="3"/>
        <v>✓</v>
      </c>
      <c r="B213" s="67">
        <v>46209</v>
      </c>
      <c r="C213" s="23">
        <f>'Jul 6'!$D$38</f>
        <v>0</v>
      </c>
      <c r="D213" s="23">
        <f>'Jul 6'!$B$38</f>
        <v>0</v>
      </c>
      <c r="E213" s="64">
        <f>'Jul 6'!$E$38</f>
        <v>0</v>
      </c>
      <c r="F213" s="23">
        <f>'Jul 6'!$A$38</f>
        <v>0</v>
      </c>
      <c r="G213" s="64">
        <f>'Jul 6'!$F$38</f>
        <v>0</v>
      </c>
      <c r="H213" s="64">
        <f>'Jul 6'!$G$38</f>
        <v>0</v>
      </c>
      <c r="I213" s="64" t="str">
        <f>'Jul 6'!$M$38</f>
        <v/>
      </c>
      <c r="J213" s="25" t="str">
        <f>'Jul 6'!$S$38</f>
        <v/>
      </c>
      <c r="K213" s="23">
        <f>'Jul 6'!$AG$38</f>
        <v>0</v>
      </c>
      <c r="L213" s="23">
        <f>'Jul 6'!$N$38</f>
        <v>0</v>
      </c>
    </row>
    <row r="214" spans="1:12" x14ac:dyDescent="0.25">
      <c r="A214" s="66" t="str">
        <f t="shared" si="3"/>
        <v>✓</v>
      </c>
      <c r="B214" s="67">
        <v>46209</v>
      </c>
      <c r="C214" s="23">
        <f>'Jul 6'!$D$39</f>
        <v>0</v>
      </c>
      <c r="D214" s="23">
        <f>'Jul 6'!$B$39</f>
        <v>0</v>
      </c>
      <c r="E214" s="64">
        <f>'Jul 6'!$E$39</f>
        <v>0</v>
      </c>
      <c r="F214" s="23">
        <f>'Jul 6'!$A$39</f>
        <v>0</v>
      </c>
      <c r="G214" s="64">
        <f>'Jul 6'!$F$39</f>
        <v>0</v>
      </c>
      <c r="H214" s="64">
        <f>'Jul 6'!$G$39</f>
        <v>0</v>
      </c>
      <c r="I214" s="64" t="str">
        <f>'Jul 6'!$M$39</f>
        <v/>
      </c>
      <c r="J214" s="25" t="str">
        <f>'Jul 6'!$S$39</f>
        <v/>
      </c>
      <c r="K214" s="23">
        <f>'Jul 6'!$AG$39</f>
        <v>0</v>
      </c>
      <c r="L214" s="23">
        <f>'Jul 6'!$N$39</f>
        <v>0</v>
      </c>
    </row>
    <row r="215" spans="1:12" x14ac:dyDescent="0.25">
      <c r="A215" s="66" t="str">
        <f t="shared" si="3"/>
        <v>✓</v>
      </c>
      <c r="B215" s="67">
        <v>46209</v>
      </c>
      <c r="C215" s="23">
        <f>'Jul 6'!$D$40</f>
        <v>0</v>
      </c>
      <c r="D215" s="23">
        <f>'Jul 6'!$B$40</f>
        <v>0</v>
      </c>
      <c r="E215" s="64">
        <f>'Jul 6'!$E$40</f>
        <v>0</v>
      </c>
      <c r="F215" s="23">
        <f>'Jul 6'!$A$40</f>
        <v>0</v>
      </c>
      <c r="G215" s="64">
        <f>'Jul 6'!$F$40</f>
        <v>0</v>
      </c>
      <c r="H215" s="64">
        <f>'Jul 6'!$G$40</f>
        <v>0</v>
      </c>
      <c r="I215" s="64" t="str">
        <f>'Jul 6'!$M$40</f>
        <v/>
      </c>
      <c r="J215" s="25" t="str">
        <f>'Jul 6'!$S$40</f>
        <v/>
      </c>
      <c r="K215" s="23">
        <f>'Jul 6'!$AG$40</f>
        <v>0</v>
      </c>
      <c r="L215" s="23">
        <f>'Jul 6'!$N$40</f>
        <v>0</v>
      </c>
    </row>
    <row r="216" spans="1:12" x14ac:dyDescent="0.25">
      <c r="A216" s="66" t="str">
        <f t="shared" si="3"/>
        <v>✓</v>
      </c>
      <c r="B216" s="67">
        <v>46209</v>
      </c>
      <c r="C216" s="23">
        <f>'Jul 6'!$D$41</f>
        <v>0</v>
      </c>
      <c r="D216" s="23">
        <f>'Jul 6'!$B$41</f>
        <v>0</v>
      </c>
      <c r="E216" s="64">
        <f>'Jul 6'!$E$41</f>
        <v>0</v>
      </c>
      <c r="F216" s="23">
        <f>'Jul 6'!$A$41</f>
        <v>0</v>
      </c>
      <c r="G216" s="64">
        <f>'Jul 6'!$F$41</f>
        <v>0</v>
      </c>
      <c r="H216" s="64">
        <f>'Jul 6'!$G$41</f>
        <v>0</v>
      </c>
      <c r="I216" s="64" t="str">
        <f>'Jul 6'!$M$41</f>
        <v/>
      </c>
      <c r="J216" s="25" t="str">
        <f>'Jul 6'!$S$41</f>
        <v/>
      </c>
      <c r="K216" s="23">
        <f>'Jul 6'!$AG$41</f>
        <v>0</v>
      </c>
      <c r="L216" s="23">
        <f>'Jul 6'!$N$41</f>
        <v>0</v>
      </c>
    </row>
    <row r="217" spans="1:12" x14ac:dyDescent="0.25">
      <c r="A217" s="66" t="str">
        <f t="shared" si="3"/>
        <v>✓</v>
      </c>
      <c r="B217" s="67">
        <v>46209</v>
      </c>
      <c r="C217" s="23">
        <f>'Jul 6'!$D$42</f>
        <v>0</v>
      </c>
      <c r="D217" s="23">
        <f>'Jul 6'!$B$42</f>
        <v>0</v>
      </c>
      <c r="E217" s="64">
        <f>'Jul 6'!$E$42</f>
        <v>0</v>
      </c>
      <c r="F217" s="23">
        <f>'Jul 6'!$A$42</f>
        <v>0</v>
      </c>
      <c r="G217" s="64">
        <f>'Jul 6'!$F$42</f>
        <v>0</v>
      </c>
      <c r="H217" s="64">
        <f>'Jul 6'!$G$42</f>
        <v>0</v>
      </c>
      <c r="I217" s="64" t="str">
        <f>'Jul 6'!$M$42</f>
        <v/>
      </c>
      <c r="J217" s="25" t="str">
        <f>'Jul 6'!$S$42</f>
        <v/>
      </c>
      <c r="K217" s="23">
        <f>'Jul 6'!$AG$42</f>
        <v>0</v>
      </c>
      <c r="L217" s="23">
        <f>'Jul 6'!$N$42</f>
        <v>0</v>
      </c>
    </row>
    <row r="218" spans="1:12" x14ac:dyDescent="0.25">
      <c r="A218" s="66" t="str">
        <f t="shared" si="3"/>
        <v>✓</v>
      </c>
      <c r="B218" s="67">
        <v>46210</v>
      </c>
      <c r="C218" s="23">
        <f>'Jul 7'!$D$8</f>
        <v>0</v>
      </c>
      <c r="D218" s="23">
        <f>'Jul 7'!$B$8</f>
        <v>0</v>
      </c>
      <c r="E218" s="64">
        <f>'Jul 7'!$E$8</f>
        <v>0</v>
      </c>
      <c r="F218" s="23">
        <f>'Jul 7'!$A$8</f>
        <v>0</v>
      </c>
      <c r="G218" s="64">
        <f>'Jul 7'!$F$8</f>
        <v>0</v>
      </c>
      <c r="H218" s="64">
        <f>'Jul 7'!$G$8</f>
        <v>0</v>
      </c>
      <c r="I218" s="64" t="str">
        <f>'Jul 7'!$M$8</f>
        <v/>
      </c>
      <c r="J218" s="25" t="str">
        <f>'Jul 7'!$S$8</f>
        <v/>
      </c>
      <c r="K218" s="23">
        <f>'Jul 7'!$AG$8</f>
        <v>0</v>
      </c>
      <c r="L218" s="23">
        <f>'Jul 7'!$N$8</f>
        <v>0</v>
      </c>
    </row>
    <row r="219" spans="1:12" x14ac:dyDescent="0.25">
      <c r="A219" s="66" t="str">
        <f t="shared" si="3"/>
        <v>✓</v>
      </c>
      <c r="B219" s="67">
        <v>46210</v>
      </c>
      <c r="C219" s="23">
        <f>'Jul 7'!$D$9</f>
        <v>0</v>
      </c>
      <c r="D219" s="23">
        <f>'Jul 7'!$B$9</f>
        <v>0</v>
      </c>
      <c r="E219" s="64">
        <f>'Jul 7'!$E$9</f>
        <v>0</v>
      </c>
      <c r="F219" s="23">
        <f>'Jul 7'!$A$9</f>
        <v>0</v>
      </c>
      <c r="G219" s="64">
        <f>'Jul 7'!$F$9</f>
        <v>0</v>
      </c>
      <c r="H219" s="64">
        <f>'Jul 7'!$G$9</f>
        <v>0</v>
      </c>
      <c r="I219" s="64" t="str">
        <f>'Jul 7'!$M$9</f>
        <v/>
      </c>
      <c r="J219" s="25" t="str">
        <f>'Jul 7'!$S$9</f>
        <v/>
      </c>
      <c r="K219" s="23">
        <f>'Jul 7'!$AG$9</f>
        <v>0</v>
      </c>
      <c r="L219" s="23">
        <f>'Jul 7'!$N$9</f>
        <v>0</v>
      </c>
    </row>
    <row r="220" spans="1:12" x14ac:dyDescent="0.25">
      <c r="A220" s="66" t="str">
        <f t="shared" si="3"/>
        <v>✓</v>
      </c>
      <c r="B220" s="67">
        <v>46210</v>
      </c>
      <c r="C220" s="23">
        <f>'Jul 7'!$D$10</f>
        <v>0</v>
      </c>
      <c r="D220" s="23">
        <f>'Jul 7'!$B$10</f>
        <v>0</v>
      </c>
      <c r="E220" s="64">
        <f>'Jul 7'!$E$10</f>
        <v>0</v>
      </c>
      <c r="F220" s="23">
        <f>'Jul 7'!$A$10</f>
        <v>0</v>
      </c>
      <c r="G220" s="64">
        <f>'Jul 7'!$F$10</f>
        <v>0</v>
      </c>
      <c r="H220" s="64">
        <f>'Jul 7'!$G$10</f>
        <v>0</v>
      </c>
      <c r="I220" s="64" t="str">
        <f>'Jul 7'!$M$10</f>
        <v/>
      </c>
      <c r="J220" s="25" t="str">
        <f>'Jul 7'!$S$10</f>
        <v/>
      </c>
      <c r="K220" s="23">
        <f>'Jul 7'!$AG$10</f>
        <v>0</v>
      </c>
      <c r="L220" s="23">
        <f>'Jul 7'!$N$10</f>
        <v>0</v>
      </c>
    </row>
    <row r="221" spans="1:12" x14ac:dyDescent="0.25">
      <c r="A221" s="66" t="str">
        <f t="shared" si="3"/>
        <v>✓</v>
      </c>
      <c r="B221" s="67">
        <v>46210</v>
      </c>
      <c r="C221" s="23">
        <f>'Jul 7'!$D$11</f>
        <v>0</v>
      </c>
      <c r="D221" s="23">
        <f>'Jul 7'!$B$11</f>
        <v>0</v>
      </c>
      <c r="E221" s="64">
        <f>'Jul 7'!$E$11</f>
        <v>0</v>
      </c>
      <c r="F221" s="23">
        <f>'Jul 7'!$A$11</f>
        <v>0</v>
      </c>
      <c r="G221" s="64">
        <f>'Jul 7'!$F$11</f>
        <v>0</v>
      </c>
      <c r="H221" s="64">
        <f>'Jul 7'!$G$11</f>
        <v>0</v>
      </c>
      <c r="I221" s="64" t="str">
        <f>'Jul 7'!$M$11</f>
        <v/>
      </c>
      <c r="J221" s="25" t="str">
        <f>'Jul 7'!$S$11</f>
        <v/>
      </c>
      <c r="K221" s="23">
        <f>'Jul 7'!$AG$11</f>
        <v>0</v>
      </c>
      <c r="L221" s="23">
        <f>'Jul 7'!$N$11</f>
        <v>0</v>
      </c>
    </row>
    <row r="222" spans="1:12" x14ac:dyDescent="0.25">
      <c r="A222" s="66" t="str">
        <f t="shared" si="3"/>
        <v>✓</v>
      </c>
      <c r="B222" s="67">
        <v>46210</v>
      </c>
      <c r="C222" s="23">
        <f>'Jul 7'!$D$12</f>
        <v>0</v>
      </c>
      <c r="D222" s="23">
        <f>'Jul 7'!$B$12</f>
        <v>0</v>
      </c>
      <c r="E222" s="64">
        <f>'Jul 7'!$E$12</f>
        <v>0</v>
      </c>
      <c r="F222" s="23">
        <f>'Jul 7'!$A$12</f>
        <v>0</v>
      </c>
      <c r="G222" s="64">
        <f>'Jul 7'!$F$12</f>
        <v>0</v>
      </c>
      <c r="H222" s="64">
        <f>'Jul 7'!$G$12</f>
        <v>0</v>
      </c>
      <c r="I222" s="64" t="str">
        <f>'Jul 7'!$M$12</f>
        <v/>
      </c>
      <c r="J222" s="25" t="str">
        <f>'Jul 7'!$S$12</f>
        <v/>
      </c>
      <c r="K222" s="23">
        <f>'Jul 7'!$AG$12</f>
        <v>0</v>
      </c>
      <c r="L222" s="23">
        <f>'Jul 7'!$N$12</f>
        <v>0</v>
      </c>
    </row>
    <row r="223" spans="1:12" x14ac:dyDescent="0.25">
      <c r="A223" s="66" t="str">
        <f t="shared" si="3"/>
        <v>✓</v>
      </c>
      <c r="B223" s="67">
        <v>46210</v>
      </c>
      <c r="C223" s="23">
        <f>'Jul 7'!$D$13</f>
        <v>0</v>
      </c>
      <c r="D223" s="23">
        <f>'Jul 7'!$B$13</f>
        <v>0</v>
      </c>
      <c r="E223" s="64">
        <f>'Jul 7'!$E$13</f>
        <v>0</v>
      </c>
      <c r="F223" s="23">
        <f>'Jul 7'!$A$13</f>
        <v>0</v>
      </c>
      <c r="G223" s="64">
        <f>'Jul 7'!$F$13</f>
        <v>0</v>
      </c>
      <c r="H223" s="64">
        <f>'Jul 7'!$G$13</f>
        <v>0</v>
      </c>
      <c r="I223" s="64" t="str">
        <f>'Jul 7'!$M$13</f>
        <v/>
      </c>
      <c r="J223" s="25" t="str">
        <f>'Jul 7'!$S$13</f>
        <v/>
      </c>
      <c r="K223" s="23">
        <f>'Jul 7'!$AG$13</f>
        <v>0</v>
      </c>
      <c r="L223" s="23">
        <f>'Jul 7'!$N$13</f>
        <v>0</v>
      </c>
    </row>
    <row r="224" spans="1:12" x14ac:dyDescent="0.25">
      <c r="A224" s="66" t="str">
        <f t="shared" si="3"/>
        <v>✓</v>
      </c>
      <c r="B224" s="67">
        <v>46210</v>
      </c>
      <c r="C224" s="23">
        <f>'Jul 7'!$D$14</f>
        <v>0</v>
      </c>
      <c r="D224" s="23">
        <f>'Jul 7'!$B$14</f>
        <v>0</v>
      </c>
      <c r="E224" s="64">
        <f>'Jul 7'!$E$14</f>
        <v>0</v>
      </c>
      <c r="F224" s="23">
        <f>'Jul 7'!$A$14</f>
        <v>0</v>
      </c>
      <c r="G224" s="64">
        <f>'Jul 7'!$F$14</f>
        <v>0</v>
      </c>
      <c r="H224" s="64">
        <f>'Jul 7'!$G$14</f>
        <v>0</v>
      </c>
      <c r="I224" s="64" t="str">
        <f>'Jul 7'!$M$14</f>
        <v/>
      </c>
      <c r="J224" s="25" t="str">
        <f>'Jul 7'!$S$14</f>
        <v/>
      </c>
      <c r="K224" s="23">
        <f>'Jul 7'!$AG$14</f>
        <v>0</v>
      </c>
      <c r="L224" s="23">
        <f>'Jul 7'!$N$14</f>
        <v>0</v>
      </c>
    </row>
    <row r="225" spans="1:12" x14ac:dyDescent="0.25">
      <c r="A225" s="66" t="str">
        <f t="shared" si="3"/>
        <v>✓</v>
      </c>
      <c r="B225" s="67">
        <v>46210</v>
      </c>
      <c r="C225" s="23">
        <f>'Jul 7'!$D$15</f>
        <v>0</v>
      </c>
      <c r="D225" s="23">
        <f>'Jul 7'!$B$15</f>
        <v>0</v>
      </c>
      <c r="E225" s="64">
        <f>'Jul 7'!$E$15</f>
        <v>0</v>
      </c>
      <c r="F225" s="23">
        <f>'Jul 7'!$A$15</f>
        <v>0</v>
      </c>
      <c r="G225" s="64">
        <f>'Jul 7'!$F$15</f>
        <v>0</v>
      </c>
      <c r="H225" s="64">
        <f>'Jul 7'!$G$15</f>
        <v>0</v>
      </c>
      <c r="I225" s="64" t="str">
        <f>'Jul 7'!$M$15</f>
        <v/>
      </c>
      <c r="J225" s="25" t="str">
        <f>'Jul 7'!$S$15</f>
        <v/>
      </c>
      <c r="K225" s="23">
        <f>'Jul 7'!$AG$15</f>
        <v>0</v>
      </c>
      <c r="L225" s="23">
        <f>'Jul 7'!$N$15</f>
        <v>0</v>
      </c>
    </row>
    <row r="226" spans="1:12" x14ac:dyDescent="0.25">
      <c r="A226" s="66" t="str">
        <f t="shared" si="3"/>
        <v>✓</v>
      </c>
      <c r="B226" s="67">
        <v>46210</v>
      </c>
      <c r="C226" s="23">
        <f>'Jul 7'!$D$16</f>
        <v>0</v>
      </c>
      <c r="D226" s="23">
        <f>'Jul 7'!$B$16</f>
        <v>0</v>
      </c>
      <c r="E226" s="64">
        <f>'Jul 7'!$E$16</f>
        <v>0</v>
      </c>
      <c r="F226" s="23">
        <f>'Jul 7'!$A$16</f>
        <v>0</v>
      </c>
      <c r="G226" s="64">
        <f>'Jul 7'!$F$16</f>
        <v>0</v>
      </c>
      <c r="H226" s="64">
        <f>'Jul 7'!$G$16</f>
        <v>0</v>
      </c>
      <c r="I226" s="64" t="str">
        <f>'Jul 7'!$M$16</f>
        <v/>
      </c>
      <c r="J226" s="25" t="str">
        <f>'Jul 7'!$S$16</f>
        <v/>
      </c>
      <c r="K226" s="23">
        <f>'Jul 7'!$AG$16</f>
        <v>0</v>
      </c>
      <c r="L226" s="23">
        <f>'Jul 7'!$N$16</f>
        <v>0</v>
      </c>
    </row>
    <row r="227" spans="1:12" x14ac:dyDescent="0.25">
      <c r="A227" s="66" t="str">
        <f t="shared" si="3"/>
        <v>✓</v>
      </c>
      <c r="B227" s="67">
        <v>46210</v>
      </c>
      <c r="C227" s="23">
        <f>'Jul 7'!$D$17</f>
        <v>0</v>
      </c>
      <c r="D227" s="23">
        <f>'Jul 7'!$B$17</f>
        <v>0</v>
      </c>
      <c r="E227" s="64">
        <f>'Jul 7'!$E$17</f>
        <v>0</v>
      </c>
      <c r="F227" s="23">
        <f>'Jul 7'!$A$17</f>
        <v>0</v>
      </c>
      <c r="G227" s="64">
        <f>'Jul 7'!$F$17</f>
        <v>0</v>
      </c>
      <c r="H227" s="64">
        <f>'Jul 7'!$G$17</f>
        <v>0</v>
      </c>
      <c r="I227" s="64" t="str">
        <f>'Jul 7'!$M$17</f>
        <v/>
      </c>
      <c r="J227" s="25" t="str">
        <f>'Jul 7'!$S$17</f>
        <v/>
      </c>
      <c r="K227" s="23">
        <f>'Jul 7'!$AG$17</f>
        <v>0</v>
      </c>
      <c r="L227" s="23">
        <f>'Jul 7'!$N$17</f>
        <v>0</v>
      </c>
    </row>
    <row r="228" spans="1:12" x14ac:dyDescent="0.25">
      <c r="A228" s="66" t="str">
        <f t="shared" si="3"/>
        <v>✓</v>
      </c>
      <c r="B228" s="67">
        <v>46210</v>
      </c>
      <c r="C228" s="23">
        <f>'Jul 7'!$D$18</f>
        <v>0</v>
      </c>
      <c r="D228" s="23">
        <f>'Jul 7'!$B$18</f>
        <v>0</v>
      </c>
      <c r="E228" s="64">
        <f>'Jul 7'!$E$18</f>
        <v>0</v>
      </c>
      <c r="F228" s="23">
        <f>'Jul 7'!$A$18</f>
        <v>0</v>
      </c>
      <c r="G228" s="64">
        <f>'Jul 7'!$F$18</f>
        <v>0</v>
      </c>
      <c r="H228" s="64">
        <f>'Jul 7'!$G$18</f>
        <v>0</v>
      </c>
      <c r="I228" s="64" t="str">
        <f>'Jul 7'!$M$18</f>
        <v/>
      </c>
      <c r="J228" s="25" t="str">
        <f>'Jul 7'!$S$18</f>
        <v/>
      </c>
      <c r="K228" s="23">
        <f>'Jul 7'!$AG$18</f>
        <v>0</v>
      </c>
      <c r="L228" s="23">
        <f>'Jul 7'!$N$18</f>
        <v>0</v>
      </c>
    </row>
    <row r="229" spans="1:12" x14ac:dyDescent="0.25">
      <c r="A229" s="66" t="str">
        <f t="shared" si="3"/>
        <v>✓</v>
      </c>
      <c r="B229" s="67">
        <v>46210</v>
      </c>
      <c r="C229" s="23">
        <f>'Jul 7'!$D$19</f>
        <v>0</v>
      </c>
      <c r="D229" s="23">
        <f>'Jul 7'!$B$19</f>
        <v>0</v>
      </c>
      <c r="E229" s="64">
        <f>'Jul 7'!$E$19</f>
        <v>0</v>
      </c>
      <c r="F229" s="23">
        <f>'Jul 7'!$A$19</f>
        <v>0</v>
      </c>
      <c r="G229" s="64">
        <f>'Jul 7'!$F$19</f>
        <v>0</v>
      </c>
      <c r="H229" s="64">
        <f>'Jul 7'!$G$19</f>
        <v>0</v>
      </c>
      <c r="I229" s="64" t="str">
        <f>'Jul 7'!$M$19</f>
        <v/>
      </c>
      <c r="J229" s="25" t="str">
        <f>'Jul 7'!$S$19</f>
        <v/>
      </c>
      <c r="K229" s="23">
        <f>'Jul 7'!$AG$19</f>
        <v>0</v>
      </c>
      <c r="L229" s="23">
        <f>'Jul 7'!$N$19</f>
        <v>0</v>
      </c>
    </row>
    <row r="230" spans="1:12" x14ac:dyDescent="0.25">
      <c r="A230" s="66" t="str">
        <f t="shared" si="3"/>
        <v>✓</v>
      </c>
      <c r="B230" s="67">
        <v>46210</v>
      </c>
      <c r="C230" s="23">
        <f>'Jul 7'!$D$20</f>
        <v>0</v>
      </c>
      <c r="D230" s="23">
        <f>'Jul 7'!$B$20</f>
        <v>0</v>
      </c>
      <c r="E230" s="64">
        <f>'Jul 7'!$E$20</f>
        <v>0</v>
      </c>
      <c r="F230" s="23">
        <f>'Jul 7'!$A$20</f>
        <v>0</v>
      </c>
      <c r="G230" s="64">
        <f>'Jul 7'!$F$20</f>
        <v>0</v>
      </c>
      <c r="H230" s="64">
        <f>'Jul 7'!$G$20</f>
        <v>0</v>
      </c>
      <c r="I230" s="64" t="str">
        <f>'Jul 7'!$M$20</f>
        <v/>
      </c>
      <c r="J230" s="25" t="str">
        <f>'Jul 7'!$S$20</f>
        <v/>
      </c>
      <c r="K230" s="23">
        <f>'Jul 7'!$AG$20</f>
        <v>0</v>
      </c>
      <c r="L230" s="23">
        <f>'Jul 7'!$N$20</f>
        <v>0</v>
      </c>
    </row>
    <row r="231" spans="1:12" x14ac:dyDescent="0.25">
      <c r="A231" s="66" t="str">
        <f t="shared" si="3"/>
        <v>✓</v>
      </c>
      <c r="B231" s="67">
        <v>46210</v>
      </c>
      <c r="C231" s="23">
        <f>'Jul 7'!$D$21</f>
        <v>0</v>
      </c>
      <c r="D231" s="23">
        <f>'Jul 7'!$B$21</f>
        <v>0</v>
      </c>
      <c r="E231" s="64">
        <f>'Jul 7'!$E$21</f>
        <v>0</v>
      </c>
      <c r="F231" s="23">
        <f>'Jul 7'!$A$21</f>
        <v>0</v>
      </c>
      <c r="G231" s="64">
        <f>'Jul 7'!$F$21</f>
        <v>0</v>
      </c>
      <c r="H231" s="64">
        <f>'Jul 7'!$G$21</f>
        <v>0</v>
      </c>
      <c r="I231" s="64" t="str">
        <f>'Jul 7'!$M$21</f>
        <v/>
      </c>
      <c r="J231" s="25" t="str">
        <f>'Jul 7'!$S$21</f>
        <v/>
      </c>
      <c r="K231" s="23">
        <f>'Jul 7'!$AG$21</f>
        <v>0</v>
      </c>
      <c r="L231" s="23">
        <f>'Jul 7'!$N$21</f>
        <v>0</v>
      </c>
    </row>
    <row r="232" spans="1:12" x14ac:dyDescent="0.25">
      <c r="A232" s="66" t="str">
        <f t="shared" si="3"/>
        <v>✓</v>
      </c>
      <c r="B232" s="67">
        <v>46210</v>
      </c>
      <c r="C232" s="23">
        <f>'Jul 7'!$D$22</f>
        <v>0</v>
      </c>
      <c r="D232" s="23">
        <f>'Jul 7'!$B$22</f>
        <v>0</v>
      </c>
      <c r="E232" s="64">
        <f>'Jul 7'!$E$22</f>
        <v>0</v>
      </c>
      <c r="F232" s="23">
        <f>'Jul 7'!$A$22</f>
        <v>0</v>
      </c>
      <c r="G232" s="64">
        <f>'Jul 7'!$F$22</f>
        <v>0</v>
      </c>
      <c r="H232" s="64">
        <f>'Jul 7'!$G$22</f>
        <v>0</v>
      </c>
      <c r="I232" s="64" t="str">
        <f>'Jul 7'!$M$22</f>
        <v/>
      </c>
      <c r="J232" s="25" t="str">
        <f>'Jul 7'!$S$22</f>
        <v/>
      </c>
      <c r="K232" s="23">
        <f>'Jul 7'!$AG$22</f>
        <v>0</v>
      </c>
      <c r="L232" s="23">
        <f>'Jul 7'!$N$22</f>
        <v>0</v>
      </c>
    </row>
    <row r="233" spans="1:12" x14ac:dyDescent="0.25">
      <c r="A233" s="66" t="str">
        <f t="shared" si="3"/>
        <v>✓</v>
      </c>
      <c r="B233" s="67">
        <v>46210</v>
      </c>
      <c r="C233" s="23">
        <f>'Jul 7'!$D$23</f>
        <v>0</v>
      </c>
      <c r="D233" s="23">
        <f>'Jul 7'!$B$23</f>
        <v>0</v>
      </c>
      <c r="E233" s="64">
        <f>'Jul 7'!$E$23</f>
        <v>0</v>
      </c>
      <c r="F233" s="23">
        <f>'Jul 7'!$A$23</f>
        <v>0</v>
      </c>
      <c r="G233" s="64">
        <f>'Jul 7'!$F$23</f>
        <v>0</v>
      </c>
      <c r="H233" s="64">
        <f>'Jul 7'!$G$23</f>
        <v>0</v>
      </c>
      <c r="I233" s="64" t="str">
        <f>'Jul 7'!$M$23</f>
        <v/>
      </c>
      <c r="J233" s="25" t="str">
        <f>'Jul 7'!$S$23</f>
        <v/>
      </c>
      <c r="K233" s="23">
        <f>'Jul 7'!$AG$23</f>
        <v>0</v>
      </c>
      <c r="L233" s="23">
        <f>'Jul 7'!$N$23</f>
        <v>0</v>
      </c>
    </row>
    <row r="234" spans="1:12" x14ac:dyDescent="0.25">
      <c r="A234" s="66" t="str">
        <f t="shared" si="3"/>
        <v>✓</v>
      </c>
      <c r="B234" s="67">
        <v>46210</v>
      </c>
      <c r="C234" s="23">
        <f>'Jul 7'!$D$24</f>
        <v>0</v>
      </c>
      <c r="D234" s="23">
        <f>'Jul 7'!$B$24</f>
        <v>0</v>
      </c>
      <c r="E234" s="64">
        <f>'Jul 7'!$E$24</f>
        <v>0</v>
      </c>
      <c r="F234" s="23">
        <f>'Jul 7'!$A$24</f>
        <v>0</v>
      </c>
      <c r="G234" s="64">
        <f>'Jul 7'!$F$24</f>
        <v>0</v>
      </c>
      <c r="H234" s="64">
        <f>'Jul 7'!$G$24</f>
        <v>0</v>
      </c>
      <c r="I234" s="64" t="str">
        <f>'Jul 7'!$M$24</f>
        <v/>
      </c>
      <c r="J234" s="25" t="str">
        <f>'Jul 7'!$S$24</f>
        <v/>
      </c>
      <c r="K234" s="23">
        <f>'Jul 7'!$AG$24</f>
        <v>0</v>
      </c>
      <c r="L234" s="23">
        <f>'Jul 7'!$N$24</f>
        <v>0</v>
      </c>
    </row>
    <row r="235" spans="1:12" x14ac:dyDescent="0.25">
      <c r="A235" s="66" t="str">
        <f t="shared" si="3"/>
        <v>✓</v>
      </c>
      <c r="B235" s="67">
        <v>46210</v>
      </c>
      <c r="C235" s="23">
        <f>'Jul 7'!$D$25</f>
        <v>0</v>
      </c>
      <c r="D235" s="23">
        <f>'Jul 7'!$B$25</f>
        <v>0</v>
      </c>
      <c r="E235" s="64">
        <f>'Jul 7'!$E$25</f>
        <v>0</v>
      </c>
      <c r="F235" s="23">
        <f>'Jul 7'!$A$25</f>
        <v>0</v>
      </c>
      <c r="G235" s="64">
        <f>'Jul 7'!$F$25</f>
        <v>0</v>
      </c>
      <c r="H235" s="64">
        <f>'Jul 7'!$G$25</f>
        <v>0</v>
      </c>
      <c r="I235" s="64" t="str">
        <f>'Jul 7'!$M$25</f>
        <v/>
      </c>
      <c r="J235" s="25" t="str">
        <f>'Jul 7'!$S$25</f>
        <v/>
      </c>
      <c r="K235" s="23">
        <f>'Jul 7'!$AG$25</f>
        <v>0</v>
      </c>
      <c r="L235" s="23">
        <f>'Jul 7'!$N$25</f>
        <v>0</v>
      </c>
    </row>
    <row r="236" spans="1:12" x14ac:dyDescent="0.25">
      <c r="A236" s="66" t="str">
        <f t="shared" si="3"/>
        <v>✓</v>
      </c>
      <c r="B236" s="67">
        <v>46210</v>
      </c>
      <c r="C236" s="23">
        <f>'Jul 7'!$D$26</f>
        <v>0</v>
      </c>
      <c r="D236" s="23">
        <f>'Jul 7'!$B$26</f>
        <v>0</v>
      </c>
      <c r="E236" s="64">
        <f>'Jul 7'!$E$26</f>
        <v>0</v>
      </c>
      <c r="F236" s="23">
        <f>'Jul 7'!$A$26</f>
        <v>0</v>
      </c>
      <c r="G236" s="64">
        <f>'Jul 7'!$F$26</f>
        <v>0</v>
      </c>
      <c r="H236" s="64">
        <f>'Jul 7'!$G$26</f>
        <v>0</v>
      </c>
      <c r="I236" s="64" t="str">
        <f>'Jul 7'!$M$26</f>
        <v/>
      </c>
      <c r="J236" s="25" t="str">
        <f>'Jul 7'!$S$26</f>
        <v/>
      </c>
      <c r="K236" s="23">
        <f>'Jul 7'!$AG$26</f>
        <v>0</v>
      </c>
      <c r="L236" s="23">
        <f>'Jul 7'!$N$26</f>
        <v>0</v>
      </c>
    </row>
    <row r="237" spans="1:12" x14ac:dyDescent="0.25">
      <c r="A237" s="66" t="str">
        <f t="shared" si="3"/>
        <v>✓</v>
      </c>
      <c r="B237" s="67">
        <v>46210</v>
      </c>
      <c r="C237" s="23">
        <f>'Jul 7'!$D$27</f>
        <v>0</v>
      </c>
      <c r="D237" s="23">
        <f>'Jul 7'!$B$27</f>
        <v>0</v>
      </c>
      <c r="E237" s="64">
        <f>'Jul 7'!$E$27</f>
        <v>0</v>
      </c>
      <c r="F237" s="23">
        <f>'Jul 7'!$A$27</f>
        <v>0</v>
      </c>
      <c r="G237" s="64">
        <f>'Jul 7'!$F$27</f>
        <v>0</v>
      </c>
      <c r="H237" s="64">
        <f>'Jul 7'!$G$27</f>
        <v>0</v>
      </c>
      <c r="I237" s="64" t="str">
        <f>'Jul 7'!$M$27</f>
        <v/>
      </c>
      <c r="J237" s="25" t="str">
        <f>'Jul 7'!$S$27</f>
        <v/>
      </c>
      <c r="K237" s="23">
        <f>'Jul 7'!$AG$27</f>
        <v>0</v>
      </c>
      <c r="L237" s="23">
        <f>'Jul 7'!$N$27</f>
        <v>0</v>
      </c>
    </row>
    <row r="238" spans="1:12" x14ac:dyDescent="0.25">
      <c r="A238" s="66" t="str">
        <f t="shared" si="3"/>
        <v>✓</v>
      </c>
      <c r="B238" s="67">
        <v>46210</v>
      </c>
      <c r="C238" s="23">
        <f>'Jul 7'!$D$28</f>
        <v>0</v>
      </c>
      <c r="D238" s="23">
        <f>'Jul 7'!$B$28</f>
        <v>0</v>
      </c>
      <c r="E238" s="64">
        <f>'Jul 7'!$E$28</f>
        <v>0</v>
      </c>
      <c r="F238" s="23">
        <f>'Jul 7'!$A$28</f>
        <v>0</v>
      </c>
      <c r="G238" s="64">
        <f>'Jul 7'!$F$28</f>
        <v>0</v>
      </c>
      <c r="H238" s="64">
        <f>'Jul 7'!$G$28</f>
        <v>0</v>
      </c>
      <c r="I238" s="64" t="str">
        <f>'Jul 7'!$M$28</f>
        <v/>
      </c>
      <c r="J238" s="25" t="str">
        <f>'Jul 7'!$S$28</f>
        <v/>
      </c>
      <c r="K238" s="23">
        <f>'Jul 7'!$AG$28</f>
        <v>0</v>
      </c>
      <c r="L238" s="23">
        <f>'Jul 7'!$N$28</f>
        <v>0</v>
      </c>
    </row>
    <row r="239" spans="1:12" x14ac:dyDescent="0.25">
      <c r="A239" s="66" t="str">
        <f t="shared" si="3"/>
        <v>✓</v>
      </c>
      <c r="B239" s="67">
        <v>46210</v>
      </c>
      <c r="C239" s="23">
        <f>'Jul 7'!$D$29</f>
        <v>0</v>
      </c>
      <c r="D239" s="23">
        <f>'Jul 7'!$B$29</f>
        <v>0</v>
      </c>
      <c r="E239" s="64">
        <f>'Jul 7'!$E$29</f>
        <v>0</v>
      </c>
      <c r="F239" s="23">
        <f>'Jul 7'!$A$29</f>
        <v>0</v>
      </c>
      <c r="G239" s="64">
        <f>'Jul 7'!$F$29</f>
        <v>0</v>
      </c>
      <c r="H239" s="64">
        <f>'Jul 7'!$G$29</f>
        <v>0</v>
      </c>
      <c r="I239" s="64" t="str">
        <f>'Jul 7'!$M$29</f>
        <v/>
      </c>
      <c r="J239" s="25" t="str">
        <f>'Jul 7'!$S$29</f>
        <v/>
      </c>
      <c r="K239" s="23">
        <f>'Jul 7'!$AG$29</f>
        <v>0</v>
      </c>
      <c r="L239" s="23">
        <f>'Jul 7'!$N$29</f>
        <v>0</v>
      </c>
    </row>
    <row r="240" spans="1:12" x14ac:dyDescent="0.25">
      <c r="A240" s="66" t="str">
        <f t="shared" si="3"/>
        <v>✓</v>
      </c>
      <c r="B240" s="67">
        <v>46210</v>
      </c>
      <c r="C240" s="23">
        <f>'Jul 7'!$D$30</f>
        <v>0</v>
      </c>
      <c r="D240" s="23">
        <f>'Jul 7'!$B$30</f>
        <v>0</v>
      </c>
      <c r="E240" s="64">
        <f>'Jul 7'!$E$30</f>
        <v>0</v>
      </c>
      <c r="F240" s="23">
        <f>'Jul 7'!$A$30</f>
        <v>0</v>
      </c>
      <c r="G240" s="64">
        <f>'Jul 7'!$F$30</f>
        <v>0</v>
      </c>
      <c r="H240" s="64">
        <f>'Jul 7'!$G$30</f>
        <v>0</v>
      </c>
      <c r="I240" s="64" t="str">
        <f>'Jul 7'!$M$30</f>
        <v/>
      </c>
      <c r="J240" s="25" t="str">
        <f>'Jul 7'!$S$30</f>
        <v/>
      </c>
      <c r="K240" s="23">
        <f>'Jul 7'!$AG$30</f>
        <v>0</v>
      </c>
      <c r="L240" s="23">
        <f>'Jul 7'!$N$30</f>
        <v>0</v>
      </c>
    </row>
    <row r="241" spans="1:12" x14ac:dyDescent="0.25">
      <c r="A241" s="66" t="str">
        <f t="shared" si="3"/>
        <v>✓</v>
      </c>
      <c r="B241" s="67">
        <v>46210</v>
      </c>
      <c r="C241" s="23">
        <f>'Jul 7'!$D$31</f>
        <v>0</v>
      </c>
      <c r="D241" s="23">
        <f>'Jul 7'!$B$31</f>
        <v>0</v>
      </c>
      <c r="E241" s="64">
        <f>'Jul 7'!$E$31</f>
        <v>0</v>
      </c>
      <c r="F241" s="23">
        <f>'Jul 7'!$A$31</f>
        <v>0</v>
      </c>
      <c r="G241" s="64">
        <f>'Jul 7'!$F$31</f>
        <v>0</v>
      </c>
      <c r="H241" s="64">
        <f>'Jul 7'!$G$31</f>
        <v>0</v>
      </c>
      <c r="I241" s="64" t="str">
        <f>'Jul 7'!$M$31</f>
        <v/>
      </c>
      <c r="J241" s="25" t="str">
        <f>'Jul 7'!$S$31</f>
        <v/>
      </c>
      <c r="K241" s="23">
        <f>'Jul 7'!$AG$31</f>
        <v>0</v>
      </c>
      <c r="L241" s="23">
        <f>'Jul 7'!$N$31</f>
        <v>0</v>
      </c>
    </row>
    <row r="242" spans="1:12" x14ac:dyDescent="0.25">
      <c r="A242" s="66" t="str">
        <f t="shared" si="3"/>
        <v>✓</v>
      </c>
      <c r="B242" s="67">
        <v>46210</v>
      </c>
      <c r="C242" s="23">
        <f>'Jul 7'!$D$32</f>
        <v>0</v>
      </c>
      <c r="D242" s="23">
        <f>'Jul 7'!$B$32</f>
        <v>0</v>
      </c>
      <c r="E242" s="64">
        <f>'Jul 7'!$E$32</f>
        <v>0</v>
      </c>
      <c r="F242" s="23">
        <f>'Jul 7'!$A$32</f>
        <v>0</v>
      </c>
      <c r="G242" s="64">
        <f>'Jul 7'!$F$32</f>
        <v>0</v>
      </c>
      <c r="H242" s="64">
        <f>'Jul 7'!$G$32</f>
        <v>0</v>
      </c>
      <c r="I242" s="64" t="str">
        <f>'Jul 7'!$M$32</f>
        <v/>
      </c>
      <c r="J242" s="25" t="str">
        <f>'Jul 7'!$S$32</f>
        <v/>
      </c>
      <c r="K242" s="23">
        <f>'Jul 7'!$AG$32</f>
        <v>0</v>
      </c>
      <c r="L242" s="23">
        <f>'Jul 7'!$N$32</f>
        <v>0</v>
      </c>
    </row>
    <row r="243" spans="1:12" x14ac:dyDescent="0.25">
      <c r="A243" s="66" t="str">
        <f t="shared" si="3"/>
        <v>✓</v>
      </c>
      <c r="B243" s="67">
        <v>46210</v>
      </c>
      <c r="C243" s="23">
        <f>'Jul 7'!$D$33</f>
        <v>0</v>
      </c>
      <c r="D243" s="23">
        <f>'Jul 7'!$B$33</f>
        <v>0</v>
      </c>
      <c r="E243" s="64">
        <f>'Jul 7'!$E$33</f>
        <v>0</v>
      </c>
      <c r="F243" s="23">
        <f>'Jul 7'!$A$33</f>
        <v>0</v>
      </c>
      <c r="G243" s="64">
        <f>'Jul 7'!$F$33</f>
        <v>0</v>
      </c>
      <c r="H243" s="64">
        <f>'Jul 7'!$G$33</f>
        <v>0</v>
      </c>
      <c r="I243" s="64" t="str">
        <f>'Jul 7'!$M$33</f>
        <v/>
      </c>
      <c r="J243" s="25" t="str">
        <f>'Jul 7'!$S$33</f>
        <v/>
      </c>
      <c r="K243" s="23">
        <f>'Jul 7'!$AG$33</f>
        <v>0</v>
      </c>
      <c r="L243" s="23">
        <f>'Jul 7'!$N$33</f>
        <v>0</v>
      </c>
    </row>
    <row r="244" spans="1:12" x14ac:dyDescent="0.25">
      <c r="A244" s="66" t="str">
        <f t="shared" si="3"/>
        <v>✓</v>
      </c>
      <c r="B244" s="67">
        <v>46210</v>
      </c>
      <c r="C244" s="23">
        <f>'Jul 7'!$D$34</f>
        <v>0</v>
      </c>
      <c r="D244" s="23">
        <f>'Jul 7'!$B$34</f>
        <v>0</v>
      </c>
      <c r="E244" s="64">
        <f>'Jul 7'!$E$34</f>
        <v>0</v>
      </c>
      <c r="F244" s="23">
        <f>'Jul 7'!$A$34</f>
        <v>0</v>
      </c>
      <c r="G244" s="64">
        <f>'Jul 7'!$F$34</f>
        <v>0</v>
      </c>
      <c r="H244" s="64">
        <f>'Jul 7'!$G$34</f>
        <v>0</v>
      </c>
      <c r="I244" s="64" t="str">
        <f>'Jul 7'!$M$34</f>
        <v/>
      </c>
      <c r="J244" s="25" t="str">
        <f>'Jul 7'!$S$34</f>
        <v/>
      </c>
      <c r="K244" s="23">
        <f>'Jul 7'!$AG$34</f>
        <v>0</v>
      </c>
      <c r="L244" s="23">
        <f>'Jul 7'!$N$34</f>
        <v>0</v>
      </c>
    </row>
    <row r="245" spans="1:12" x14ac:dyDescent="0.25">
      <c r="A245" s="66" t="str">
        <f t="shared" si="3"/>
        <v>✓</v>
      </c>
      <c r="B245" s="67">
        <v>46210</v>
      </c>
      <c r="C245" s="23">
        <f>'Jul 7'!$D$35</f>
        <v>0</v>
      </c>
      <c r="D245" s="23">
        <f>'Jul 7'!$B$35</f>
        <v>0</v>
      </c>
      <c r="E245" s="64">
        <f>'Jul 7'!$E$35</f>
        <v>0</v>
      </c>
      <c r="F245" s="23">
        <f>'Jul 7'!$A$35</f>
        <v>0</v>
      </c>
      <c r="G245" s="64">
        <f>'Jul 7'!$F$35</f>
        <v>0</v>
      </c>
      <c r="H245" s="64">
        <f>'Jul 7'!$G$35</f>
        <v>0</v>
      </c>
      <c r="I245" s="64" t="str">
        <f>'Jul 7'!$M$35</f>
        <v/>
      </c>
      <c r="J245" s="25" t="str">
        <f>'Jul 7'!$S$35</f>
        <v/>
      </c>
      <c r="K245" s="23">
        <f>'Jul 7'!$AG$35</f>
        <v>0</v>
      </c>
      <c r="L245" s="23">
        <f>'Jul 7'!$N$35</f>
        <v>0</v>
      </c>
    </row>
    <row r="246" spans="1:12" x14ac:dyDescent="0.25">
      <c r="A246" s="66" t="str">
        <f t="shared" si="3"/>
        <v>✓</v>
      </c>
      <c r="B246" s="67">
        <v>46210</v>
      </c>
      <c r="C246" s="23">
        <f>'Jul 7'!$D$36</f>
        <v>0</v>
      </c>
      <c r="D246" s="23">
        <f>'Jul 7'!$B$36</f>
        <v>0</v>
      </c>
      <c r="E246" s="64">
        <f>'Jul 7'!$E$36</f>
        <v>0</v>
      </c>
      <c r="F246" s="23">
        <f>'Jul 7'!$A$36</f>
        <v>0</v>
      </c>
      <c r="G246" s="64">
        <f>'Jul 7'!$F$36</f>
        <v>0</v>
      </c>
      <c r="H246" s="64">
        <f>'Jul 7'!$G$36</f>
        <v>0</v>
      </c>
      <c r="I246" s="64" t="str">
        <f>'Jul 7'!$M$36</f>
        <v/>
      </c>
      <c r="J246" s="25" t="str">
        <f>'Jul 7'!$S$36</f>
        <v/>
      </c>
      <c r="K246" s="23">
        <f>'Jul 7'!$AG$36</f>
        <v>0</v>
      </c>
      <c r="L246" s="23">
        <f>'Jul 7'!$N$36</f>
        <v>0</v>
      </c>
    </row>
    <row r="247" spans="1:12" x14ac:dyDescent="0.25">
      <c r="A247" s="66" t="str">
        <f t="shared" si="3"/>
        <v>✓</v>
      </c>
      <c r="B247" s="67">
        <v>46210</v>
      </c>
      <c r="C247" s="23">
        <f>'Jul 7'!$D$37</f>
        <v>0</v>
      </c>
      <c r="D247" s="23">
        <f>'Jul 7'!$B$37</f>
        <v>0</v>
      </c>
      <c r="E247" s="64">
        <f>'Jul 7'!$E$37</f>
        <v>0</v>
      </c>
      <c r="F247" s="23">
        <f>'Jul 7'!$A$37</f>
        <v>0</v>
      </c>
      <c r="G247" s="64">
        <f>'Jul 7'!$F$37</f>
        <v>0</v>
      </c>
      <c r="H247" s="64">
        <f>'Jul 7'!$G$37</f>
        <v>0</v>
      </c>
      <c r="I247" s="64" t="str">
        <f>'Jul 7'!$M$37</f>
        <v/>
      </c>
      <c r="J247" s="25" t="str">
        <f>'Jul 7'!$S$37</f>
        <v/>
      </c>
      <c r="K247" s="23">
        <f>'Jul 7'!$AG$37</f>
        <v>0</v>
      </c>
      <c r="L247" s="23">
        <f>'Jul 7'!$N$37</f>
        <v>0</v>
      </c>
    </row>
    <row r="248" spans="1:12" x14ac:dyDescent="0.25">
      <c r="A248" s="66" t="str">
        <f t="shared" si="3"/>
        <v>✓</v>
      </c>
      <c r="B248" s="67">
        <v>46210</v>
      </c>
      <c r="C248" s="23">
        <f>'Jul 7'!$D$38</f>
        <v>0</v>
      </c>
      <c r="D248" s="23">
        <f>'Jul 7'!$B$38</f>
        <v>0</v>
      </c>
      <c r="E248" s="64">
        <f>'Jul 7'!$E$38</f>
        <v>0</v>
      </c>
      <c r="F248" s="23">
        <f>'Jul 7'!$A$38</f>
        <v>0</v>
      </c>
      <c r="G248" s="64">
        <f>'Jul 7'!$F$38</f>
        <v>0</v>
      </c>
      <c r="H248" s="64">
        <f>'Jul 7'!$G$38</f>
        <v>0</v>
      </c>
      <c r="I248" s="64" t="str">
        <f>'Jul 7'!$M$38</f>
        <v/>
      </c>
      <c r="J248" s="25" t="str">
        <f>'Jul 7'!$S$38</f>
        <v/>
      </c>
      <c r="K248" s="23">
        <f>'Jul 7'!$AG$38</f>
        <v>0</v>
      </c>
      <c r="L248" s="23">
        <f>'Jul 7'!$N$38</f>
        <v>0</v>
      </c>
    </row>
    <row r="249" spans="1:12" x14ac:dyDescent="0.25">
      <c r="A249" s="66" t="str">
        <f t="shared" si="3"/>
        <v>✓</v>
      </c>
      <c r="B249" s="67">
        <v>46210</v>
      </c>
      <c r="C249" s="23">
        <f>'Jul 7'!$D$39</f>
        <v>0</v>
      </c>
      <c r="D249" s="23">
        <f>'Jul 7'!$B$39</f>
        <v>0</v>
      </c>
      <c r="E249" s="64">
        <f>'Jul 7'!$E$39</f>
        <v>0</v>
      </c>
      <c r="F249" s="23">
        <f>'Jul 7'!$A$39</f>
        <v>0</v>
      </c>
      <c r="G249" s="64">
        <f>'Jul 7'!$F$39</f>
        <v>0</v>
      </c>
      <c r="H249" s="64">
        <f>'Jul 7'!$G$39</f>
        <v>0</v>
      </c>
      <c r="I249" s="64" t="str">
        <f>'Jul 7'!$M$39</f>
        <v/>
      </c>
      <c r="J249" s="25" t="str">
        <f>'Jul 7'!$S$39</f>
        <v/>
      </c>
      <c r="K249" s="23">
        <f>'Jul 7'!$AG$39</f>
        <v>0</v>
      </c>
      <c r="L249" s="23">
        <f>'Jul 7'!$N$39</f>
        <v>0</v>
      </c>
    </row>
    <row r="250" spans="1:12" x14ac:dyDescent="0.25">
      <c r="A250" s="66" t="str">
        <f t="shared" si="3"/>
        <v>✓</v>
      </c>
      <c r="B250" s="67">
        <v>46210</v>
      </c>
      <c r="C250" s="23">
        <f>'Jul 7'!$D$40</f>
        <v>0</v>
      </c>
      <c r="D250" s="23">
        <f>'Jul 7'!$B$40</f>
        <v>0</v>
      </c>
      <c r="E250" s="64">
        <f>'Jul 7'!$E$40</f>
        <v>0</v>
      </c>
      <c r="F250" s="23">
        <f>'Jul 7'!$A$40</f>
        <v>0</v>
      </c>
      <c r="G250" s="64">
        <f>'Jul 7'!$F$40</f>
        <v>0</v>
      </c>
      <c r="H250" s="64">
        <f>'Jul 7'!$G$40</f>
        <v>0</v>
      </c>
      <c r="I250" s="64" t="str">
        <f>'Jul 7'!$M$40</f>
        <v/>
      </c>
      <c r="J250" s="25" t="str">
        <f>'Jul 7'!$S$40</f>
        <v/>
      </c>
      <c r="K250" s="23">
        <f>'Jul 7'!$AG$40</f>
        <v>0</v>
      </c>
      <c r="L250" s="23">
        <f>'Jul 7'!$N$40</f>
        <v>0</v>
      </c>
    </row>
    <row r="251" spans="1:12" x14ac:dyDescent="0.25">
      <c r="A251" s="66" t="str">
        <f t="shared" si="3"/>
        <v>✓</v>
      </c>
      <c r="B251" s="67">
        <v>46210</v>
      </c>
      <c r="C251" s="23">
        <f>'Jul 7'!$D$41</f>
        <v>0</v>
      </c>
      <c r="D251" s="23">
        <f>'Jul 7'!$B$41</f>
        <v>0</v>
      </c>
      <c r="E251" s="64">
        <f>'Jul 7'!$E$41</f>
        <v>0</v>
      </c>
      <c r="F251" s="23">
        <f>'Jul 7'!$A$41</f>
        <v>0</v>
      </c>
      <c r="G251" s="64">
        <f>'Jul 7'!$F$41</f>
        <v>0</v>
      </c>
      <c r="H251" s="64">
        <f>'Jul 7'!$G$41</f>
        <v>0</v>
      </c>
      <c r="I251" s="64" t="str">
        <f>'Jul 7'!$M$41</f>
        <v/>
      </c>
      <c r="J251" s="25" t="str">
        <f>'Jul 7'!$S$41</f>
        <v/>
      </c>
      <c r="K251" s="23">
        <f>'Jul 7'!$AG$41</f>
        <v>0</v>
      </c>
      <c r="L251" s="23">
        <f>'Jul 7'!$N$41</f>
        <v>0</v>
      </c>
    </row>
    <row r="252" spans="1:12" x14ac:dyDescent="0.25">
      <c r="A252" s="66" t="str">
        <f t="shared" si="3"/>
        <v>✓</v>
      </c>
      <c r="B252" s="67">
        <v>46210</v>
      </c>
      <c r="C252" s="23">
        <f>'Jul 7'!$D$42</f>
        <v>0</v>
      </c>
      <c r="D252" s="23">
        <f>'Jul 7'!$B$42</f>
        <v>0</v>
      </c>
      <c r="E252" s="64">
        <f>'Jul 7'!$E$42</f>
        <v>0</v>
      </c>
      <c r="F252" s="23">
        <f>'Jul 7'!$A$42</f>
        <v>0</v>
      </c>
      <c r="G252" s="64">
        <f>'Jul 7'!$F$42</f>
        <v>0</v>
      </c>
      <c r="H252" s="64">
        <f>'Jul 7'!$G$42</f>
        <v>0</v>
      </c>
      <c r="I252" s="64" t="str">
        <f>'Jul 7'!$M$42</f>
        <v/>
      </c>
      <c r="J252" s="25" t="str">
        <f>'Jul 7'!$S$42</f>
        <v/>
      </c>
      <c r="K252" s="23">
        <f>'Jul 7'!$AG$42</f>
        <v>0</v>
      </c>
      <c r="L252" s="23">
        <f>'Jul 7'!$N$42</f>
        <v>0</v>
      </c>
    </row>
    <row r="253" spans="1:12" x14ac:dyDescent="0.25">
      <c r="A253" s="66" t="str">
        <f t="shared" si="3"/>
        <v>✓</v>
      </c>
      <c r="B253" s="67">
        <v>46211</v>
      </c>
      <c r="C253" s="23">
        <f>'Jul 8'!$D$8</f>
        <v>0</v>
      </c>
      <c r="D253" s="23">
        <f>'Jul 8'!$B$8</f>
        <v>0</v>
      </c>
      <c r="E253" s="64">
        <f>'Jul 8'!$E$8</f>
        <v>0</v>
      </c>
      <c r="F253" s="23">
        <f>'Jul 8'!$A$8</f>
        <v>0</v>
      </c>
      <c r="G253" s="64">
        <f>'Jul 8'!$F$8</f>
        <v>0</v>
      </c>
      <c r="H253" s="64">
        <f>'Jul 8'!$G$8</f>
        <v>0</v>
      </c>
      <c r="I253" s="64" t="str">
        <f>'Jul 8'!$M$8</f>
        <v/>
      </c>
      <c r="J253" s="25" t="str">
        <f>'Jul 8'!$S$8</f>
        <v/>
      </c>
      <c r="K253" s="23">
        <f>'Jul 8'!$AG$8</f>
        <v>0</v>
      </c>
      <c r="L253" s="23">
        <f>'Jul 8'!$N$8</f>
        <v>0</v>
      </c>
    </row>
    <row r="254" spans="1:12" x14ac:dyDescent="0.25">
      <c r="A254" s="66" t="str">
        <f t="shared" si="3"/>
        <v>✓</v>
      </c>
      <c r="B254" s="67">
        <v>46211</v>
      </c>
      <c r="C254" s="23">
        <f>'Jul 8'!$D$9</f>
        <v>0</v>
      </c>
      <c r="D254" s="23">
        <f>'Jul 8'!$B$9</f>
        <v>0</v>
      </c>
      <c r="E254" s="64">
        <f>'Jul 8'!$E$9</f>
        <v>0</v>
      </c>
      <c r="F254" s="23">
        <f>'Jul 8'!$A$9</f>
        <v>0</v>
      </c>
      <c r="G254" s="64">
        <f>'Jul 8'!$F$9</f>
        <v>0</v>
      </c>
      <c r="H254" s="64">
        <f>'Jul 8'!$G$9</f>
        <v>0</v>
      </c>
      <c r="I254" s="64" t="str">
        <f>'Jul 8'!$M$9</f>
        <v/>
      </c>
      <c r="J254" s="25" t="str">
        <f>'Jul 8'!$S$9</f>
        <v/>
      </c>
      <c r="K254" s="23">
        <f>'Jul 8'!$AG$9</f>
        <v>0</v>
      </c>
      <c r="L254" s="23">
        <f>'Jul 8'!$N$9</f>
        <v>0</v>
      </c>
    </row>
    <row r="255" spans="1:12" x14ac:dyDescent="0.25">
      <c r="A255" s="66" t="str">
        <f t="shared" si="3"/>
        <v>✓</v>
      </c>
      <c r="B255" s="67">
        <v>46211</v>
      </c>
      <c r="C255" s="23">
        <f>'Jul 8'!$D$10</f>
        <v>0</v>
      </c>
      <c r="D255" s="23">
        <f>'Jul 8'!$B$10</f>
        <v>0</v>
      </c>
      <c r="E255" s="64">
        <f>'Jul 8'!$E$10</f>
        <v>0</v>
      </c>
      <c r="F255" s="23">
        <f>'Jul 8'!$A$10</f>
        <v>0</v>
      </c>
      <c r="G255" s="64">
        <f>'Jul 8'!$F$10</f>
        <v>0</v>
      </c>
      <c r="H255" s="64">
        <f>'Jul 8'!$G$10</f>
        <v>0</v>
      </c>
      <c r="I255" s="64" t="str">
        <f>'Jul 8'!$M$10</f>
        <v/>
      </c>
      <c r="J255" s="25" t="str">
        <f>'Jul 8'!$S$10</f>
        <v/>
      </c>
      <c r="K255" s="23">
        <f>'Jul 8'!$AG$10</f>
        <v>0</v>
      </c>
      <c r="L255" s="23">
        <f>'Jul 8'!$N$10</f>
        <v>0</v>
      </c>
    </row>
    <row r="256" spans="1:12" x14ac:dyDescent="0.25">
      <c r="A256" s="66" t="str">
        <f t="shared" si="3"/>
        <v>✓</v>
      </c>
      <c r="B256" s="67">
        <v>46211</v>
      </c>
      <c r="C256" s="23">
        <f>'Jul 8'!$D$11</f>
        <v>0</v>
      </c>
      <c r="D256" s="23">
        <f>'Jul 8'!$B$11</f>
        <v>0</v>
      </c>
      <c r="E256" s="64">
        <f>'Jul 8'!$E$11</f>
        <v>0</v>
      </c>
      <c r="F256" s="23">
        <f>'Jul 8'!$A$11</f>
        <v>0</v>
      </c>
      <c r="G256" s="64">
        <f>'Jul 8'!$F$11</f>
        <v>0</v>
      </c>
      <c r="H256" s="64">
        <f>'Jul 8'!$G$11</f>
        <v>0</v>
      </c>
      <c r="I256" s="64" t="str">
        <f>'Jul 8'!$M$11</f>
        <v/>
      </c>
      <c r="J256" s="25" t="str">
        <f>'Jul 8'!$S$11</f>
        <v/>
      </c>
      <c r="K256" s="23">
        <f>'Jul 8'!$AG$11</f>
        <v>0</v>
      </c>
      <c r="L256" s="23">
        <f>'Jul 8'!$N$11</f>
        <v>0</v>
      </c>
    </row>
    <row r="257" spans="1:12" x14ac:dyDescent="0.25">
      <c r="A257" s="66" t="str">
        <f t="shared" si="3"/>
        <v>✓</v>
      </c>
      <c r="B257" s="67">
        <v>46211</v>
      </c>
      <c r="C257" s="23">
        <f>'Jul 8'!$D$12</f>
        <v>0</v>
      </c>
      <c r="D257" s="23">
        <f>'Jul 8'!$B$12</f>
        <v>0</v>
      </c>
      <c r="E257" s="64">
        <f>'Jul 8'!$E$12</f>
        <v>0</v>
      </c>
      <c r="F257" s="23">
        <f>'Jul 8'!$A$12</f>
        <v>0</v>
      </c>
      <c r="G257" s="64">
        <f>'Jul 8'!$F$12</f>
        <v>0</v>
      </c>
      <c r="H257" s="64">
        <f>'Jul 8'!$G$12</f>
        <v>0</v>
      </c>
      <c r="I257" s="64" t="str">
        <f>'Jul 8'!$M$12</f>
        <v/>
      </c>
      <c r="J257" s="25" t="str">
        <f>'Jul 8'!$S$12</f>
        <v/>
      </c>
      <c r="K257" s="23">
        <f>'Jul 8'!$AG$12</f>
        <v>0</v>
      </c>
      <c r="L257" s="23">
        <f>'Jul 8'!$N$12</f>
        <v>0</v>
      </c>
    </row>
    <row r="258" spans="1:12" x14ac:dyDescent="0.25">
      <c r="A258" s="66" t="str">
        <f t="shared" si="3"/>
        <v>✓</v>
      </c>
      <c r="B258" s="67">
        <v>46211</v>
      </c>
      <c r="C258" s="23">
        <f>'Jul 8'!$D$13</f>
        <v>0</v>
      </c>
      <c r="D258" s="23">
        <f>'Jul 8'!$B$13</f>
        <v>0</v>
      </c>
      <c r="E258" s="64">
        <f>'Jul 8'!$E$13</f>
        <v>0</v>
      </c>
      <c r="F258" s="23">
        <f>'Jul 8'!$A$13</f>
        <v>0</v>
      </c>
      <c r="G258" s="64">
        <f>'Jul 8'!$F$13</f>
        <v>0</v>
      </c>
      <c r="H258" s="64">
        <f>'Jul 8'!$G$13</f>
        <v>0</v>
      </c>
      <c r="I258" s="64" t="str">
        <f>'Jul 8'!$M$13</f>
        <v/>
      </c>
      <c r="J258" s="25" t="str">
        <f>'Jul 8'!$S$13</f>
        <v/>
      </c>
      <c r="K258" s="23">
        <f>'Jul 8'!$AG$13</f>
        <v>0</v>
      </c>
      <c r="L258" s="23">
        <f>'Jul 8'!$N$13</f>
        <v>0</v>
      </c>
    </row>
    <row r="259" spans="1:12" x14ac:dyDescent="0.25">
      <c r="A259" s="66" t="str">
        <f t="shared" si="3"/>
        <v>✓</v>
      </c>
      <c r="B259" s="67">
        <v>46211</v>
      </c>
      <c r="C259" s="23">
        <f>'Jul 8'!$D$14</f>
        <v>0</v>
      </c>
      <c r="D259" s="23">
        <f>'Jul 8'!$B$14</f>
        <v>0</v>
      </c>
      <c r="E259" s="64">
        <f>'Jul 8'!$E$14</f>
        <v>0</v>
      </c>
      <c r="F259" s="23">
        <f>'Jul 8'!$A$14</f>
        <v>0</v>
      </c>
      <c r="G259" s="64">
        <f>'Jul 8'!$F$14</f>
        <v>0</v>
      </c>
      <c r="H259" s="64">
        <f>'Jul 8'!$G$14</f>
        <v>0</v>
      </c>
      <c r="I259" s="64" t="str">
        <f>'Jul 8'!$M$14</f>
        <v/>
      </c>
      <c r="J259" s="25" t="str">
        <f>'Jul 8'!$S$14</f>
        <v/>
      </c>
      <c r="K259" s="23">
        <f>'Jul 8'!$AG$14</f>
        <v>0</v>
      </c>
      <c r="L259" s="23">
        <f>'Jul 8'!$N$14</f>
        <v>0</v>
      </c>
    </row>
    <row r="260" spans="1:12" x14ac:dyDescent="0.25">
      <c r="A260" s="66" t="str">
        <f t="shared" si="3"/>
        <v>✓</v>
      </c>
      <c r="B260" s="67">
        <v>46211</v>
      </c>
      <c r="C260" s="23">
        <f>'Jul 8'!$D$15</f>
        <v>0</v>
      </c>
      <c r="D260" s="23">
        <f>'Jul 8'!$B$15</f>
        <v>0</v>
      </c>
      <c r="E260" s="64">
        <f>'Jul 8'!$E$15</f>
        <v>0</v>
      </c>
      <c r="F260" s="23">
        <f>'Jul 8'!$A$15</f>
        <v>0</v>
      </c>
      <c r="G260" s="64">
        <f>'Jul 8'!$F$15</f>
        <v>0</v>
      </c>
      <c r="H260" s="64">
        <f>'Jul 8'!$G$15</f>
        <v>0</v>
      </c>
      <c r="I260" s="64" t="str">
        <f>'Jul 8'!$M$15</f>
        <v/>
      </c>
      <c r="J260" s="25" t="str">
        <f>'Jul 8'!$S$15</f>
        <v/>
      </c>
      <c r="K260" s="23">
        <f>'Jul 8'!$AG$15</f>
        <v>0</v>
      </c>
      <c r="L260" s="23">
        <f>'Jul 8'!$N$15</f>
        <v>0</v>
      </c>
    </row>
    <row r="261" spans="1:12" x14ac:dyDescent="0.25">
      <c r="A261" s="66" t="str">
        <f t="shared" si="3"/>
        <v>✓</v>
      </c>
      <c r="B261" s="67">
        <v>46211</v>
      </c>
      <c r="C261" s="23">
        <f>'Jul 8'!$D$16</f>
        <v>0</v>
      </c>
      <c r="D261" s="23">
        <f>'Jul 8'!$B$16</f>
        <v>0</v>
      </c>
      <c r="E261" s="64">
        <f>'Jul 8'!$E$16</f>
        <v>0</v>
      </c>
      <c r="F261" s="23">
        <f>'Jul 8'!$A$16</f>
        <v>0</v>
      </c>
      <c r="G261" s="64">
        <f>'Jul 8'!$F$16</f>
        <v>0</v>
      </c>
      <c r="H261" s="64">
        <f>'Jul 8'!$G$16</f>
        <v>0</v>
      </c>
      <c r="I261" s="64" t="str">
        <f>'Jul 8'!$M$16</f>
        <v/>
      </c>
      <c r="J261" s="25" t="str">
        <f>'Jul 8'!$S$16</f>
        <v/>
      </c>
      <c r="K261" s="23">
        <f>'Jul 8'!$AG$16</f>
        <v>0</v>
      </c>
      <c r="L261" s="23">
        <f>'Jul 8'!$N$16</f>
        <v>0</v>
      </c>
    </row>
    <row r="262" spans="1:12" x14ac:dyDescent="0.25">
      <c r="A262" s="66" t="str">
        <f t="shared" si="3"/>
        <v>✓</v>
      </c>
      <c r="B262" s="67">
        <v>46211</v>
      </c>
      <c r="C262" s="23">
        <f>'Jul 8'!$D$17</f>
        <v>0</v>
      </c>
      <c r="D262" s="23">
        <f>'Jul 8'!$B$17</f>
        <v>0</v>
      </c>
      <c r="E262" s="64">
        <f>'Jul 8'!$E$17</f>
        <v>0</v>
      </c>
      <c r="F262" s="23">
        <f>'Jul 8'!$A$17</f>
        <v>0</v>
      </c>
      <c r="G262" s="64">
        <f>'Jul 8'!$F$17</f>
        <v>0</v>
      </c>
      <c r="H262" s="64">
        <f>'Jul 8'!$G$17</f>
        <v>0</v>
      </c>
      <c r="I262" s="64" t="str">
        <f>'Jul 8'!$M$17</f>
        <v/>
      </c>
      <c r="J262" s="25" t="str">
        <f>'Jul 8'!$S$17</f>
        <v/>
      </c>
      <c r="K262" s="23">
        <f>'Jul 8'!$AG$17</f>
        <v>0</v>
      </c>
      <c r="L262" s="23">
        <f>'Jul 8'!$N$17</f>
        <v>0</v>
      </c>
    </row>
    <row r="263" spans="1:12" x14ac:dyDescent="0.25">
      <c r="A263" s="66" t="str">
        <f t="shared" si="3"/>
        <v>✓</v>
      </c>
      <c r="B263" s="67">
        <v>46211</v>
      </c>
      <c r="C263" s="23">
        <f>'Jul 8'!$D$18</f>
        <v>0</v>
      </c>
      <c r="D263" s="23">
        <f>'Jul 8'!$B$18</f>
        <v>0</v>
      </c>
      <c r="E263" s="64">
        <f>'Jul 8'!$E$18</f>
        <v>0</v>
      </c>
      <c r="F263" s="23">
        <f>'Jul 8'!$A$18</f>
        <v>0</v>
      </c>
      <c r="G263" s="64">
        <f>'Jul 8'!$F$18</f>
        <v>0</v>
      </c>
      <c r="H263" s="64">
        <f>'Jul 8'!$G$18</f>
        <v>0</v>
      </c>
      <c r="I263" s="64" t="str">
        <f>'Jul 8'!$M$18</f>
        <v/>
      </c>
      <c r="J263" s="25" t="str">
        <f>'Jul 8'!$S$18</f>
        <v/>
      </c>
      <c r="K263" s="23">
        <f>'Jul 8'!$AG$18</f>
        <v>0</v>
      </c>
      <c r="L263" s="23">
        <f>'Jul 8'!$N$18</f>
        <v>0</v>
      </c>
    </row>
    <row r="264" spans="1:12" x14ac:dyDescent="0.25">
      <c r="A264" s="66" t="str">
        <f t="shared" ref="A264:A327" si="4">IF(C264="","",IF(AND(OR($B$5="",G264=$B$5,H264=$B$5),OR($D$5="",F264=$D$5),OR($E$5="",K264=$E$5),OR($G$5="",L264=$G$5),OR($H$5="",N(J264)&gt;=$H$5),OR($I$5="",ISNUMBER(SEARCH($I$5,C264&amp;" "&amp;D264&amp;" "&amp;E264&amp;" "&amp;I264)))),"✓",""))</f>
        <v>✓</v>
      </c>
      <c r="B264" s="67">
        <v>46211</v>
      </c>
      <c r="C264" s="23">
        <f>'Jul 8'!$D$19</f>
        <v>0</v>
      </c>
      <c r="D264" s="23">
        <f>'Jul 8'!$B$19</f>
        <v>0</v>
      </c>
      <c r="E264" s="64">
        <f>'Jul 8'!$E$19</f>
        <v>0</v>
      </c>
      <c r="F264" s="23">
        <f>'Jul 8'!$A$19</f>
        <v>0</v>
      </c>
      <c r="G264" s="64">
        <f>'Jul 8'!$F$19</f>
        <v>0</v>
      </c>
      <c r="H264" s="64">
        <f>'Jul 8'!$G$19</f>
        <v>0</v>
      </c>
      <c r="I264" s="64" t="str">
        <f>'Jul 8'!$M$19</f>
        <v/>
      </c>
      <c r="J264" s="25" t="str">
        <f>'Jul 8'!$S$19</f>
        <v/>
      </c>
      <c r="K264" s="23">
        <f>'Jul 8'!$AG$19</f>
        <v>0</v>
      </c>
      <c r="L264" s="23">
        <f>'Jul 8'!$N$19</f>
        <v>0</v>
      </c>
    </row>
    <row r="265" spans="1:12" x14ac:dyDescent="0.25">
      <c r="A265" s="66" t="str">
        <f t="shared" si="4"/>
        <v>✓</v>
      </c>
      <c r="B265" s="67">
        <v>46211</v>
      </c>
      <c r="C265" s="23">
        <f>'Jul 8'!$D$20</f>
        <v>0</v>
      </c>
      <c r="D265" s="23">
        <f>'Jul 8'!$B$20</f>
        <v>0</v>
      </c>
      <c r="E265" s="64">
        <f>'Jul 8'!$E$20</f>
        <v>0</v>
      </c>
      <c r="F265" s="23">
        <f>'Jul 8'!$A$20</f>
        <v>0</v>
      </c>
      <c r="G265" s="64">
        <f>'Jul 8'!$F$20</f>
        <v>0</v>
      </c>
      <c r="H265" s="64">
        <f>'Jul 8'!$G$20</f>
        <v>0</v>
      </c>
      <c r="I265" s="64" t="str">
        <f>'Jul 8'!$M$20</f>
        <v/>
      </c>
      <c r="J265" s="25" t="str">
        <f>'Jul 8'!$S$20</f>
        <v/>
      </c>
      <c r="K265" s="23">
        <f>'Jul 8'!$AG$20</f>
        <v>0</v>
      </c>
      <c r="L265" s="23">
        <f>'Jul 8'!$N$20</f>
        <v>0</v>
      </c>
    </row>
    <row r="266" spans="1:12" x14ac:dyDescent="0.25">
      <c r="A266" s="66" t="str">
        <f t="shared" si="4"/>
        <v>✓</v>
      </c>
      <c r="B266" s="67">
        <v>46211</v>
      </c>
      <c r="C266" s="23">
        <f>'Jul 8'!$D$21</f>
        <v>0</v>
      </c>
      <c r="D266" s="23">
        <f>'Jul 8'!$B$21</f>
        <v>0</v>
      </c>
      <c r="E266" s="64">
        <f>'Jul 8'!$E$21</f>
        <v>0</v>
      </c>
      <c r="F266" s="23">
        <f>'Jul 8'!$A$21</f>
        <v>0</v>
      </c>
      <c r="G266" s="64">
        <f>'Jul 8'!$F$21</f>
        <v>0</v>
      </c>
      <c r="H266" s="64">
        <f>'Jul 8'!$G$21</f>
        <v>0</v>
      </c>
      <c r="I266" s="64" t="str">
        <f>'Jul 8'!$M$21</f>
        <v/>
      </c>
      <c r="J266" s="25" t="str">
        <f>'Jul 8'!$S$21</f>
        <v/>
      </c>
      <c r="K266" s="23">
        <f>'Jul 8'!$AG$21</f>
        <v>0</v>
      </c>
      <c r="L266" s="23">
        <f>'Jul 8'!$N$21</f>
        <v>0</v>
      </c>
    </row>
    <row r="267" spans="1:12" x14ac:dyDescent="0.25">
      <c r="A267" s="66" t="str">
        <f t="shared" si="4"/>
        <v>✓</v>
      </c>
      <c r="B267" s="67">
        <v>46211</v>
      </c>
      <c r="C267" s="23">
        <f>'Jul 8'!$D$22</f>
        <v>0</v>
      </c>
      <c r="D267" s="23">
        <f>'Jul 8'!$B$22</f>
        <v>0</v>
      </c>
      <c r="E267" s="64">
        <f>'Jul 8'!$E$22</f>
        <v>0</v>
      </c>
      <c r="F267" s="23">
        <f>'Jul 8'!$A$22</f>
        <v>0</v>
      </c>
      <c r="G267" s="64">
        <f>'Jul 8'!$F$22</f>
        <v>0</v>
      </c>
      <c r="H267" s="64">
        <f>'Jul 8'!$G$22</f>
        <v>0</v>
      </c>
      <c r="I267" s="64" t="str">
        <f>'Jul 8'!$M$22</f>
        <v/>
      </c>
      <c r="J267" s="25" t="str">
        <f>'Jul 8'!$S$22</f>
        <v/>
      </c>
      <c r="K267" s="23">
        <f>'Jul 8'!$AG$22</f>
        <v>0</v>
      </c>
      <c r="L267" s="23">
        <f>'Jul 8'!$N$22</f>
        <v>0</v>
      </c>
    </row>
    <row r="268" spans="1:12" x14ac:dyDescent="0.25">
      <c r="A268" s="66" t="str">
        <f t="shared" si="4"/>
        <v>✓</v>
      </c>
      <c r="B268" s="67">
        <v>46211</v>
      </c>
      <c r="C268" s="23">
        <f>'Jul 8'!$D$23</f>
        <v>0</v>
      </c>
      <c r="D268" s="23">
        <f>'Jul 8'!$B$23</f>
        <v>0</v>
      </c>
      <c r="E268" s="64">
        <f>'Jul 8'!$E$23</f>
        <v>0</v>
      </c>
      <c r="F268" s="23">
        <f>'Jul 8'!$A$23</f>
        <v>0</v>
      </c>
      <c r="G268" s="64">
        <f>'Jul 8'!$F$23</f>
        <v>0</v>
      </c>
      <c r="H268" s="64">
        <f>'Jul 8'!$G$23</f>
        <v>0</v>
      </c>
      <c r="I268" s="64" t="str">
        <f>'Jul 8'!$M$23</f>
        <v/>
      </c>
      <c r="J268" s="25" t="str">
        <f>'Jul 8'!$S$23</f>
        <v/>
      </c>
      <c r="K268" s="23">
        <f>'Jul 8'!$AG$23</f>
        <v>0</v>
      </c>
      <c r="L268" s="23">
        <f>'Jul 8'!$N$23</f>
        <v>0</v>
      </c>
    </row>
    <row r="269" spans="1:12" x14ac:dyDescent="0.25">
      <c r="A269" s="66" t="str">
        <f t="shared" si="4"/>
        <v>✓</v>
      </c>
      <c r="B269" s="67">
        <v>46211</v>
      </c>
      <c r="C269" s="23">
        <f>'Jul 8'!$D$24</f>
        <v>0</v>
      </c>
      <c r="D269" s="23">
        <f>'Jul 8'!$B$24</f>
        <v>0</v>
      </c>
      <c r="E269" s="64">
        <f>'Jul 8'!$E$24</f>
        <v>0</v>
      </c>
      <c r="F269" s="23">
        <f>'Jul 8'!$A$24</f>
        <v>0</v>
      </c>
      <c r="G269" s="64">
        <f>'Jul 8'!$F$24</f>
        <v>0</v>
      </c>
      <c r="H269" s="64">
        <f>'Jul 8'!$G$24</f>
        <v>0</v>
      </c>
      <c r="I269" s="64" t="str">
        <f>'Jul 8'!$M$24</f>
        <v/>
      </c>
      <c r="J269" s="25" t="str">
        <f>'Jul 8'!$S$24</f>
        <v/>
      </c>
      <c r="K269" s="23">
        <f>'Jul 8'!$AG$24</f>
        <v>0</v>
      </c>
      <c r="L269" s="23">
        <f>'Jul 8'!$N$24</f>
        <v>0</v>
      </c>
    </row>
    <row r="270" spans="1:12" x14ac:dyDescent="0.25">
      <c r="A270" s="66" t="str">
        <f t="shared" si="4"/>
        <v>✓</v>
      </c>
      <c r="B270" s="67">
        <v>46211</v>
      </c>
      <c r="C270" s="23">
        <f>'Jul 8'!$D$25</f>
        <v>0</v>
      </c>
      <c r="D270" s="23">
        <f>'Jul 8'!$B$25</f>
        <v>0</v>
      </c>
      <c r="E270" s="64">
        <f>'Jul 8'!$E$25</f>
        <v>0</v>
      </c>
      <c r="F270" s="23">
        <f>'Jul 8'!$A$25</f>
        <v>0</v>
      </c>
      <c r="G270" s="64">
        <f>'Jul 8'!$F$25</f>
        <v>0</v>
      </c>
      <c r="H270" s="64">
        <f>'Jul 8'!$G$25</f>
        <v>0</v>
      </c>
      <c r="I270" s="64" t="str">
        <f>'Jul 8'!$M$25</f>
        <v/>
      </c>
      <c r="J270" s="25" t="str">
        <f>'Jul 8'!$S$25</f>
        <v/>
      </c>
      <c r="K270" s="23">
        <f>'Jul 8'!$AG$25</f>
        <v>0</v>
      </c>
      <c r="L270" s="23">
        <f>'Jul 8'!$N$25</f>
        <v>0</v>
      </c>
    </row>
    <row r="271" spans="1:12" x14ac:dyDescent="0.25">
      <c r="A271" s="66" t="str">
        <f t="shared" si="4"/>
        <v>✓</v>
      </c>
      <c r="B271" s="67">
        <v>46211</v>
      </c>
      <c r="C271" s="23">
        <f>'Jul 8'!$D$26</f>
        <v>0</v>
      </c>
      <c r="D271" s="23">
        <f>'Jul 8'!$B$26</f>
        <v>0</v>
      </c>
      <c r="E271" s="64">
        <f>'Jul 8'!$E$26</f>
        <v>0</v>
      </c>
      <c r="F271" s="23">
        <f>'Jul 8'!$A$26</f>
        <v>0</v>
      </c>
      <c r="G271" s="64">
        <f>'Jul 8'!$F$26</f>
        <v>0</v>
      </c>
      <c r="H271" s="64">
        <f>'Jul 8'!$G$26</f>
        <v>0</v>
      </c>
      <c r="I271" s="64" t="str">
        <f>'Jul 8'!$M$26</f>
        <v/>
      </c>
      <c r="J271" s="25" t="str">
        <f>'Jul 8'!$S$26</f>
        <v/>
      </c>
      <c r="K271" s="23">
        <f>'Jul 8'!$AG$26</f>
        <v>0</v>
      </c>
      <c r="L271" s="23">
        <f>'Jul 8'!$N$26</f>
        <v>0</v>
      </c>
    </row>
    <row r="272" spans="1:12" x14ac:dyDescent="0.25">
      <c r="A272" s="66" t="str">
        <f t="shared" si="4"/>
        <v>✓</v>
      </c>
      <c r="B272" s="67">
        <v>46211</v>
      </c>
      <c r="C272" s="23">
        <f>'Jul 8'!$D$27</f>
        <v>0</v>
      </c>
      <c r="D272" s="23">
        <f>'Jul 8'!$B$27</f>
        <v>0</v>
      </c>
      <c r="E272" s="64">
        <f>'Jul 8'!$E$27</f>
        <v>0</v>
      </c>
      <c r="F272" s="23">
        <f>'Jul 8'!$A$27</f>
        <v>0</v>
      </c>
      <c r="G272" s="64">
        <f>'Jul 8'!$F$27</f>
        <v>0</v>
      </c>
      <c r="H272" s="64">
        <f>'Jul 8'!$G$27</f>
        <v>0</v>
      </c>
      <c r="I272" s="64" t="str">
        <f>'Jul 8'!$M$27</f>
        <v/>
      </c>
      <c r="J272" s="25" t="str">
        <f>'Jul 8'!$S$27</f>
        <v/>
      </c>
      <c r="K272" s="23">
        <f>'Jul 8'!$AG$27</f>
        <v>0</v>
      </c>
      <c r="L272" s="23">
        <f>'Jul 8'!$N$27</f>
        <v>0</v>
      </c>
    </row>
    <row r="273" spans="1:12" x14ac:dyDescent="0.25">
      <c r="A273" s="66" t="str">
        <f t="shared" si="4"/>
        <v>✓</v>
      </c>
      <c r="B273" s="67">
        <v>46211</v>
      </c>
      <c r="C273" s="23">
        <f>'Jul 8'!$D$28</f>
        <v>0</v>
      </c>
      <c r="D273" s="23">
        <f>'Jul 8'!$B$28</f>
        <v>0</v>
      </c>
      <c r="E273" s="64">
        <f>'Jul 8'!$E$28</f>
        <v>0</v>
      </c>
      <c r="F273" s="23">
        <f>'Jul 8'!$A$28</f>
        <v>0</v>
      </c>
      <c r="G273" s="64">
        <f>'Jul 8'!$F$28</f>
        <v>0</v>
      </c>
      <c r="H273" s="64">
        <f>'Jul 8'!$G$28</f>
        <v>0</v>
      </c>
      <c r="I273" s="64" t="str">
        <f>'Jul 8'!$M$28</f>
        <v/>
      </c>
      <c r="J273" s="25" t="str">
        <f>'Jul 8'!$S$28</f>
        <v/>
      </c>
      <c r="K273" s="23">
        <f>'Jul 8'!$AG$28</f>
        <v>0</v>
      </c>
      <c r="L273" s="23">
        <f>'Jul 8'!$N$28</f>
        <v>0</v>
      </c>
    </row>
    <row r="274" spans="1:12" x14ac:dyDescent="0.25">
      <c r="A274" s="66" t="str">
        <f t="shared" si="4"/>
        <v>✓</v>
      </c>
      <c r="B274" s="67">
        <v>46211</v>
      </c>
      <c r="C274" s="23">
        <f>'Jul 8'!$D$29</f>
        <v>0</v>
      </c>
      <c r="D274" s="23">
        <f>'Jul 8'!$B$29</f>
        <v>0</v>
      </c>
      <c r="E274" s="64">
        <f>'Jul 8'!$E$29</f>
        <v>0</v>
      </c>
      <c r="F274" s="23">
        <f>'Jul 8'!$A$29</f>
        <v>0</v>
      </c>
      <c r="G274" s="64">
        <f>'Jul 8'!$F$29</f>
        <v>0</v>
      </c>
      <c r="H274" s="64">
        <f>'Jul 8'!$G$29</f>
        <v>0</v>
      </c>
      <c r="I274" s="64" t="str">
        <f>'Jul 8'!$M$29</f>
        <v/>
      </c>
      <c r="J274" s="25" t="str">
        <f>'Jul 8'!$S$29</f>
        <v/>
      </c>
      <c r="K274" s="23">
        <f>'Jul 8'!$AG$29</f>
        <v>0</v>
      </c>
      <c r="L274" s="23">
        <f>'Jul 8'!$N$29</f>
        <v>0</v>
      </c>
    </row>
    <row r="275" spans="1:12" x14ac:dyDescent="0.25">
      <c r="A275" s="66" t="str">
        <f t="shared" si="4"/>
        <v>✓</v>
      </c>
      <c r="B275" s="67">
        <v>46211</v>
      </c>
      <c r="C275" s="23">
        <f>'Jul 8'!$D$30</f>
        <v>0</v>
      </c>
      <c r="D275" s="23">
        <f>'Jul 8'!$B$30</f>
        <v>0</v>
      </c>
      <c r="E275" s="64">
        <f>'Jul 8'!$E$30</f>
        <v>0</v>
      </c>
      <c r="F275" s="23">
        <f>'Jul 8'!$A$30</f>
        <v>0</v>
      </c>
      <c r="G275" s="64">
        <f>'Jul 8'!$F$30</f>
        <v>0</v>
      </c>
      <c r="H275" s="64">
        <f>'Jul 8'!$G$30</f>
        <v>0</v>
      </c>
      <c r="I275" s="64" t="str">
        <f>'Jul 8'!$M$30</f>
        <v/>
      </c>
      <c r="J275" s="25" t="str">
        <f>'Jul 8'!$S$30</f>
        <v/>
      </c>
      <c r="K275" s="23">
        <f>'Jul 8'!$AG$30</f>
        <v>0</v>
      </c>
      <c r="L275" s="23">
        <f>'Jul 8'!$N$30</f>
        <v>0</v>
      </c>
    </row>
    <row r="276" spans="1:12" x14ac:dyDescent="0.25">
      <c r="A276" s="66" t="str">
        <f t="shared" si="4"/>
        <v>✓</v>
      </c>
      <c r="B276" s="67">
        <v>46211</v>
      </c>
      <c r="C276" s="23">
        <f>'Jul 8'!$D$31</f>
        <v>0</v>
      </c>
      <c r="D276" s="23">
        <f>'Jul 8'!$B$31</f>
        <v>0</v>
      </c>
      <c r="E276" s="64">
        <f>'Jul 8'!$E$31</f>
        <v>0</v>
      </c>
      <c r="F276" s="23">
        <f>'Jul 8'!$A$31</f>
        <v>0</v>
      </c>
      <c r="G276" s="64">
        <f>'Jul 8'!$F$31</f>
        <v>0</v>
      </c>
      <c r="H276" s="64">
        <f>'Jul 8'!$G$31</f>
        <v>0</v>
      </c>
      <c r="I276" s="64" t="str">
        <f>'Jul 8'!$M$31</f>
        <v/>
      </c>
      <c r="J276" s="25" t="str">
        <f>'Jul 8'!$S$31</f>
        <v/>
      </c>
      <c r="K276" s="23">
        <f>'Jul 8'!$AG$31</f>
        <v>0</v>
      </c>
      <c r="L276" s="23">
        <f>'Jul 8'!$N$31</f>
        <v>0</v>
      </c>
    </row>
    <row r="277" spans="1:12" x14ac:dyDescent="0.25">
      <c r="A277" s="66" t="str">
        <f t="shared" si="4"/>
        <v>✓</v>
      </c>
      <c r="B277" s="67">
        <v>46211</v>
      </c>
      <c r="C277" s="23">
        <f>'Jul 8'!$D$32</f>
        <v>0</v>
      </c>
      <c r="D277" s="23">
        <f>'Jul 8'!$B$32</f>
        <v>0</v>
      </c>
      <c r="E277" s="64">
        <f>'Jul 8'!$E$32</f>
        <v>0</v>
      </c>
      <c r="F277" s="23">
        <f>'Jul 8'!$A$32</f>
        <v>0</v>
      </c>
      <c r="G277" s="64">
        <f>'Jul 8'!$F$32</f>
        <v>0</v>
      </c>
      <c r="H277" s="64">
        <f>'Jul 8'!$G$32</f>
        <v>0</v>
      </c>
      <c r="I277" s="64" t="str">
        <f>'Jul 8'!$M$32</f>
        <v/>
      </c>
      <c r="J277" s="25" t="str">
        <f>'Jul 8'!$S$32</f>
        <v/>
      </c>
      <c r="K277" s="23">
        <f>'Jul 8'!$AG$32</f>
        <v>0</v>
      </c>
      <c r="L277" s="23">
        <f>'Jul 8'!$N$32</f>
        <v>0</v>
      </c>
    </row>
    <row r="278" spans="1:12" x14ac:dyDescent="0.25">
      <c r="A278" s="66" t="str">
        <f t="shared" si="4"/>
        <v>✓</v>
      </c>
      <c r="B278" s="67">
        <v>46211</v>
      </c>
      <c r="C278" s="23">
        <f>'Jul 8'!$D$33</f>
        <v>0</v>
      </c>
      <c r="D278" s="23">
        <f>'Jul 8'!$B$33</f>
        <v>0</v>
      </c>
      <c r="E278" s="64">
        <f>'Jul 8'!$E$33</f>
        <v>0</v>
      </c>
      <c r="F278" s="23">
        <f>'Jul 8'!$A$33</f>
        <v>0</v>
      </c>
      <c r="G278" s="64">
        <f>'Jul 8'!$F$33</f>
        <v>0</v>
      </c>
      <c r="H278" s="64">
        <f>'Jul 8'!$G$33</f>
        <v>0</v>
      </c>
      <c r="I278" s="64" t="str">
        <f>'Jul 8'!$M$33</f>
        <v/>
      </c>
      <c r="J278" s="25" t="str">
        <f>'Jul 8'!$S$33</f>
        <v/>
      </c>
      <c r="K278" s="23">
        <f>'Jul 8'!$AG$33</f>
        <v>0</v>
      </c>
      <c r="L278" s="23">
        <f>'Jul 8'!$N$33</f>
        <v>0</v>
      </c>
    </row>
    <row r="279" spans="1:12" x14ac:dyDescent="0.25">
      <c r="A279" s="66" t="str">
        <f t="shared" si="4"/>
        <v>✓</v>
      </c>
      <c r="B279" s="67">
        <v>46211</v>
      </c>
      <c r="C279" s="23">
        <f>'Jul 8'!$D$34</f>
        <v>0</v>
      </c>
      <c r="D279" s="23">
        <f>'Jul 8'!$B$34</f>
        <v>0</v>
      </c>
      <c r="E279" s="64">
        <f>'Jul 8'!$E$34</f>
        <v>0</v>
      </c>
      <c r="F279" s="23">
        <f>'Jul 8'!$A$34</f>
        <v>0</v>
      </c>
      <c r="G279" s="64">
        <f>'Jul 8'!$F$34</f>
        <v>0</v>
      </c>
      <c r="H279" s="64">
        <f>'Jul 8'!$G$34</f>
        <v>0</v>
      </c>
      <c r="I279" s="64" t="str">
        <f>'Jul 8'!$M$34</f>
        <v/>
      </c>
      <c r="J279" s="25" t="str">
        <f>'Jul 8'!$S$34</f>
        <v/>
      </c>
      <c r="K279" s="23">
        <f>'Jul 8'!$AG$34</f>
        <v>0</v>
      </c>
      <c r="L279" s="23">
        <f>'Jul 8'!$N$34</f>
        <v>0</v>
      </c>
    </row>
    <row r="280" spans="1:12" x14ac:dyDescent="0.25">
      <c r="A280" s="66" t="str">
        <f t="shared" si="4"/>
        <v>✓</v>
      </c>
      <c r="B280" s="67">
        <v>46211</v>
      </c>
      <c r="C280" s="23">
        <f>'Jul 8'!$D$35</f>
        <v>0</v>
      </c>
      <c r="D280" s="23">
        <f>'Jul 8'!$B$35</f>
        <v>0</v>
      </c>
      <c r="E280" s="64">
        <f>'Jul 8'!$E$35</f>
        <v>0</v>
      </c>
      <c r="F280" s="23">
        <f>'Jul 8'!$A$35</f>
        <v>0</v>
      </c>
      <c r="G280" s="64">
        <f>'Jul 8'!$F$35</f>
        <v>0</v>
      </c>
      <c r="H280" s="64">
        <f>'Jul 8'!$G$35</f>
        <v>0</v>
      </c>
      <c r="I280" s="64" t="str">
        <f>'Jul 8'!$M$35</f>
        <v/>
      </c>
      <c r="J280" s="25" t="str">
        <f>'Jul 8'!$S$35</f>
        <v/>
      </c>
      <c r="K280" s="23">
        <f>'Jul 8'!$AG$35</f>
        <v>0</v>
      </c>
      <c r="L280" s="23">
        <f>'Jul 8'!$N$35</f>
        <v>0</v>
      </c>
    </row>
    <row r="281" spans="1:12" x14ac:dyDescent="0.25">
      <c r="A281" s="66" t="str">
        <f t="shared" si="4"/>
        <v>✓</v>
      </c>
      <c r="B281" s="67">
        <v>46211</v>
      </c>
      <c r="C281" s="23">
        <f>'Jul 8'!$D$36</f>
        <v>0</v>
      </c>
      <c r="D281" s="23">
        <f>'Jul 8'!$B$36</f>
        <v>0</v>
      </c>
      <c r="E281" s="64">
        <f>'Jul 8'!$E$36</f>
        <v>0</v>
      </c>
      <c r="F281" s="23">
        <f>'Jul 8'!$A$36</f>
        <v>0</v>
      </c>
      <c r="G281" s="64">
        <f>'Jul 8'!$F$36</f>
        <v>0</v>
      </c>
      <c r="H281" s="64">
        <f>'Jul 8'!$G$36</f>
        <v>0</v>
      </c>
      <c r="I281" s="64" t="str">
        <f>'Jul 8'!$M$36</f>
        <v/>
      </c>
      <c r="J281" s="25" t="str">
        <f>'Jul 8'!$S$36</f>
        <v/>
      </c>
      <c r="K281" s="23">
        <f>'Jul 8'!$AG$36</f>
        <v>0</v>
      </c>
      <c r="L281" s="23">
        <f>'Jul 8'!$N$36</f>
        <v>0</v>
      </c>
    </row>
    <row r="282" spans="1:12" x14ac:dyDescent="0.25">
      <c r="A282" s="66" t="str">
        <f t="shared" si="4"/>
        <v>✓</v>
      </c>
      <c r="B282" s="67">
        <v>46211</v>
      </c>
      <c r="C282" s="23">
        <f>'Jul 8'!$D$37</f>
        <v>0</v>
      </c>
      <c r="D282" s="23">
        <f>'Jul 8'!$B$37</f>
        <v>0</v>
      </c>
      <c r="E282" s="64">
        <f>'Jul 8'!$E$37</f>
        <v>0</v>
      </c>
      <c r="F282" s="23">
        <f>'Jul 8'!$A$37</f>
        <v>0</v>
      </c>
      <c r="G282" s="64">
        <f>'Jul 8'!$F$37</f>
        <v>0</v>
      </c>
      <c r="H282" s="64">
        <f>'Jul 8'!$G$37</f>
        <v>0</v>
      </c>
      <c r="I282" s="64" t="str">
        <f>'Jul 8'!$M$37</f>
        <v/>
      </c>
      <c r="J282" s="25" t="str">
        <f>'Jul 8'!$S$37</f>
        <v/>
      </c>
      <c r="K282" s="23">
        <f>'Jul 8'!$AG$37</f>
        <v>0</v>
      </c>
      <c r="L282" s="23">
        <f>'Jul 8'!$N$37</f>
        <v>0</v>
      </c>
    </row>
    <row r="283" spans="1:12" x14ac:dyDescent="0.25">
      <c r="A283" s="66" t="str">
        <f t="shared" si="4"/>
        <v>✓</v>
      </c>
      <c r="B283" s="67">
        <v>46211</v>
      </c>
      <c r="C283" s="23">
        <f>'Jul 8'!$D$38</f>
        <v>0</v>
      </c>
      <c r="D283" s="23">
        <f>'Jul 8'!$B$38</f>
        <v>0</v>
      </c>
      <c r="E283" s="64">
        <f>'Jul 8'!$E$38</f>
        <v>0</v>
      </c>
      <c r="F283" s="23">
        <f>'Jul 8'!$A$38</f>
        <v>0</v>
      </c>
      <c r="G283" s="64">
        <f>'Jul 8'!$F$38</f>
        <v>0</v>
      </c>
      <c r="H283" s="64">
        <f>'Jul 8'!$G$38</f>
        <v>0</v>
      </c>
      <c r="I283" s="64" t="str">
        <f>'Jul 8'!$M$38</f>
        <v/>
      </c>
      <c r="J283" s="25" t="str">
        <f>'Jul 8'!$S$38</f>
        <v/>
      </c>
      <c r="K283" s="23">
        <f>'Jul 8'!$AG$38</f>
        <v>0</v>
      </c>
      <c r="L283" s="23">
        <f>'Jul 8'!$N$38</f>
        <v>0</v>
      </c>
    </row>
    <row r="284" spans="1:12" x14ac:dyDescent="0.25">
      <c r="A284" s="66" t="str">
        <f t="shared" si="4"/>
        <v>✓</v>
      </c>
      <c r="B284" s="67">
        <v>46211</v>
      </c>
      <c r="C284" s="23">
        <f>'Jul 8'!$D$39</f>
        <v>0</v>
      </c>
      <c r="D284" s="23">
        <f>'Jul 8'!$B$39</f>
        <v>0</v>
      </c>
      <c r="E284" s="64">
        <f>'Jul 8'!$E$39</f>
        <v>0</v>
      </c>
      <c r="F284" s="23">
        <f>'Jul 8'!$A$39</f>
        <v>0</v>
      </c>
      <c r="G284" s="64">
        <f>'Jul 8'!$F$39</f>
        <v>0</v>
      </c>
      <c r="H284" s="64">
        <f>'Jul 8'!$G$39</f>
        <v>0</v>
      </c>
      <c r="I284" s="64" t="str">
        <f>'Jul 8'!$M$39</f>
        <v/>
      </c>
      <c r="J284" s="25" t="str">
        <f>'Jul 8'!$S$39</f>
        <v/>
      </c>
      <c r="K284" s="23">
        <f>'Jul 8'!$AG$39</f>
        <v>0</v>
      </c>
      <c r="L284" s="23">
        <f>'Jul 8'!$N$39</f>
        <v>0</v>
      </c>
    </row>
    <row r="285" spans="1:12" x14ac:dyDescent="0.25">
      <c r="A285" s="66" t="str">
        <f t="shared" si="4"/>
        <v>✓</v>
      </c>
      <c r="B285" s="67">
        <v>46211</v>
      </c>
      <c r="C285" s="23">
        <f>'Jul 8'!$D$40</f>
        <v>0</v>
      </c>
      <c r="D285" s="23">
        <f>'Jul 8'!$B$40</f>
        <v>0</v>
      </c>
      <c r="E285" s="64">
        <f>'Jul 8'!$E$40</f>
        <v>0</v>
      </c>
      <c r="F285" s="23">
        <f>'Jul 8'!$A$40</f>
        <v>0</v>
      </c>
      <c r="G285" s="64">
        <f>'Jul 8'!$F$40</f>
        <v>0</v>
      </c>
      <c r="H285" s="64">
        <f>'Jul 8'!$G$40</f>
        <v>0</v>
      </c>
      <c r="I285" s="64" t="str">
        <f>'Jul 8'!$M$40</f>
        <v/>
      </c>
      <c r="J285" s="25" t="str">
        <f>'Jul 8'!$S$40</f>
        <v/>
      </c>
      <c r="K285" s="23">
        <f>'Jul 8'!$AG$40</f>
        <v>0</v>
      </c>
      <c r="L285" s="23">
        <f>'Jul 8'!$N$40</f>
        <v>0</v>
      </c>
    </row>
    <row r="286" spans="1:12" x14ac:dyDescent="0.25">
      <c r="A286" s="66" t="str">
        <f t="shared" si="4"/>
        <v>✓</v>
      </c>
      <c r="B286" s="67">
        <v>46211</v>
      </c>
      <c r="C286" s="23">
        <f>'Jul 8'!$D$41</f>
        <v>0</v>
      </c>
      <c r="D286" s="23">
        <f>'Jul 8'!$B$41</f>
        <v>0</v>
      </c>
      <c r="E286" s="64">
        <f>'Jul 8'!$E$41</f>
        <v>0</v>
      </c>
      <c r="F286" s="23">
        <f>'Jul 8'!$A$41</f>
        <v>0</v>
      </c>
      <c r="G286" s="64">
        <f>'Jul 8'!$F$41</f>
        <v>0</v>
      </c>
      <c r="H286" s="64">
        <f>'Jul 8'!$G$41</f>
        <v>0</v>
      </c>
      <c r="I286" s="64" t="str">
        <f>'Jul 8'!$M$41</f>
        <v/>
      </c>
      <c r="J286" s="25" t="str">
        <f>'Jul 8'!$S$41</f>
        <v/>
      </c>
      <c r="K286" s="23">
        <f>'Jul 8'!$AG$41</f>
        <v>0</v>
      </c>
      <c r="L286" s="23">
        <f>'Jul 8'!$N$41</f>
        <v>0</v>
      </c>
    </row>
    <row r="287" spans="1:12" x14ac:dyDescent="0.25">
      <c r="A287" s="66" t="str">
        <f t="shared" si="4"/>
        <v>✓</v>
      </c>
      <c r="B287" s="67">
        <v>46211</v>
      </c>
      <c r="C287" s="23">
        <f>'Jul 8'!$D$42</f>
        <v>0</v>
      </c>
      <c r="D287" s="23">
        <f>'Jul 8'!$B$42</f>
        <v>0</v>
      </c>
      <c r="E287" s="64">
        <f>'Jul 8'!$E$42</f>
        <v>0</v>
      </c>
      <c r="F287" s="23">
        <f>'Jul 8'!$A$42</f>
        <v>0</v>
      </c>
      <c r="G287" s="64">
        <f>'Jul 8'!$F$42</f>
        <v>0</v>
      </c>
      <c r="H287" s="64">
        <f>'Jul 8'!$G$42</f>
        <v>0</v>
      </c>
      <c r="I287" s="64" t="str">
        <f>'Jul 8'!$M$42</f>
        <v/>
      </c>
      <c r="J287" s="25" t="str">
        <f>'Jul 8'!$S$42</f>
        <v/>
      </c>
      <c r="K287" s="23">
        <f>'Jul 8'!$AG$42</f>
        <v>0</v>
      </c>
      <c r="L287" s="23">
        <f>'Jul 8'!$N$42</f>
        <v>0</v>
      </c>
    </row>
    <row r="288" spans="1:12" x14ac:dyDescent="0.25">
      <c r="A288" s="66" t="str">
        <f t="shared" si="4"/>
        <v>✓</v>
      </c>
      <c r="B288" s="67">
        <v>46212</v>
      </c>
      <c r="C288" s="23">
        <f>'Jul 9'!$D$8</f>
        <v>0</v>
      </c>
      <c r="D288" s="23">
        <f>'Jul 9'!$B$8</f>
        <v>0</v>
      </c>
      <c r="E288" s="64">
        <f>'Jul 9'!$E$8</f>
        <v>0</v>
      </c>
      <c r="F288" s="23">
        <f>'Jul 9'!$A$8</f>
        <v>0</v>
      </c>
      <c r="G288" s="64">
        <f>'Jul 9'!$F$8</f>
        <v>0</v>
      </c>
      <c r="H288" s="64">
        <f>'Jul 9'!$G$8</f>
        <v>0</v>
      </c>
      <c r="I288" s="64" t="str">
        <f>'Jul 9'!$M$8</f>
        <v/>
      </c>
      <c r="J288" s="25" t="str">
        <f>'Jul 9'!$S$8</f>
        <v/>
      </c>
      <c r="K288" s="23">
        <f>'Jul 9'!$AG$8</f>
        <v>0</v>
      </c>
      <c r="L288" s="23">
        <f>'Jul 9'!$N$8</f>
        <v>0</v>
      </c>
    </row>
    <row r="289" spans="1:12" x14ac:dyDescent="0.25">
      <c r="A289" s="66" t="str">
        <f t="shared" si="4"/>
        <v>✓</v>
      </c>
      <c r="B289" s="67">
        <v>46212</v>
      </c>
      <c r="C289" s="23">
        <f>'Jul 9'!$D$9</f>
        <v>0</v>
      </c>
      <c r="D289" s="23">
        <f>'Jul 9'!$B$9</f>
        <v>0</v>
      </c>
      <c r="E289" s="64">
        <f>'Jul 9'!$E$9</f>
        <v>0</v>
      </c>
      <c r="F289" s="23">
        <f>'Jul 9'!$A$9</f>
        <v>0</v>
      </c>
      <c r="G289" s="64">
        <f>'Jul 9'!$F$9</f>
        <v>0</v>
      </c>
      <c r="H289" s="64">
        <f>'Jul 9'!$G$9</f>
        <v>0</v>
      </c>
      <c r="I289" s="64" t="str">
        <f>'Jul 9'!$M$9</f>
        <v/>
      </c>
      <c r="J289" s="25" t="str">
        <f>'Jul 9'!$S$9</f>
        <v/>
      </c>
      <c r="K289" s="23">
        <f>'Jul 9'!$AG$9</f>
        <v>0</v>
      </c>
      <c r="L289" s="23">
        <f>'Jul 9'!$N$9</f>
        <v>0</v>
      </c>
    </row>
    <row r="290" spans="1:12" x14ac:dyDescent="0.25">
      <c r="A290" s="66" t="str">
        <f t="shared" si="4"/>
        <v>✓</v>
      </c>
      <c r="B290" s="67">
        <v>46212</v>
      </c>
      <c r="C290" s="23">
        <f>'Jul 9'!$D$10</f>
        <v>0</v>
      </c>
      <c r="D290" s="23">
        <f>'Jul 9'!$B$10</f>
        <v>0</v>
      </c>
      <c r="E290" s="64">
        <f>'Jul 9'!$E$10</f>
        <v>0</v>
      </c>
      <c r="F290" s="23">
        <f>'Jul 9'!$A$10</f>
        <v>0</v>
      </c>
      <c r="G290" s="64">
        <f>'Jul 9'!$F$10</f>
        <v>0</v>
      </c>
      <c r="H290" s="64">
        <f>'Jul 9'!$G$10</f>
        <v>0</v>
      </c>
      <c r="I290" s="64" t="str">
        <f>'Jul 9'!$M$10</f>
        <v/>
      </c>
      <c r="J290" s="25" t="str">
        <f>'Jul 9'!$S$10</f>
        <v/>
      </c>
      <c r="K290" s="23">
        <f>'Jul 9'!$AG$10</f>
        <v>0</v>
      </c>
      <c r="L290" s="23">
        <f>'Jul 9'!$N$10</f>
        <v>0</v>
      </c>
    </row>
    <row r="291" spans="1:12" x14ac:dyDescent="0.25">
      <c r="A291" s="66" t="str">
        <f t="shared" si="4"/>
        <v>✓</v>
      </c>
      <c r="B291" s="67">
        <v>46212</v>
      </c>
      <c r="C291" s="23">
        <f>'Jul 9'!$D$11</f>
        <v>0</v>
      </c>
      <c r="D291" s="23">
        <f>'Jul 9'!$B$11</f>
        <v>0</v>
      </c>
      <c r="E291" s="64">
        <f>'Jul 9'!$E$11</f>
        <v>0</v>
      </c>
      <c r="F291" s="23">
        <f>'Jul 9'!$A$11</f>
        <v>0</v>
      </c>
      <c r="G291" s="64">
        <f>'Jul 9'!$F$11</f>
        <v>0</v>
      </c>
      <c r="H291" s="64">
        <f>'Jul 9'!$G$11</f>
        <v>0</v>
      </c>
      <c r="I291" s="64" t="str">
        <f>'Jul 9'!$M$11</f>
        <v/>
      </c>
      <c r="J291" s="25" t="str">
        <f>'Jul 9'!$S$11</f>
        <v/>
      </c>
      <c r="K291" s="23">
        <f>'Jul 9'!$AG$11</f>
        <v>0</v>
      </c>
      <c r="L291" s="23">
        <f>'Jul 9'!$N$11</f>
        <v>0</v>
      </c>
    </row>
    <row r="292" spans="1:12" x14ac:dyDescent="0.25">
      <c r="A292" s="66" t="str">
        <f t="shared" si="4"/>
        <v>✓</v>
      </c>
      <c r="B292" s="67">
        <v>46212</v>
      </c>
      <c r="C292" s="23">
        <f>'Jul 9'!$D$12</f>
        <v>0</v>
      </c>
      <c r="D292" s="23">
        <f>'Jul 9'!$B$12</f>
        <v>0</v>
      </c>
      <c r="E292" s="64">
        <f>'Jul 9'!$E$12</f>
        <v>0</v>
      </c>
      <c r="F292" s="23">
        <f>'Jul 9'!$A$12</f>
        <v>0</v>
      </c>
      <c r="G292" s="64">
        <f>'Jul 9'!$F$12</f>
        <v>0</v>
      </c>
      <c r="H292" s="64">
        <f>'Jul 9'!$G$12</f>
        <v>0</v>
      </c>
      <c r="I292" s="64" t="str">
        <f>'Jul 9'!$M$12</f>
        <v/>
      </c>
      <c r="J292" s="25" t="str">
        <f>'Jul 9'!$S$12</f>
        <v/>
      </c>
      <c r="K292" s="23">
        <f>'Jul 9'!$AG$12</f>
        <v>0</v>
      </c>
      <c r="L292" s="23">
        <f>'Jul 9'!$N$12</f>
        <v>0</v>
      </c>
    </row>
    <row r="293" spans="1:12" x14ac:dyDescent="0.25">
      <c r="A293" s="66" t="str">
        <f t="shared" si="4"/>
        <v>✓</v>
      </c>
      <c r="B293" s="67">
        <v>46212</v>
      </c>
      <c r="C293" s="23">
        <f>'Jul 9'!$D$13</f>
        <v>0</v>
      </c>
      <c r="D293" s="23">
        <f>'Jul 9'!$B$13</f>
        <v>0</v>
      </c>
      <c r="E293" s="64">
        <f>'Jul 9'!$E$13</f>
        <v>0</v>
      </c>
      <c r="F293" s="23">
        <f>'Jul 9'!$A$13</f>
        <v>0</v>
      </c>
      <c r="G293" s="64">
        <f>'Jul 9'!$F$13</f>
        <v>0</v>
      </c>
      <c r="H293" s="64">
        <f>'Jul 9'!$G$13</f>
        <v>0</v>
      </c>
      <c r="I293" s="64" t="str">
        <f>'Jul 9'!$M$13</f>
        <v/>
      </c>
      <c r="J293" s="25" t="str">
        <f>'Jul 9'!$S$13</f>
        <v/>
      </c>
      <c r="K293" s="23">
        <f>'Jul 9'!$AG$13</f>
        <v>0</v>
      </c>
      <c r="L293" s="23">
        <f>'Jul 9'!$N$13</f>
        <v>0</v>
      </c>
    </row>
    <row r="294" spans="1:12" x14ac:dyDescent="0.25">
      <c r="A294" s="66" t="str">
        <f t="shared" si="4"/>
        <v>✓</v>
      </c>
      <c r="B294" s="67">
        <v>46212</v>
      </c>
      <c r="C294" s="23">
        <f>'Jul 9'!$D$14</f>
        <v>0</v>
      </c>
      <c r="D294" s="23">
        <f>'Jul 9'!$B$14</f>
        <v>0</v>
      </c>
      <c r="E294" s="64">
        <f>'Jul 9'!$E$14</f>
        <v>0</v>
      </c>
      <c r="F294" s="23">
        <f>'Jul 9'!$A$14</f>
        <v>0</v>
      </c>
      <c r="G294" s="64">
        <f>'Jul 9'!$F$14</f>
        <v>0</v>
      </c>
      <c r="H294" s="64">
        <f>'Jul 9'!$G$14</f>
        <v>0</v>
      </c>
      <c r="I294" s="64" t="str">
        <f>'Jul 9'!$M$14</f>
        <v/>
      </c>
      <c r="J294" s="25" t="str">
        <f>'Jul 9'!$S$14</f>
        <v/>
      </c>
      <c r="K294" s="23">
        <f>'Jul 9'!$AG$14</f>
        <v>0</v>
      </c>
      <c r="L294" s="23">
        <f>'Jul 9'!$N$14</f>
        <v>0</v>
      </c>
    </row>
    <row r="295" spans="1:12" x14ac:dyDescent="0.25">
      <c r="A295" s="66" t="str">
        <f t="shared" si="4"/>
        <v>✓</v>
      </c>
      <c r="B295" s="67">
        <v>46212</v>
      </c>
      <c r="C295" s="23">
        <f>'Jul 9'!$D$15</f>
        <v>0</v>
      </c>
      <c r="D295" s="23">
        <f>'Jul 9'!$B$15</f>
        <v>0</v>
      </c>
      <c r="E295" s="64">
        <f>'Jul 9'!$E$15</f>
        <v>0</v>
      </c>
      <c r="F295" s="23">
        <f>'Jul 9'!$A$15</f>
        <v>0</v>
      </c>
      <c r="G295" s="64">
        <f>'Jul 9'!$F$15</f>
        <v>0</v>
      </c>
      <c r="H295" s="64">
        <f>'Jul 9'!$G$15</f>
        <v>0</v>
      </c>
      <c r="I295" s="64" t="str">
        <f>'Jul 9'!$M$15</f>
        <v/>
      </c>
      <c r="J295" s="25" t="str">
        <f>'Jul 9'!$S$15</f>
        <v/>
      </c>
      <c r="K295" s="23">
        <f>'Jul 9'!$AG$15</f>
        <v>0</v>
      </c>
      <c r="L295" s="23">
        <f>'Jul 9'!$N$15</f>
        <v>0</v>
      </c>
    </row>
    <row r="296" spans="1:12" x14ac:dyDescent="0.25">
      <c r="A296" s="66" t="str">
        <f t="shared" si="4"/>
        <v>✓</v>
      </c>
      <c r="B296" s="67">
        <v>46212</v>
      </c>
      <c r="C296" s="23">
        <f>'Jul 9'!$D$16</f>
        <v>0</v>
      </c>
      <c r="D296" s="23">
        <f>'Jul 9'!$B$16</f>
        <v>0</v>
      </c>
      <c r="E296" s="64">
        <f>'Jul 9'!$E$16</f>
        <v>0</v>
      </c>
      <c r="F296" s="23">
        <f>'Jul 9'!$A$16</f>
        <v>0</v>
      </c>
      <c r="G296" s="64">
        <f>'Jul 9'!$F$16</f>
        <v>0</v>
      </c>
      <c r="H296" s="64">
        <f>'Jul 9'!$G$16</f>
        <v>0</v>
      </c>
      <c r="I296" s="64" t="str">
        <f>'Jul 9'!$M$16</f>
        <v/>
      </c>
      <c r="J296" s="25" t="str">
        <f>'Jul 9'!$S$16</f>
        <v/>
      </c>
      <c r="K296" s="23">
        <f>'Jul 9'!$AG$16</f>
        <v>0</v>
      </c>
      <c r="L296" s="23">
        <f>'Jul 9'!$N$16</f>
        <v>0</v>
      </c>
    </row>
    <row r="297" spans="1:12" x14ac:dyDescent="0.25">
      <c r="A297" s="66" t="str">
        <f t="shared" si="4"/>
        <v>✓</v>
      </c>
      <c r="B297" s="67">
        <v>46212</v>
      </c>
      <c r="C297" s="23">
        <f>'Jul 9'!$D$17</f>
        <v>0</v>
      </c>
      <c r="D297" s="23">
        <f>'Jul 9'!$B$17</f>
        <v>0</v>
      </c>
      <c r="E297" s="64">
        <f>'Jul 9'!$E$17</f>
        <v>0</v>
      </c>
      <c r="F297" s="23">
        <f>'Jul 9'!$A$17</f>
        <v>0</v>
      </c>
      <c r="G297" s="64">
        <f>'Jul 9'!$F$17</f>
        <v>0</v>
      </c>
      <c r="H297" s="64">
        <f>'Jul 9'!$G$17</f>
        <v>0</v>
      </c>
      <c r="I297" s="64" t="str">
        <f>'Jul 9'!$M$17</f>
        <v/>
      </c>
      <c r="J297" s="25" t="str">
        <f>'Jul 9'!$S$17</f>
        <v/>
      </c>
      <c r="K297" s="23">
        <f>'Jul 9'!$AG$17</f>
        <v>0</v>
      </c>
      <c r="L297" s="23">
        <f>'Jul 9'!$N$17</f>
        <v>0</v>
      </c>
    </row>
    <row r="298" spans="1:12" x14ac:dyDescent="0.25">
      <c r="A298" s="66" t="str">
        <f t="shared" si="4"/>
        <v>✓</v>
      </c>
      <c r="B298" s="67">
        <v>46212</v>
      </c>
      <c r="C298" s="23">
        <f>'Jul 9'!$D$18</f>
        <v>0</v>
      </c>
      <c r="D298" s="23">
        <f>'Jul 9'!$B$18</f>
        <v>0</v>
      </c>
      <c r="E298" s="64">
        <f>'Jul 9'!$E$18</f>
        <v>0</v>
      </c>
      <c r="F298" s="23">
        <f>'Jul 9'!$A$18</f>
        <v>0</v>
      </c>
      <c r="G298" s="64">
        <f>'Jul 9'!$F$18</f>
        <v>0</v>
      </c>
      <c r="H298" s="64">
        <f>'Jul 9'!$G$18</f>
        <v>0</v>
      </c>
      <c r="I298" s="64" t="str">
        <f>'Jul 9'!$M$18</f>
        <v/>
      </c>
      <c r="J298" s="25" t="str">
        <f>'Jul 9'!$S$18</f>
        <v/>
      </c>
      <c r="K298" s="23">
        <f>'Jul 9'!$AG$18</f>
        <v>0</v>
      </c>
      <c r="L298" s="23">
        <f>'Jul 9'!$N$18</f>
        <v>0</v>
      </c>
    </row>
    <row r="299" spans="1:12" x14ac:dyDescent="0.25">
      <c r="A299" s="66" t="str">
        <f t="shared" si="4"/>
        <v>✓</v>
      </c>
      <c r="B299" s="67">
        <v>46212</v>
      </c>
      <c r="C299" s="23">
        <f>'Jul 9'!$D$19</f>
        <v>0</v>
      </c>
      <c r="D299" s="23">
        <f>'Jul 9'!$B$19</f>
        <v>0</v>
      </c>
      <c r="E299" s="64">
        <f>'Jul 9'!$E$19</f>
        <v>0</v>
      </c>
      <c r="F299" s="23">
        <f>'Jul 9'!$A$19</f>
        <v>0</v>
      </c>
      <c r="G299" s="64">
        <f>'Jul 9'!$F$19</f>
        <v>0</v>
      </c>
      <c r="H299" s="64">
        <f>'Jul 9'!$G$19</f>
        <v>0</v>
      </c>
      <c r="I299" s="64" t="str">
        <f>'Jul 9'!$M$19</f>
        <v/>
      </c>
      <c r="J299" s="25" t="str">
        <f>'Jul 9'!$S$19</f>
        <v/>
      </c>
      <c r="K299" s="23">
        <f>'Jul 9'!$AG$19</f>
        <v>0</v>
      </c>
      <c r="L299" s="23">
        <f>'Jul 9'!$N$19</f>
        <v>0</v>
      </c>
    </row>
    <row r="300" spans="1:12" x14ac:dyDescent="0.25">
      <c r="A300" s="66" t="str">
        <f t="shared" si="4"/>
        <v>✓</v>
      </c>
      <c r="B300" s="67">
        <v>46212</v>
      </c>
      <c r="C300" s="23">
        <f>'Jul 9'!$D$20</f>
        <v>0</v>
      </c>
      <c r="D300" s="23">
        <f>'Jul 9'!$B$20</f>
        <v>0</v>
      </c>
      <c r="E300" s="64">
        <f>'Jul 9'!$E$20</f>
        <v>0</v>
      </c>
      <c r="F300" s="23">
        <f>'Jul 9'!$A$20</f>
        <v>0</v>
      </c>
      <c r="G300" s="64">
        <f>'Jul 9'!$F$20</f>
        <v>0</v>
      </c>
      <c r="H300" s="64">
        <f>'Jul 9'!$G$20</f>
        <v>0</v>
      </c>
      <c r="I300" s="64" t="str">
        <f>'Jul 9'!$M$20</f>
        <v/>
      </c>
      <c r="J300" s="25" t="str">
        <f>'Jul 9'!$S$20</f>
        <v/>
      </c>
      <c r="K300" s="23">
        <f>'Jul 9'!$AG$20</f>
        <v>0</v>
      </c>
      <c r="L300" s="23">
        <f>'Jul 9'!$N$20</f>
        <v>0</v>
      </c>
    </row>
    <row r="301" spans="1:12" x14ac:dyDescent="0.25">
      <c r="A301" s="66" t="str">
        <f t="shared" si="4"/>
        <v>✓</v>
      </c>
      <c r="B301" s="67">
        <v>46212</v>
      </c>
      <c r="C301" s="23">
        <f>'Jul 9'!$D$21</f>
        <v>0</v>
      </c>
      <c r="D301" s="23">
        <f>'Jul 9'!$B$21</f>
        <v>0</v>
      </c>
      <c r="E301" s="64">
        <f>'Jul 9'!$E$21</f>
        <v>0</v>
      </c>
      <c r="F301" s="23">
        <f>'Jul 9'!$A$21</f>
        <v>0</v>
      </c>
      <c r="G301" s="64">
        <f>'Jul 9'!$F$21</f>
        <v>0</v>
      </c>
      <c r="H301" s="64">
        <f>'Jul 9'!$G$21</f>
        <v>0</v>
      </c>
      <c r="I301" s="64" t="str">
        <f>'Jul 9'!$M$21</f>
        <v/>
      </c>
      <c r="J301" s="25" t="str">
        <f>'Jul 9'!$S$21</f>
        <v/>
      </c>
      <c r="K301" s="23">
        <f>'Jul 9'!$AG$21</f>
        <v>0</v>
      </c>
      <c r="L301" s="23">
        <f>'Jul 9'!$N$21</f>
        <v>0</v>
      </c>
    </row>
    <row r="302" spans="1:12" x14ac:dyDescent="0.25">
      <c r="A302" s="66" t="str">
        <f t="shared" si="4"/>
        <v>✓</v>
      </c>
      <c r="B302" s="67">
        <v>46212</v>
      </c>
      <c r="C302" s="23">
        <f>'Jul 9'!$D$22</f>
        <v>0</v>
      </c>
      <c r="D302" s="23">
        <f>'Jul 9'!$B$22</f>
        <v>0</v>
      </c>
      <c r="E302" s="64">
        <f>'Jul 9'!$E$22</f>
        <v>0</v>
      </c>
      <c r="F302" s="23">
        <f>'Jul 9'!$A$22</f>
        <v>0</v>
      </c>
      <c r="G302" s="64">
        <f>'Jul 9'!$F$22</f>
        <v>0</v>
      </c>
      <c r="H302" s="64">
        <f>'Jul 9'!$G$22</f>
        <v>0</v>
      </c>
      <c r="I302" s="64" t="str">
        <f>'Jul 9'!$M$22</f>
        <v/>
      </c>
      <c r="J302" s="25" t="str">
        <f>'Jul 9'!$S$22</f>
        <v/>
      </c>
      <c r="K302" s="23">
        <f>'Jul 9'!$AG$22</f>
        <v>0</v>
      </c>
      <c r="L302" s="23">
        <f>'Jul 9'!$N$22</f>
        <v>0</v>
      </c>
    </row>
    <row r="303" spans="1:12" x14ac:dyDescent="0.25">
      <c r="A303" s="66" t="str">
        <f t="shared" si="4"/>
        <v>✓</v>
      </c>
      <c r="B303" s="67">
        <v>46212</v>
      </c>
      <c r="C303" s="23">
        <f>'Jul 9'!$D$23</f>
        <v>0</v>
      </c>
      <c r="D303" s="23">
        <f>'Jul 9'!$B$23</f>
        <v>0</v>
      </c>
      <c r="E303" s="64">
        <f>'Jul 9'!$E$23</f>
        <v>0</v>
      </c>
      <c r="F303" s="23">
        <f>'Jul 9'!$A$23</f>
        <v>0</v>
      </c>
      <c r="G303" s="64">
        <f>'Jul 9'!$F$23</f>
        <v>0</v>
      </c>
      <c r="H303" s="64">
        <f>'Jul 9'!$G$23</f>
        <v>0</v>
      </c>
      <c r="I303" s="64" t="str">
        <f>'Jul 9'!$M$23</f>
        <v/>
      </c>
      <c r="J303" s="25" t="str">
        <f>'Jul 9'!$S$23</f>
        <v/>
      </c>
      <c r="K303" s="23">
        <f>'Jul 9'!$AG$23</f>
        <v>0</v>
      </c>
      <c r="L303" s="23">
        <f>'Jul 9'!$N$23</f>
        <v>0</v>
      </c>
    </row>
    <row r="304" spans="1:12" x14ac:dyDescent="0.25">
      <c r="A304" s="66" t="str">
        <f t="shared" si="4"/>
        <v>✓</v>
      </c>
      <c r="B304" s="67">
        <v>46212</v>
      </c>
      <c r="C304" s="23">
        <f>'Jul 9'!$D$24</f>
        <v>0</v>
      </c>
      <c r="D304" s="23">
        <f>'Jul 9'!$B$24</f>
        <v>0</v>
      </c>
      <c r="E304" s="64">
        <f>'Jul 9'!$E$24</f>
        <v>0</v>
      </c>
      <c r="F304" s="23">
        <f>'Jul 9'!$A$24</f>
        <v>0</v>
      </c>
      <c r="G304" s="64">
        <f>'Jul 9'!$F$24</f>
        <v>0</v>
      </c>
      <c r="H304" s="64">
        <f>'Jul 9'!$G$24</f>
        <v>0</v>
      </c>
      <c r="I304" s="64" t="str">
        <f>'Jul 9'!$M$24</f>
        <v/>
      </c>
      <c r="J304" s="25" t="str">
        <f>'Jul 9'!$S$24</f>
        <v/>
      </c>
      <c r="K304" s="23">
        <f>'Jul 9'!$AG$24</f>
        <v>0</v>
      </c>
      <c r="L304" s="23">
        <f>'Jul 9'!$N$24</f>
        <v>0</v>
      </c>
    </row>
    <row r="305" spans="1:12" x14ac:dyDescent="0.25">
      <c r="A305" s="66" t="str">
        <f t="shared" si="4"/>
        <v>✓</v>
      </c>
      <c r="B305" s="67">
        <v>46212</v>
      </c>
      <c r="C305" s="23">
        <f>'Jul 9'!$D$25</f>
        <v>0</v>
      </c>
      <c r="D305" s="23">
        <f>'Jul 9'!$B$25</f>
        <v>0</v>
      </c>
      <c r="E305" s="64">
        <f>'Jul 9'!$E$25</f>
        <v>0</v>
      </c>
      <c r="F305" s="23">
        <f>'Jul 9'!$A$25</f>
        <v>0</v>
      </c>
      <c r="G305" s="64">
        <f>'Jul 9'!$F$25</f>
        <v>0</v>
      </c>
      <c r="H305" s="64">
        <f>'Jul 9'!$G$25</f>
        <v>0</v>
      </c>
      <c r="I305" s="64" t="str">
        <f>'Jul 9'!$M$25</f>
        <v/>
      </c>
      <c r="J305" s="25" t="str">
        <f>'Jul 9'!$S$25</f>
        <v/>
      </c>
      <c r="K305" s="23">
        <f>'Jul 9'!$AG$25</f>
        <v>0</v>
      </c>
      <c r="L305" s="23">
        <f>'Jul 9'!$N$25</f>
        <v>0</v>
      </c>
    </row>
    <row r="306" spans="1:12" x14ac:dyDescent="0.25">
      <c r="A306" s="66" t="str">
        <f t="shared" si="4"/>
        <v>✓</v>
      </c>
      <c r="B306" s="67">
        <v>46212</v>
      </c>
      <c r="C306" s="23">
        <f>'Jul 9'!$D$26</f>
        <v>0</v>
      </c>
      <c r="D306" s="23">
        <f>'Jul 9'!$B$26</f>
        <v>0</v>
      </c>
      <c r="E306" s="64">
        <f>'Jul 9'!$E$26</f>
        <v>0</v>
      </c>
      <c r="F306" s="23">
        <f>'Jul 9'!$A$26</f>
        <v>0</v>
      </c>
      <c r="G306" s="64">
        <f>'Jul 9'!$F$26</f>
        <v>0</v>
      </c>
      <c r="H306" s="64">
        <f>'Jul 9'!$G$26</f>
        <v>0</v>
      </c>
      <c r="I306" s="64" t="str">
        <f>'Jul 9'!$M$26</f>
        <v/>
      </c>
      <c r="J306" s="25" t="str">
        <f>'Jul 9'!$S$26</f>
        <v/>
      </c>
      <c r="K306" s="23">
        <f>'Jul 9'!$AG$26</f>
        <v>0</v>
      </c>
      <c r="L306" s="23">
        <f>'Jul 9'!$N$26</f>
        <v>0</v>
      </c>
    </row>
    <row r="307" spans="1:12" x14ac:dyDescent="0.25">
      <c r="A307" s="66" t="str">
        <f t="shared" si="4"/>
        <v>✓</v>
      </c>
      <c r="B307" s="67">
        <v>46212</v>
      </c>
      <c r="C307" s="23">
        <f>'Jul 9'!$D$27</f>
        <v>0</v>
      </c>
      <c r="D307" s="23">
        <f>'Jul 9'!$B$27</f>
        <v>0</v>
      </c>
      <c r="E307" s="64">
        <f>'Jul 9'!$E$27</f>
        <v>0</v>
      </c>
      <c r="F307" s="23">
        <f>'Jul 9'!$A$27</f>
        <v>0</v>
      </c>
      <c r="G307" s="64">
        <f>'Jul 9'!$F$27</f>
        <v>0</v>
      </c>
      <c r="H307" s="64">
        <f>'Jul 9'!$G$27</f>
        <v>0</v>
      </c>
      <c r="I307" s="64" t="str">
        <f>'Jul 9'!$M$27</f>
        <v/>
      </c>
      <c r="J307" s="25" t="str">
        <f>'Jul 9'!$S$27</f>
        <v/>
      </c>
      <c r="K307" s="23">
        <f>'Jul 9'!$AG$27</f>
        <v>0</v>
      </c>
      <c r="L307" s="23">
        <f>'Jul 9'!$N$27</f>
        <v>0</v>
      </c>
    </row>
    <row r="308" spans="1:12" x14ac:dyDescent="0.25">
      <c r="A308" s="66" t="str">
        <f t="shared" si="4"/>
        <v>✓</v>
      </c>
      <c r="B308" s="67">
        <v>46212</v>
      </c>
      <c r="C308" s="23">
        <f>'Jul 9'!$D$28</f>
        <v>0</v>
      </c>
      <c r="D308" s="23">
        <f>'Jul 9'!$B$28</f>
        <v>0</v>
      </c>
      <c r="E308" s="64">
        <f>'Jul 9'!$E$28</f>
        <v>0</v>
      </c>
      <c r="F308" s="23">
        <f>'Jul 9'!$A$28</f>
        <v>0</v>
      </c>
      <c r="G308" s="64">
        <f>'Jul 9'!$F$28</f>
        <v>0</v>
      </c>
      <c r="H308" s="64">
        <f>'Jul 9'!$G$28</f>
        <v>0</v>
      </c>
      <c r="I308" s="64" t="str">
        <f>'Jul 9'!$M$28</f>
        <v/>
      </c>
      <c r="J308" s="25" t="str">
        <f>'Jul 9'!$S$28</f>
        <v/>
      </c>
      <c r="K308" s="23">
        <f>'Jul 9'!$AG$28</f>
        <v>0</v>
      </c>
      <c r="L308" s="23">
        <f>'Jul 9'!$N$28</f>
        <v>0</v>
      </c>
    </row>
    <row r="309" spans="1:12" x14ac:dyDescent="0.25">
      <c r="A309" s="66" t="str">
        <f t="shared" si="4"/>
        <v>✓</v>
      </c>
      <c r="B309" s="67">
        <v>46212</v>
      </c>
      <c r="C309" s="23">
        <f>'Jul 9'!$D$29</f>
        <v>0</v>
      </c>
      <c r="D309" s="23">
        <f>'Jul 9'!$B$29</f>
        <v>0</v>
      </c>
      <c r="E309" s="64">
        <f>'Jul 9'!$E$29</f>
        <v>0</v>
      </c>
      <c r="F309" s="23">
        <f>'Jul 9'!$A$29</f>
        <v>0</v>
      </c>
      <c r="G309" s="64">
        <f>'Jul 9'!$F$29</f>
        <v>0</v>
      </c>
      <c r="H309" s="64">
        <f>'Jul 9'!$G$29</f>
        <v>0</v>
      </c>
      <c r="I309" s="64" t="str">
        <f>'Jul 9'!$M$29</f>
        <v/>
      </c>
      <c r="J309" s="25" t="str">
        <f>'Jul 9'!$S$29</f>
        <v/>
      </c>
      <c r="K309" s="23">
        <f>'Jul 9'!$AG$29</f>
        <v>0</v>
      </c>
      <c r="L309" s="23">
        <f>'Jul 9'!$N$29</f>
        <v>0</v>
      </c>
    </row>
    <row r="310" spans="1:12" x14ac:dyDescent="0.25">
      <c r="A310" s="66" t="str">
        <f t="shared" si="4"/>
        <v>✓</v>
      </c>
      <c r="B310" s="67">
        <v>46212</v>
      </c>
      <c r="C310" s="23">
        <f>'Jul 9'!$D$30</f>
        <v>0</v>
      </c>
      <c r="D310" s="23">
        <f>'Jul 9'!$B$30</f>
        <v>0</v>
      </c>
      <c r="E310" s="64">
        <f>'Jul 9'!$E$30</f>
        <v>0</v>
      </c>
      <c r="F310" s="23">
        <f>'Jul 9'!$A$30</f>
        <v>0</v>
      </c>
      <c r="G310" s="64">
        <f>'Jul 9'!$F$30</f>
        <v>0</v>
      </c>
      <c r="H310" s="64">
        <f>'Jul 9'!$G$30</f>
        <v>0</v>
      </c>
      <c r="I310" s="64" t="str">
        <f>'Jul 9'!$M$30</f>
        <v/>
      </c>
      <c r="J310" s="25" t="str">
        <f>'Jul 9'!$S$30</f>
        <v/>
      </c>
      <c r="K310" s="23">
        <f>'Jul 9'!$AG$30</f>
        <v>0</v>
      </c>
      <c r="L310" s="23">
        <f>'Jul 9'!$N$30</f>
        <v>0</v>
      </c>
    </row>
    <row r="311" spans="1:12" x14ac:dyDescent="0.25">
      <c r="A311" s="66" t="str">
        <f t="shared" si="4"/>
        <v>✓</v>
      </c>
      <c r="B311" s="67">
        <v>46212</v>
      </c>
      <c r="C311" s="23">
        <f>'Jul 9'!$D$31</f>
        <v>0</v>
      </c>
      <c r="D311" s="23">
        <f>'Jul 9'!$B$31</f>
        <v>0</v>
      </c>
      <c r="E311" s="64">
        <f>'Jul 9'!$E$31</f>
        <v>0</v>
      </c>
      <c r="F311" s="23">
        <f>'Jul 9'!$A$31</f>
        <v>0</v>
      </c>
      <c r="G311" s="64">
        <f>'Jul 9'!$F$31</f>
        <v>0</v>
      </c>
      <c r="H311" s="64">
        <f>'Jul 9'!$G$31</f>
        <v>0</v>
      </c>
      <c r="I311" s="64" t="str">
        <f>'Jul 9'!$M$31</f>
        <v/>
      </c>
      <c r="J311" s="25" t="str">
        <f>'Jul 9'!$S$31</f>
        <v/>
      </c>
      <c r="K311" s="23">
        <f>'Jul 9'!$AG$31</f>
        <v>0</v>
      </c>
      <c r="L311" s="23">
        <f>'Jul 9'!$N$31</f>
        <v>0</v>
      </c>
    </row>
    <row r="312" spans="1:12" x14ac:dyDescent="0.25">
      <c r="A312" s="66" t="str">
        <f t="shared" si="4"/>
        <v>✓</v>
      </c>
      <c r="B312" s="67">
        <v>46212</v>
      </c>
      <c r="C312" s="23">
        <f>'Jul 9'!$D$32</f>
        <v>0</v>
      </c>
      <c r="D312" s="23">
        <f>'Jul 9'!$B$32</f>
        <v>0</v>
      </c>
      <c r="E312" s="64">
        <f>'Jul 9'!$E$32</f>
        <v>0</v>
      </c>
      <c r="F312" s="23">
        <f>'Jul 9'!$A$32</f>
        <v>0</v>
      </c>
      <c r="G312" s="64">
        <f>'Jul 9'!$F$32</f>
        <v>0</v>
      </c>
      <c r="H312" s="64">
        <f>'Jul 9'!$G$32</f>
        <v>0</v>
      </c>
      <c r="I312" s="64" t="str">
        <f>'Jul 9'!$M$32</f>
        <v/>
      </c>
      <c r="J312" s="25" t="str">
        <f>'Jul 9'!$S$32</f>
        <v/>
      </c>
      <c r="K312" s="23">
        <f>'Jul 9'!$AG$32</f>
        <v>0</v>
      </c>
      <c r="L312" s="23">
        <f>'Jul 9'!$N$32</f>
        <v>0</v>
      </c>
    </row>
    <row r="313" spans="1:12" x14ac:dyDescent="0.25">
      <c r="A313" s="66" t="str">
        <f t="shared" si="4"/>
        <v>✓</v>
      </c>
      <c r="B313" s="67">
        <v>46212</v>
      </c>
      <c r="C313" s="23">
        <f>'Jul 9'!$D$33</f>
        <v>0</v>
      </c>
      <c r="D313" s="23">
        <f>'Jul 9'!$B$33</f>
        <v>0</v>
      </c>
      <c r="E313" s="64">
        <f>'Jul 9'!$E$33</f>
        <v>0</v>
      </c>
      <c r="F313" s="23">
        <f>'Jul 9'!$A$33</f>
        <v>0</v>
      </c>
      <c r="G313" s="64">
        <f>'Jul 9'!$F$33</f>
        <v>0</v>
      </c>
      <c r="H313" s="64">
        <f>'Jul 9'!$G$33</f>
        <v>0</v>
      </c>
      <c r="I313" s="64" t="str">
        <f>'Jul 9'!$M$33</f>
        <v/>
      </c>
      <c r="J313" s="25" t="str">
        <f>'Jul 9'!$S$33</f>
        <v/>
      </c>
      <c r="K313" s="23">
        <f>'Jul 9'!$AG$33</f>
        <v>0</v>
      </c>
      <c r="L313" s="23">
        <f>'Jul 9'!$N$33</f>
        <v>0</v>
      </c>
    </row>
    <row r="314" spans="1:12" x14ac:dyDescent="0.25">
      <c r="A314" s="66" t="str">
        <f t="shared" si="4"/>
        <v>✓</v>
      </c>
      <c r="B314" s="67">
        <v>46212</v>
      </c>
      <c r="C314" s="23">
        <f>'Jul 9'!$D$34</f>
        <v>0</v>
      </c>
      <c r="D314" s="23">
        <f>'Jul 9'!$B$34</f>
        <v>0</v>
      </c>
      <c r="E314" s="64">
        <f>'Jul 9'!$E$34</f>
        <v>0</v>
      </c>
      <c r="F314" s="23">
        <f>'Jul 9'!$A$34</f>
        <v>0</v>
      </c>
      <c r="G314" s="64">
        <f>'Jul 9'!$F$34</f>
        <v>0</v>
      </c>
      <c r="H314" s="64">
        <f>'Jul 9'!$G$34</f>
        <v>0</v>
      </c>
      <c r="I314" s="64" t="str">
        <f>'Jul 9'!$M$34</f>
        <v/>
      </c>
      <c r="J314" s="25" t="str">
        <f>'Jul 9'!$S$34</f>
        <v/>
      </c>
      <c r="K314" s="23">
        <f>'Jul 9'!$AG$34</f>
        <v>0</v>
      </c>
      <c r="L314" s="23">
        <f>'Jul 9'!$N$34</f>
        <v>0</v>
      </c>
    </row>
    <row r="315" spans="1:12" x14ac:dyDescent="0.25">
      <c r="A315" s="66" t="str">
        <f t="shared" si="4"/>
        <v>✓</v>
      </c>
      <c r="B315" s="67">
        <v>46212</v>
      </c>
      <c r="C315" s="23">
        <f>'Jul 9'!$D$35</f>
        <v>0</v>
      </c>
      <c r="D315" s="23">
        <f>'Jul 9'!$B$35</f>
        <v>0</v>
      </c>
      <c r="E315" s="64">
        <f>'Jul 9'!$E$35</f>
        <v>0</v>
      </c>
      <c r="F315" s="23">
        <f>'Jul 9'!$A$35</f>
        <v>0</v>
      </c>
      <c r="G315" s="64">
        <f>'Jul 9'!$F$35</f>
        <v>0</v>
      </c>
      <c r="H315" s="64">
        <f>'Jul 9'!$G$35</f>
        <v>0</v>
      </c>
      <c r="I315" s="64" t="str">
        <f>'Jul 9'!$M$35</f>
        <v/>
      </c>
      <c r="J315" s="25" t="str">
        <f>'Jul 9'!$S$35</f>
        <v/>
      </c>
      <c r="K315" s="23">
        <f>'Jul 9'!$AG$35</f>
        <v>0</v>
      </c>
      <c r="L315" s="23">
        <f>'Jul 9'!$N$35</f>
        <v>0</v>
      </c>
    </row>
    <row r="316" spans="1:12" x14ac:dyDescent="0.25">
      <c r="A316" s="66" t="str">
        <f t="shared" si="4"/>
        <v>✓</v>
      </c>
      <c r="B316" s="67">
        <v>46212</v>
      </c>
      <c r="C316" s="23">
        <f>'Jul 9'!$D$36</f>
        <v>0</v>
      </c>
      <c r="D316" s="23">
        <f>'Jul 9'!$B$36</f>
        <v>0</v>
      </c>
      <c r="E316" s="64">
        <f>'Jul 9'!$E$36</f>
        <v>0</v>
      </c>
      <c r="F316" s="23">
        <f>'Jul 9'!$A$36</f>
        <v>0</v>
      </c>
      <c r="G316" s="64">
        <f>'Jul 9'!$F$36</f>
        <v>0</v>
      </c>
      <c r="H316" s="64">
        <f>'Jul 9'!$G$36</f>
        <v>0</v>
      </c>
      <c r="I316" s="64" t="str">
        <f>'Jul 9'!$M$36</f>
        <v/>
      </c>
      <c r="J316" s="25" t="str">
        <f>'Jul 9'!$S$36</f>
        <v/>
      </c>
      <c r="K316" s="23">
        <f>'Jul 9'!$AG$36</f>
        <v>0</v>
      </c>
      <c r="L316" s="23">
        <f>'Jul 9'!$N$36</f>
        <v>0</v>
      </c>
    </row>
    <row r="317" spans="1:12" x14ac:dyDescent="0.25">
      <c r="A317" s="66" t="str">
        <f t="shared" si="4"/>
        <v>✓</v>
      </c>
      <c r="B317" s="67">
        <v>46212</v>
      </c>
      <c r="C317" s="23">
        <f>'Jul 9'!$D$37</f>
        <v>0</v>
      </c>
      <c r="D317" s="23">
        <f>'Jul 9'!$B$37</f>
        <v>0</v>
      </c>
      <c r="E317" s="64">
        <f>'Jul 9'!$E$37</f>
        <v>0</v>
      </c>
      <c r="F317" s="23">
        <f>'Jul 9'!$A$37</f>
        <v>0</v>
      </c>
      <c r="G317" s="64">
        <f>'Jul 9'!$F$37</f>
        <v>0</v>
      </c>
      <c r="H317" s="64">
        <f>'Jul 9'!$G$37</f>
        <v>0</v>
      </c>
      <c r="I317" s="64" t="str">
        <f>'Jul 9'!$M$37</f>
        <v/>
      </c>
      <c r="J317" s="25" t="str">
        <f>'Jul 9'!$S$37</f>
        <v/>
      </c>
      <c r="K317" s="23">
        <f>'Jul 9'!$AG$37</f>
        <v>0</v>
      </c>
      <c r="L317" s="23">
        <f>'Jul 9'!$N$37</f>
        <v>0</v>
      </c>
    </row>
    <row r="318" spans="1:12" x14ac:dyDescent="0.25">
      <c r="A318" s="66" t="str">
        <f t="shared" si="4"/>
        <v>✓</v>
      </c>
      <c r="B318" s="67">
        <v>46212</v>
      </c>
      <c r="C318" s="23">
        <f>'Jul 9'!$D$38</f>
        <v>0</v>
      </c>
      <c r="D318" s="23">
        <f>'Jul 9'!$B$38</f>
        <v>0</v>
      </c>
      <c r="E318" s="64">
        <f>'Jul 9'!$E$38</f>
        <v>0</v>
      </c>
      <c r="F318" s="23">
        <f>'Jul 9'!$A$38</f>
        <v>0</v>
      </c>
      <c r="G318" s="64">
        <f>'Jul 9'!$F$38</f>
        <v>0</v>
      </c>
      <c r="H318" s="64">
        <f>'Jul 9'!$G$38</f>
        <v>0</v>
      </c>
      <c r="I318" s="64" t="str">
        <f>'Jul 9'!$M$38</f>
        <v/>
      </c>
      <c r="J318" s="25" t="str">
        <f>'Jul 9'!$S$38</f>
        <v/>
      </c>
      <c r="K318" s="23">
        <f>'Jul 9'!$AG$38</f>
        <v>0</v>
      </c>
      <c r="L318" s="23">
        <f>'Jul 9'!$N$38</f>
        <v>0</v>
      </c>
    </row>
    <row r="319" spans="1:12" x14ac:dyDescent="0.25">
      <c r="A319" s="66" t="str">
        <f t="shared" si="4"/>
        <v>✓</v>
      </c>
      <c r="B319" s="67">
        <v>46212</v>
      </c>
      <c r="C319" s="23">
        <f>'Jul 9'!$D$39</f>
        <v>0</v>
      </c>
      <c r="D319" s="23">
        <f>'Jul 9'!$B$39</f>
        <v>0</v>
      </c>
      <c r="E319" s="64">
        <f>'Jul 9'!$E$39</f>
        <v>0</v>
      </c>
      <c r="F319" s="23">
        <f>'Jul 9'!$A$39</f>
        <v>0</v>
      </c>
      <c r="G319" s="64">
        <f>'Jul 9'!$F$39</f>
        <v>0</v>
      </c>
      <c r="H319" s="64">
        <f>'Jul 9'!$G$39</f>
        <v>0</v>
      </c>
      <c r="I319" s="64" t="str">
        <f>'Jul 9'!$M$39</f>
        <v/>
      </c>
      <c r="J319" s="25" t="str">
        <f>'Jul 9'!$S$39</f>
        <v/>
      </c>
      <c r="K319" s="23">
        <f>'Jul 9'!$AG$39</f>
        <v>0</v>
      </c>
      <c r="L319" s="23">
        <f>'Jul 9'!$N$39</f>
        <v>0</v>
      </c>
    </row>
    <row r="320" spans="1:12" x14ac:dyDescent="0.25">
      <c r="A320" s="66" t="str">
        <f t="shared" si="4"/>
        <v>✓</v>
      </c>
      <c r="B320" s="67">
        <v>46212</v>
      </c>
      <c r="C320" s="23">
        <f>'Jul 9'!$D$40</f>
        <v>0</v>
      </c>
      <c r="D320" s="23">
        <f>'Jul 9'!$B$40</f>
        <v>0</v>
      </c>
      <c r="E320" s="64">
        <f>'Jul 9'!$E$40</f>
        <v>0</v>
      </c>
      <c r="F320" s="23">
        <f>'Jul 9'!$A$40</f>
        <v>0</v>
      </c>
      <c r="G320" s="64">
        <f>'Jul 9'!$F$40</f>
        <v>0</v>
      </c>
      <c r="H320" s="64">
        <f>'Jul 9'!$G$40</f>
        <v>0</v>
      </c>
      <c r="I320" s="64" t="str">
        <f>'Jul 9'!$M$40</f>
        <v/>
      </c>
      <c r="J320" s="25" t="str">
        <f>'Jul 9'!$S$40</f>
        <v/>
      </c>
      <c r="K320" s="23">
        <f>'Jul 9'!$AG$40</f>
        <v>0</v>
      </c>
      <c r="L320" s="23">
        <f>'Jul 9'!$N$40</f>
        <v>0</v>
      </c>
    </row>
    <row r="321" spans="1:12" x14ac:dyDescent="0.25">
      <c r="A321" s="66" t="str">
        <f t="shared" si="4"/>
        <v>✓</v>
      </c>
      <c r="B321" s="67">
        <v>46212</v>
      </c>
      <c r="C321" s="23">
        <f>'Jul 9'!$D$41</f>
        <v>0</v>
      </c>
      <c r="D321" s="23">
        <f>'Jul 9'!$B$41</f>
        <v>0</v>
      </c>
      <c r="E321" s="64">
        <f>'Jul 9'!$E$41</f>
        <v>0</v>
      </c>
      <c r="F321" s="23">
        <f>'Jul 9'!$A$41</f>
        <v>0</v>
      </c>
      <c r="G321" s="64">
        <f>'Jul 9'!$F$41</f>
        <v>0</v>
      </c>
      <c r="H321" s="64">
        <f>'Jul 9'!$G$41</f>
        <v>0</v>
      </c>
      <c r="I321" s="64" t="str">
        <f>'Jul 9'!$M$41</f>
        <v/>
      </c>
      <c r="J321" s="25" t="str">
        <f>'Jul 9'!$S$41</f>
        <v/>
      </c>
      <c r="K321" s="23">
        <f>'Jul 9'!$AG$41</f>
        <v>0</v>
      </c>
      <c r="L321" s="23">
        <f>'Jul 9'!$N$41</f>
        <v>0</v>
      </c>
    </row>
    <row r="322" spans="1:12" x14ac:dyDescent="0.25">
      <c r="A322" s="66" t="str">
        <f t="shared" si="4"/>
        <v>✓</v>
      </c>
      <c r="B322" s="67">
        <v>46212</v>
      </c>
      <c r="C322" s="23">
        <f>'Jul 9'!$D$42</f>
        <v>0</v>
      </c>
      <c r="D322" s="23">
        <f>'Jul 9'!$B$42</f>
        <v>0</v>
      </c>
      <c r="E322" s="64">
        <f>'Jul 9'!$E$42</f>
        <v>0</v>
      </c>
      <c r="F322" s="23">
        <f>'Jul 9'!$A$42</f>
        <v>0</v>
      </c>
      <c r="G322" s="64">
        <f>'Jul 9'!$F$42</f>
        <v>0</v>
      </c>
      <c r="H322" s="64">
        <f>'Jul 9'!$G$42</f>
        <v>0</v>
      </c>
      <c r="I322" s="64" t="str">
        <f>'Jul 9'!$M$42</f>
        <v/>
      </c>
      <c r="J322" s="25" t="str">
        <f>'Jul 9'!$S$42</f>
        <v/>
      </c>
      <c r="K322" s="23">
        <f>'Jul 9'!$AG$42</f>
        <v>0</v>
      </c>
      <c r="L322" s="23">
        <f>'Jul 9'!$N$42</f>
        <v>0</v>
      </c>
    </row>
    <row r="323" spans="1:12" x14ac:dyDescent="0.25">
      <c r="A323" s="66" t="str">
        <f t="shared" si="4"/>
        <v>✓</v>
      </c>
      <c r="B323" s="67">
        <v>46213</v>
      </c>
      <c r="C323" s="23">
        <f>'Jul 10'!$D$8</f>
        <v>0</v>
      </c>
      <c r="D323" s="23">
        <f>'Jul 10'!$B$8</f>
        <v>0</v>
      </c>
      <c r="E323" s="64">
        <f>'Jul 10'!$E$8</f>
        <v>0</v>
      </c>
      <c r="F323" s="23">
        <f>'Jul 10'!$A$8</f>
        <v>0</v>
      </c>
      <c r="G323" s="64">
        <f>'Jul 10'!$F$8</f>
        <v>0</v>
      </c>
      <c r="H323" s="64">
        <f>'Jul 10'!$G$8</f>
        <v>0</v>
      </c>
      <c r="I323" s="64" t="str">
        <f>'Jul 10'!$M$8</f>
        <v/>
      </c>
      <c r="J323" s="25" t="str">
        <f>'Jul 10'!$S$8</f>
        <v/>
      </c>
      <c r="K323" s="23">
        <f>'Jul 10'!$AG$8</f>
        <v>0</v>
      </c>
      <c r="L323" s="23">
        <f>'Jul 10'!$N$8</f>
        <v>0</v>
      </c>
    </row>
    <row r="324" spans="1:12" x14ac:dyDescent="0.25">
      <c r="A324" s="66" t="str">
        <f t="shared" si="4"/>
        <v>✓</v>
      </c>
      <c r="B324" s="67">
        <v>46213</v>
      </c>
      <c r="C324" s="23">
        <f>'Jul 10'!$D$9</f>
        <v>0</v>
      </c>
      <c r="D324" s="23">
        <f>'Jul 10'!$B$9</f>
        <v>0</v>
      </c>
      <c r="E324" s="64">
        <f>'Jul 10'!$E$9</f>
        <v>0</v>
      </c>
      <c r="F324" s="23">
        <f>'Jul 10'!$A$9</f>
        <v>0</v>
      </c>
      <c r="G324" s="64">
        <f>'Jul 10'!$F$9</f>
        <v>0</v>
      </c>
      <c r="H324" s="64">
        <f>'Jul 10'!$G$9</f>
        <v>0</v>
      </c>
      <c r="I324" s="64" t="str">
        <f>'Jul 10'!$M$9</f>
        <v/>
      </c>
      <c r="J324" s="25" t="str">
        <f>'Jul 10'!$S$9</f>
        <v/>
      </c>
      <c r="K324" s="23">
        <f>'Jul 10'!$AG$9</f>
        <v>0</v>
      </c>
      <c r="L324" s="23">
        <f>'Jul 10'!$N$9</f>
        <v>0</v>
      </c>
    </row>
    <row r="325" spans="1:12" x14ac:dyDescent="0.25">
      <c r="A325" s="66" t="str">
        <f t="shared" si="4"/>
        <v>✓</v>
      </c>
      <c r="B325" s="67">
        <v>46213</v>
      </c>
      <c r="C325" s="23">
        <f>'Jul 10'!$D$10</f>
        <v>0</v>
      </c>
      <c r="D325" s="23">
        <f>'Jul 10'!$B$10</f>
        <v>0</v>
      </c>
      <c r="E325" s="64">
        <f>'Jul 10'!$E$10</f>
        <v>0</v>
      </c>
      <c r="F325" s="23">
        <f>'Jul 10'!$A$10</f>
        <v>0</v>
      </c>
      <c r="G325" s="64">
        <f>'Jul 10'!$F$10</f>
        <v>0</v>
      </c>
      <c r="H325" s="64">
        <f>'Jul 10'!$G$10</f>
        <v>0</v>
      </c>
      <c r="I325" s="64" t="str">
        <f>'Jul 10'!$M$10</f>
        <v/>
      </c>
      <c r="J325" s="25" t="str">
        <f>'Jul 10'!$S$10</f>
        <v/>
      </c>
      <c r="K325" s="23">
        <f>'Jul 10'!$AG$10</f>
        <v>0</v>
      </c>
      <c r="L325" s="23">
        <f>'Jul 10'!$N$10</f>
        <v>0</v>
      </c>
    </row>
    <row r="326" spans="1:12" x14ac:dyDescent="0.25">
      <c r="A326" s="66" t="str">
        <f t="shared" si="4"/>
        <v>✓</v>
      </c>
      <c r="B326" s="67">
        <v>46213</v>
      </c>
      <c r="C326" s="23">
        <f>'Jul 10'!$D$11</f>
        <v>0</v>
      </c>
      <c r="D326" s="23">
        <f>'Jul 10'!$B$11</f>
        <v>0</v>
      </c>
      <c r="E326" s="64">
        <f>'Jul 10'!$E$11</f>
        <v>0</v>
      </c>
      <c r="F326" s="23">
        <f>'Jul 10'!$A$11</f>
        <v>0</v>
      </c>
      <c r="G326" s="64">
        <f>'Jul 10'!$F$11</f>
        <v>0</v>
      </c>
      <c r="H326" s="64">
        <f>'Jul 10'!$G$11</f>
        <v>0</v>
      </c>
      <c r="I326" s="64" t="str">
        <f>'Jul 10'!$M$11</f>
        <v/>
      </c>
      <c r="J326" s="25" t="str">
        <f>'Jul 10'!$S$11</f>
        <v/>
      </c>
      <c r="K326" s="23">
        <f>'Jul 10'!$AG$11</f>
        <v>0</v>
      </c>
      <c r="L326" s="23">
        <f>'Jul 10'!$N$11</f>
        <v>0</v>
      </c>
    </row>
    <row r="327" spans="1:12" x14ac:dyDescent="0.25">
      <c r="A327" s="66" t="str">
        <f t="shared" si="4"/>
        <v>✓</v>
      </c>
      <c r="B327" s="67">
        <v>46213</v>
      </c>
      <c r="C327" s="23">
        <f>'Jul 10'!$D$12</f>
        <v>0</v>
      </c>
      <c r="D327" s="23">
        <f>'Jul 10'!$B$12</f>
        <v>0</v>
      </c>
      <c r="E327" s="64">
        <f>'Jul 10'!$E$12</f>
        <v>0</v>
      </c>
      <c r="F327" s="23">
        <f>'Jul 10'!$A$12</f>
        <v>0</v>
      </c>
      <c r="G327" s="64">
        <f>'Jul 10'!$F$12</f>
        <v>0</v>
      </c>
      <c r="H327" s="64">
        <f>'Jul 10'!$G$12</f>
        <v>0</v>
      </c>
      <c r="I327" s="64" t="str">
        <f>'Jul 10'!$M$12</f>
        <v/>
      </c>
      <c r="J327" s="25" t="str">
        <f>'Jul 10'!$S$12</f>
        <v/>
      </c>
      <c r="K327" s="23">
        <f>'Jul 10'!$AG$12</f>
        <v>0</v>
      </c>
      <c r="L327" s="23">
        <f>'Jul 10'!$N$12</f>
        <v>0</v>
      </c>
    </row>
    <row r="328" spans="1:12" x14ac:dyDescent="0.25">
      <c r="A328" s="66" t="str">
        <f t="shared" ref="A328:A391" si="5">IF(C328="","",IF(AND(OR($B$5="",G328=$B$5,H328=$B$5),OR($D$5="",F328=$D$5),OR($E$5="",K328=$E$5),OR($G$5="",L328=$G$5),OR($H$5="",N(J328)&gt;=$H$5),OR($I$5="",ISNUMBER(SEARCH($I$5,C328&amp;" "&amp;D328&amp;" "&amp;E328&amp;" "&amp;I328)))),"✓",""))</f>
        <v>✓</v>
      </c>
      <c r="B328" s="67">
        <v>46213</v>
      </c>
      <c r="C328" s="23">
        <f>'Jul 10'!$D$13</f>
        <v>0</v>
      </c>
      <c r="D328" s="23">
        <f>'Jul 10'!$B$13</f>
        <v>0</v>
      </c>
      <c r="E328" s="64">
        <f>'Jul 10'!$E$13</f>
        <v>0</v>
      </c>
      <c r="F328" s="23">
        <f>'Jul 10'!$A$13</f>
        <v>0</v>
      </c>
      <c r="G328" s="64">
        <f>'Jul 10'!$F$13</f>
        <v>0</v>
      </c>
      <c r="H328" s="64">
        <f>'Jul 10'!$G$13</f>
        <v>0</v>
      </c>
      <c r="I328" s="64" t="str">
        <f>'Jul 10'!$M$13</f>
        <v/>
      </c>
      <c r="J328" s="25" t="str">
        <f>'Jul 10'!$S$13</f>
        <v/>
      </c>
      <c r="K328" s="23">
        <f>'Jul 10'!$AG$13</f>
        <v>0</v>
      </c>
      <c r="L328" s="23">
        <f>'Jul 10'!$N$13</f>
        <v>0</v>
      </c>
    </row>
    <row r="329" spans="1:12" x14ac:dyDescent="0.25">
      <c r="A329" s="66" t="str">
        <f t="shared" si="5"/>
        <v>✓</v>
      </c>
      <c r="B329" s="67">
        <v>46213</v>
      </c>
      <c r="C329" s="23">
        <f>'Jul 10'!$D$14</f>
        <v>0</v>
      </c>
      <c r="D329" s="23">
        <f>'Jul 10'!$B$14</f>
        <v>0</v>
      </c>
      <c r="E329" s="64">
        <f>'Jul 10'!$E$14</f>
        <v>0</v>
      </c>
      <c r="F329" s="23">
        <f>'Jul 10'!$A$14</f>
        <v>0</v>
      </c>
      <c r="G329" s="64">
        <f>'Jul 10'!$F$14</f>
        <v>0</v>
      </c>
      <c r="H329" s="64">
        <f>'Jul 10'!$G$14</f>
        <v>0</v>
      </c>
      <c r="I329" s="64" t="str">
        <f>'Jul 10'!$M$14</f>
        <v/>
      </c>
      <c r="J329" s="25" t="str">
        <f>'Jul 10'!$S$14</f>
        <v/>
      </c>
      <c r="K329" s="23">
        <f>'Jul 10'!$AG$14</f>
        <v>0</v>
      </c>
      <c r="L329" s="23">
        <f>'Jul 10'!$N$14</f>
        <v>0</v>
      </c>
    </row>
    <row r="330" spans="1:12" x14ac:dyDescent="0.25">
      <c r="A330" s="66" t="str">
        <f t="shared" si="5"/>
        <v>✓</v>
      </c>
      <c r="B330" s="67">
        <v>46213</v>
      </c>
      <c r="C330" s="23">
        <f>'Jul 10'!$D$15</f>
        <v>0</v>
      </c>
      <c r="D330" s="23">
        <f>'Jul 10'!$B$15</f>
        <v>0</v>
      </c>
      <c r="E330" s="64">
        <f>'Jul 10'!$E$15</f>
        <v>0</v>
      </c>
      <c r="F330" s="23">
        <f>'Jul 10'!$A$15</f>
        <v>0</v>
      </c>
      <c r="G330" s="64">
        <f>'Jul 10'!$F$15</f>
        <v>0</v>
      </c>
      <c r="H330" s="64">
        <f>'Jul 10'!$G$15</f>
        <v>0</v>
      </c>
      <c r="I330" s="64" t="str">
        <f>'Jul 10'!$M$15</f>
        <v/>
      </c>
      <c r="J330" s="25" t="str">
        <f>'Jul 10'!$S$15</f>
        <v/>
      </c>
      <c r="K330" s="23">
        <f>'Jul 10'!$AG$15</f>
        <v>0</v>
      </c>
      <c r="L330" s="23">
        <f>'Jul 10'!$N$15</f>
        <v>0</v>
      </c>
    </row>
    <row r="331" spans="1:12" x14ac:dyDescent="0.25">
      <c r="A331" s="66" t="str">
        <f t="shared" si="5"/>
        <v>✓</v>
      </c>
      <c r="B331" s="67">
        <v>46213</v>
      </c>
      <c r="C331" s="23">
        <f>'Jul 10'!$D$16</f>
        <v>0</v>
      </c>
      <c r="D331" s="23">
        <f>'Jul 10'!$B$16</f>
        <v>0</v>
      </c>
      <c r="E331" s="64">
        <f>'Jul 10'!$E$16</f>
        <v>0</v>
      </c>
      <c r="F331" s="23">
        <f>'Jul 10'!$A$16</f>
        <v>0</v>
      </c>
      <c r="G331" s="64">
        <f>'Jul 10'!$F$16</f>
        <v>0</v>
      </c>
      <c r="H331" s="64">
        <f>'Jul 10'!$G$16</f>
        <v>0</v>
      </c>
      <c r="I331" s="64" t="str">
        <f>'Jul 10'!$M$16</f>
        <v/>
      </c>
      <c r="J331" s="25" t="str">
        <f>'Jul 10'!$S$16</f>
        <v/>
      </c>
      <c r="K331" s="23">
        <f>'Jul 10'!$AG$16</f>
        <v>0</v>
      </c>
      <c r="L331" s="23">
        <f>'Jul 10'!$N$16</f>
        <v>0</v>
      </c>
    </row>
    <row r="332" spans="1:12" x14ac:dyDescent="0.25">
      <c r="A332" s="66" t="str">
        <f t="shared" si="5"/>
        <v>✓</v>
      </c>
      <c r="B332" s="67">
        <v>46213</v>
      </c>
      <c r="C332" s="23">
        <f>'Jul 10'!$D$17</f>
        <v>0</v>
      </c>
      <c r="D332" s="23">
        <f>'Jul 10'!$B$17</f>
        <v>0</v>
      </c>
      <c r="E332" s="64">
        <f>'Jul 10'!$E$17</f>
        <v>0</v>
      </c>
      <c r="F332" s="23">
        <f>'Jul 10'!$A$17</f>
        <v>0</v>
      </c>
      <c r="G332" s="64">
        <f>'Jul 10'!$F$17</f>
        <v>0</v>
      </c>
      <c r="H332" s="64">
        <f>'Jul 10'!$G$17</f>
        <v>0</v>
      </c>
      <c r="I332" s="64" t="str">
        <f>'Jul 10'!$M$17</f>
        <v/>
      </c>
      <c r="J332" s="25" t="str">
        <f>'Jul 10'!$S$17</f>
        <v/>
      </c>
      <c r="K332" s="23">
        <f>'Jul 10'!$AG$17</f>
        <v>0</v>
      </c>
      <c r="L332" s="23">
        <f>'Jul 10'!$N$17</f>
        <v>0</v>
      </c>
    </row>
    <row r="333" spans="1:12" x14ac:dyDescent="0.25">
      <c r="A333" s="66" t="str">
        <f t="shared" si="5"/>
        <v>✓</v>
      </c>
      <c r="B333" s="67">
        <v>46213</v>
      </c>
      <c r="C333" s="23">
        <f>'Jul 10'!$D$18</f>
        <v>0</v>
      </c>
      <c r="D333" s="23">
        <f>'Jul 10'!$B$18</f>
        <v>0</v>
      </c>
      <c r="E333" s="64">
        <f>'Jul 10'!$E$18</f>
        <v>0</v>
      </c>
      <c r="F333" s="23">
        <f>'Jul 10'!$A$18</f>
        <v>0</v>
      </c>
      <c r="G333" s="64">
        <f>'Jul 10'!$F$18</f>
        <v>0</v>
      </c>
      <c r="H333" s="64">
        <f>'Jul 10'!$G$18</f>
        <v>0</v>
      </c>
      <c r="I333" s="64" t="str">
        <f>'Jul 10'!$M$18</f>
        <v/>
      </c>
      <c r="J333" s="25" t="str">
        <f>'Jul 10'!$S$18</f>
        <v/>
      </c>
      <c r="K333" s="23">
        <f>'Jul 10'!$AG$18</f>
        <v>0</v>
      </c>
      <c r="L333" s="23">
        <f>'Jul 10'!$N$18</f>
        <v>0</v>
      </c>
    </row>
    <row r="334" spans="1:12" x14ac:dyDescent="0.25">
      <c r="A334" s="66" t="str">
        <f t="shared" si="5"/>
        <v>✓</v>
      </c>
      <c r="B334" s="67">
        <v>46213</v>
      </c>
      <c r="C334" s="23">
        <f>'Jul 10'!$D$19</f>
        <v>0</v>
      </c>
      <c r="D334" s="23">
        <f>'Jul 10'!$B$19</f>
        <v>0</v>
      </c>
      <c r="E334" s="64">
        <f>'Jul 10'!$E$19</f>
        <v>0</v>
      </c>
      <c r="F334" s="23">
        <f>'Jul 10'!$A$19</f>
        <v>0</v>
      </c>
      <c r="G334" s="64">
        <f>'Jul 10'!$F$19</f>
        <v>0</v>
      </c>
      <c r="H334" s="64">
        <f>'Jul 10'!$G$19</f>
        <v>0</v>
      </c>
      <c r="I334" s="64" t="str">
        <f>'Jul 10'!$M$19</f>
        <v/>
      </c>
      <c r="J334" s="25" t="str">
        <f>'Jul 10'!$S$19</f>
        <v/>
      </c>
      <c r="K334" s="23">
        <f>'Jul 10'!$AG$19</f>
        <v>0</v>
      </c>
      <c r="L334" s="23">
        <f>'Jul 10'!$N$19</f>
        <v>0</v>
      </c>
    </row>
    <row r="335" spans="1:12" x14ac:dyDescent="0.25">
      <c r="A335" s="66" t="str">
        <f t="shared" si="5"/>
        <v>✓</v>
      </c>
      <c r="B335" s="67">
        <v>46213</v>
      </c>
      <c r="C335" s="23">
        <f>'Jul 10'!$D$20</f>
        <v>0</v>
      </c>
      <c r="D335" s="23">
        <f>'Jul 10'!$B$20</f>
        <v>0</v>
      </c>
      <c r="E335" s="64">
        <f>'Jul 10'!$E$20</f>
        <v>0</v>
      </c>
      <c r="F335" s="23">
        <f>'Jul 10'!$A$20</f>
        <v>0</v>
      </c>
      <c r="G335" s="64">
        <f>'Jul 10'!$F$20</f>
        <v>0</v>
      </c>
      <c r="H335" s="64">
        <f>'Jul 10'!$G$20</f>
        <v>0</v>
      </c>
      <c r="I335" s="64" t="str">
        <f>'Jul 10'!$M$20</f>
        <v/>
      </c>
      <c r="J335" s="25" t="str">
        <f>'Jul 10'!$S$20</f>
        <v/>
      </c>
      <c r="K335" s="23">
        <f>'Jul 10'!$AG$20</f>
        <v>0</v>
      </c>
      <c r="L335" s="23">
        <f>'Jul 10'!$N$20</f>
        <v>0</v>
      </c>
    </row>
    <row r="336" spans="1:12" x14ac:dyDescent="0.25">
      <c r="A336" s="66" t="str">
        <f t="shared" si="5"/>
        <v>✓</v>
      </c>
      <c r="B336" s="67">
        <v>46213</v>
      </c>
      <c r="C336" s="23">
        <f>'Jul 10'!$D$21</f>
        <v>0</v>
      </c>
      <c r="D336" s="23">
        <f>'Jul 10'!$B$21</f>
        <v>0</v>
      </c>
      <c r="E336" s="64">
        <f>'Jul 10'!$E$21</f>
        <v>0</v>
      </c>
      <c r="F336" s="23">
        <f>'Jul 10'!$A$21</f>
        <v>0</v>
      </c>
      <c r="G336" s="64">
        <f>'Jul 10'!$F$21</f>
        <v>0</v>
      </c>
      <c r="H336" s="64">
        <f>'Jul 10'!$G$21</f>
        <v>0</v>
      </c>
      <c r="I336" s="64" t="str">
        <f>'Jul 10'!$M$21</f>
        <v/>
      </c>
      <c r="J336" s="25" t="str">
        <f>'Jul 10'!$S$21</f>
        <v/>
      </c>
      <c r="K336" s="23">
        <f>'Jul 10'!$AG$21</f>
        <v>0</v>
      </c>
      <c r="L336" s="23">
        <f>'Jul 10'!$N$21</f>
        <v>0</v>
      </c>
    </row>
    <row r="337" spans="1:12" x14ac:dyDescent="0.25">
      <c r="A337" s="66" t="str">
        <f t="shared" si="5"/>
        <v>✓</v>
      </c>
      <c r="B337" s="67">
        <v>46213</v>
      </c>
      <c r="C337" s="23">
        <f>'Jul 10'!$D$22</f>
        <v>0</v>
      </c>
      <c r="D337" s="23">
        <f>'Jul 10'!$B$22</f>
        <v>0</v>
      </c>
      <c r="E337" s="64">
        <f>'Jul 10'!$E$22</f>
        <v>0</v>
      </c>
      <c r="F337" s="23">
        <f>'Jul 10'!$A$22</f>
        <v>0</v>
      </c>
      <c r="G337" s="64">
        <f>'Jul 10'!$F$22</f>
        <v>0</v>
      </c>
      <c r="H337" s="64">
        <f>'Jul 10'!$G$22</f>
        <v>0</v>
      </c>
      <c r="I337" s="64" t="str">
        <f>'Jul 10'!$M$22</f>
        <v/>
      </c>
      <c r="J337" s="25" t="str">
        <f>'Jul 10'!$S$22</f>
        <v/>
      </c>
      <c r="K337" s="23">
        <f>'Jul 10'!$AG$22</f>
        <v>0</v>
      </c>
      <c r="L337" s="23">
        <f>'Jul 10'!$N$22</f>
        <v>0</v>
      </c>
    </row>
    <row r="338" spans="1:12" x14ac:dyDescent="0.25">
      <c r="A338" s="66" t="str">
        <f t="shared" si="5"/>
        <v>✓</v>
      </c>
      <c r="B338" s="67">
        <v>46213</v>
      </c>
      <c r="C338" s="23">
        <f>'Jul 10'!$D$23</f>
        <v>0</v>
      </c>
      <c r="D338" s="23">
        <f>'Jul 10'!$B$23</f>
        <v>0</v>
      </c>
      <c r="E338" s="64">
        <f>'Jul 10'!$E$23</f>
        <v>0</v>
      </c>
      <c r="F338" s="23">
        <f>'Jul 10'!$A$23</f>
        <v>0</v>
      </c>
      <c r="G338" s="64">
        <f>'Jul 10'!$F$23</f>
        <v>0</v>
      </c>
      <c r="H338" s="64">
        <f>'Jul 10'!$G$23</f>
        <v>0</v>
      </c>
      <c r="I338" s="64" t="str">
        <f>'Jul 10'!$M$23</f>
        <v/>
      </c>
      <c r="J338" s="25" t="str">
        <f>'Jul 10'!$S$23</f>
        <v/>
      </c>
      <c r="K338" s="23">
        <f>'Jul 10'!$AG$23</f>
        <v>0</v>
      </c>
      <c r="L338" s="23">
        <f>'Jul 10'!$N$23</f>
        <v>0</v>
      </c>
    </row>
    <row r="339" spans="1:12" x14ac:dyDescent="0.25">
      <c r="A339" s="66" t="str">
        <f t="shared" si="5"/>
        <v>✓</v>
      </c>
      <c r="B339" s="67">
        <v>46213</v>
      </c>
      <c r="C339" s="23">
        <f>'Jul 10'!$D$24</f>
        <v>0</v>
      </c>
      <c r="D339" s="23">
        <f>'Jul 10'!$B$24</f>
        <v>0</v>
      </c>
      <c r="E339" s="64">
        <f>'Jul 10'!$E$24</f>
        <v>0</v>
      </c>
      <c r="F339" s="23">
        <f>'Jul 10'!$A$24</f>
        <v>0</v>
      </c>
      <c r="G339" s="64">
        <f>'Jul 10'!$F$24</f>
        <v>0</v>
      </c>
      <c r="H339" s="64">
        <f>'Jul 10'!$G$24</f>
        <v>0</v>
      </c>
      <c r="I339" s="64" t="str">
        <f>'Jul 10'!$M$24</f>
        <v/>
      </c>
      <c r="J339" s="25" t="str">
        <f>'Jul 10'!$S$24</f>
        <v/>
      </c>
      <c r="K339" s="23">
        <f>'Jul 10'!$AG$24</f>
        <v>0</v>
      </c>
      <c r="L339" s="23">
        <f>'Jul 10'!$N$24</f>
        <v>0</v>
      </c>
    </row>
    <row r="340" spans="1:12" x14ac:dyDescent="0.25">
      <c r="A340" s="66" t="str">
        <f t="shared" si="5"/>
        <v>✓</v>
      </c>
      <c r="B340" s="67">
        <v>46213</v>
      </c>
      <c r="C340" s="23">
        <f>'Jul 10'!$D$25</f>
        <v>0</v>
      </c>
      <c r="D340" s="23">
        <f>'Jul 10'!$B$25</f>
        <v>0</v>
      </c>
      <c r="E340" s="64">
        <f>'Jul 10'!$E$25</f>
        <v>0</v>
      </c>
      <c r="F340" s="23">
        <f>'Jul 10'!$A$25</f>
        <v>0</v>
      </c>
      <c r="G340" s="64">
        <f>'Jul 10'!$F$25</f>
        <v>0</v>
      </c>
      <c r="H340" s="64">
        <f>'Jul 10'!$G$25</f>
        <v>0</v>
      </c>
      <c r="I340" s="64" t="str">
        <f>'Jul 10'!$M$25</f>
        <v/>
      </c>
      <c r="J340" s="25" t="str">
        <f>'Jul 10'!$S$25</f>
        <v/>
      </c>
      <c r="K340" s="23">
        <f>'Jul 10'!$AG$25</f>
        <v>0</v>
      </c>
      <c r="L340" s="23">
        <f>'Jul 10'!$N$25</f>
        <v>0</v>
      </c>
    </row>
    <row r="341" spans="1:12" x14ac:dyDescent="0.25">
      <c r="A341" s="66" t="str">
        <f t="shared" si="5"/>
        <v>✓</v>
      </c>
      <c r="B341" s="67">
        <v>46213</v>
      </c>
      <c r="C341" s="23">
        <f>'Jul 10'!$D$26</f>
        <v>0</v>
      </c>
      <c r="D341" s="23">
        <f>'Jul 10'!$B$26</f>
        <v>0</v>
      </c>
      <c r="E341" s="64">
        <f>'Jul 10'!$E$26</f>
        <v>0</v>
      </c>
      <c r="F341" s="23">
        <f>'Jul 10'!$A$26</f>
        <v>0</v>
      </c>
      <c r="G341" s="64">
        <f>'Jul 10'!$F$26</f>
        <v>0</v>
      </c>
      <c r="H341" s="64">
        <f>'Jul 10'!$G$26</f>
        <v>0</v>
      </c>
      <c r="I341" s="64" t="str">
        <f>'Jul 10'!$M$26</f>
        <v/>
      </c>
      <c r="J341" s="25" t="str">
        <f>'Jul 10'!$S$26</f>
        <v/>
      </c>
      <c r="K341" s="23">
        <f>'Jul 10'!$AG$26</f>
        <v>0</v>
      </c>
      <c r="L341" s="23">
        <f>'Jul 10'!$N$26</f>
        <v>0</v>
      </c>
    </row>
    <row r="342" spans="1:12" x14ac:dyDescent="0.25">
      <c r="A342" s="66" t="str">
        <f t="shared" si="5"/>
        <v>✓</v>
      </c>
      <c r="B342" s="67">
        <v>46213</v>
      </c>
      <c r="C342" s="23">
        <f>'Jul 10'!$D$27</f>
        <v>0</v>
      </c>
      <c r="D342" s="23">
        <f>'Jul 10'!$B$27</f>
        <v>0</v>
      </c>
      <c r="E342" s="64">
        <f>'Jul 10'!$E$27</f>
        <v>0</v>
      </c>
      <c r="F342" s="23">
        <f>'Jul 10'!$A$27</f>
        <v>0</v>
      </c>
      <c r="G342" s="64">
        <f>'Jul 10'!$F$27</f>
        <v>0</v>
      </c>
      <c r="H342" s="64">
        <f>'Jul 10'!$G$27</f>
        <v>0</v>
      </c>
      <c r="I342" s="64" t="str">
        <f>'Jul 10'!$M$27</f>
        <v/>
      </c>
      <c r="J342" s="25" t="str">
        <f>'Jul 10'!$S$27</f>
        <v/>
      </c>
      <c r="K342" s="23">
        <f>'Jul 10'!$AG$27</f>
        <v>0</v>
      </c>
      <c r="L342" s="23">
        <f>'Jul 10'!$N$27</f>
        <v>0</v>
      </c>
    </row>
    <row r="343" spans="1:12" x14ac:dyDescent="0.25">
      <c r="A343" s="66" t="str">
        <f t="shared" si="5"/>
        <v>✓</v>
      </c>
      <c r="B343" s="67">
        <v>46213</v>
      </c>
      <c r="C343" s="23">
        <f>'Jul 10'!$D$28</f>
        <v>0</v>
      </c>
      <c r="D343" s="23">
        <f>'Jul 10'!$B$28</f>
        <v>0</v>
      </c>
      <c r="E343" s="64">
        <f>'Jul 10'!$E$28</f>
        <v>0</v>
      </c>
      <c r="F343" s="23">
        <f>'Jul 10'!$A$28</f>
        <v>0</v>
      </c>
      <c r="G343" s="64">
        <f>'Jul 10'!$F$28</f>
        <v>0</v>
      </c>
      <c r="H343" s="64">
        <f>'Jul 10'!$G$28</f>
        <v>0</v>
      </c>
      <c r="I343" s="64" t="str">
        <f>'Jul 10'!$M$28</f>
        <v/>
      </c>
      <c r="J343" s="25" t="str">
        <f>'Jul 10'!$S$28</f>
        <v/>
      </c>
      <c r="K343" s="23">
        <f>'Jul 10'!$AG$28</f>
        <v>0</v>
      </c>
      <c r="L343" s="23">
        <f>'Jul 10'!$N$28</f>
        <v>0</v>
      </c>
    </row>
    <row r="344" spans="1:12" x14ac:dyDescent="0.25">
      <c r="A344" s="66" t="str">
        <f t="shared" si="5"/>
        <v>✓</v>
      </c>
      <c r="B344" s="67">
        <v>46213</v>
      </c>
      <c r="C344" s="23">
        <f>'Jul 10'!$D$29</f>
        <v>0</v>
      </c>
      <c r="D344" s="23">
        <f>'Jul 10'!$B$29</f>
        <v>0</v>
      </c>
      <c r="E344" s="64">
        <f>'Jul 10'!$E$29</f>
        <v>0</v>
      </c>
      <c r="F344" s="23">
        <f>'Jul 10'!$A$29</f>
        <v>0</v>
      </c>
      <c r="G344" s="64">
        <f>'Jul 10'!$F$29</f>
        <v>0</v>
      </c>
      <c r="H344" s="64">
        <f>'Jul 10'!$G$29</f>
        <v>0</v>
      </c>
      <c r="I344" s="64" t="str">
        <f>'Jul 10'!$M$29</f>
        <v/>
      </c>
      <c r="J344" s="25" t="str">
        <f>'Jul 10'!$S$29</f>
        <v/>
      </c>
      <c r="K344" s="23">
        <f>'Jul 10'!$AG$29</f>
        <v>0</v>
      </c>
      <c r="L344" s="23">
        <f>'Jul 10'!$N$29</f>
        <v>0</v>
      </c>
    </row>
    <row r="345" spans="1:12" x14ac:dyDescent="0.25">
      <c r="A345" s="66" t="str">
        <f t="shared" si="5"/>
        <v>✓</v>
      </c>
      <c r="B345" s="67">
        <v>46213</v>
      </c>
      <c r="C345" s="23">
        <f>'Jul 10'!$D$30</f>
        <v>0</v>
      </c>
      <c r="D345" s="23">
        <f>'Jul 10'!$B$30</f>
        <v>0</v>
      </c>
      <c r="E345" s="64">
        <f>'Jul 10'!$E$30</f>
        <v>0</v>
      </c>
      <c r="F345" s="23">
        <f>'Jul 10'!$A$30</f>
        <v>0</v>
      </c>
      <c r="G345" s="64">
        <f>'Jul 10'!$F$30</f>
        <v>0</v>
      </c>
      <c r="H345" s="64">
        <f>'Jul 10'!$G$30</f>
        <v>0</v>
      </c>
      <c r="I345" s="64" t="str">
        <f>'Jul 10'!$M$30</f>
        <v/>
      </c>
      <c r="J345" s="25" t="str">
        <f>'Jul 10'!$S$30</f>
        <v/>
      </c>
      <c r="K345" s="23">
        <f>'Jul 10'!$AG$30</f>
        <v>0</v>
      </c>
      <c r="L345" s="23">
        <f>'Jul 10'!$N$30</f>
        <v>0</v>
      </c>
    </row>
    <row r="346" spans="1:12" x14ac:dyDescent="0.25">
      <c r="A346" s="66" t="str">
        <f t="shared" si="5"/>
        <v>✓</v>
      </c>
      <c r="B346" s="67">
        <v>46213</v>
      </c>
      <c r="C346" s="23">
        <f>'Jul 10'!$D$31</f>
        <v>0</v>
      </c>
      <c r="D346" s="23">
        <f>'Jul 10'!$B$31</f>
        <v>0</v>
      </c>
      <c r="E346" s="64">
        <f>'Jul 10'!$E$31</f>
        <v>0</v>
      </c>
      <c r="F346" s="23">
        <f>'Jul 10'!$A$31</f>
        <v>0</v>
      </c>
      <c r="G346" s="64">
        <f>'Jul 10'!$F$31</f>
        <v>0</v>
      </c>
      <c r="H346" s="64">
        <f>'Jul 10'!$G$31</f>
        <v>0</v>
      </c>
      <c r="I346" s="64" t="str">
        <f>'Jul 10'!$M$31</f>
        <v/>
      </c>
      <c r="J346" s="25" t="str">
        <f>'Jul 10'!$S$31</f>
        <v/>
      </c>
      <c r="K346" s="23">
        <f>'Jul 10'!$AG$31</f>
        <v>0</v>
      </c>
      <c r="L346" s="23">
        <f>'Jul 10'!$N$31</f>
        <v>0</v>
      </c>
    </row>
    <row r="347" spans="1:12" x14ac:dyDescent="0.25">
      <c r="A347" s="66" t="str">
        <f t="shared" si="5"/>
        <v>✓</v>
      </c>
      <c r="B347" s="67">
        <v>46213</v>
      </c>
      <c r="C347" s="23">
        <f>'Jul 10'!$D$32</f>
        <v>0</v>
      </c>
      <c r="D347" s="23">
        <f>'Jul 10'!$B$32</f>
        <v>0</v>
      </c>
      <c r="E347" s="64">
        <f>'Jul 10'!$E$32</f>
        <v>0</v>
      </c>
      <c r="F347" s="23">
        <f>'Jul 10'!$A$32</f>
        <v>0</v>
      </c>
      <c r="G347" s="64">
        <f>'Jul 10'!$F$32</f>
        <v>0</v>
      </c>
      <c r="H347" s="64">
        <f>'Jul 10'!$G$32</f>
        <v>0</v>
      </c>
      <c r="I347" s="64" t="str">
        <f>'Jul 10'!$M$32</f>
        <v/>
      </c>
      <c r="J347" s="25" t="str">
        <f>'Jul 10'!$S$32</f>
        <v/>
      </c>
      <c r="K347" s="23">
        <f>'Jul 10'!$AG$32</f>
        <v>0</v>
      </c>
      <c r="L347" s="23">
        <f>'Jul 10'!$N$32</f>
        <v>0</v>
      </c>
    </row>
    <row r="348" spans="1:12" x14ac:dyDescent="0.25">
      <c r="A348" s="66" t="str">
        <f t="shared" si="5"/>
        <v>✓</v>
      </c>
      <c r="B348" s="67">
        <v>46213</v>
      </c>
      <c r="C348" s="23">
        <f>'Jul 10'!$D$33</f>
        <v>0</v>
      </c>
      <c r="D348" s="23">
        <f>'Jul 10'!$B$33</f>
        <v>0</v>
      </c>
      <c r="E348" s="64">
        <f>'Jul 10'!$E$33</f>
        <v>0</v>
      </c>
      <c r="F348" s="23">
        <f>'Jul 10'!$A$33</f>
        <v>0</v>
      </c>
      <c r="G348" s="64">
        <f>'Jul 10'!$F$33</f>
        <v>0</v>
      </c>
      <c r="H348" s="64">
        <f>'Jul 10'!$G$33</f>
        <v>0</v>
      </c>
      <c r="I348" s="64" t="str">
        <f>'Jul 10'!$M$33</f>
        <v/>
      </c>
      <c r="J348" s="25" t="str">
        <f>'Jul 10'!$S$33</f>
        <v/>
      </c>
      <c r="K348" s="23">
        <f>'Jul 10'!$AG$33</f>
        <v>0</v>
      </c>
      <c r="L348" s="23">
        <f>'Jul 10'!$N$33</f>
        <v>0</v>
      </c>
    </row>
    <row r="349" spans="1:12" x14ac:dyDescent="0.25">
      <c r="A349" s="66" t="str">
        <f t="shared" si="5"/>
        <v>✓</v>
      </c>
      <c r="B349" s="67">
        <v>46213</v>
      </c>
      <c r="C349" s="23">
        <f>'Jul 10'!$D$34</f>
        <v>0</v>
      </c>
      <c r="D349" s="23">
        <f>'Jul 10'!$B$34</f>
        <v>0</v>
      </c>
      <c r="E349" s="64">
        <f>'Jul 10'!$E$34</f>
        <v>0</v>
      </c>
      <c r="F349" s="23">
        <f>'Jul 10'!$A$34</f>
        <v>0</v>
      </c>
      <c r="G349" s="64">
        <f>'Jul 10'!$F$34</f>
        <v>0</v>
      </c>
      <c r="H349" s="64">
        <f>'Jul 10'!$G$34</f>
        <v>0</v>
      </c>
      <c r="I349" s="64" t="str">
        <f>'Jul 10'!$M$34</f>
        <v/>
      </c>
      <c r="J349" s="25" t="str">
        <f>'Jul 10'!$S$34</f>
        <v/>
      </c>
      <c r="K349" s="23">
        <f>'Jul 10'!$AG$34</f>
        <v>0</v>
      </c>
      <c r="L349" s="23">
        <f>'Jul 10'!$N$34</f>
        <v>0</v>
      </c>
    </row>
    <row r="350" spans="1:12" x14ac:dyDescent="0.25">
      <c r="A350" s="66" t="str">
        <f t="shared" si="5"/>
        <v>✓</v>
      </c>
      <c r="B350" s="67">
        <v>46213</v>
      </c>
      <c r="C350" s="23">
        <f>'Jul 10'!$D$35</f>
        <v>0</v>
      </c>
      <c r="D350" s="23">
        <f>'Jul 10'!$B$35</f>
        <v>0</v>
      </c>
      <c r="E350" s="64">
        <f>'Jul 10'!$E$35</f>
        <v>0</v>
      </c>
      <c r="F350" s="23">
        <f>'Jul 10'!$A$35</f>
        <v>0</v>
      </c>
      <c r="G350" s="64">
        <f>'Jul 10'!$F$35</f>
        <v>0</v>
      </c>
      <c r="H350" s="64">
        <f>'Jul 10'!$G$35</f>
        <v>0</v>
      </c>
      <c r="I350" s="64" t="str">
        <f>'Jul 10'!$M$35</f>
        <v/>
      </c>
      <c r="J350" s="25" t="str">
        <f>'Jul 10'!$S$35</f>
        <v/>
      </c>
      <c r="K350" s="23">
        <f>'Jul 10'!$AG$35</f>
        <v>0</v>
      </c>
      <c r="L350" s="23">
        <f>'Jul 10'!$N$35</f>
        <v>0</v>
      </c>
    </row>
    <row r="351" spans="1:12" x14ac:dyDescent="0.25">
      <c r="A351" s="66" t="str">
        <f t="shared" si="5"/>
        <v>✓</v>
      </c>
      <c r="B351" s="67">
        <v>46213</v>
      </c>
      <c r="C351" s="23">
        <f>'Jul 10'!$D$36</f>
        <v>0</v>
      </c>
      <c r="D351" s="23">
        <f>'Jul 10'!$B$36</f>
        <v>0</v>
      </c>
      <c r="E351" s="64">
        <f>'Jul 10'!$E$36</f>
        <v>0</v>
      </c>
      <c r="F351" s="23">
        <f>'Jul 10'!$A$36</f>
        <v>0</v>
      </c>
      <c r="G351" s="64">
        <f>'Jul 10'!$F$36</f>
        <v>0</v>
      </c>
      <c r="H351" s="64">
        <f>'Jul 10'!$G$36</f>
        <v>0</v>
      </c>
      <c r="I351" s="64" t="str">
        <f>'Jul 10'!$M$36</f>
        <v/>
      </c>
      <c r="J351" s="25" t="str">
        <f>'Jul 10'!$S$36</f>
        <v/>
      </c>
      <c r="K351" s="23">
        <f>'Jul 10'!$AG$36</f>
        <v>0</v>
      </c>
      <c r="L351" s="23">
        <f>'Jul 10'!$N$36</f>
        <v>0</v>
      </c>
    </row>
    <row r="352" spans="1:12" x14ac:dyDescent="0.25">
      <c r="A352" s="66" t="str">
        <f t="shared" si="5"/>
        <v>✓</v>
      </c>
      <c r="B352" s="67">
        <v>46213</v>
      </c>
      <c r="C352" s="23">
        <f>'Jul 10'!$D$37</f>
        <v>0</v>
      </c>
      <c r="D352" s="23">
        <f>'Jul 10'!$B$37</f>
        <v>0</v>
      </c>
      <c r="E352" s="64">
        <f>'Jul 10'!$E$37</f>
        <v>0</v>
      </c>
      <c r="F352" s="23">
        <f>'Jul 10'!$A$37</f>
        <v>0</v>
      </c>
      <c r="G352" s="64">
        <f>'Jul 10'!$F$37</f>
        <v>0</v>
      </c>
      <c r="H352" s="64">
        <f>'Jul 10'!$G$37</f>
        <v>0</v>
      </c>
      <c r="I352" s="64" t="str">
        <f>'Jul 10'!$M$37</f>
        <v/>
      </c>
      <c r="J352" s="25" t="str">
        <f>'Jul 10'!$S$37</f>
        <v/>
      </c>
      <c r="K352" s="23">
        <f>'Jul 10'!$AG$37</f>
        <v>0</v>
      </c>
      <c r="L352" s="23">
        <f>'Jul 10'!$N$37</f>
        <v>0</v>
      </c>
    </row>
    <row r="353" spans="1:12" x14ac:dyDescent="0.25">
      <c r="A353" s="66" t="str">
        <f t="shared" si="5"/>
        <v>✓</v>
      </c>
      <c r="B353" s="67">
        <v>46213</v>
      </c>
      <c r="C353" s="23">
        <f>'Jul 10'!$D$38</f>
        <v>0</v>
      </c>
      <c r="D353" s="23">
        <f>'Jul 10'!$B$38</f>
        <v>0</v>
      </c>
      <c r="E353" s="64">
        <f>'Jul 10'!$E$38</f>
        <v>0</v>
      </c>
      <c r="F353" s="23">
        <f>'Jul 10'!$A$38</f>
        <v>0</v>
      </c>
      <c r="G353" s="64">
        <f>'Jul 10'!$F$38</f>
        <v>0</v>
      </c>
      <c r="H353" s="64">
        <f>'Jul 10'!$G$38</f>
        <v>0</v>
      </c>
      <c r="I353" s="64" t="str">
        <f>'Jul 10'!$M$38</f>
        <v/>
      </c>
      <c r="J353" s="25" t="str">
        <f>'Jul 10'!$S$38</f>
        <v/>
      </c>
      <c r="K353" s="23">
        <f>'Jul 10'!$AG$38</f>
        <v>0</v>
      </c>
      <c r="L353" s="23">
        <f>'Jul 10'!$N$38</f>
        <v>0</v>
      </c>
    </row>
    <row r="354" spans="1:12" x14ac:dyDescent="0.25">
      <c r="A354" s="66" t="str">
        <f t="shared" si="5"/>
        <v>✓</v>
      </c>
      <c r="B354" s="67">
        <v>46213</v>
      </c>
      <c r="C354" s="23">
        <f>'Jul 10'!$D$39</f>
        <v>0</v>
      </c>
      <c r="D354" s="23">
        <f>'Jul 10'!$B$39</f>
        <v>0</v>
      </c>
      <c r="E354" s="64">
        <f>'Jul 10'!$E$39</f>
        <v>0</v>
      </c>
      <c r="F354" s="23">
        <f>'Jul 10'!$A$39</f>
        <v>0</v>
      </c>
      <c r="G354" s="64">
        <f>'Jul 10'!$F$39</f>
        <v>0</v>
      </c>
      <c r="H354" s="64">
        <f>'Jul 10'!$G$39</f>
        <v>0</v>
      </c>
      <c r="I354" s="64" t="str">
        <f>'Jul 10'!$M$39</f>
        <v/>
      </c>
      <c r="J354" s="25" t="str">
        <f>'Jul 10'!$S$39</f>
        <v/>
      </c>
      <c r="K354" s="23">
        <f>'Jul 10'!$AG$39</f>
        <v>0</v>
      </c>
      <c r="L354" s="23">
        <f>'Jul 10'!$N$39</f>
        <v>0</v>
      </c>
    </row>
    <row r="355" spans="1:12" x14ac:dyDescent="0.25">
      <c r="A355" s="66" t="str">
        <f t="shared" si="5"/>
        <v>✓</v>
      </c>
      <c r="B355" s="67">
        <v>46213</v>
      </c>
      <c r="C355" s="23">
        <f>'Jul 10'!$D$40</f>
        <v>0</v>
      </c>
      <c r="D355" s="23">
        <f>'Jul 10'!$B$40</f>
        <v>0</v>
      </c>
      <c r="E355" s="64">
        <f>'Jul 10'!$E$40</f>
        <v>0</v>
      </c>
      <c r="F355" s="23">
        <f>'Jul 10'!$A$40</f>
        <v>0</v>
      </c>
      <c r="G355" s="64">
        <f>'Jul 10'!$F$40</f>
        <v>0</v>
      </c>
      <c r="H355" s="64">
        <f>'Jul 10'!$G$40</f>
        <v>0</v>
      </c>
      <c r="I355" s="64" t="str">
        <f>'Jul 10'!$M$40</f>
        <v/>
      </c>
      <c r="J355" s="25" t="str">
        <f>'Jul 10'!$S$40</f>
        <v/>
      </c>
      <c r="K355" s="23">
        <f>'Jul 10'!$AG$40</f>
        <v>0</v>
      </c>
      <c r="L355" s="23">
        <f>'Jul 10'!$N$40</f>
        <v>0</v>
      </c>
    </row>
    <row r="356" spans="1:12" x14ac:dyDescent="0.25">
      <c r="A356" s="66" t="str">
        <f t="shared" si="5"/>
        <v>✓</v>
      </c>
      <c r="B356" s="67">
        <v>46213</v>
      </c>
      <c r="C356" s="23">
        <f>'Jul 10'!$D$41</f>
        <v>0</v>
      </c>
      <c r="D356" s="23">
        <f>'Jul 10'!$B$41</f>
        <v>0</v>
      </c>
      <c r="E356" s="64">
        <f>'Jul 10'!$E$41</f>
        <v>0</v>
      </c>
      <c r="F356" s="23">
        <f>'Jul 10'!$A$41</f>
        <v>0</v>
      </c>
      <c r="G356" s="64">
        <f>'Jul 10'!$F$41</f>
        <v>0</v>
      </c>
      <c r="H356" s="64">
        <f>'Jul 10'!$G$41</f>
        <v>0</v>
      </c>
      <c r="I356" s="64" t="str">
        <f>'Jul 10'!$M$41</f>
        <v/>
      </c>
      <c r="J356" s="25" t="str">
        <f>'Jul 10'!$S$41</f>
        <v/>
      </c>
      <c r="K356" s="23">
        <f>'Jul 10'!$AG$41</f>
        <v>0</v>
      </c>
      <c r="L356" s="23">
        <f>'Jul 10'!$N$41</f>
        <v>0</v>
      </c>
    </row>
    <row r="357" spans="1:12" x14ac:dyDescent="0.25">
      <c r="A357" s="66" t="str">
        <f t="shared" si="5"/>
        <v>✓</v>
      </c>
      <c r="B357" s="67">
        <v>46213</v>
      </c>
      <c r="C357" s="23">
        <f>'Jul 10'!$D$42</f>
        <v>0</v>
      </c>
      <c r="D357" s="23">
        <f>'Jul 10'!$B$42</f>
        <v>0</v>
      </c>
      <c r="E357" s="64">
        <f>'Jul 10'!$E$42</f>
        <v>0</v>
      </c>
      <c r="F357" s="23">
        <f>'Jul 10'!$A$42</f>
        <v>0</v>
      </c>
      <c r="G357" s="64">
        <f>'Jul 10'!$F$42</f>
        <v>0</v>
      </c>
      <c r="H357" s="64">
        <f>'Jul 10'!$G$42</f>
        <v>0</v>
      </c>
      <c r="I357" s="64" t="str">
        <f>'Jul 10'!$M$42</f>
        <v/>
      </c>
      <c r="J357" s="25" t="str">
        <f>'Jul 10'!$S$42</f>
        <v/>
      </c>
      <c r="K357" s="23">
        <f>'Jul 10'!$AG$42</f>
        <v>0</v>
      </c>
      <c r="L357" s="23">
        <f>'Jul 10'!$N$42</f>
        <v>0</v>
      </c>
    </row>
    <row r="358" spans="1:12" x14ac:dyDescent="0.25">
      <c r="A358" s="66" t="str">
        <f t="shared" si="5"/>
        <v>✓</v>
      </c>
      <c r="B358" s="67">
        <v>46214</v>
      </c>
      <c r="C358" s="23">
        <f>'Jul 11'!$D$8</f>
        <v>0</v>
      </c>
      <c r="D358" s="23">
        <f>'Jul 11'!$B$8</f>
        <v>0</v>
      </c>
      <c r="E358" s="64">
        <f>'Jul 11'!$E$8</f>
        <v>0</v>
      </c>
      <c r="F358" s="23">
        <f>'Jul 11'!$A$8</f>
        <v>0</v>
      </c>
      <c r="G358" s="64">
        <f>'Jul 11'!$F$8</f>
        <v>0</v>
      </c>
      <c r="H358" s="64">
        <f>'Jul 11'!$G$8</f>
        <v>0</v>
      </c>
      <c r="I358" s="64" t="str">
        <f>'Jul 11'!$M$8</f>
        <v/>
      </c>
      <c r="J358" s="25" t="str">
        <f>'Jul 11'!$S$8</f>
        <v/>
      </c>
      <c r="K358" s="23">
        <f>'Jul 11'!$AG$8</f>
        <v>0</v>
      </c>
      <c r="L358" s="23">
        <f>'Jul 11'!$N$8</f>
        <v>0</v>
      </c>
    </row>
    <row r="359" spans="1:12" x14ac:dyDescent="0.25">
      <c r="A359" s="66" t="str">
        <f t="shared" si="5"/>
        <v>✓</v>
      </c>
      <c r="B359" s="67">
        <v>46214</v>
      </c>
      <c r="C359" s="23">
        <f>'Jul 11'!$D$9</f>
        <v>0</v>
      </c>
      <c r="D359" s="23">
        <f>'Jul 11'!$B$9</f>
        <v>0</v>
      </c>
      <c r="E359" s="64">
        <f>'Jul 11'!$E$9</f>
        <v>0</v>
      </c>
      <c r="F359" s="23">
        <f>'Jul 11'!$A$9</f>
        <v>0</v>
      </c>
      <c r="G359" s="64">
        <f>'Jul 11'!$F$9</f>
        <v>0</v>
      </c>
      <c r="H359" s="64">
        <f>'Jul 11'!$G$9</f>
        <v>0</v>
      </c>
      <c r="I359" s="64" t="str">
        <f>'Jul 11'!$M$9</f>
        <v/>
      </c>
      <c r="J359" s="25" t="str">
        <f>'Jul 11'!$S$9</f>
        <v/>
      </c>
      <c r="K359" s="23">
        <f>'Jul 11'!$AG$9</f>
        <v>0</v>
      </c>
      <c r="L359" s="23">
        <f>'Jul 11'!$N$9</f>
        <v>0</v>
      </c>
    </row>
    <row r="360" spans="1:12" x14ac:dyDescent="0.25">
      <c r="A360" s="66" t="str">
        <f t="shared" si="5"/>
        <v>✓</v>
      </c>
      <c r="B360" s="67">
        <v>46214</v>
      </c>
      <c r="C360" s="23">
        <f>'Jul 11'!$D$10</f>
        <v>0</v>
      </c>
      <c r="D360" s="23">
        <f>'Jul 11'!$B$10</f>
        <v>0</v>
      </c>
      <c r="E360" s="64">
        <f>'Jul 11'!$E$10</f>
        <v>0</v>
      </c>
      <c r="F360" s="23">
        <f>'Jul 11'!$A$10</f>
        <v>0</v>
      </c>
      <c r="G360" s="64">
        <f>'Jul 11'!$F$10</f>
        <v>0</v>
      </c>
      <c r="H360" s="64">
        <f>'Jul 11'!$G$10</f>
        <v>0</v>
      </c>
      <c r="I360" s="64" t="str">
        <f>'Jul 11'!$M$10</f>
        <v/>
      </c>
      <c r="J360" s="25" t="str">
        <f>'Jul 11'!$S$10</f>
        <v/>
      </c>
      <c r="K360" s="23">
        <f>'Jul 11'!$AG$10</f>
        <v>0</v>
      </c>
      <c r="L360" s="23">
        <f>'Jul 11'!$N$10</f>
        <v>0</v>
      </c>
    </row>
    <row r="361" spans="1:12" x14ac:dyDescent="0.25">
      <c r="A361" s="66" t="str">
        <f t="shared" si="5"/>
        <v>✓</v>
      </c>
      <c r="B361" s="67">
        <v>46214</v>
      </c>
      <c r="C361" s="23">
        <f>'Jul 11'!$D$11</f>
        <v>0</v>
      </c>
      <c r="D361" s="23">
        <f>'Jul 11'!$B$11</f>
        <v>0</v>
      </c>
      <c r="E361" s="64">
        <f>'Jul 11'!$E$11</f>
        <v>0</v>
      </c>
      <c r="F361" s="23">
        <f>'Jul 11'!$A$11</f>
        <v>0</v>
      </c>
      <c r="G361" s="64">
        <f>'Jul 11'!$F$11</f>
        <v>0</v>
      </c>
      <c r="H361" s="64">
        <f>'Jul 11'!$G$11</f>
        <v>0</v>
      </c>
      <c r="I361" s="64" t="str">
        <f>'Jul 11'!$M$11</f>
        <v/>
      </c>
      <c r="J361" s="25" t="str">
        <f>'Jul 11'!$S$11</f>
        <v/>
      </c>
      <c r="K361" s="23">
        <f>'Jul 11'!$AG$11</f>
        <v>0</v>
      </c>
      <c r="L361" s="23">
        <f>'Jul 11'!$N$11</f>
        <v>0</v>
      </c>
    </row>
    <row r="362" spans="1:12" x14ac:dyDescent="0.25">
      <c r="A362" s="66" t="str">
        <f t="shared" si="5"/>
        <v>✓</v>
      </c>
      <c r="B362" s="67">
        <v>46214</v>
      </c>
      <c r="C362" s="23">
        <f>'Jul 11'!$D$12</f>
        <v>0</v>
      </c>
      <c r="D362" s="23">
        <f>'Jul 11'!$B$12</f>
        <v>0</v>
      </c>
      <c r="E362" s="64">
        <f>'Jul 11'!$E$12</f>
        <v>0</v>
      </c>
      <c r="F362" s="23">
        <f>'Jul 11'!$A$12</f>
        <v>0</v>
      </c>
      <c r="G362" s="64">
        <f>'Jul 11'!$F$12</f>
        <v>0</v>
      </c>
      <c r="H362" s="64">
        <f>'Jul 11'!$G$12</f>
        <v>0</v>
      </c>
      <c r="I362" s="64" t="str">
        <f>'Jul 11'!$M$12</f>
        <v/>
      </c>
      <c r="J362" s="25" t="str">
        <f>'Jul 11'!$S$12</f>
        <v/>
      </c>
      <c r="K362" s="23">
        <f>'Jul 11'!$AG$12</f>
        <v>0</v>
      </c>
      <c r="L362" s="23">
        <f>'Jul 11'!$N$12</f>
        <v>0</v>
      </c>
    </row>
    <row r="363" spans="1:12" x14ac:dyDescent="0.25">
      <c r="A363" s="66" t="str">
        <f t="shared" si="5"/>
        <v>✓</v>
      </c>
      <c r="B363" s="67">
        <v>46214</v>
      </c>
      <c r="C363" s="23">
        <f>'Jul 11'!$D$13</f>
        <v>0</v>
      </c>
      <c r="D363" s="23">
        <f>'Jul 11'!$B$13</f>
        <v>0</v>
      </c>
      <c r="E363" s="64">
        <f>'Jul 11'!$E$13</f>
        <v>0</v>
      </c>
      <c r="F363" s="23">
        <f>'Jul 11'!$A$13</f>
        <v>0</v>
      </c>
      <c r="G363" s="64">
        <f>'Jul 11'!$F$13</f>
        <v>0</v>
      </c>
      <c r="H363" s="64">
        <f>'Jul 11'!$G$13</f>
        <v>0</v>
      </c>
      <c r="I363" s="64" t="str">
        <f>'Jul 11'!$M$13</f>
        <v/>
      </c>
      <c r="J363" s="25" t="str">
        <f>'Jul 11'!$S$13</f>
        <v/>
      </c>
      <c r="K363" s="23">
        <f>'Jul 11'!$AG$13</f>
        <v>0</v>
      </c>
      <c r="L363" s="23">
        <f>'Jul 11'!$N$13</f>
        <v>0</v>
      </c>
    </row>
    <row r="364" spans="1:12" x14ac:dyDescent="0.25">
      <c r="A364" s="66" t="str">
        <f t="shared" si="5"/>
        <v>✓</v>
      </c>
      <c r="B364" s="67">
        <v>46214</v>
      </c>
      <c r="C364" s="23">
        <f>'Jul 11'!$D$14</f>
        <v>0</v>
      </c>
      <c r="D364" s="23">
        <f>'Jul 11'!$B$14</f>
        <v>0</v>
      </c>
      <c r="E364" s="64">
        <f>'Jul 11'!$E$14</f>
        <v>0</v>
      </c>
      <c r="F364" s="23">
        <f>'Jul 11'!$A$14</f>
        <v>0</v>
      </c>
      <c r="G364" s="64">
        <f>'Jul 11'!$F$14</f>
        <v>0</v>
      </c>
      <c r="H364" s="64">
        <f>'Jul 11'!$G$14</f>
        <v>0</v>
      </c>
      <c r="I364" s="64" t="str">
        <f>'Jul 11'!$M$14</f>
        <v/>
      </c>
      <c r="J364" s="25" t="str">
        <f>'Jul 11'!$S$14</f>
        <v/>
      </c>
      <c r="K364" s="23">
        <f>'Jul 11'!$AG$14</f>
        <v>0</v>
      </c>
      <c r="L364" s="23">
        <f>'Jul 11'!$N$14</f>
        <v>0</v>
      </c>
    </row>
    <row r="365" spans="1:12" x14ac:dyDescent="0.25">
      <c r="A365" s="66" t="str">
        <f t="shared" si="5"/>
        <v>✓</v>
      </c>
      <c r="B365" s="67">
        <v>46214</v>
      </c>
      <c r="C365" s="23">
        <f>'Jul 11'!$D$15</f>
        <v>0</v>
      </c>
      <c r="D365" s="23">
        <f>'Jul 11'!$B$15</f>
        <v>0</v>
      </c>
      <c r="E365" s="64">
        <f>'Jul 11'!$E$15</f>
        <v>0</v>
      </c>
      <c r="F365" s="23">
        <f>'Jul 11'!$A$15</f>
        <v>0</v>
      </c>
      <c r="G365" s="64">
        <f>'Jul 11'!$F$15</f>
        <v>0</v>
      </c>
      <c r="H365" s="64">
        <f>'Jul 11'!$G$15</f>
        <v>0</v>
      </c>
      <c r="I365" s="64" t="str">
        <f>'Jul 11'!$M$15</f>
        <v/>
      </c>
      <c r="J365" s="25" t="str">
        <f>'Jul 11'!$S$15</f>
        <v/>
      </c>
      <c r="K365" s="23">
        <f>'Jul 11'!$AG$15</f>
        <v>0</v>
      </c>
      <c r="L365" s="23">
        <f>'Jul 11'!$N$15</f>
        <v>0</v>
      </c>
    </row>
    <row r="366" spans="1:12" x14ac:dyDescent="0.25">
      <c r="A366" s="66" t="str">
        <f t="shared" si="5"/>
        <v>✓</v>
      </c>
      <c r="B366" s="67">
        <v>46214</v>
      </c>
      <c r="C366" s="23">
        <f>'Jul 11'!$D$16</f>
        <v>0</v>
      </c>
      <c r="D366" s="23">
        <f>'Jul 11'!$B$16</f>
        <v>0</v>
      </c>
      <c r="E366" s="64">
        <f>'Jul 11'!$E$16</f>
        <v>0</v>
      </c>
      <c r="F366" s="23">
        <f>'Jul 11'!$A$16</f>
        <v>0</v>
      </c>
      <c r="G366" s="64">
        <f>'Jul 11'!$F$16</f>
        <v>0</v>
      </c>
      <c r="H366" s="64">
        <f>'Jul 11'!$G$16</f>
        <v>0</v>
      </c>
      <c r="I366" s="64" t="str">
        <f>'Jul 11'!$M$16</f>
        <v/>
      </c>
      <c r="J366" s="25" t="str">
        <f>'Jul 11'!$S$16</f>
        <v/>
      </c>
      <c r="K366" s="23">
        <f>'Jul 11'!$AG$16</f>
        <v>0</v>
      </c>
      <c r="L366" s="23">
        <f>'Jul 11'!$N$16</f>
        <v>0</v>
      </c>
    </row>
    <row r="367" spans="1:12" x14ac:dyDescent="0.25">
      <c r="A367" s="66" t="str">
        <f t="shared" si="5"/>
        <v>✓</v>
      </c>
      <c r="B367" s="67">
        <v>46214</v>
      </c>
      <c r="C367" s="23">
        <f>'Jul 11'!$D$17</f>
        <v>0</v>
      </c>
      <c r="D367" s="23">
        <f>'Jul 11'!$B$17</f>
        <v>0</v>
      </c>
      <c r="E367" s="64">
        <f>'Jul 11'!$E$17</f>
        <v>0</v>
      </c>
      <c r="F367" s="23">
        <f>'Jul 11'!$A$17</f>
        <v>0</v>
      </c>
      <c r="G367" s="64">
        <f>'Jul 11'!$F$17</f>
        <v>0</v>
      </c>
      <c r="H367" s="64">
        <f>'Jul 11'!$G$17</f>
        <v>0</v>
      </c>
      <c r="I367" s="64" t="str">
        <f>'Jul 11'!$M$17</f>
        <v/>
      </c>
      <c r="J367" s="25" t="str">
        <f>'Jul 11'!$S$17</f>
        <v/>
      </c>
      <c r="K367" s="23">
        <f>'Jul 11'!$AG$17</f>
        <v>0</v>
      </c>
      <c r="L367" s="23">
        <f>'Jul 11'!$N$17</f>
        <v>0</v>
      </c>
    </row>
    <row r="368" spans="1:12" x14ac:dyDescent="0.25">
      <c r="A368" s="66" t="str">
        <f t="shared" si="5"/>
        <v>✓</v>
      </c>
      <c r="B368" s="67">
        <v>46214</v>
      </c>
      <c r="C368" s="23">
        <f>'Jul 11'!$D$18</f>
        <v>0</v>
      </c>
      <c r="D368" s="23">
        <f>'Jul 11'!$B$18</f>
        <v>0</v>
      </c>
      <c r="E368" s="64">
        <f>'Jul 11'!$E$18</f>
        <v>0</v>
      </c>
      <c r="F368" s="23">
        <f>'Jul 11'!$A$18</f>
        <v>0</v>
      </c>
      <c r="G368" s="64">
        <f>'Jul 11'!$F$18</f>
        <v>0</v>
      </c>
      <c r="H368" s="64">
        <f>'Jul 11'!$G$18</f>
        <v>0</v>
      </c>
      <c r="I368" s="64" t="str">
        <f>'Jul 11'!$M$18</f>
        <v/>
      </c>
      <c r="J368" s="25" t="str">
        <f>'Jul 11'!$S$18</f>
        <v/>
      </c>
      <c r="K368" s="23">
        <f>'Jul 11'!$AG$18</f>
        <v>0</v>
      </c>
      <c r="L368" s="23">
        <f>'Jul 11'!$N$18</f>
        <v>0</v>
      </c>
    </row>
    <row r="369" spans="1:12" x14ac:dyDescent="0.25">
      <c r="A369" s="66" t="str">
        <f t="shared" si="5"/>
        <v>✓</v>
      </c>
      <c r="B369" s="67">
        <v>46214</v>
      </c>
      <c r="C369" s="23">
        <f>'Jul 11'!$D$19</f>
        <v>0</v>
      </c>
      <c r="D369" s="23">
        <f>'Jul 11'!$B$19</f>
        <v>0</v>
      </c>
      <c r="E369" s="64">
        <f>'Jul 11'!$E$19</f>
        <v>0</v>
      </c>
      <c r="F369" s="23">
        <f>'Jul 11'!$A$19</f>
        <v>0</v>
      </c>
      <c r="G369" s="64">
        <f>'Jul 11'!$F$19</f>
        <v>0</v>
      </c>
      <c r="H369" s="64">
        <f>'Jul 11'!$G$19</f>
        <v>0</v>
      </c>
      <c r="I369" s="64" t="str">
        <f>'Jul 11'!$M$19</f>
        <v/>
      </c>
      <c r="J369" s="25" t="str">
        <f>'Jul 11'!$S$19</f>
        <v/>
      </c>
      <c r="K369" s="23">
        <f>'Jul 11'!$AG$19</f>
        <v>0</v>
      </c>
      <c r="L369" s="23">
        <f>'Jul 11'!$N$19</f>
        <v>0</v>
      </c>
    </row>
    <row r="370" spans="1:12" x14ac:dyDescent="0.25">
      <c r="A370" s="66" t="str">
        <f t="shared" si="5"/>
        <v>✓</v>
      </c>
      <c r="B370" s="67">
        <v>46214</v>
      </c>
      <c r="C370" s="23">
        <f>'Jul 11'!$D$20</f>
        <v>0</v>
      </c>
      <c r="D370" s="23">
        <f>'Jul 11'!$B$20</f>
        <v>0</v>
      </c>
      <c r="E370" s="64">
        <f>'Jul 11'!$E$20</f>
        <v>0</v>
      </c>
      <c r="F370" s="23">
        <f>'Jul 11'!$A$20</f>
        <v>0</v>
      </c>
      <c r="G370" s="64">
        <f>'Jul 11'!$F$20</f>
        <v>0</v>
      </c>
      <c r="H370" s="64">
        <f>'Jul 11'!$G$20</f>
        <v>0</v>
      </c>
      <c r="I370" s="64" t="str">
        <f>'Jul 11'!$M$20</f>
        <v/>
      </c>
      <c r="J370" s="25" t="str">
        <f>'Jul 11'!$S$20</f>
        <v/>
      </c>
      <c r="K370" s="23">
        <f>'Jul 11'!$AG$20</f>
        <v>0</v>
      </c>
      <c r="L370" s="23">
        <f>'Jul 11'!$N$20</f>
        <v>0</v>
      </c>
    </row>
    <row r="371" spans="1:12" x14ac:dyDescent="0.25">
      <c r="A371" s="66" t="str">
        <f t="shared" si="5"/>
        <v>✓</v>
      </c>
      <c r="B371" s="67">
        <v>46214</v>
      </c>
      <c r="C371" s="23">
        <f>'Jul 11'!$D$21</f>
        <v>0</v>
      </c>
      <c r="D371" s="23">
        <f>'Jul 11'!$B$21</f>
        <v>0</v>
      </c>
      <c r="E371" s="64">
        <f>'Jul 11'!$E$21</f>
        <v>0</v>
      </c>
      <c r="F371" s="23">
        <f>'Jul 11'!$A$21</f>
        <v>0</v>
      </c>
      <c r="G371" s="64">
        <f>'Jul 11'!$F$21</f>
        <v>0</v>
      </c>
      <c r="H371" s="64">
        <f>'Jul 11'!$G$21</f>
        <v>0</v>
      </c>
      <c r="I371" s="64" t="str">
        <f>'Jul 11'!$M$21</f>
        <v/>
      </c>
      <c r="J371" s="25" t="str">
        <f>'Jul 11'!$S$21</f>
        <v/>
      </c>
      <c r="K371" s="23">
        <f>'Jul 11'!$AG$21</f>
        <v>0</v>
      </c>
      <c r="L371" s="23">
        <f>'Jul 11'!$N$21</f>
        <v>0</v>
      </c>
    </row>
    <row r="372" spans="1:12" x14ac:dyDescent="0.25">
      <c r="A372" s="66" t="str">
        <f t="shared" si="5"/>
        <v>✓</v>
      </c>
      <c r="B372" s="67">
        <v>46214</v>
      </c>
      <c r="C372" s="23">
        <f>'Jul 11'!$D$22</f>
        <v>0</v>
      </c>
      <c r="D372" s="23">
        <f>'Jul 11'!$B$22</f>
        <v>0</v>
      </c>
      <c r="E372" s="64">
        <f>'Jul 11'!$E$22</f>
        <v>0</v>
      </c>
      <c r="F372" s="23">
        <f>'Jul 11'!$A$22</f>
        <v>0</v>
      </c>
      <c r="G372" s="64">
        <f>'Jul 11'!$F$22</f>
        <v>0</v>
      </c>
      <c r="H372" s="64">
        <f>'Jul 11'!$G$22</f>
        <v>0</v>
      </c>
      <c r="I372" s="64" t="str">
        <f>'Jul 11'!$M$22</f>
        <v/>
      </c>
      <c r="J372" s="25" t="str">
        <f>'Jul 11'!$S$22</f>
        <v/>
      </c>
      <c r="K372" s="23">
        <f>'Jul 11'!$AG$22</f>
        <v>0</v>
      </c>
      <c r="L372" s="23">
        <f>'Jul 11'!$N$22</f>
        <v>0</v>
      </c>
    </row>
    <row r="373" spans="1:12" x14ac:dyDescent="0.25">
      <c r="A373" s="66" t="str">
        <f t="shared" si="5"/>
        <v>✓</v>
      </c>
      <c r="B373" s="67">
        <v>46214</v>
      </c>
      <c r="C373" s="23">
        <f>'Jul 11'!$D$23</f>
        <v>0</v>
      </c>
      <c r="D373" s="23">
        <f>'Jul 11'!$B$23</f>
        <v>0</v>
      </c>
      <c r="E373" s="64">
        <f>'Jul 11'!$E$23</f>
        <v>0</v>
      </c>
      <c r="F373" s="23">
        <f>'Jul 11'!$A$23</f>
        <v>0</v>
      </c>
      <c r="G373" s="64">
        <f>'Jul 11'!$F$23</f>
        <v>0</v>
      </c>
      <c r="H373" s="64">
        <f>'Jul 11'!$G$23</f>
        <v>0</v>
      </c>
      <c r="I373" s="64" t="str">
        <f>'Jul 11'!$M$23</f>
        <v/>
      </c>
      <c r="J373" s="25" t="str">
        <f>'Jul 11'!$S$23</f>
        <v/>
      </c>
      <c r="K373" s="23">
        <f>'Jul 11'!$AG$23</f>
        <v>0</v>
      </c>
      <c r="L373" s="23">
        <f>'Jul 11'!$N$23</f>
        <v>0</v>
      </c>
    </row>
    <row r="374" spans="1:12" x14ac:dyDescent="0.25">
      <c r="A374" s="66" t="str">
        <f t="shared" si="5"/>
        <v>✓</v>
      </c>
      <c r="B374" s="67">
        <v>46214</v>
      </c>
      <c r="C374" s="23">
        <f>'Jul 11'!$D$24</f>
        <v>0</v>
      </c>
      <c r="D374" s="23">
        <f>'Jul 11'!$B$24</f>
        <v>0</v>
      </c>
      <c r="E374" s="64">
        <f>'Jul 11'!$E$24</f>
        <v>0</v>
      </c>
      <c r="F374" s="23">
        <f>'Jul 11'!$A$24</f>
        <v>0</v>
      </c>
      <c r="G374" s="64">
        <f>'Jul 11'!$F$24</f>
        <v>0</v>
      </c>
      <c r="H374" s="64">
        <f>'Jul 11'!$G$24</f>
        <v>0</v>
      </c>
      <c r="I374" s="64" t="str">
        <f>'Jul 11'!$M$24</f>
        <v/>
      </c>
      <c r="J374" s="25" t="str">
        <f>'Jul 11'!$S$24</f>
        <v/>
      </c>
      <c r="K374" s="23">
        <f>'Jul 11'!$AG$24</f>
        <v>0</v>
      </c>
      <c r="L374" s="23">
        <f>'Jul 11'!$N$24</f>
        <v>0</v>
      </c>
    </row>
    <row r="375" spans="1:12" x14ac:dyDescent="0.25">
      <c r="A375" s="66" t="str">
        <f t="shared" si="5"/>
        <v>✓</v>
      </c>
      <c r="B375" s="67">
        <v>46214</v>
      </c>
      <c r="C375" s="23">
        <f>'Jul 11'!$D$25</f>
        <v>0</v>
      </c>
      <c r="D375" s="23">
        <f>'Jul 11'!$B$25</f>
        <v>0</v>
      </c>
      <c r="E375" s="64">
        <f>'Jul 11'!$E$25</f>
        <v>0</v>
      </c>
      <c r="F375" s="23">
        <f>'Jul 11'!$A$25</f>
        <v>0</v>
      </c>
      <c r="G375" s="64">
        <f>'Jul 11'!$F$25</f>
        <v>0</v>
      </c>
      <c r="H375" s="64">
        <f>'Jul 11'!$G$25</f>
        <v>0</v>
      </c>
      <c r="I375" s="64" t="str">
        <f>'Jul 11'!$M$25</f>
        <v/>
      </c>
      <c r="J375" s="25" t="str">
        <f>'Jul 11'!$S$25</f>
        <v/>
      </c>
      <c r="K375" s="23">
        <f>'Jul 11'!$AG$25</f>
        <v>0</v>
      </c>
      <c r="L375" s="23">
        <f>'Jul 11'!$N$25</f>
        <v>0</v>
      </c>
    </row>
    <row r="376" spans="1:12" x14ac:dyDescent="0.25">
      <c r="A376" s="66" t="str">
        <f t="shared" si="5"/>
        <v>✓</v>
      </c>
      <c r="B376" s="67">
        <v>46214</v>
      </c>
      <c r="C376" s="23">
        <f>'Jul 11'!$D$26</f>
        <v>0</v>
      </c>
      <c r="D376" s="23">
        <f>'Jul 11'!$B$26</f>
        <v>0</v>
      </c>
      <c r="E376" s="64">
        <f>'Jul 11'!$E$26</f>
        <v>0</v>
      </c>
      <c r="F376" s="23">
        <f>'Jul 11'!$A$26</f>
        <v>0</v>
      </c>
      <c r="G376" s="64">
        <f>'Jul 11'!$F$26</f>
        <v>0</v>
      </c>
      <c r="H376" s="64">
        <f>'Jul 11'!$G$26</f>
        <v>0</v>
      </c>
      <c r="I376" s="64" t="str">
        <f>'Jul 11'!$M$26</f>
        <v/>
      </c>
      <c r="J376" s="25" t="str">
        <f>'Jul 11'!$S$26</f>
        <v/>
      </c>
      <c r="K376" s="23">
        <f>'Jul 11'!$AG$26</f>
        <v>0</v>
      </c>
      <c r="L376" s="23">
        <f>'Jul 11'!$N$26</f>
        <v>0</v>
      </c>
    </row>
    <row r="377" spans="1:12" x14ac:dyDescent="0.25">
      <c r="A377" s="66" t="str">
        <f t="shared" si="5"/>
        <v>✓</v>
      </c>
      <c r="B377" s="67">
        <v>46214</v>
      </c>
      <c r="C377" s="23">
        <f>'Jul 11'!$D$27</f>
        <v>0</v>
      </c>
      <c r="D377" s="23">
        <f>'Jul 11'!$B$27</f>
        <v>0</v>
      </c>
      <c r="E377" s="64">
        <f>'Jul 11'!$E$27</f>
        <v>0</v>
      </c>
      <c r="F377" s="23">
        <f>'Jul 11'!$A$27</f>
        <v>0</v>
      </c>
      <c r="G377" s="64">
        <f>'Jul 11'!$F$27</f>
        <v>0</v>
      </c>
      <c r="H377" s="64">
        <f>'Jul 11'!$G$27</f>
        <v>0</v>
      </c>
      <c r="I377" s="64" t="str">
        <f>'Jul 11'!$M$27</f>
        <v/>
      </c>
      <c r="J377" s="25" t="str">
        <f>'Jul 11'!$S$27</f>
        <v/>
      </c>
      <c r="K377" s="23">
        <f>'Jul 11'!$AG$27</f>
        <v>0</v>
      </c>
      <c r="L377" s="23">
        <f>'Jul 11'!$N$27</f>
        <v>0</v>
      </c>
    </row>
    <row r="378" spans="1:12" x14ac:dyDescent="0.25">
      <c r="A378" s="66" t="str">
        <f t="shared" si="5"/>
        <v>✓</v>
      </c>
      <c r="B378" s="67">
        <v>46214</v>
      </c>
      <c r="C378" s="23">
        <f>'Jul 11'!$D$28</f>
        <v>0</v>
      </c>
      <c r="D378" s="23">
        <f>'Jul 11'!$B$28</f>
        <v>0</v>
      </c>
      <c r="E378" s="64">
        <f>'Jul 11'!$E$28</f>
        <v>0</v>
      </c>
      <c r="F378" s="23">
        <f>'Jul 11'!$A$28</f>
        <v>0</v>
      </c>
      <c r="G378" s="64">
        <f>'Jul 11'!$F$28</f>
        <v>0</v>
      </c>
      <c r="H378" s="64">
        <f>'Jul 11'!$G$28</f>
        <v>0</v>
      </c>
      <c r="I378" s="64" t="str">
        <f>'Jul 11'!$M$28</f>
        <v/>
      </c>
      <c r="J378" s="25" t="str">
        <f>'Jul 11'!$S$28</f>
        <v/>
      </c>
      <c r="K378" s="23">
        <f>'Jul 11'!$AG$28</f>
        <v>0</v>
      </c>
      <c r="L378" s="23">
        <f>'Jul 11'!$N$28</f>
        <v>0</v>
      </c>
    </row>
    <row r="379" spans="1:12" x14ac:dyDescent="0.25">
      <c r="A379" s="66" t="str">
        <f t="shared" si="5"/>
        <v>✓</v>
      </c>
      <c r="B379" s="67">
        <v>46214</v>
      </c>
      <c r="C379" s="23">
        <f>'Jul 11'!$D$29</f>
        <v>0</v>
      </c>
      <c r="D379" s="23">
        <f>'Jul 11'!$B$29</f>
        <v>0</v>
      </c>
      <c r="E379" s="64">
        <f>'Jul 11'!$E$29</f>
        <v>0</v>
      </c>
      <c r="F379" s="23">
        <f>'Jul 11'!$A$29</f>
        <v>0</v>
      </c>
      <c r="G379" s="64">
        <f>'Jul 11'!$F$29</f>
        <v>0</v>
      </c>
      <c r="H379" s="64">
        <f>'Jul 11'!$G$29</f>
        <v>0</v>
      </c>
      <c r="I379" s="64" t="str">
        <f>'Jul 11'!$M$29</f>
        <v/>
      </c>
      <c r="J379" s="25" t="str">
        <f>'Jul 11'!$S$29</f>
        <v/>
      </c>
      <c r="K379" s="23">
        <f>'Jul 11'!$AG$29</f>
        <v>0</v>
      </c>
      <c r="L379" s="23">
        <f>'Jul 11'!$N$29</f>
        <v>0</v>
      </c>
    </row>
    <row r="380" spans="1:12" x14ac:dyDescent="0.25">
      <c r="A380" s="66" t="str">
        <f t="shared" si="5"/>
        <v>✓</v>
      </c>
      <c r="B380" s="67">
        <v>46214</v>
      </c>
      <c r="C380" s="23">
        <f>'Jul 11'!$D$30</f>
        <v>0</v>
      </c>
      <c r="D380" s="23">
        <f>'Jul 11'!$B$30</f>
        <v>0</v>
      </c>
      <c r="E380" s="64">
        <f>'Jul 11'!$E$30</f>
        <v>0</v>
      </c>
      <c r="F380" s="23">
        <f>'Jul 11'!$A$30</f>
        <v>0</v>
      </c>
      <c r="G380" s="64">
        <f>'Jul 11'!$F$30</f>
        <v>0</v>
      </c>
      <c r="H380" s="64">
        <f>'Jul 11'!$G$30</f>
        <v>0</v>
      </c>
      <c r="I380" s="64" t="str">
        <f>'Jul 11'!$M$30</f>
        <v/>
      </c>
      <c r="J380" s="25" t="str">
        <f>'Jul 11'!$S$30</f>
        <v/>
      </c>
      <c r="K380" s="23">
        <f>'Jul 11'!$AG$30</f>
        <v>0</v>
      </c>
      <c r="L380" s="23">
        <f>'Jul 11'!$N$30</f>
        <v>0</v>
      </c>
    </row>
    <row r="381" spans="1:12" x14ac:dyDescent="0.25">
      <c r="A381" s="66" t="str">
        <f t="shared" si="5"/>
        <v>✓</v>
      </c>
      <c r="B381" s="67">
        <v>46214</v>
      </c>
      <c r="C381" s="23">
        <f>'Jul 11'!$D$31</f>
        <v>0</v>
      </c>
      <c r="D381" s="23">
        <f>'Jul 11'!$B$31</f>
        <v>0</v>
      </c>
      <c r="E381" s="64">
        <f>'Jul 11'!$E$31</f>
        <v>0</v>
      </c>
      <c r="F381" s="23">
        <f>'Jul 11'!$A$31</f>
        <v>0</v>
      </c>
      <c r="G381" s="64">
        <f>'Jul 11'!$F$31</f>
        <v>0</v>
      </c>
      <c r="H381" s="64">
        <f>'Jul 11'!$G$31</f>
        <v>0</v>
      </c>
      <c r="I381" s="64" t="str">
        <f>'Jul 11'!$M$31</f>
        <v/>
      </c>
      <c r="J381" s="25" t="str">
        <f>'Jul 11'!$S$31</f>
        <v/>
      </c>
      <c r="K381" s="23">
        <f>'Jul 11'!$AG$31</f>
        <v>0</v>
      </c>
      <c r="L381" s="23">
        <f>'Jul 11'!$N$31</f>
        <v>0</v>
      </c>
    </row>
    <row r="382" spans="1:12" x14ac:dyDescent="0.25">
      <c r="A382" s="66" t="str">
        <f t="shared" si="5"/>
        <v>✓</v>
      </c>
      <c r="B382" s="67">
        <v>46214</v>
      </c>
      <c r="C382" s="23">
        <f>'Jul 11'!$D$32</f>
        <v>0</v>
      </c>
      <c r="D382" s="23">
        <f>'Jul 11'!$B$32</f>
        <v>0</v>
      </c>
      <c r="E382" s="64">
        <f>'Jul 11'!$E$32</f>
        <v>0</v>
      </c>
      <c r="F382" s="23">
        <f>'Jul 11'!$A$32</f>
        <v>0</v>
      </c>
      <c r="G382" s="64">
        <f>'Jul 11'!$F$32</f>
        <v>0</v>
      </c>
      <c r="H382" s="64">
        <f>'Jul 11'!$G$32</f>
        <v>0</v>
      </c>
      <c r="I382" s="64" t="str">
        <f>'Jul 11'!$M$32</f>
        <v/>
      </c>
      <c r="J382" s="25" t="str">
        <f>'Jul 11'!$S$32</f>
        <v/>
      </c>
      <c r="K382" s="23">
        <f>'Jul 11'!$AG$32</f>
        <v>0</v>
      </c>
      <c r="L382" s="23">
        <f>'Jul 11'!$N$32</f>
        <v>0</v>
      </c>
    </row>
    <row r="383" spans="1:12" x14ac:dyDescent="0.25">
      <c r="A383" s="66" t="str">
        <f t="shared" si="5"/>
        <v>✓</v>
      </c>
      <c r="B383" s="67">
        <v>46214</v>
      </c>
      <c r="C383" s="23">
        <f>'Jul 11'!$D$33</f>
        <v>0</v>
      </c>
      <c r="D383" s="23">
        <f>'Jul 11'!$B$33</f>
        <v>0</v>
      </c>
      <c r="E383" s="64">
        <f>'Jul 11'!$E$33</f>
        <v>0</v>
      </c>
      <c r="F383" s="23">
        <f>'Jul 11'!$A$33</f>
        <v>0</v>
      </c>
      <c r="G383" s="64">
        <f>'Jul 11'!$F$33</f>
        <v>0</v>
      </c>
      <c r="H383" s="64">
        <f>'Jul 11'!$G$33</f>
        <v>0</v>
      </c>
      <c r="I383" s="64" t="str">
        <f>'Jul 11'!$M$33</f>
        <v/>
      </c>
      <c r="J383" s="25" t="str">
        <f>'Jul 11'!$S$33</f>
        <v/>
      </c>
      <c r="K383" s="23">
        <f>'Jul 11'!$AG$33</f>
        <v>0</v>
      </c>
      <c r="L383" s="23">
        <f>'Jul 11'!$N$33</f>
        <v>0</v>
      </c>
    </row>
    <row r="384" spans="1:12" x14ac:dyDescent="0.25">
      <c r="A384" s="66" t="str">
        <f t="shared" si="5"/>
        <v>✓</v>
      </c>
      <c r="B384" s="67">
        <v>46214</v>
      </c>
      <c r="C384" s="23">
        <f>'Jul 11'!$D$34</f>
        <v>0</v>
      </c>
      <c r="D384" s="23">
        <f>'Jul 11'!$B$34</f>
        <v>0</v>
      </c>
      <c r="E384" s="64">
        <f>'Jul 11'!$E$34</f>
        <v>0</v>
      </c>
      <c r="F384" s="23">
        <f>'Jul 11'!$A$34</f>
        <v>0</v>
      </c>
      <c r="G384" s="64">
        <f>'Jul 11'!$F$34</f>
        <v>0</v>
      </c>
      <c r="H384" s="64">
        <f>'Jul 11'!$G$34</f>
        <v>0</v>
      </c>
      <c r="I384" s="64" t="str">
        <f>'Jul 11'!$M$34</f>
        <v/>
      </c>
      <c r="J384" s="25" t="str">
        <f>'Jul 11'!$S$34</f>
        <v/>
      </c>
      <c r="K384" s="23">
        <f>'Jul 11'!$AG$34</f>
        <v>0</v>
      </c>
      <c r="L384" s="23">
        <f>'Jul 11'!$N$34</f>
        <v>0</v>
      </c>
    </row>
    <row r="385" spans="1:12" x14ac:dyDescent="0.25">
      <c r="A385" s="66" t="str">
        <f t="shared" si="5"/>
        <v>✓</v>
      </c>
      <c r="B385" s="67">
        <v>46214</v>
      </c>
      <c r="C385" s="23">
        <f>'Jul 11'!$D$35</f>
        <v>0</v>
      </c>
      <c r="D385" s="23">
        <f>'Jul 11'!$B$35</f>
        <v>0</v>
      </c>
      <c r="E385" s="64">
        <f>'Jul 11'!$E$35</f>
        <v>0</v>
      </c>
      <c r="F385" s="23">
        <f>'Jul 11'!$A$35</f>
        <v>0</v>
      </c>
      <c r="G385" s="64">
        <f>'Jul 11'!$F$35</f>
        <v>0</v>
      </c>
      <c r="H385" s="64">
        <f>'Jul 11'!$G$35</f>
        <v>0</v>
      </c>
      <c r="I385" s="64" t="str">
        <f>'Jul 11'!$M$35</f>
        <v/>
      </c>
      <c r="J385" s="25" t="str">
        <f>'Jul 11'!$S$35</f>
        <v/>
      </c>
      <c r="K385" s="23">
        <f>'Jul 11'!$AG$35</f>
        <v>0</v>
      </c>
      <c r="L385" s="23">
        <f>'Jul 11'!$N$35</f>
        <v>0</v>
      </c>
    </row>
    <row r="386" spans="1:12" x14ac:dyDescent="0.25">
      <c r="A386" s="66" t="str">
        <f t="shared" si="5"/>
        <v>✓</v>
      </c>
      <c r="B386" s="67">
        <v>46214</v>
      </c>
      <c r="C386" s="23">
        <f>'Jul 11'!$D$36</f>
        <v>0</v>
      </c>
      <c r="D386" s="23">
        <f>'Jul 11'!$B$36</f>
        <v>0</v>
      </c>
      <c r="E386" s="64">
        <f>'Jul 11'!$E$36</f>
        <v>0</v>
      </c>
      <c r="F386" s="23">
        <f>'Jul 11'!$A$36</f>
        <v>0</v>
      </c>
      <c r="G386" s="64">
        <f>'Jul 11'!$F$36</f>
        <v>0</v>
      </c>
      <c r="H386" s="64">
        <f>'Jul 11'!$G$36</f>
        <v>0</v>
      </c>
      <c r="I386" s="64" t="str">
        <f>'Jul 11'!$M$36</f>
        <v/>
      </c>
      <c r="J386" s="25" t="str">
        <f>'Jul 11'!$S$36</f>
        <v/>
      </c>
      <c r="K386" s="23">
        <f>'Jul 11'!$AG$36</f>
        <v>0</v>
      </c>
      <c r="L386" s="23">
        <f>'Jul 11'!$N$36</f>
        <v>0</v>
      </c>
    </row>
    <row r="387" spans="1:12" x14ac:dyDescent="0.25">
      <c r="A387" s="66" t="str">
        <f t="shared" si="5"/>
        <v>✓</v>
      </c>
      <c r="B387" s="67">
        <v>46214</v>
      </c>
      <c r="C387" s="23">
        <f>'Jul 11'!$D$37</f>
        <v>0</v>
      </c>
      <c r="D387" s="23">
        <f>'Jul 11'!$B$37</f>
        <v>0</v>
      </c>
      <c r="E387" s="64">
        <f>'Jul 11'!$E$37</f>
        <v>0</v>
      </c>
      <c r="F387" s="23">
        <f>'Jul 11'!$A$37</f>
        <v>0</v>
      </c>
      <c r="G387" s="64">
        <f>'Jul 11'!$F$37</f>
        <v>0</v>
      </c>
      <c r="H387" s="64">
        <f>'Jul 11'!$G$37</f>
        <v>0</v>
      </c>
      <c r="I387" s="64" t="str">
        <f>'Jul 11'!$M$37</f>
        <v/>
      </c>
      <c r="J387" s="25" t="str">
        <f>'Jul 11'!$S$37</f>
        <v/>
      </c>
      <c r="K387" s="23">
        <f>'Jul 11'!$AG$37</f>
        <v>0</v>
      </c>
      <c r="L387" s="23">
        <f>'Jul 11'!$N$37</f>
        <v>0</v>
      </c>
    </row>
    <row r="388" spans="1:12" x14ac:dyDescent="0.25">
      <c r="A388" s="66" t="str">
        <f t="shared" si="5"/>
        <v>✓</v>
      </c>
      <c r="B388" s="67">
        <v>46214</v>
      </c>
      <c r="C388" s="23">
        <f>'Jul 11'!$D$38</f>
        <v>0</v>
      </c>
      <c r="D388" s="23">
        <f>'Jul 11'!$B$38</f>
        <v>0</v>
      </c>
      <c r="E388" s="64">
        <f>'Jul 11'!$E$38</f>
        <v>0</v>
      </c>
      <c r="F388" s="23">
        <f>'Jul 11'!$A$38</f>
        <v>0</v>
      </c>
      <c r="G388" s="64">
        <f>'Jul 11'!$F$38</f>
        <v>0</v>
      </c>
      <c r="H388" s="64">
        <f>'Jul 11'!$G$38</f>
        <v>0</v>
      </c>
      <c r="I388" s="64" t="str">
        <f>'Jul 11'!$M$38</f>
        <v/>
      </c>
      <c r="J388" s="25" t="str">
        <f>'Jul 11'!$S$38</f>
        <v/>
      </c>
      <c r="K388" s="23">
        <f>'Jul 11'!$AG$38</f>
        <v>0</v>
      </c>
      <c r="L388" s="23">
        <f>'Jul 11'!$N$38</f>
        <v>0</v>
      </c>
    </row>
    <row r="389" spans="1:12" x14ac:dyDescent="0.25">
      <c r="A389" s="66" t="str">
        <f t="shared" si="5"/>
        <v>✓</v>
      </c>
      <c r="B389" s="67">
        <v>46214</v>
      </c>
      <c r="C389" s="23">
        <f>'Jul 11'!$D$39</f>
        <v>0</v>
      </c>
      <c r="D389" s="23">
        <f>'Jul 11'!$B$39</f>
        <v>0</v>
      </c>
      <c r="E389" s="64">
        <f>'Jul 11'!$E$39</f>
        <v>0</v>
      </c>
      <c r="F389" s="23">
        <f>'Jul 11'!$A$39</f>
        <v>0</v>
      </c>
      <c r="G389" s="64">
        <f>'Jul 11'!$F$39</f>
        <v>0</v>
      </c>
      <c r="H389" s="64">
        <f>'Jul 11'!$G$39</f>
        <v>0</v>
      </c>
      <c r="I389" s="64" t="str">
        <f>'Jul 11'!$M$39</f>
        <v/>
      </c>
      <c r="J389" s="25" t="str">
        <f>'Jul 11'!$S$39</f>
        <v/>
      </c>
      <c r="K389" s="23">
        <f>'Jul 11'!$AG$39</f>
        <v>0</v>
      </c>
      <c r="L389" s="23">
        <f>'Jul 11'!$N$39</f>
        <v>0</v>
      </c>
    </row>
    <row r="390" spans="1:12" x14ac:dyDescent="0.25">
      <c r="A390" s="66" t="str">
        <f t="shared" si="5"/>
        <v>✓</v>
      </c>
      <c r="B390" s="67">
        <v>46214</v>
      </c>
      <c r="C390" s="23">
        <f>'Jul 11'!$D$40</f>
        <v>0</v>
      </c>
      <c r="D390" s="23">
        <f>'Jul 11'!$B$40</f>
        <v>0</v>
      </c>
      <c r="E390" s="64">
        <f>'Jul 11'!$E$40</f>
        <v>0</v>
      </c>
      <c r="F390" s="23">
        <f>'Jul 11'!$A$40</f>
        <v>0</v>
      </c>
      <c r="G390" s="64">
        <f>'Jul 11'!$F$40</f>
        <v>0</v>
      </c>
      <c r="H390" s="64">
        <f>'Jul 11'!$G$40</f>
        <v>0</v>
      </c>
      <c r="I390" s="64" t="str">
        <f>'Jul 11'!$M$40</f>
        <v/>
      </c>
      <c r="J390" s="25" t="str">
        <f>'Jul 11'!$S$40</f>
        <v/>
      </c>
      <c r="K390" s="23">
        <f>'Jul 11'!$AG$40</f>
        <v>0</v>
      </c>
      <c r="L390" s="23">
        <f>'Jul 11'!$N$40</f>
        <v>0</v>
      </c>
    </row>
    <row r="391" spans="1:12" x14ac:dyDescent="0.25">
      <c r="A391" s="66" t="str">
        <f t="shared" si="5"/>
        <v>✓</v>
      </c>
      <c r="B391" s="67">
        <v>46214</v>
      </c>
      <c r="C391" s="23">
        <f>'Jul 11'!$D$41</f>
        <v>0</v>
      </c>
      <c r="D391" s="23">
        <f>'Jul 11'!$B$41</f>
        <v>0</v>
      </c>
      <c r="E391" s="64">
        <f>'Jul 11'!$E$41</f>
        <v>0</v>
      </c>
      <c r="F391" s="23">
        <f>'Jul 11'!$A$41</f>
        <v>0</v>
      </c>
      <c r="G391" s="64">
        <f>'Jul 11'!$F$41</f>
        <v>0</v>
      </c>
      <c r="H391" s="64">
        <f>'Jul 11'!$G$41</f>
        <v>0</v>
      </c>
      <c r="I391" s="64" t="str">
        <f>'Jul 11'!$M$41</f>
        <v/>
      </c>
      <c r="J391" s="25" t="str">
        <f>'Jul 11'!$S$41</f>
        <v/>
      </c>
      <c r="K391" s="23">
        <f>'Jul 11'!$AG$41</f>
        <v>0</v>
      </c>
      <c r="L391" s="23">
        <f>'Jul 11'!$N$41</f>
        <v>0</v>
      </c>
    </row>
    <row r="392" spans="1:12" x14ac:dyDescent="0.25">
      <c r="A392" s="66" t="str">
        <f t="shared" ref="A392:A455" si="6">IF(C392="","",IF(AND(OR($B$5="",G392=$B$5,H392=$B$5),OR($D$5="",F392=$D$5),OR($E$5="",K392=$E$5),OR($G$5="",L392=$G$5),OR($H$5="",N(J392)&gt;=$H$5),OR($I$5="",ISNUMBER(SEARCH($I$5,C392&amp;" "&amp;D392&amp;" "&amp;E392&amp;" "&amp;I392)))),"✓",""))</f>
        <v>✓</v>
      </c>
      <c r="B392" s="67">
        <v>46214</v>
      </c>
      <c r="C392" s="23">
        <f>'Jul 11'!$D$42</f>
        <v>0</v>
      </c>
      <c r="D392" s="23">
        <f>'Jul 11'!$B$42</f>
        <v>0</v>
      </c>
      <c r="E392" s="64">
        <f>'Jul 11'!$E$42</f>
        <v>0</v>
      </c>
      <c r="F392" s="23">
        <f>'Jul 11'!$A$42</f>
        <v>0</v>
      </c>
      <c r="G392" s="64">
        <f>'Jul 11'!$F$42</f>
        <v>0</v>
      </c>
      <c r="H392" s="64">
        <f>'Jul 11'!$G$42</f>
        <v>0</v>
      </c>
      <c r="I392" s="64" t="str">
        <f>'Jul 11'!$M$42</f>
        <v/>
      </c>
      <c r="J392" s="25" t="str">
        <f>'Jul 11'!$S$42</f>
        <v/>
      </c>
      <c r="K392" s="23">
        <f>'Jul 11'!$AG$42</f>
        <v>0</v>
      </c>
      <c r="L392" s="23">
        <f>'Jul 11'!$N$42</f>
        <v>0</v>
      </c>
    </row>
    <row r="393" spans="1:12" x14ac:dyDescent="0.25">
      <c r="A393" s="66" t="str">
        <f t="shared" si="6"/>
        <v>✓</v>
      </c>
      <c r="B393" s="67">
        <v>46215</v>
      </c>
      <c r="C393" s="23">
        <f>'Jul 12'!$D$8</f>
        <v>0</v>
      </c>
      <c r="D393" s="23">
        <f>'Jul 12'!$B$8</f>
        <v>0</v>
      </c>
      <c r="E393" s="64">
        <f>'Jul 12'!$E$8</f>
        <v>0</v>
      </c>
      <c r="F393" s="23">
        <f>'Jul 12'!$A$8</f>
        <v>0</v>
      </c>
      <c r="G393" s="64">
        <f>'Jul 12'!$F$8</f>
        <v>0</v>
      </c>
      <c r="H393" s="64">
        <f>'Jul 12'!$G$8</f>
        <v>0</v>
      </c>
      <c r="I393" s="64" t="str">
        <f>'Jul 12'!$M$8</f>
        <v/>
      </c>
      <c r="J393" s="25" t="str">
        <f>'Jul 12'!$S$8</f>
        <v/>
      </c>
      <c r="K393" s="23">
        <f>'Jul 12'!$AG$8</f>
        <v>0</v>
      </c>
      <c r="L393" s="23">
        <f>'Jul 12'!$N$8</f>
        <v>0</v>
      </c>
    </row>
    <row r="394" spans="1:12" x14ac:dyDescent="0.25">
      <c r="A394" s="66" t="str">
        <f t="shared" si="6"/>
        <v>✓</v>
      </c>
      <c r="B394" s="67">
        <v>46215</v>
      </c>
      <c r="C394" s="23">
        <f>'Jul 12'!$D$9</f>
        <v>0</v>
      </c>
      <c r="D394" s="23">
        <f>'Jul 12'!$B$9</f>
        <v>0</v>
      </c>
      <c r="E394" s="64">
        <f>'Jul 12'!$E$9</f>
        <v>0</v>
      </c>
      <c r="F394" s="23">
        <f>'Jul 12'!$A$9</f>
        <v>0</v>
      </c>
      <c r="G394" s="64">
        <f>'Jul 12'!$F$9</f>
        <v>0</v>
      </c>
      <c r="H394" s="64">
        <f>'Jul 12'!$G$9</f>
        <v>0</v>
      </c>
      <c r="I394" s="64" t="str">
        <f>'Jul 12'!$M$9</f>
        <v/>
      </c>
      <c r="J394" s="25" t="str">
        <f>'Jul 12'!$S$9</f>
        <v/>
      </c>
      <c r="K394" s="23">
        <f>'Jul 12'!$AG$9</f>
        <v>0</v>
      </c>
      <c r="L394" s="23">
        <f>'Jul 12'!$N$9</f>
        <v>0</v>
      </c>
    </row>
    <row r="395" spans="1:12" x14ac:dyDescent="0.25">
      <c r="A395" s="66" t="str">
        <f t="shared" si="6"/>
        <v>✓</v>
      </c>
      <c r="B395" s="67">
        <v>46215</v>
      </c>
      <c r="C395" s="23">
        <f>'Jul 12'!$D$10</f>
        <v>0</v>
      </c>
      <c r="D395" s="23">
        <f>'Jul 12'!$B$10</f>
        <v>0</v>
      </c>
      <c r="E395" s="64">
        <f>'Jul 12'!$E$10</f>
        <v>0</v>
      </c>
      <c r="F395" s="23">
        <f>'Jul 12'!$A$10</f>
        <v>0</v>
      </c>
      <c r="G395" s="64">
        <f>'Jul 12'!$F$10</f>
        <v>0</v>
      </c>
      <c r="H395" s="64">
        <f>'Jul 12'!$G$10</f>
        <v>0</v>
      </c>
      <c r="I395" s="64" t="str">
        <f>'Jul 12'!$M$10</f>
        <v/>
      </c>
      <c r="J395" s="25" t="str">
        <f>'Jul 12'!$S$10</f>
        <v/>
      </c>
      <c r="K395" s="23">
        <f>'Jul 12'!$AG$10</f>
        <v>0</v>
      </c>
      <c r="L395" s="23">
        <f>'Jul 12'!$N$10</f>
        <v>0</v>
      </c>
    </row>
    <row r="396" spans="1:12" x14ac:dyDescent="0.25">
      <c r="A396" s="66" t="str">
        <f t="shared" si="6"/>
        <v>✓</v>
      </c>
      <c r="B396" s="67">
        <v>46215</v>
      </c>
      <c r="C396" s="23">
        <f>'Jul 12'!$D$11</f>
        <v>0</v>
      </c>
      <c r="D396" s="23">
        <f>'Jul 12'!$B$11</f>
        <v>0</v>
      </c>
      <c r="E396" s="64">
        <f>'Jul 12'!$E$11</f>
        <v>0</v>
      </c>
      <c r="F396" s="23">
        <f>'Jul 12'!$A$11</f>
        <v>0</v>
      </c>
      <c r="G396" s="64">
        <f>'Jul 12'!$F$11</f>
        <v>0</v>
      </c>
      <c r="H396" s="64">
        <f>'Jul 12'!$G$11</f>
        <v>0</v>
      </c>
      <c r="I396" s="64" t="str">
        <f>'Jul 12'!$M$11</f>
        <v/>
      </c>
      <c r="J396" s="25" t="str">
        <f>'Jul 12'!$S$11</f>
        <v/>
      </c>
      <c r="K396" s="23">
        <f>'Jul 12'!$AG$11</f>
        <v>0</v>
      </c>
      <c r="L396" s="23">
        <f>'Jul 12'!$N$11</f>
        <v>0</v>
      </c>
    </row>
    <row r="397" spans="1:12" x14ac:dyDescent="0.25">
      <c r="A397" s="66" t="str">
        <f t="shared" si="6"/>
        <v>✓</v>
      </c>
      <c r="B397" s="67">
        <v>46215</v>
      </c>
      <c r="C397" s="23">
        <f>'Jul 12'!$D$12</f>
        <v>0</v>
      </c>
      <c r="D397" s="23">
        <f>'Jul 12'!$B$12</f>
        <v>0</v>
      </c>
      <c r="E397" s="64">
        <f>'Jul 12'!$E$12</f>
        <v>0</v>
      </c>
      <c r="F397" s="23">
        <f>'Jul 12'!$A$12</f>
        <v>0</v>
      </c>
      <c r="G397" s="64">
        <f>'Jul 12'!$F$12</f>
        <v>0</v>
      </c>
      <c r="H397" s="64">
        <f>'Jul 12'!$G$12</f>
        <v>0</v>
      </c>
      <c r="I397" s="64" t="str">
        <f>'Jul 12'!$M$12</f>
        <v/>
      </c>
      <c r="J397" s="25" t="str">
        <f>'Jul 12'!$S$12</f>
        <v/>
      </c>
      <c r="K397" s="23">
        <f>'Jul 12'!$AG$12</f>
        <v>0</v>
      </c>
      <c r="L397" s="23">
        <f>'Jul 12'!$N$12</f>
        <v>0</v>
      </c>
    </row>
    <row r="398" spans="1:12" x14ac:dyDescent="0.25">
      <c r="A398" s="66" t="str">
        <f t="shared" si="6"/>
        <v>✓</v>
      </c>
      <c r="B398" s="67">
        <v>46215</v>
      </c>
      <c r="C398" s="23">
        <f>'Jul 12'!$D$13</f>
        <v>0</v>
      </c>
      <c r="D398" s="23">
        <f>'Jul 12'!$B$13</f>
        <v>0</v>
      </c>
      <c r="E398" s="64">
        <f>'Jul 12'!$E$13</f>
        <v>0</v>
      </c>
      <c r="F398" s="23">
        <f>'Jul 12'!$A$13</f>
        <v>0</v>
      </c>
      <c r="G398" s="64">
        <f>'Jul 12'!$F$13</f>
        <v>0</v>
      </c>
      <c r="H398" s="64">
        <f>'Jul 12'!$G$13</f>
        <v>0</v>
      </c>
      <c r="I398" s="64" t="str">
        <f>'Jul 12'!$M$13</f>
        <v/>
      </c>
      <c r="J398" s="25" t="str">
        <f>'Jul 12'!$S$13</f>
        <v/>
      </c>
      <c r="K398" s="23">
        <f>'Jul 12'!$AG$13</f>
        <v>0</v>
      </c>
      <c r="L398" s="23">
        <f>'Jul 12'!$N$13</f>
        <v>0</v>
      </c>
    </row>
    <row r="399" spans="1:12" x14ac:dyDescent="0.25">
      <c r="A399" s="66" t="str">
        <f t="shared" si="6"/>
        <v>✓</v>
      </c>
      <c r="B399" s="67">
        <v>46215</v>
      </c>
      <c r="C399" s="23">
        <f>'Jul 12'!$D$14</f>
        <v>0</v>
      </c>
      <c r="D399" s="23">
        <f>'Jul 12'!$B$14</f>
        <v>0</v>
      </c>
      <c r="E399" s="64">
        <f>'Jul 12'!$E$14</f>
        <v>0</v>
      </c>
      <c r="F399" s="23">
        <f>'Jul 12'!$A$14</f>
        <v>0</v>
      </c>
      <c r="G399" s="64">
        <f>'Jul 12'!$F$14</f>
        <v>0</v>
      </c>
      <c r="H399" s="64">
        <f>'Jul 12'!$G$14</f>
        <v>0</v>
      </c>
      <c r="I399" s="64" t="str">
        <f>'Jul 12'!$M$14</f>
        <v/>
      </c>
      <c r="J399" s="25" t="str">
        <f>'Jul 12'!$S$14</f>
        <v/>
      </c>
      <c r="K399" s="23">
        <f>'Jul 12'!$AG$14</f>
        <v>0</v>
      </c>
      <c r="L399" s="23">
        <f>'Jul 12'!$N$14</f>
        <v>0</v>
      </c>
    </row>
    <row r="400" spans="1:12" x14ac:dyDescent="0.25">
      <c r="A400" s="66" t="str">
        <f t="shared" si="6"/>
        <v>✓</v>
      </c>
      <c r="B400" s="67">
        <v>46215</v>
      </c>
      <c r="C400" s="23">
        <f>'Jul 12'!$D$15</f>
        <v>0</v>
      </c>
      <c r="D400" s="23">
        <f>'Jul 12'!$B$15</f>
        <v>0</v>
      </c>
      <c r="E400" s="64">
        <f>'Jul 12'!$E$15</f>
        <v>0</v>
      </c>
      <c r="F400" s="23">
        <f>'Jul 12'!$A$15</f>
        <v>0</v>
      </c>
      <c r="G400" s="64">
        <f>'Jul 12'!$F$15</f>
        <v>0</v>
      </c>
      <c r="H400" s="64">
        <f>'Jul 12'!$G$15</f>
        <v>0</v>
      </c>
      <c r="I400" s="64" t="str">
        <f>'Jul 12'!$M$15</f>
        <v/>
      </c>
      <c r="J400" s="25" t="str">
        <f>'Jul 12'!$S$15</f>
        <v/>
      </c>
      <c r="K400" s="23">
        <f>'Jul 12'!$AG$15</f>
        <v>0</v>
      </c>
      <c r="L400" s="23">
        <f>'Jul 12'!$N$15</f>
        <v>0</v>
      </c>
    </row>
    <row r="401" spans="1:12" x14ac:dyDescent="0.25">
      <c r="A401" s="66" t="str">
        <f t="shared" si="6"/>
        <v>✓</v>
      </c>
      <c r="B401" s="67">
        <v>46215</v>
      </c>
      <c r="C401" s="23">
        <f>'Jul 12'!$D$16</f>
        <v>0</v>
      </c>
      <c r="D401" s="23">
        <f>'Jul 12'!$B$16</f>
        <v>0</v>
      </c>
      <c r="E401" s="64">
        <f>'Jul 12'!$E$16</f>
        <v>0</v>
      </c>
      <c r="F401" s="23">
        <f>'Jul 12'!$A$16</f>
        <v>0</v>
      </c>
      <c r="G401" s="64">
        <f>'Jul 12'!$F$16</f>
        <v>0</v>
      </c>
      <c r="H401" s="64">
        <f>'Jul 12'!$G$16</f>
        <v>0</v>
      </c>
      <c r="I401" s="64" t="str">
        <f>'Jul 12'!$M$16</f>
        <v/>
      </c>
      <c r="J401" s="25" t="str">
        <f>'Jul 12'!$S$16</f>
        <v/>
      </c>
      <c r="K401" s="23">
        <f>'Jul 12'!$AG$16</f>
        <v>0</v>
      </c>
      <c r="L401" s="23">
        <f>'Jul 12'!$N$16</f>
        <v>0</v>
      </c>
    </row>
    <row r="402" spans="1:12" x14ac:dyDescent="0.25">
      <c r="A402" s="66" t="str">
        <f t="shared" si="6"/>
        <v>✓</v>
      </c>
      <c r="B402" s="67">
        <v>46215</v>
      </c>
      <c r="C402" s="23">
        <f>'Jul 12'!$D$17</f>
        <v>0</v>
      </c>
      <c r="D402" s="23">
        <f>'Jul 12'!$B$17</f>
        <v>0</v>
      </c>
      <c r="E402" s="64">
        <f>'Jul 12'!$E$17</f>
        <v>0</v>
      </c>
      <c r="F402" s="23">
        <f>'Jul 12'!$A$17</f>
        <v>0</v>
      </c>
      <c r="G402" s="64">
        <f>'Jul 12'!$F$17</f>
        <v>0</v>
      </c>
      <c r="H402" s="64">
        <f>'Jul 12'!$G$17</f>
        <v>0</v>
      </c>
      <c r="I402" s="64" t="str">
        <f>'Jul 12'!$M$17</f>
        <v/>
      </c>
      <c r="J402" s="25" t="str">
        <f>'Jul 12'!$S$17</f>
        <v/>
      </c>
      <c r="K402" s="23">
        <f>'Jul 12'!$AG$17</f>
        <v>0</v>
      </c>
      <c r="L402" s="23">
        <f>'Jul 12'!$N$17</f>
        <v>0</v>
      </c>
    </row>
    <row r="403" spans="1:12" x14ac:dyDescent="0.25">
      <c r="A403" s="66" t="str">
        <f t="shared" si="6"/>
        <v>✓</v>
      </c>
      <c r="B403" s="67">
        <v>46215</v>
      </c>
      <c r="C403" s="23">
        <f>'Jul 12'!$D$18</f>
        <v>0</v>
      </c>
      <c r="D403" s="23">
        <f>'Jul 12'!$B$18</f>
        <v>0</v>
      </c>
      <c r="E403" s="64">
        <f>'Jul 12'!$E$18</f>
        <v>0</v>
      </c>
      <c r="F403" s="23">
        <f>'Jul 12'!$A$18</f>
        <v>0</v>
      </c>
      <c r="G403" s="64">
        <f>'Jul 12'!$F$18</f>
        <v>0</v>
      </c>
      <c r="H403" s="64">
        <f>'Jul 12'!$G$18</f>
        <v>0</v>
      </c>
      <c r="I403" s="64" t="str">
        <f>'Jul 12'!$M$18</f>
        <v/>
      </c>
      <c r="J403" s="25" t="str">
        <f>'Jul 12'!$S$18</f>
        <v/>
      </c>
      <c r="K403" s="23">
        <f>'Jul 12'!$AG$18</f>
        <v>0</v>
      </c>
      <c r="L403" s="23">
        <f>'Jul 12'!$N$18</f>
        <v>0</v>
      </c>
    </row>
    <row r="404" spans="1:12" x14ac:dyDescent="0.25">
      <c r="A404" s="66" t="str">
        <f t="shared" si="6"/>
        <v>✓</v>
      </c>
      <c r="B404" s="67">
        <v>46215</v>
      </c>
      <c r="C404" s="23">
        <f>'Jul 12'!$D$19</f>
        <v>0</v>
      </c>
      <c r="D404" s="23">
        <f>'Jul 12'!$B$19</f>
        <v>0</v>
      </c>
      <c r="E404" s="64">
        <f>'Jul 12'!$E$19</f>
        <v>0</v>
      </c>
      <c r="F404" s="23">
        <f>'Jul 12'!$A$19</f>
        <v>0</v>
      </c>
      <c r="G404" s="64">
        <f>'Jul 12'!$F$19</f>
        <v>0</v>
      </c>
      <c r="H404" s="64">
        <f>'Jul 12'!$G$19</f>
        <v>0</v>
      </c>
      <c r="I404" s="64" t="str">
        <f>'Jul 12'!$M$19</f>
        <v/>
      </c>
      <c r="J404" s="25" t="str">
        <f>'Jul 12'!$S$19</f>
        <v/>
      </c>
      <c r="K404" s="23">
        <f>'Jul 12'!$AG$19</f>
        <v>0</v>
      </c>
      <c r="L404" s="23">
        <f>'Jul 12'!$N$19</f>
        <v>0</v>
      </c>
    </row>
    <row r="405" spans="1:12" x14ac:dyDescent="0.25">
      <c r="A405" s="66" t="str">
        <f t="shared" si="6"/>
        <v>✓</v>
      </c>
      <c r="B405" s="67">
        <v>46215</v>
      </c>
      <c r="C405" s="23">
        <f>'Jul 12'!$D$20</f>
        <v>0</v>
      </c>
      <c r="D405" s="23">
        <f>'Jul 12'!$B$20</f>
        <v>0</v>
      </c>
      <c r="E405" s="64">
        <f>'Jul 12'!$E$20</f>
        <v>0</v>
      </c>
      <c r="F405" s="23">
        <f>'Jul 12'!$A$20</f>
        <v>0</v>
      </c>
      <c r="G405" s="64">
        <f>'Jul 12'!$F$20</f>
        <v>0</v>
      </c>
      <c r="H405" s="64">
        <f>'Jul 12'!$G$20</f>
        <v>0</v>
      </c>
      <c r="I405" s="64" t="str">
        <f>'Jul 12'!$M$20</f>
        <v/>
      </c>
      <c r="J405" s="25" t="str">
        <f>'Jul 12'!$S$20</f>
        <v/>
      </c>
      <c r="K405" s="23">
        <f>'Jul 12'!$AG$20</f>
        <v>0</v>
      </c>
      <c r="L405" s="23">
        <f>'Jul 12'!$N$20</f>
        <v>0</v>
      </c>
    </row>
    <row r="406" spans="1:12" x14ac:dyDescent="0.25">
      <c r="A406" s="66" t="str">
        <f t="shared" si="6"/>
        <v>✓</v>
      </c>
      <c r="B406" s="67">
        <v>46215</v>
      </c>
      <c r="C406" s="23">
        <f>'Jul 12'!$D$21</f>
        <v>0</v>
      </c>
      <c r="D406" s="23">
        <f>'Jul 12'!$B$21</f>
        <v>0</v>
      </c>
      <c r="E406" s="64">
        <f>'Jul 12'!$E$21</f>
        <v>0</v>
      </c>
      <c r="F406" s="23">
        <f>'Jul 12'!$A$21</f>
        <v>0</v>
      </c>
      <c r="G406" s="64">
        <f>'Jul 12'!$F$21</f>
        <v>0</v>
      </c>
      <c r="H406" s="64">
        <f>'Jul 12'!$G$21</f>
        <v>0</v>
      </c>
      <c r="I406" s="64" t="str">
        <f>'Jul 12'!$M$21</f>
        <v/>
      </c>
      <c r="J406" s="25" t="str">
        <f>'Jul 12'!$S$21</f>
        <v/>
      </c>
      <c r="K406" s="23">
        <f>'Jul 12'!$AG$21</f>
        <v>0</v>
      </c>
      <c r="L406" s="23">
        <f>'Jul 12'!$N$21</f>
        <v>0</v>
      </c>
    </row>
    <row r="407" spans="1:12" x14ac:dyDescent="0.25">
      <c r="A407" s="66" t="str">
        <f t="shared" si="6"/>
        <v>✓</v>
      </c>
      <c r="B407" s="67">
        <v>46215</v>
      </c>
      <c r="C407" s="23">
        <f>'Jul 12'!$D$22</f>
        <v>0</v>
      </c>
      <c r="D407" s="23">
        <f>'Jul 12'!$B$22</f>
        <v>0</v>
      </c>
      <c r="E407" s="64">
        <f>'Jul 12'!$E$22</f>
        <v>0</v>
      </c>
      <c r="F407" s="23">
        <f>'Jul 12'!$A$22</f>
        <v>0</v>
      </c>
      <c r="G407" s="64">
        <f>'Jul 12'!$F$22</f>
        <v>0</v>
      </c>
      <c r="H407" s="64">
        <f>'Jul 12'!$G$22</f>
        <v>0</v>
      </c>
      <c r="I407" s="64" t="str">
        <f>'Jul 12'!$M$22</f>
        <v/>
      </c>
      <c r="J407" s="25" t="str">
        <f>'Jul 12'!$S$22</f>
        <v/>
      </c>
      <c r="K407" s="23">
        <f>'Jul 12'!$AG$22</f>
        <v>0</v>
      </c>
      <c r="L407" s="23">
        <f>'Jul 12'!$N$22</f>
        <v>0</v>
      </c>
    </row>
    <row r="408" spans="1:12" x14ac:dyDescent="0.25">
      <c r="A408" s="66" t="str">
        <f t="shared" si="6"/>
        <v>✓</v>
      </c>
      <c r="B408" s="67">
        <v>46215</v>
      </c>
      <c r="C408" s="23">
        <f>'Jul 12'!$D$23</f>
        <v>0</v>
      </c>
      <c r="D408" s="23">
        <f>'Jul 12'!$B$23</f>
        <v>0</v>
      </c>
      <c r="E408" s="64">
        <f>'Jul 12'!$E$23</f>
        <v>0</v>
      </c>
      <c r="F408" s="23">
        <f>'Jul 12'!$A$23</f>
        <v>0</v>
      </c>
      <c r="G408" s="64">
        <f>'Jul 12'!$F$23</f>
        <v>0</v>
      </c>
      <c r="H408" s="64">
        <f>'Jul 12'!$G$23</f>
        <v>0</v>
      </c>
      <c r="I408" s="64" t="str">
        <f>'Jul 12'!$M$23</f>
        <v/>
      </c>
      <c r="J408" s="25" t="str">
        <f>'Jul 12'!$S$23</f>
        <v/>
      </c>
      <c r="K408" s="23">
        <f>'Jul 12'!$AG$23</f>
        <v>0</v>
      </c>
      <c r="L408" s="23">
        <f>'Jul 12'!$N$23</f>
        <v>0</v>
      </c>
    </row>
    <row r="409" spans="1:12" x14ac:dyDescent="0.25">
      <c r="A409" s="66" t="str">
        <f t="shared" si="6"/>
        <v>✓</v>
      </c>
      <c r="B409" s="67">
        <v>46215</v>
      </c>
      <c r="C409" s="23">
        <f>'Jul 12'!$D$24</f>
        <v>0</v>
      </c>
      <c r="D409" s="23">
        <f>'Jul 12'!$B$24</f>
        <v>0</v>
      </c>
      <c r="E409" s="64">
        <f>'Jul 12'!$E$24</f>
        <v>0</v>
      </c>
      <c r="F409" s="23">
        <f>'Jul 12'!$A$24</f>
        <v>0</v>
      </c>
      <c r="G409" s="64">
        <f>'Jul 12'!$F$24</f>
        <v>0</v>
      </c>
      <c r="H409" s="64">
        <f>'Jul 12'!$G$24</f>
        <v>0</v>
      </c>
      <c r="I409" s="64" t="str">
        <f>'Jul 12'!$M$24</f>
        <v/>
      </c>
      <c r="J409" s="25" t="str">
        <f>'Jul 12'!$S$24</f>
        <v/>
      </c>
      <c r="K409" s="23">
        <f>'Jul 12'!$AG$24</f>
        <v>0</v>
      </c>
      <c r="L409" s="23">
        <f>'Jul 12'!$N$24</f>
        <v>0</v>
      </c>
    </row>
    <row r="410" spans="1:12" x14ac:dyDescent="0.25">
      <c r="A410" s="66" t="str">
        <f t="shared" si="6"/>
        <v>✓</v>
      </c>
      <c r="B410" s="67">
        <v>46215</v>
      </c>
      <c r="C410" s="23">
        <f>'Jul 12'!$D$25</f>
        <v>0</v>
      </c>
      <c r="D410" s="23">
        <f>'Jul 12'!$B$25</f>
        <v>0</v>
      </c>
      <c r="E410" s="64">
        <f>'Jul 12'!$E$25</f>
        <v>0</v>
      </c>
      <c r="F410" s="23">
        <f>'Jul 12'!$A$25</f>
        <v>0</v>
      </c>
      <c r="G410" s="64">
        <f>'Jul 12'!$F$25</f>
        <v>0</v>
      </c>
      <c r="H410" s="64">
        <f>'Jul 12'!$G$25</f>
        <v>0</v>
      </c>
      <c r="I410" s="64" t="str">
        <f>'Jul 12'!$M$25</f>
        <v/>
      </c>
      <c r="J410" s="25" t="str">
        <f>'Jul 12'!$S$25</f>
        <v/>
      </c>
      <c r="K410" s="23">
        <f>'Jul 12'!$AG$25</f>
        <v>0</v>
      </c>
      <c r="L410" s="23">
        <f>'Jul 12'!$N$25</f>
        <v>0</v>
      </c>
    </row>
    <row r="411" spans="1:12" x14ac:dyDescent="0.25">
      <c r="A411" s="66" t="str">
        <f t="shared" si="6"/>
        <v>✓</v>
      </c>
      <c r="B411" s="67">
        <v>46215</v>
      </c>
      <c r="C411" s="23">
        <f>'Jul 12'!$D$26</f>
        <v>0</v>
      </c>
      <c r="D411" s="23">
        <f>'Jul 12'!$B$26</f>
        <v>0</v>
      </c>
      <c r="E411" s="64">
        <f>'Jul 12'!$E$26</f>
        <v>0</v>
      </c>
      <c r="F411" s="23">
        <f>'Jul 12'!$A$26</f>
        <v>0</v>
      </c>
      <c r="G411" s="64">
        <f>'Jul 12'!$F$26</f>
        <v>0</v>
      </c>
      <c r="H411" s="64">
        <f>'Jul 12'!$G$26</f>
        <v>0</v>
      </c>
      <c r="I411" s="64" t="str">
        <f>'Jul 12'!$M$26</f>
        <v/>
      </c>
      <c r="J411" s="25" t="str">
        <f>'Jul 12'!$S$26</f>
        <v/>
      </c>
      <c r="K411" s="23">
        <f>'Jul 12'!$AG$26</f>
        <v>0</v>
      </c>
      <c r="L411" s="23">
        <f>'Jul 12'!$N$26</f>
        <v>0</v>
      </c>
    </row>
    <row r="412" spans="1:12" x14ac:dyDescent="0.25">
      <c r="A412" s="66" t="str">
        <f t="shared" si="6"/>
        <v>✓</v>
      </c>
      <c r="B412" s="67">
        <v>46215</v>
      </c>
      <c r="C412" s="23">
        <f>'Jul 12'!$D$27</f>
        <v>0</v>
      </c>
      <c r="D412" s="23">
        <f>'Jul 12'!$B$27</f>
        <v>0</v>
      </c>
      <c r="E412" s="64">
        <f>'Jul 12'!$E$27</f>
        <v>0</v>
      </c>
      <c r="F412" s="23">
        <f>'Jul 12'!$A$27</f>
        <v>0</v>
      </c>
      <c r="G412" s="64">
        <f>'Jul 12'!$F$27</f>
        <v>0</v>
      </c>
      <c r="H412" s="64">
        <f>'Jul 12'!$G$27</f>
        <v>0</v>
      </c>
      <c r="I412" s="64" t="str">
        <f>'Jul 12'!$M$27</f>
        <v/>
      </c>
      <c r="J412" s="25" t="str">
        <f>'Jul 12'!$S$27</f>
        <v/>
      </c>
      <c r="K412" s="23">
        <f>'Jul 12'!$AG$27</f>
        <v>0</v>
      </c>
      <c r="L412" s="23">
        <f>'Jul 12'!$N$27</f>
        <v>0</v>
      </c>
    </row>
    <row r="413" spans="1:12" x14ac:dyDescent="0.25">
      <c r="A413" s="66" t="str">
        <f t="shared" si="6"/>
        <v>✓</v>
      </c>
      <c r="B413" s="67">
        <v>46215</v>
      </c>
      <c r="C413" s="23">
        <f>'Jul 12'!$D$28</f>
        <v>0</v>
      </c>
      <c r="D413" s="23">
        <f>'Jul 12'!$B$28</f>
        <v>0</v>
      </c>
      <c r="E413" s="64">
        <f>'Jul 12'!$E$28</f>
        <v>0</v>
      </c>
      <c r="F413" s="23">
        <f>'Jul 12'!$A$28</f>
        <v>0</v>
      </c>
      <c r="G413" s="64">
        <f>'Jul 12'!$F$28</f>
        <v>0</v>
      </c>
      <c r="H413" s="64">
        <f>'Jul 12'!$G$28</f>
        <v>0</v>
      </c>
      <c r="I413" s="64" t="str">
        <f>'Jul 12'!$M$28</f>
        <v/>
      </c>
      <c r="J413" s="25" t="str">
        <f>'Jul 12'!$S$28</f>
        <v/>
      </c>
      <c r="K413" s="23">
        <f>'Jul 12'!$AG$28</f>
        <v>0</v>
      </c>
      <c r="L413" s="23">
        <f>'Jul 12'!$N$28</f>
        <v>0</v>
      </c>
    </row>
    <row r="414" spans="1:12" x14ac:dyDescent="0.25">
      <c r="A414" s="66" t="str">
        <f t="shared" si="6"/>
        <v>✓</v>
      </c>
      <c r="B414" s="67">
        <v>46215</v>
      </c>
      <c r="C414" s="23">
        <f>'Jul 12'!$D$29</f>
        <v>0</v>
      </c>
      <c r="D414" s="23">
        <f>'Jul 12'!$B$29</f>
        <v>0</v>
      </c>
      <c r="E414" s="64">
        <f>'Jul 12'!$E$29</f>
        <v>0</v>
      </c>
      <c r="F414" s="23">
        <f>'Jul 12'!$A$29</f>
        <v>0</v>
      </c>
      <c r="G414" s="64">
        <f>'Jul 12'!$F$29</f>
        <v>0</v>
      </c>
      <c r="H414" s="64">
        <f>'Jul 12'!$G$29</f>
        <v>0</v>
      </c>
      <c r="I414" s="64" t="str">
        <f>'Jul 12'!$M$29</f>
        <v/>
      </c>
      <c r="J414" s="25" t="str">
        <f>'Jul 12'!$S$29</f>
        <v/>
      </c>
      <c r="K414" s="23">
        <f>'Jul 12'!$AG$29</f>
        <v>0</v>
      </c>
      <c r="L414" s="23">
        <f>'Jul 12'!$N$29</f>
        <v>0</v>
      </c>
    </row>
    <row r="415" spans="1:12" x14ac:dyDescent="0.25">
      <c r="A415" s="66" t="str">
        <f t="shared" si="6"/>
        <v>✓</v>
      </c>
      <c r="B415" s="67">
        <v>46215</v>
      </c>
      <c r="C415" s="23">
        <f>'Jul 12'!$D$30</f>
        <v>0</v>
      </c>
      <c r="D415" s="23">
        <f>'Jul 12'!$B$30</f>
        <v>0</v>
      </c>
      <c r="E415" s="64">
        <f>'Jul 12'!$E$30</f>
        <v>0</v>
      </c>
      <c r="F415" s="23">
        <f>'Jul 12'!$A$30</f>
        <v>0</v>
      </c>
      <c r="G415" s="64">
        <f>'Jul 12'!$F$30</f>
        <v>0</v>
      </c>
      <c r="H415" s="64">
        <f>'Jul 12'!$G$30</f>
        <v>0</v>
      </c>
      <c r="I415" s="64" t="str">
        <f>'Jul 12'!$M$30</f>
        <v/>
      </c>
      <c r="J415" s="25" t="str">
        <f>'Jul 12'!$S$30</f>
        <v/>
      </c>
      <c r="K415" s="23">
        <f>'Jul 12'!$AG$30</f>
        <v>0</v>
      </c>
      <c r="L415" s="23">
        <f>'Jul 12'!$N$30</f>
        <v>0</v>
      </c>
    </row>
    <row r="416" spans="1:12" x14ac:dyDescent="0.25">
      <c r="A416" s="66" t="str">
        <f t="shared" si="6"/>
        <v>✓</v>
      </c>
      <c r="B416" s="67">
        <v>46215</v>
      </c>
      <c r="C416" s="23">
        <f>'Jul 12'!$D$31</f>
        <v>0</v>
      </c>
      <c r="D416" s="23">
        <f>'Jul 12'!$B$31</f>
        <v>0</v>
      </c>
      <c r="E416" s="64">
        <f>'Jul 12'!$E$31</f>
        <v>0</v>
      </c>
      <c r="F416" s="23">
        <f>'Jul 12'!$A$31</f>
        <v>0</v>
      </c>
      <c r="G416" s="64">
        <f>'Jul 12'!$F$31</f>
        <v>0</v>
      </c>
      <c r="H416" s="64">
        <f>'Jul 12'!$G$31</f>
        <v>0</v>
      </c>
      <c r="I416" s="64" t="str">
        <f>'Jul 12'!$M$31</f>
        <v/>
      </c>
      <c r="J416" s="25" t="str">
        <f>'Jul 12'!$S$31</f>
        <v/>
      </c>
      <c r="K416" s="23">
        <f>'Jul 12'!$AG$31</f>
        <v>0</v>
      </c>
      <c r="L416" s="23">
        <f>'Jul 12'!$N$31</f>
        <v>0</v>
      </c>
    </row>
    <row r="417" spans="1:12" x14ac:dyDescent="0.25">
      <c r="A417" s="66" t="str">
        <f t="shared" si="6"/>
        <v>✓</v>
      </c>
      <c r="B417" s="67">
        <v>46215</v>
      </c>
      <c r="C417" s="23">
        <f>'Jul 12'!$D$32</f>
        <v>0</v>
      </c>
      <c r="D417" s="23">
        <f>'Jul 12'!$B$32</f>
        <v>0</v>
      </c>
      <c r="E417" s="64">
        <f>'Jul 12'!$E$32</f>
        <v>0</v>
      </c>
      <c r="F417" s="23">
        <f>'Jul 12'!$A$32</f>
        <v>0</v>
      </c>
      <c r="G417" s="64">
        <f>'Jul 12'!$F$32</f>
        <v>0</v>
      </c>
      <c r="H417" s="64">
        <f>'Jul 12'!$G$32</f>
        <v>0</v>
      </c>
      <c r="I417" s="64" t="str">
        <f>'Jul 12'!$M$32</f>
        <v/>
      </c>
      <c r="J417" s="25" t="str">
        <f>'Jul 12'!$S$32</f>
        <v/>
      </c>
      <c r="K417" s="23">
        <f>'Jul 12'!$AG$32</f>
        <v>0</v>
      </c>
      <c r="L417" s="23">
        <f>'Jul 12'!$N$32</f>
        <v>0</v>
      </c>
    </row>
    <row r="418" spans="1:12" x14ac:dyDescent="0.25">
      <c r="A418" s="66" t="str">
        <f t="shared" si="6"/>
        <v>✓</v>
      </c>
      <c r="B418" s="67">
        <v>46215</v>
      </c>
      <c r="C418" s="23">
        <f>'Jul 12'!$D$33</f>
        <v>0</v>
      </c>
      <c r="D418" s="23">
        <f>'Jul 12'!$B$33</f>
        <v>0</v>
      </c>
      <c r="E418" s="64">
        <f>'Jul 12'!$E$33</f>
        <v>0</v>
      </c>
      <c r="F418" s="23">
        <f>'Jul 12'!$A$33</f>
        <v>0</v>
      </c>
      <c r="G418" s="64">
        <f>'Jul 12'!$F$33</f>
        <v>0</v>
      </c>
      <c r="H418" s="64">
        <f>'Jul 12'!$G$33</f>
        <v>0</v>
      </c>
      <c r="I418" s="64" t="str">
        <f>'Jul 12'!$M$33</f>
        <v/>
      </c>
      <c r="J418" s="25" t="str">
        <f>'Jul 12'!$S$33</f>
        <v/>
      </c>
      <c r="K418" s="23">
        <f>'Jul 12'!$AG$33</f>
        <v>0</v>
      </c>
      <c r="L418" s="23">
        <f>'Jul 12'!$N$33</f>
        <v>0</v>
      </c>
    </row>
    <row r="419" spans="1:12" x14ac:dyDescent="0.25">
      <c r="A419" s="66" t="str">
        <f t="shared" si="6"/>
        <v>✓</v>
      </c>
      <c r="B419" s="67">
        <v>46215</v>
      </c>
      <c r="C419" s="23">
        <f>'Jul 12'!$D$34</f>
        <v>0</v>
      </c>
      <c r="D419" s="23">
        <f>'Jul 12'!$B$34</f>
        <v>0</v>
      </c>
      <c r="E419" s="64">
        <f>'Jul 12'!$E$34</f>
        <v>0</v>
      </c>
      <c r="F419" s="23">
        <f>'Jul 12'!$A$34</f>
        <v>0</v>
      </c>
      <c r="G419" s="64">
        <f>'Jul 12'!$F$34</f>
        <v>0</v>
      </c>
      <c r="H419" s="64">
        <f>'Jul 12'!$G$34</f>
        <v>0</v>
      </c>
      <c r="I419" s="64" t="str">
        <f>'Jul 12'!$M$34</f>
        <v/>
      </c>
      <c r="J419" s="25" t="str">
        <f>'Jul 12'!$S$34</f>
        <v/>
      </c>
      <c r="K419" s="23">
        <f>'Jul 12'!$AG$34</f>
        <v>0</v>
      </c>
      <c r="L419" s="23">
        <f>'Jul 12'!$N$34</f>
        <v>0</v>
      </c>
    </row>
    <row r="420" spans="1:12" x14ac:dyDescent="0.25">
      <c r="A420" s="66" t="str">
        <f t="shared" si="6"/>
        <v>✓</v>
      </c>
      <c r="B420" s="67">
        <v>46215</v>
      </c>
      <c r="C420" s="23">
        <f>'Jul 12'!$D$35</f>
        <v>0</v>
      </c>
      <c r="D420" s="23">
        <f>'Jul 12'!$B$35</f>
        <v>0</v>
      </c>
      <c r="E420" s="64">
        <f>'Jul 12'!$E$35</f>
        <v>0</v>
      </c>
      <c r="F420" s="23">
        <f>'Jul 12'!$A$35</f>
        <v>0</v>
      </c>
      <c r="G420" s="64">
        <f>'Jul 12'!$F$35</f>
        <v>0</v>
      </c>
      <c r="H420" s="64">
        <f>'Jul 12'!$G$35</f>
        <v>0</v>
      </c>
      <c r="I420" s="64" t="str">
        <f>'Jul 12'!$M$35</f>
        <v/>
      </c>
      <c r="J420" s="25" t="str">
        <f>'Jul 12'!$S$35</f>
        <v/>
      </c>
      <c r="K420" s="23">
        <f>'Jul 12'!$AG$35</f>
        <v>0</v>
      </c>
      <c r="L420" s="23">
        <f>'Jul 12'!$N$35</f>
        <v>0</v>
      </c>
    </row>
    <row r="421" spans="1:12" x14ac:dyDescent="0.25">
      <c r="A421" s="66" t="str">
        <f t="shared" si="6"/>
        <v>✓</v>
      </c>
      <c r="B421" s="67">
        <v>46215</v>
      </c>
      <c r="C421" s="23">
        <f>'Jul 12'!$D$36</f>
        <v>0</v>
      </c>
      <c r="D421" s="23">
        <f>'Jul 12'!$B$36</f>
        <v>0</v>
      </c>
      <c r="E421" s="64">
        <f>'Jul 12'!$E$36</f>
        <v>0</v>
      </c>
      <c r="F421" s="23">
        <f>'Jul 12'!$A$36</f>
        <v>0</v>
      </c>
      <c r="G421" s="64">
        <f>'Jul 12'!$F$36</f>
        <v>0</v>
      </c>
      <c r="H421" s="64">
        <f>'Jul 12'!$G$36</f>
        <v>0</v>
      </c>
      <c r="I421" s="64" t="str">
        <f>'Jul 12'!$M$36</f>
        <v/>
      </c>
      <c r="J421" s="25" t="str">
        <f>'Jul 12'!$S$36</f>
        <v/>
      </c>
      <c r="K421" s="23">
        <f>'Jul 12'!$AG$36</f>
        <v>0</v>
      </c>
      <c r="L421" s="23">
        <f>'Jul 12'!$N$36</f>
        <v>0</v>
      </c>
    </row>
    <row r="422" spans="1:12" x14ac:dyDescent="0.25">
      <c r="A422" s="66" t="str">
        <f t="shared" si="6"/>
        <v>✓</v>
      </c>
      <c r="B422" s="67">
        <v>46215</v>
      </c>
      <c r="C422" s="23">
        <f>'Jul 12'!$D$37</f>
        <v>0</v>
      </c>
      <c r="D422" s="23">
        <f>'Jul 12'!$B$37</f>
        <v>0</v>
      </c>
      <c r="E422" s="64">
        <f>'Jul 12'!$E$37</f>
        <v>0</v>
      </c>
      <c r="F422" s="23">
        <f>'Jul 12'!$A$37</f>
        <v>0</v>
      </c>
      <c r="G422" s="64">
        <f>'Jul 12'!$F$37</f>
        <v>0</v>
      </c>
      <c r="H422" s="64">
        <f>'Jul 12'!$G$37</f>
        <v>0</v>
      </c>
      <c r="I422" s="64" t="str">
        <f>'Jul 12'!$M$37</f>
        <v/>
      </c>
      <c r="J422" s="25" t="str">
        <f>'Jul 12'!$S$37</f>
        <v/>
      </c>
      <c r="K422" s="23">
        <f>'Jul 12'!$AG$37</f>
        <v>0</v>
      </c>
      <c r="L422" s="23">
        <f>'Jul 12'!$N$37</f>
        <v>0</v>
      </c>
    </row>
    <row r="423" spans="1:12" x14ac:dyDescent="0.25">
      <c r="A423" s="66" t="str">
        <f t="shared" si="6"/>
        <v>✓</v>
      </c>
      <c r="B423" s="67">
        <v>46215</v>
      </c>
      <c r="C423" s="23">
        <f>'Jul 12'!$D$38</f>
        <v>0</v>
      </c>
      <c r="D423" s="23">
        <f>'Jul 12'!$B$38</f>
        <v>0</v>
      </c>
      <c r="E423" s="64">
        <f>'Jul 12'!$E$38</f>
        <v>0</v>
      </c>
      <c r="F423" s="23">
        <f>'Jul 12'!$A$38</f>
        <v>0</v>
      </c>
      <c r="G423" s="64">
        <f>'Jul 12'!$F$38</f>
        <v>0</v>
      </c>
      <c r="H423" s="64">
        <f>'Jul 12'!$G$38</f>
        <v>0</v>
      </c>
      <c r="I423" s="64" t="str">
        <f>'Jul 12'!$M$38</f>
        <v/>
      </c>
      <c r="J423" s="25" t="str">
        <f>'Jul 12'!$S$38</f>
        <v/>
      </c>
      <c r="K423" s="23">
        <f>'Jul 12'!$AG$38</f>
        <v>0</v>
      </c>
      <c r="L423" s="23">
        <f>'Jul 12'!$N$38</f>
        <v>0</v>
      </c>
    </row>
    <row r="424" spans="1:12" x14ac:dyDescent="0.25">
      <c r="A424" s="66" t="str">
        <f t="shared" si="6"/>
        <v>✓</v>
      </c>
      <c r="B424" s="67">
        <v>46215</v>
      </c>
      <c r="C424" s="23">
        <f>'Jul 12'!$D$39</f>
        <v>0</v>
      </c>
      <c r="D424" s="23">
        <f>'Jul 12'!$B$39</f>
        <v>0</v>
      </c>
      <c r="E424" s="64">
        <f>'Jul 12'!$E$39</f>
        <v>0</v>
      </c>
      <c r="F424" s="23">
        <f>'Jul 12'!$A$39</f>
        <v>0</v>
      </c>
      <c r="G424" s="64">
        <f>'Jul 12'!$F$39</f>
        <v>0</v>
      </c>
      <c r="H424" s="64">
        <f>'Jul 12'!$G$39</f>
        <v>0</v>
      </c>
      <c r="I424" s="64" t="str">
        <f>'Jul 12'!$M$39</f>
        <v/>
      </c>
      <c r="J424" s="25" t="str">
        <f>'Jul 12'!$S$39</f>
        <v/>
      </c>
      <c r="K424" s="23">
        <f>'Jul 12'!$AG$39</f>
        <v>0</v>
      </c>
      <c r="L424" s="23">
        <f>'Jul 12'!$N$39</f>
        <v>0</v>
      </c>
    </row>
    <row r="425" spans="1:12" x14ac:dyDescent="0.25">
      <c r="A425" s="66" t="str">
        <f t="shared" si="6"/>
        <v>✓</v>
      </c>
      <c r="B425" s="67">
        <v>46215</v>
      </c>
      <c r="C425" s="23">
        <f>'Jul 12'!$D$40</f>
        <v>0</v>
      </c>
      <c r="D425" s="23">
        <f>'Jul 12'!$B$40</f>
        <v>0</v>
      </c>
      <c r="E425" s="64">
        <f>'Jul 12'!$E$40</f>
        <v>0</v>
      </c>
      <c r="F425" s="23">
        <f>'Jul 12'!$A$40</f>
        <v>0</v>
      </c>
      <c r="G425" s="64">
        <f>'Jul 12'!$F$40</f>
        <v>0</v>
      </c>
      <c r="H425" s="64">
        <f>'Jul 12'!$G$40</f>
        <v>0</v>
      </c>
      <c r="I425" s="64" t="str">
        <f>'Jul 12'!$M$40</f>
        <v/>
      </c>
      <c r="J425" s="25" t="str">
        <f>'Jul 12'!$S$40</f>
        <v/>
      </c>
      <c r="K425" s="23">
        <f>'Jul 12'!$AG$40</f>
        <v>0</v>
      </c>
      <c r="L425" s="23">
        <f>'Jul 12'!$N$40</f>
        <v>0</v>
      </c>
    </row>
    <row r="426" spans="1:12" x14ac:dyDescent="0.25">
      <c r="A426" s="66" t="str">
        <f t="shared" si="6"/>
        <v>✓</v>
      </c>
      <c r="B426" s="67">
        <v>46215</v>
      </c>
      <c r="C426" s="23">
        <f>'Jul 12'!$D$41</f>
        <v>0</v>
      </c>
      <c r="D426" s="23">
        <f>'Jul 12'!$B$41</f>
        <v>0</v>
      </c>
      <c r="E426" s="64">
        <f>'Jul 12'!$E$41</f>
        <v>0</v>
      </c>
      <c r="F426" s="23">
        <f>'Jul 12'!$A$41</f>
        <v>0</v>
      </c>
      <c r="G426" s="64">
        <f>'Jul 12'!$F$41</f>
        <v>0</v>
      </c>
      <c r="H426" s="64">
        <f>'Jul 12'!$G$41</f>
        <v>0</v>
      </c>
      <c r="I426" s="64" t="str">
        <f>'Jul 12'!$M$41</f>
        <v/>
      </c>
      <c r="J426" s="25" t="str">
        <f>'Jul 12'!$S$41</f>
        <v/>
      </c>
      <c r="K426" s="23">
        <f>'Jul 12'!$AG$41</f>
        <v>0</v>
      </c>
      <c r="L426" s="23">
        <f>'Jul 12'!$N$41</f>
        <v>0</v>
      </c>
    </row>
    <row r="427" spans="1:12" x14ac:dyDescent="0.25">
      <c r="A427" s="66" t="str">
        <f t="shared" si="6"/>
        <v>✓</v>
      </c>
      <c r="B427" s="67">
        <v>46215</v>
      </c>
      <c r="C427" s="23">
        <f>'Jul 12'!$D$42</f>
        <v>0</v>
      </c>
      <c r="D427" s="23">
        <f>'Jul 12'!$B$42</f>
        <v>0</v>
      </c>
      <c r="E427" s="64">
        <f>'Jul 12'!$E$42</f>
        <v>0</v>
      </c>
      <c r="F427" s="23">
        <f>'Jul 12'!$A$42</f>
        <v>0</v>
      </c>
      <c r="G427" s="64">
        <f>'Jul 12'!$F$42</f>
        <v>0</v>
      </c>
      <c r="H427" s="64">
        <f>'Jul 12'!$G$42</f>
        <v>0</v>
      </c>
      <c r="I427" s="64" t="str">
        <f>'Jul 12'!$M$42</f>
        <v/>
      </c>
      <c r="J427" s="25" t="str">
        <f>'Jul 12'!$S$42</f>
        <v/>
      </c>
      <c r="K427" s="23">
        <f>'Jul 12'!$AG$42</f>
        <v>0</v>
      </c>
      <c r="L427" s="23">
        <f>'Jul 12'!$N$42</f>
        <v>0</v>
      </c>
    </row>
    <row r="428" spans="1:12" x14ac:dyDescent="0.25">
      <c r="A428" s="66" t="str">
        <f t="shared" si="6"/>
        <v>✓</v>
      </c>
      <c r="B428" s="67">
        <v>46216</v>
      </c>
      <c r="C428" s="23">
        <f>'Jul 13'!$D$8</f>
        <v>0</v>
      </c>
      <c r="D428" s="23">
        <f>'Jul 13'!$B$8</f>
        <v>0</v>
      </c>
      <c r="E428" s="64">
        <f>'Jul 13'!$E$8</f>
        <v>0</v>
      </c>
      <c r="F428" s="23">
        <f>'Jul 13'!$A$8</f>
        <v>0</v>
      </c>
      <c r="G428" s="64">
        <f>'Jul 13'!$F$8</f>
        <v>0</v>
      </c>
      <c r="H428" s="64">
        <f>'Jul 13'!$G$8</f>
        <v>0</v>
      </c>
      <c r="I428" s="64" t="str">
        <f>'Jul 13'!$M$8</f>
        <v/>
      </c>
      <c r="J428" s="25" t="str">
        <f>'Jul 13'!$S$8</f>
        <v/>
      </c>
      <c r="K428" s="23">
        <f>'Jul 13'!$AG$8</f>
        <v>0</v>
      </c>
      <c r="L428" s="23">
        <f>'Jul 13'!$N$8</f>
        <v>0</v>
      </c>
    </row>
    <row r="429" spans="1:12" x14ac:dyDescent="0.25">
      <c r="A429" s="66" t="str">
        <f t="shared" si="6"/>
        <v>✓</v>
      </c>
      <c r="B429" s="67">
        <v>46216</v>
      </c>
      <c r="C429" s="23">
        <f>'Jul 13'!$D$9</f>
        <v>0</v>
      </c>
      <c r="D429" s="23">
        <f>'Jul 13'!$B$9</f>
        <v>0</v>
      </c>
      <c r="E429" s="64">
        <f>'Jul 13'!$E$9</f>
        <v>0</v>
      </c>
      <c r="F429" s="23">
        <f>'Jul 13'!$A$9</f>
        <v>0</v>
      </c>
      <c r="G429" s="64">
        <f>'Jul 13'!$F$9</f>
        <v>0</v>
      </c>
      <c r="H429" s="64">
        <f>'Jul 13'!$G$9</f>
        <v>0</v>
      </c>
      <c r="I429" s="64" t="str">
        <f>'Jul 13'!$M$9</f>
        <v/>
      </c>
      <c r="J429" s="25" t="str">
        <f>'Jul 13'!$S$9</f>
        <v/>
      </c>
      <c r="K429" s="23">
        <f>'Jul 13'!$AG$9</f>
        <v>0</v>
      </c>
      <c r="L429" s="23">
        <f>'Jul 13'!$N$9</f>
        <v>0</v>
      </c>
    </row>
    <row r="430" spans="1:12" x14ac:dyDescent="0.25">
      <c r="A430" s="66" t="str">
        <f t="shared" si="6"/>
        <v>✓</v>
      </c>
      <c r="B430" s="67">
        <v>46216</v>
      </c>
      <c r="C430" s="23">
        <f>'Jul 13'!$D$10</f>
        <v>0</v>
      </c>
      <c r="D430" s="23">
        <f>'Jul 13'!$B$10</f>
        <v>0</v>
      </c>
      <c r="E430" s="64">
        <f>'Jul 13'!$E$10</f>
        <v>0</v>
      </c>
      <c r="F430" s="23">
        <f>'Jul 13'!$A$10</f>
        <v>0</v>
      </c>
      <c r="G430" s="64">
        <f>'Jul 13'!$F$10</f>
        <v>0</v>
      </c>
      <c r="H430" s="64">
        <f>'Jul 13'!$G$10</f>
        <v>0</v>
      </c>
      <c r="I430" s="64" t="str">
        <f>'Jul 13'!$M$10</f>
        <v/>
      </c>
      <c r="J430" s="25" t="str">
        <f>'Jul 13'!$S$10</f>
        <v/>
      </c>
      <c r="K430" s="23">
        <f>'Jul 13'!$AG$10</f>
        <v>0</v>
      </c>
      <c r="L430" s="23">
        <f>'Jul 13'!$N$10</f>
        <v>0</v>
      </c>
    </row>
    <row r="431" spans="1:12" x14ac:dyDescent="0.25">
      <c r="A431" s="66" t="str">
        <f t="shared" si="6"/>
        <v>✓</v>
      </c>
      <c r="B431" s="67">
        <v>46216</v>
      </c>
      <c r="C431" s="23">
        <f>'Jul 13'!$D$11</f>
        <v>0</v>
      </c>
      <c r="D431" s="23">
        <f>'Jul 13'!$B$11</f>
        <v>0</v>
      </c>
      <c r="E431" s="64">
        <f>'Jul 13'!$E$11</f>
        <v>0</v>
      </c>
      <c r="F431" s="23">
        <f>'Jul 13'!$A$11</f>
        <v>0</v>
      </c>
      <c r="G431" s="64">
        <f>'Jul 13'!$F$11</f>
        <v>0</v>
      </c>
      <c r="H431" s="64">
        <f>'Jul 13'!$G$11</f>
        <v>0</v>
      </c>
      <c r="I431" s="64" t="str">
        <f>'Jul 13'!$M$11</f>
        <v/>
      </c>
      <c r="J431" s="25" t="str">
        <f>'Jul 13'!$S$11</f>
        <v/>
      </c>
      <c r="K431" s="23">
        <f>'Jul 13'!$AG$11</f>
        <v>0</v>
      </c>
      <c r="L431" s="23">
        <f>'Jul 13'!$N$11</f>
        <v>0</v>
      </c>
    </row>
    <row r="432" spans="1:12" x14ac:dyDescent="0.25">
      <c r="A432" s="66" t="str">
        <f t="shared" si="6"/>
        <v>✓</v>
      </c>
      <c r="B432" s="67">
        <v>46216</v>
      </c>
      <c r="C432" s="23">
        <f>'Jul 13'!$D$12</f>
        <v>0</v>
      </c>
      <c r="D432" s="23">
        <f>'Jul 13'!$B$12</f>
        <v>0</v>
      </c>
      <c r="E432" s="64">
        <f>'Jul 13'!$E$12</f>
        <v>0</v>
      </c>
      <c r="F432" s="23">
        <f>'Jul 13'!$A$12</f>
        <v>0</v>
      </c>
      <c r="G432" s="64">
        <f>'Jul 13'!$F$12</f>
        <v>0</v>
      </c>
      <c r="H432" s="64">
        <f>'Jul 13'!$G$12</f>
        <v>0</v>
      </c>
      <c r="I432" s="64" t="str">
        <f>'Jul 13'!$M$12</f>
        <v/>
      </c>
      <c r="J432" s="25" t="str">
        <f>'Jul 13'!$S$12</f>
        <v/>
      </c>
      <c r="K432" s="23">
        <f>'Jul 13'!$AG$12</f>
        <v>0</v>
      </c>
      <c r="L432" s="23">
        <f>'Jul 13'!$N$12</f>
        <v>0</v>
      </c>
    </row>
    <row r="433" spans="1:12" x14ac:dyDescent="0.25">
      <c r="A433" s="66" t="str">
        <f t="shared" si="6"/>
        <v>✓</v>
      </c>
      <c r="B433" s="67">
        <v>46216</v>
      </c>
      <c r="C433" s="23">
        <f>'Jul 13'!$D$13</f>
        <v>0</v>
      </c>
      <c r="D433" s="23">
        <f>'Jul 13'!$B$13</f>
        <v>0</v>
      </c>
      <c r="E433" s="64">
        <f>'Jul 13'!$E$13</f>
        <v>0</v>
      </c>
      <c r="F433" s="23">
        <f>'Jul 13'!$A$13</f>
        <v>0</v>
      </c>
      <c r="G433" s="64">
        <f>'Jul 13'!$F$13</f>
        <v>0</v>
      </c>
      <c r="H433" s="64">
        <f>'Jul 13'!$G$13</f>
        <v>0</v>
      </c>
      <c r="I433" s="64" t="str">
        <f>'Jul 13'!$M$13</f>
        <v/>
      </c>
      <c r="J433" s="25" t="str">
        <f>'Jul 13'!$S$13</f>
        <v/>
      </c>
      <c r="K433" s="23">
        <f>'Jul 13'!$AG$13</f>
        <v>0</v>
      </c>
      <c r="L433" s="23">
        <f>'Jul 13'!$N$13</f>
        <v>0</v>
      </c>
    </row>
    <row r="434" spans="1:12" x14ac:dyDescent="0.25">
      <c r="A434" s="66" t="str">
        <f t="shared" si="6"/>
        <v>✓</v>
      </c>
      <c r="B434" s="67">
        <v>46216</v>
      </c>
      <c r="C434" s="23">
        <f>'Jul 13'!$D$14</f>
        <v>0</v>
      </c>
      <c r="D434" s="23">
        <f>'Jul 13'!$B$14</f>
        <v>0</v>
      </c>
      <c r="E434" s="64">
        <f>'Jul 13'!$E$14</f>
        <v>0</v>
      </c>
      <c r="F434" s="23">
        <f>'Jul 13'!$A$14</f>
        <v>0</v>
      </c>
      <c r="G434" s="64">
        <f>'Jul 13'!$F$14</f>
        <v>0</v>
      </c>
      <c r="H434" s="64">
        <f>'Jul 13'!$G$14</f>
        <v>0</v>
      </c>
      <c r="I434" s="64" t="str">
        <f>'Jul 13'!$M$14</f>
        <v/>
      </c>
      <c r="J434" s="25" t="str">
        <f>'Jul 13'!$S$14</f>
        <v/>
      </c>
      <c r="K434" s="23">
        <f>'Jul 13'!$AG$14</f>
        <v>0</v>
      </c>
      <c r="L434" s="23">
        <f>'Jul 13'!$N$14</f>
        <v>0</v>
      </c>
    </row>
    <row r="435" spans="1:12" x14ac:dyDescent="0.25">
      <c r="A435" s="66" t="str">
        <f t="shared" si="6"/>
        <v>✓</v>
      </c>
      <c r="B435" s="67">
        <v>46216</v>
      </c>
      <c r="C435" s="23">
        <f>'Jul 13'!$D$15</f>
        <v>0</v>
      </c>
      <c r="D435" s="23">
        <f>'Jul 13'!$B$15</f>
        <v>0</v>
      </c>
      <c r="E435" s="64">
        <f>'Jul 13'!$E$15</f>
        <v>0</v>
      </c>
      <c r="F435" s="23">
        <f>'Jul 13'!$A$15</f>
        <v>0</v>
      </c>
      <c r="G435" s="64">
        <f>'Jul 13'!$F$15</f>
        <v>0</v>
      </c>
      <c r="H435" s="64">
        <f>'Jul 13'!$G$15</f>
        <v>0</v>
      </c>
      <c r="I435" s="64" t="str">
        <f>'Jul 13'!$M$15</f>
        <v/>
      </c>
      <c r="J435" s="25" t="str">
        <f>'Jul 13'!$S$15</f>
        <v/>
      </c>
      <c r="K435" s="23">
        <f>'Jul 13'!$AG$15</f>
        <v>0</v>
      </c>
      <c r="L435" s="23">
        <f>'Jul 13'!$N$15</f>
        <v>0</v>
      </c>
    </row>
    <row r="436" spans="1:12" x14ac:dyDescent="0.25">
      <c r="A436" s="66" t="str">
        <f t="shared" si="6"/>
        <v>✓</v>
      </c>
      <c r="B436" s="67">
        <v>46216</v>
      </c>
      <c r="C436" s="23">
        <f>'Jul 13'!$D$16</f>
        <v>0</v>
      </c>
      <c r="D436" s="23">
        <f>'Jul 13'!$B$16</f>
        <v>0</v>
      </c>
      <c r="E436" s="64">
        <f>'Jul 13'!$E$16</f>
        <v>0</v>
      </c>
      <c r="F436" s="23">
        <f>'Jul 13'!$A$16</f>
        <v>0</v>
      </c>
      <c r="G436" s="64">
        <f>'Jul 13'!$F$16</f>
        <v>0</v>
      </c>
      <c r="H436" s="64">
        <f>'Jul 13'!$G$16</f>
        <v>0</v>
      </c>
      <c r="I436" s="64" t="str">
        <f>'Jul 13'!$M$16</f>
        <v/>
      </c>
      <c r="J436" s="25" t="str">
        <f>'Jul 13'!$S$16</f>
        <v/>
      </c>
      <c r="K436" s="23">
        <f>'Jul 13'!$AG$16</f>
        <v>0</v>
      </c>
      <c r="L436" s="23">
        <f>'Jul 13'!$N$16</f>
        <v>0</v>
      </c>
    </row>
    <row r="437" spans="1:12" x14ac:dyDescent="0.25">
      <c r="A437" s="66" t="str">
        <f t="shared" si="6"/>
        <v>✓</v>
      </c>
      <c r="B437" s="67">
        <v>46216</v>
      </c>
      <c r="C437" s="23">
        <f>'Jul 13'!$D$17</f>
        <v>0</v>
      </c>
      <c r="D437" s="23">
        <f>'Jul 13'!$B$17</f>
        <v>0</v>
      </c>
      <c r="E437" s="64">
        <f>'Jul 13'!$E$17</f>
        <v>0</v>
      </c>
      <c r="F437" s="23">
        <f>'Jul 13'!$A$17</f>
        <v>0</v>
      </c>
      <c r="G437" s="64">
        <f>'Jul 13'!$F$17</f>
        <v>0</v>
      </c>
      <c r="H437" s="64">
        <f>'Jul 13'!$G$17</f>
        <v>0</v>
      </c>
      <c r="I437" s="64" t="str">
        <f>'Jul 13'!$M$17</f>
        <v/>
      </c>
      <c r="J437" s="25" t="str">
        <f>'Jul 13'!$S$17</f>
        <v/>
      </c>
      <c r="K437" s="23">
        <f>'Jul 13'!$AG$17</f>
        <v>0</v>
      </c>
      <c r="L437" s="23">
        <f>'Jul 13'!$N$17</f>
        <v>0</v>
      </c>
    </row>
    <row r="438" spans="1:12" x14ac:dyDescent="0.25">
      <c r="A438" s="66" t="str">
        <f t="shared" si="6"/>
        <v>✓</v>
      </c>
      <c r="B438" s="67">
        <v>46216</v>
      </c>
      <c r="C438" s="23">
        <f>'Jul 13'!$D$18</f>
        <v>0</v>
      </c>
      <c r="D438" s="23">
        <f>'Jul 13'!$B$18</f>
        <v>0</v>
      </c>
      <c r="E438" s="64">
        <f>'Jul 13'!$E$18</f>
        <v>0</v>
      </c>
      <c r="F438" s="23">
        <f>'Jul 13'!$A$18</f>
        <v>0</v>
      </c>
      <c r="G438" s="64">
        <f>'Jul 13'!$F$18</f>
        <v>0</v>
      </c>
      <c r="H438" s="64">
        <f>'Jul 13'!$G$18</f>
        <v>0</v>
      </c>
      <c r="I438" s="64" t="str">
        <f>'Jul 13'!$M$18</f>
        <v/>
      </c>
      <c r="J438" s="25" t="str">
        <f>'Jul 13'!$S$18</f>
        <v/>
      </c>
      <c r="K438" s="23">
        <f>'Jul 13'!$AG$18</f>
        <v>0</v>
      </c>
      <c r="L438" s="23">
        <f>'Jul 13'!$N$18</f>
        <v>0</v>
      </c>
    </row>
    <row r="439" spans="1:12" x14ac:dyDescent="0.25">
      <c r="A439" s="66" t="str">
        <f t="shared" si="6"/>
        <v>✓</v>
      </c>
      <c r="B439" s="67">
        <v>46216</v>
      </c>
      <c r="C439" s="23">
        <f>'Jul 13'!$D$19</f>
        <v>0</v>
      </c>
      <c r="D439" s="23">
        <f>'Jul 13'!$B$19</f>
        <v>0</v>
      </c>
      <c r="E439" s="64">
        <f>'Jul 13'!$E$19</f>
        <v>0</v>
      </c>
      <c r="F439" s="23">
        <f>'Jul 13'!$A$19</f>
        <v>0</v>
      </c>
      <c r="G439" s="64">
        <f>'Jul 13'!$F$19</f>
        <v>0</v>
      </c>
      <c r="H439" s="64">
        <f>'Jul 13'!$G$19</f>
        <v>0</v>
      </c>
      <c r="I439" s="64" t="str">
        <f>'Jul 13'!$M$19</f>
        <v/>
      </c>
      <c r="J439" s="25" t="str">
        <f>'Jul 13'!$S$19</f>
        <v/>
      </c>
      <c r="K439" s="23">
        <f>'Jul 13'!$AG$19</f>
        <v>0</v>
      </c>
      <c r="L439" s="23">
        <f>'Jul 13'!$N$19</f>
        <v>0</v>
      </c>
    </row>
    <row r="440" spans="1:12" x14ac:dyDescent="0.25">
      <c r="A440" s="66" t="str">
        <f t="shared" si="6"/>
        <v>✓</v>
      </c>
      <c r="B440" s="67">
        <v>46216</v>
      </c>
      <c r="C440" s="23">
        <f>'Jul 13'!$D$20</f>
        <v>0</v>
      </c>
      <c r="D440" s="23">
        <f>'Jul 13'!$B$20</f>
        <v>0</v>
      </c>
      <c r="E440" s="64">
        <f>'Jul 13'!$E$20</f>
        <v>0</v>
      </c>
      <c r="F440" s="23">
        <f>'Jul 13'!$A$20</f>
        <v>0</v>
      </c>
      <c r="G440" s="64">
        <f>'Jul 13'!$F$20</f>
        <v>0</v>
      </c>
      <c r="H440" s="64">
        <f>'Jul 13'!$G$20</f>
        <v>0</v>
      </c>
      <c r="I440" s="64" t="str">
        <f>'Jul 13'!$M$20</f>
        <v/>
      </c>
      <c r="J440" s="25" t="str">
        <f>'Jul 13'!$S$20</f>
        <v/>
      </c>
      <c r="K440" s="23">
        <f>'Jul 13'!$AG$20</f>
        <v>0</v>
      </c>
      <c r="L440" s="23">
        <f>'Jul 13'!$N$20</f>
        <v>0</v>
      </c>
    </row>
    <row r="441" spans="1:12" x14ac:dyDescent="0.25">
      <c r="A441" s="66" t="str">
        <f t="shared" si="6"/>
        <v>✓</v>
      </c>
      <c r="B441" s="67">
        <v>46216</v>
      </c>
      <c r="C441" s="23">
        <f>'Jul 13'!$D$21</f>
        <v>0</v>
      </c>
      <c r="D441" s="23">
        <f>'Jul 13'!$B$21</f>
        <v>0</v>
      </c>
      <c r="E441" s="64">
        <f>'Jul 13'!$E$21</f>
        <v>0</v>
      </c>
      <c r="F441" s="23">
        <f>'Jul 13'!$A$21</f>
        <v>0</v>
      </c>
      <c r="G441" s="64">
        <f>'Jul 13'!$F$21</f>
        <v>0</v>
      </c>
      <c r="H441" s="64">
        <f>'Jul 13'!$G$21</f>
        <v>0</v>
      </c>
      <c r="I441" s="64" t="str">
        <f>'Jul 13'!$M$21</f>
        <v/>
      </c>
      <c r="J441" s="25" t="str">
        <f>'Jul 13'!$S$21</f>
        <v/>
      </c>
      <c r="K441" s="23">
        <f>'Jul 13'!$AG$21</f>
        <v>0</v>
      </c>
      <c r="L441" s="23">
        <f>'Jul 13'!$N$21</f>
        <v>0</v>
      </c>
    </row>
    <row r="442" spans="1:12" x14ac:dyDescent="0.25">
      <c r="A442" s="66" t="str">
        <f t="shared" si="6"/>
        <v>✓</v>
      </c>
      <c r="B442" s="67">
        <v>46216</v>
      </c>
      <c r="C442" s="23">
        <f>'Jul 13'!$D$22</f>
        <v>0</v>
      </c>
      <c r="D442" s="23">
        <f>'Jul 13'!$B$22</f>
        <v>0</v>
      </c>
      <c r="E442" s="64">
        <f>'Jul 13'!$E$22</f>
        <v>0</v>
      </c>
      <c r="F442" s="23">
        <f>'Jul 13'!$A$22</f>
        <v>0</v>
      </c>
      <c r="G442" s="64">
        <f>'Jul 13'!$F$22</f>
        <v>0</v>
      </c>
      <c r="H442" s="64">
        <f>'Jul 13'!$G$22</f>
        <v>0</v>
      </c>
      <c r="I442" s="64" t="str">
        <f>'Jul 13'!$M$22</f>
        <v/>
      </c>
      <c r="J442" s="25" t="str">
        <f>'Jul 13'!$S$22</f>
        <v/>
      </c>
      <c r="K442" s="23">
        <f>'Jul 13'!$AG$22</f>
        <v>0</v>
      </c>
      <c r="L442" s="23">
        <f>'Jul 13'!$N$22</f>
        <v>0</v>
      </c>
    </row>
    <row r="443" spans="1:12" x14ac:dyDescent="0.25">
      <c r="A443" s="66" t="str">
        <f t="shared" si="6"/>
        <v>✓</v>
      </c>
      <c r="B443" s="67">
        <v>46216</v>
      </c>
      <c r="C443" s="23">
        <f>'Jul 13'!$D$23</f>
        <v>0</v>
      </c>
      <c r="D443" s="23">
        <f>'Jul 13'!$B$23</f>
        <v>0</v>
      </c>
      <c r="E443" s="64">
        <f>'Jul 13'!$E$23</f>
        <v>0</v>
      </c>
      <c r="F443" s="23">
        <f>'Jul 13'!$A$23</f>
        <v>0</v>
      </c>
      <c r="G443" s="64">
        <f>'Jul 13'!$F$23</f>
        <v>0</v>
      </c>
      <c r="H443" s="64">
        <f>'Jul 13'!$G$23</f>
        <v>0</v>
      </c>
      <c r="I443" s="64" t="str">
        <f>'Jul 13'!$M$23</f>
        <v/>
      </c>
      <c r="J443" s="25" t="str">
        <f>'Jul 13'!$S$23</f>
        <v/>
      </c>
      <c r="K443" s="23">
        <f>'Jul 13'!$AG$23</f>
        <v>0</v>
      </c>
      <c r="L443" s="23">
        <f>'Jul 13'!$N$23</f>
        <v>0</v>
      </c>
    </row>
    <row r="444" spans="1:12" x14ac:dyDescent="0.25">
      <c r="A444" s="66" t="str">
        <f t="shared" si="6"/>
        <v>✓</v>
      </c>
      <c r="B444" s="67">
        <v>46216</v>
      </c>
      <c r="C444" s="23">
        <f>'Jul 13'!$D$24</f>
        <v>0</v>
      </c>
      <c r="D444" s="23">
        <f>'Jul 13'!$B$24</f>
        <v>0</v>
      </c>
      <c r="E444" s="64">
        <f>'Jul 13'!$E$24</f>
        <v>0</v>
      </c>
      <c r="F444" s="23">
        <f>'Jul 13'!$A$24</f>
        <v>0</v>
      </c>
      <c r="G444" s="64">
        <f>'Jul 13'!$F$24</f>
        <v>0</v>
      </c>
      <c r="H444" s="64">
        <f>'Jul 13'!$G$24</f>
        <v>0</v>
      </c>
      <c r="I444" s="64" t="str">
        <f>'Jul 13'!$M$24</f>
        <v/>
      </c>
      <c r="J444" s="25" t="str">
        <f>'Jul 13'!$S$24</f>
        <v/>
      </c>
      <c r="K444" s="23">
        <f>'Jul 13'!$AG$24</f>
        <v>0</v>
      </c>
      <c r="L444" s="23">
        <f>'Jul 13'!$N$24</f>
        <v>0</v>
      </c>
    </row>
    <row r="445" spans="1:12" x14ac:dyDescent="0.25">
      <c r="A445" s="66" t="str">
        <f t="shared" si="6"/>
        <v>✓</v>
      </c>
      <c r="B445" s="67">
        <v>46216</v>
      </c>
      <c r="C445" s="23">
        <f>'Jul 13'!$D$25</f>
        <v>0</v>
      </c>
      <c r="D445" s="23">
        <f>'Jul 13'!$B$25</f>
        <v>0</v>
      </c>
      <c r="E445" s="64">
        <f>'Jul 13'!$E$25</f>
        <v>0</v>
      </c>
      <c r="F445" s="23">
        <f>'Jul 13'!$A$25</f>
        <v>0</v>
      </c>
      <c r="G445" s="64">
        <f>'Jul 13'!$F$25</f>
        <v>0</v>
      </c>
      <c r="H445" s="64">
        <f>'Jul 13'!$G$25</f>
        <v>0</v>
      </c>
      <c r="I445" s="64" t="str">
        <f>'Jul 13'!$M$25</f>
        <v/>
      </c>
      <c r="J445" s="25" t="str">
        <f>'Jul 13'!$S$25</f>
        <v/>
      </c>
      <c r="K445" s="23">
        <f>'Jul 13'!$AG$25</f>
        <v>0</v>
      </c>
      <c r="L445" s="23">
        <f>'Jul 13'!$N$25</f>
        <v>0</v>
      </c>
    </row>
    <row r="446" spans="1:12" x14ac:dyDescent="0.25">
      <c r="A446" s="66" t="str">
        <f t="shared" si="6"/>
        <v>✓</v>
      </c>
      <c r="B446" s="67">
        <v>46216</v>
      </c>
      <c r="C446" s="23">
        <f>'Jul 13'!$D$26</f>
        <v>0</v>
      </c>
      <c r="D446" s="23">
        <f>'Jul 13'!$B$26</f>
        <v>0</v>
      </c>
      <c r="E446" s="64">
        <f>'Jul 13'!$E$26</f>
        <v>0</v>
      </c>
      <c r="F446" s="23">
        <f>'Jul 13'!$A$26</f>
        <v>0</v>
      </c>
      <c r="G446" s="64">
        <f>'Jul 13'!$F$26</f>
        <v>0</v>
      </c>
      <c r="H446" s="64">
        <f>'Jul 13'!$G$26</f>
        <v>0</v>
      </c>
      <c r="I446" s="64" t="str">
        <f>'Jul 13'!$M$26</f>
        <v/>
      </c>
      <c r="J446" s="25" t="str">
        <f>'Jul 13'!$S$26</f>
        <v/>
      </c>
      <c r="K446" s="23">
        <f>'Jul 13'!$AG$26</f>
        <v>0</v>
      </c>
      <c r="L446" s="23">
        <f>'Jul 13'!$N$26</f>
        <v>0</v>
      </c>
    </row>
    <row r="447" spans="1:12" x14ac:dyDescent="0.25">
      <c r="A447" s="66" t="str">
        <f t="shared" si="6"/>
        <v>✓</v>
      </c>
      <c r="B447" s="67">
        <v>46216</v>
      </c>
      <c r="C447" s="23">
        <f>'Jul 13'!$D$27</f>
        <v>0</v>
      </c>
      <c r="D447" s="23">
        <f>'Jul 13'!$B$27</f>
        <v>0</v>
      </c>
      <c r="E447" s="64">
        <f>'Jul 13'!$E$27</f>
        <v>0</v>
      </c>
      <c r="F447" s="23">
        <f>'Jul 13'!$A$27</f>
        <v>0</v>
      </c>
      <c r="G447" s="64">
        <f>'Jul 13'!$F$27</f>
        <v>0</v>
      </c>
      <c r="H447" s="64">
        <f>'Jul 13'!$G$27</f>
        <v>0</v>
      </c>
      <c r="I447" s="64" t="str">
        <f>'Jul 13'!$M$27</f>
        <v/>
      </c>
      <c r="J447" s="25" t="str">
        <f>'Jul 13'!$S$27</f>
        <v/>
      </c>
      <c r="K447" s="23">
        <f>'Jul 13'!$AG$27</f>
        <v>0</v>
      </c>
      <c r="L447" s="23">
        <f>'Jul 13'!$N$27</f>
        <v>0</v>
      </c>
    </row>
    <row r="448" spans="1:12" x14ac:dyDescent="0.25">
      <c r="A448" s="66" t="str">
        <f t="shared" si="6"/>
        <v>✓</v>
      </c>
      <c r="B448" s="67">
        <v>46216</v>
      </c>
      <c r="C448" s="23">
        <f>'Jul 13'!$D$28</f>
        <v>0</v>
      </c>
      <c r="D448" s="23">
        <f>'Jul 13'!$B$28</f>
        <v>0</v>
      </c>
      <c r="E448" s="64">
        <f>'Jul 13'!$E$28</f>
        <v>0</v>
      </c>
      <c r="F448" s="23">
        <f>'Jul 13'!$A$28</f>
        <v>0</v>
      </c>
      <c r="G448" s="64">
        <f>'Jul 13'!$F$28</f>
        <v>0</v>
      </c>
      <c r="H448" s="64">
        <f>'Jul 13'!$G$28</f>
        <v>0</v>
      </c>
      <c r="I448" s="64" t="str">
        <f>'Jul 13'!$M$28</f>
        <v/>
      </c>
      <c r="J448" s="25" t="str">
        <f>'Jul 13'!$S$28</f>
        <v/>
      </c>
      <c r="K448" s="23">
        <f>'Jul 13'!$AG$28</f>
        <v>0</v>
      </c>
      <c r="L448" s="23">
        <f>'Jul 13'!$N$28</f>
        <v>0</v>
      </c>
    </row>
    <row r="449" spans="1:12" x14ac:dyDescent="0.25">
      <c r="A449" s="66" t="str">
        <f t="shared" si="6"/>
        <v>✓</v>
      </c>
      <c r="B449" s="67">
        <v>46216</v>
      </c>
      <c r="C449" s="23">
        <f>'Jul 13'!$D$29</f>
        <v>0</v>
      </c>
      <c r="D449" s="23">
        <f>'Jul 13'!$B$29</f>
        <v>0</v>
      </c>
      <c r="E449" s="64">
        <f>'Jul 13'!$E$29</f>
        <v>0</v>
      </c>
      <c r="F449" s="23">
        <f>'Jul 13'!$A$29</f>
        <v>0</v>
      </c>
      <c r="G449" s="64">
        <f>'Jul 13'!$F$29</f>
        <v>0</v>
      </c>
      <c r="H449" s="64">
        <f>'Jul 13'!$G$29</f>
        <v>0</v>
      </c>
      <c r="I449" s="64" t="str">
        <f>'Jul 13'!$M$29</f>
        <v/>
      </c>
      <c r="J449" s="25" t="str">
        <f>'Jul 13'!$S$29</f>
        <v/>
      </c>
      <c r="K449" s="23">
        <f>'Jul 13'!$AG$29</f>
        <v>0</v>
      </c>
      <c r="L449" s="23">
        <f>'Jul 13'!$N$29</f>
        <v>0</v>
      </c>
    </row>
    <row r="450" spans="1:12" x14ac:dyDescent="0.25">
      <c r="A450" s="66" t="str">
        <f t="shared" si="6"/>
        <v>✓</v>
      </c>
      <c r="B450" s="67">
        <v>46216</v>
      </c>
      <c r="C450" s="23">
        <f>'Jul 13'!$D$30</f>
        <v>0</v>
      </c>
      <c r="D450" s="23">
        <f>'Jul 13'!$B$30</f>
        <v>0</v>
      </c>
      <c r="E450" s="64">
        <f>'Jul 13'!$E$30</f>
        <v>0</v>
      </c>
      <c r="F450" s="23">
        <f>'Jul 13'!$A$30</f>
        <v>0</v>
      </c>
      <c r="G450" s="64">
        <f>'Jul 13'!$F$30</f>
        <v>0</v>
      </c>
      <c r="H450" s="64">
        <f>'Jul 13'!$G$30</f>
        <v>0</v>
      </c>
      <c r="I450" s="64" t="str">
        <f>'Jul 13'!$M$30</f>
        <v/>
      </c>
      <c r="J450" s="25" t="str">
        <f>'Jul 13'!$S$30</f>
        <v/>
      </c>
      <c r="K450" s="23">
        <f>'Jul 13'!$AG$30</f>
        <v>0</v>
      </c>
      <c r="L450" s="23">
        <f>'Jul 13'!$N$30</f>
        <v>0</v>
      </c>
    </row>
    <row r="451" spans="1:12" x14ac:dyDescent="0.25">
      <c r="A451" s="66" t="str">
        <f t="shared" si="6"/>
        <v>✓</v>
      </c>
      <c r="B451" s="67">
        <v>46216</v>
      </c>
      <c r="C451" s="23">
        <f>'Jul 13'!$D$31</f>
        <v>0</v>
      </c>
      <c r="D451" s="23">
        <f>'Jul 13'!$B$31</f>
        <v>0</v>
      </c>
      <c r="E451" s="64">
        <f>'Jul 13'!$E$31</f>
        <v>0</v>
      </c>
      <c r="F451" s="23">
        <f>'Jul 13'!$A$31</f>
        <v>0</v>
      </c>
      <c r="G451" s="64">
        <f>'Jul 13'!$F$31</f>
        <v>0</v>
      </c>
      <c r="H451" s="64">
        <f>'Jul 13'!$G$31</f>
        <v>0</v>
      </c>
      <c r="I451" s="64" t="str">
        <f>'Jul 13'!$M$31</f>
        <v/>
      </c>
      <c r="J451" s="25" t="str">
        <f>'Jul 13'!$S$31</f>
        <v/>
      </c>
      <c r="K451" s="23">
        <f>'Jul 13'!$AG$31</f>
        <v>0</v>
      </c>
      <c r="L451" s="23">
        <f>'Jul 13'!$N$31</f>
        <v>0</v>
      </c>
    </row>
    <row r="452" spans="1:12" x14ac:dyDescent="0.25">
      <c r="A452" s="66" t="str">
        <f t="shared" si="6"/>
        <v>✓</v>
      </c>
      <c r="B452" s="67">
        <v>46216</v>
      </c>
      <c r="C452" s="23">
        <f>'Jul 13'!$D$32</f>
        <v>0</v>
      </c>
      <c r="D452" s="23">
        <f>'Jul 13'!$B$32</f>
        <v>0</v>
      </c>
      <c r="E452" s="64">
        <f>'Jul 13'!$E$32</f>
        <v>0</v>
      </c>
      <c r="F452" s="23">
        <f>'Jul 13'!$A$32</f>
        <v>0</v>
      </c>
      <c r="G452" s="64">
        <f>'Jul 13'!$F$32</f>
        <v>0</v>
      </c>
      <c r="H452" s="64">
        <f>'Jul 13'!$G$32</f>
        <v>0</v>
      </c>
      <c r="I452" s="64" t="str">
        <f>'Jul 13'!$M$32</f>
        <v/>
      </c>
      <c r="J452" s="25" t="str">
        <f>'Jul 13'!$S$32</f>
        <v/>
      </c>
      <c r="K452" s="23">
        <f>'Jul 13'!$AG$32</f>
        <v>0</v>
      </c>
      <c r="L452" s="23">
        <f>'Jul 13'!$N$32</f>
        <v>0</v>
      </c>
    </row>
    <row r="453" spans="1:12" x14ac:dyDescent="0.25">
      <c r="A453" s="66" t="str">
        <f t="shared" si="6"/>
        <v>✓</v>
      </c>
      <c r="B453" s="67">
        <v>46216</v>
      </c>
      <c r="C453" s="23">
        <f>'Jul 13'!$D$33</f>
        <v>0</v>
      </c>
      <c r="D453" s="23">
        <f>'Jul 13'!$B$33</f>
        <v>0</v>
      </c>
      <c r="E453" s="64">
        <f>'Jul 13'!$E$33</f>
        <v>0</v>
      </c>
      <c r="F453" s="23">
        <f>'Jul 13'!$A$33</f>
        <v>0</v>
      </c>
      <c r="G453" s="64">
        <f>'Jul 13'!$F$33</f>
        <v>0</v>
      </c>
      <c r="H453" s="64">
        <f>'Jul 13'!$G$33</f>
        <v>0</v>
      </c>
      <c r="I453" s="64" t="str">
        <f>'Jul 13'!$M$33</f>
        <v/>
      </c>
      <c r="J453" s="25" t="str">
        <f>'Jul 13'!$S$33</f>
        <v/>
      </c>
      <c r="K453" s="23">
        <f>'Jul 13'!$AG$33</f>
        <v>0</v>
      </c>
      <c r="L453" s="23">
        <f>'Jul 13'!$N$33</f>
        <v>0</v>
      </c>
    </row>
    <row r="454" spans="1:12" x14ac:dyDescent="0.25">
      <c r="A454" s="66" t="str">
        <f t="shared" si="6"/>
        <v>✓</v>
      </c>
      <c r="B454" s="67">
        <v>46216</v>
      </c>
      <c r="C454" s="23">
        <f>'Jul 13'!$D$34</f>
        <v>0</v>
      </c>
      <c r="D454" s="23">
        <f>'Jul 13'!$B$34</f>
        <v>0</v>
      </c>
      <c r="E454" s="64">
        <f>'Jul 13'!$E$34</f>
        <v>0</v>
      </c>
      <c r="F454" s="23">
        <f>'Jul 13'!$A$34</f>
        <v>0</v>
      </c>
      <c r="G454" s="64">
        <f>'Jul 13'!$F$34</f>
        <v>0</v>
      </c>
      <c r="H454" s="64">
        <f>'Jul 13'!$G$34</f>
        <v>0</v>
      </c>
      <c r="I454" s="64" t="str">
        <f>'Jul 13'!$M$34</f>
        <v/>
      </c>
      <c r="J454" s="25" t="str">
        <f>'Jul 13'!$S$34</f>
        <v/>
      </c>
      <c r="K454" s="23">
        <f>'Jul 13'!$AG$34</f>
        <v>0</v>
      </c>
      <c r="L454" s="23">
        <f>'Jul 13'!$N$34</f>
        <v>0</v>
      </c>
    </row>
    <row r="455" spans="1:12" x14ac:dyDescent="0.25">
      <c r="A455" s="66" t="str">
        <f t="shared" si="6"/>
        <v>✓</v>
      </c>
      <c r="B455" s="67">
        <v>46216</v>
      </c>
      <c r="C455" s="23">
        <f>'Jul 13'!$D$35</f>
        <v>0</v>
      </c>
      <c r="D455" s="23">
        <f>'Jul 13'!$B$35</f>
        <v>0</v>
      </c>
      <c r="E455" s="64">
        <f>'Jul 13'!$E$35</f>
        <v>0</v>
      </c>
      <c r="F455" s="23">
        <f>'Jul 13'!$A$35</f>
        <v>0</v>
      </c>
      <c r="G455" s="64">
        <f>'Jul 13'!$F$35</f>
        <v>0</v>
      </c>
      <c r="H455" s="64">
        <f>'Jul 13'!$G$35</f>
        <v>0</v>
      </c>
      <c r="I455" s="64" t="str">
        <f>'Jul 13'!$M$35</f>
        <v/>
      </c>
      <c r="J455" s="25" t="str">
        <f>'Jul 13'!$S$35</f>
        <v/>
      </c>
      <c r="K455" s="23">
        <f>'Jul 13'!$AG$35</f>
        <v>0</v>
      </c>
      <c r="L455" s="23">
        <f>'Jul 13'!$N$35</f>
        <v>0</v>
      </c>
    </row>
    <row r="456" spans="1:12" x14ac:dyDescent="0.25">
      <c r="A456" s="66" t="str">
        <f t="shared" ref="A456:A519" si="7">IF(C456="","",IF(AND(OR($B$5="",G456=$B$5,H456=$B$5),OR($D$5="",F456=$D$5),OR($E$5="",K456=$E$5),OR($G$5="",L456=$G$5),OR($H$5="",N(J456)&gt;=$H$5),OR($I$5="",ISNUMBER(SEARCH($I$5,C456&amp;" "&amp;D456&amp;" "&amp;E456&amp;" "&amp;I456)))),"✓",""))</f>
        <v>✓</v>
      </c>
      <c r="B456" s="67">
        <v>46216</v>
      </c>
      <c r="C456" s="23">
        <f>'Jul 13'!$D$36</f>
        <v>0</v>
      </c>
      <c r="D456" s="23">
        <f>'Jul 13'!$B$36</f>
        <v>0</v>
      </c>
      <c r="E456" s="64">
        <f>'Jul 13'!$E$36</f>
        <v>0</v>
      </c>
      <c r="F456" s="23">
        <f>'Jul 13'!$A$36</f>
        <v>0</v>
      </c>
      <c r="G456" s="64">
        <f>'Jul 13'!$F$36</f>
        <v>0</v>
      </c>
      <c r="H456" s="64">
        <f>'Jul 13'!$G$36</f>
        <v>0</v>
      </c>
      <c r="I456" s="64" t="str">
        <f>'Jul 13'!$M$36</f>
        <v/>
      </c>
      <c r="J456" s="25" t="str">
        <f>'Jul 13'!$S$36</f>
        <v/>
      </c>
      <c r="K456" s="23">
        <f>'Jul 13'!$AG$36</f>
        <v>0</v>
      </c>
      <c r="L456" s="23">
        <f>'Jul 13'!$N$36</f>
        <v>0</v>
      </c>
    </row>
    <row r="457" spans="1:12" x14ac:dyDescent="0.25">
      <c r="A457" s="66" t="str">
        <f t="shared" si="7"/>
        <v>✓</v>
      </c>
      <c r="B457" s="67">
        <v>46216</v>
      </c>
      <c r="C457" s="23">
        <f>'Jul 13'!$D$37</f>
        <v>0</v>
      </c>
      <c r="D457" s="23">
        <f>'Jul 13'!$B$37</f>
        <v>0</v>
      </c>
      <c r="E457" s="64">
        <f>'Jul 13'!$E$37</f>
        <v>0</v>
      </c>
      <c r="F457" s="23">
        <f>'Jul 13'!$A$37</f>
        <v>0</v>
      </c>
      <c r="G457" s="64">
        <f>'Jul 13'!$F$37</f>
        <v>0</v>
      </c>
      <c r="H457" s="64">
        <f>'Jul 13'!$G$37</f>
        <v>0</v>
      </c>
      <c r="I457" s="64" t="str">
        <f>'Jul 13'!$M$37</f>
        <v/>
      </c>
      <c r="J457" s="25" t="str">
        <f>'Jul 13'!$S$37</f>
        <v/>
      </c>
      <c r="K457" s="23">
        <f>'Jul 13'!$AG$37</f>
        <v>0</v>
      </c>
      <c r="L457" s="23">
        <f>'Jul 13'!$N$37</f>
        <v>0</v>
      </c>
    </row>
    <row r="458" spans="1:12" x14ac:dyDescent="0.25">
      <c r="A458" s="66" t="str">
        <f t="shared" si="7"/>
        <v>✓</v>
      </c>
      <c r="B458" s="67">
        <v>46216</v>
      </c>
      <c r="C458" s="23">
        <f>'Jul 13'!$D$38</f>
        <v>0</v>
      </c>
      <c r="D458" s="23">
        <f>'Jul 13'!$B$38</f>
        <v>0</v>
      </c>
      <c r="E458" s="64">
        <f>'Jul 13'!$E$38</f>
        <v>0</v>
      </c>
      <c r="F458" s="23">
        <f>'Jul 13'!$A$38</f>
        <v>0</v>
      </c>
      <c r="G458" s="64">
        <f>'Jul 13'!$F$38</f>
        <v>0</v>
      </c>
      <c r="H458" s="64">
        <f>'Jul 13'!$G$38</f>
        <v>0</v>
      </c>
      <c r="I458" s="64" t="str">
        <f>'Jul 13'!$M$38</f>
        <v/>
      </c>
      <c r="J458" s="25" t="str">
        <f>'Jul 13'!$S$38</f>
        <v/>
      </c>
      <c r="K458" s="23">
        <f>'Jul 13'!$AG$38</f>
        <v>0</v>
      </c>
      <c r="L458" s="23">
        <f>'Jul 13'!$N$38</f>
        <v>0</v>
      </c>
    </row>
    <row r="459" spans="1:12" x14ac:dyDescent="0.25">
      <c r="A459" s="66" t="str">
        <f t="shared" si="7"/>
        <v>✓</v>
      </c>
      <c r="B459" s="67">
        <v>46216</v>
      </c>
      <c r="C459" s="23">
        <f>'Jul 13'!$D$39</f>
        <v>0</v>
      </c>
      <c r="D459" s="23">
        <f>'Jul 13'!$B$39</f>
        <v>0</v>
      </c>
      <c r="E459" s="64">
        <f>'Jul 13'!$E$39</f>
        <v>0</v>
      </c>
      <c r="F459" s="23">
        <f>'Jul 13'!$A$39</f>
        <v>0</v>
      </c>
      <c r="G459" s="64">
        <f>'Jul 13'!$F$39</f>
        <v>0</v>
      </c>
      <c r="H459" s="64">
        <f>'Jul 13'!$G$39</f>
        <v>0</v>
      </c>
      <c r="I459" s="64" t="str">
        <f>'Jul 13'!$M$39</f>
        <v/>
      </c>
      <c r="J459" s="25" t="str">
        <f>'Jul 13'!$S$39</f>
        <v/>
      </c>
      <c r="K459" s="23">
        <f>'Jul 13'!$AG$39</f>
        <v>0</v>
      </c>
      <c r="L459" s="23">
        <f>'Jul 13'!$N$39</f>
        <v>0</v>
      </c>
    </row>
    <row r="460" spans="1:12" x14ac:dyDescent="0.25">
      <c r="A460" s="66" t="str">
        <f t="shared" si="7"/>
        <v>✓</v>
      </c>
      <c r="B460" s="67">
        <v>46216</v>
      </c>
      <c r="C460" s="23">
        <f>'Jul 13'!$D$40</f>
        <v>0</v>
      </c>
      <c r="D460" s="23">
        <f>'Jul 13'!$B$40</f>
        <v>0</v>
      </c>
      <c r="E460" s="64">
        <f>'Jul 13'!$E$40</f>
        <v>0</v>
      </c>
      <c r="F460" s="23">
        <f>'Jul 13'!$A$40</f>
        <v>0</v>
      </c>
      <c r="G460" s="64">
        <f>'Jul 13'!$F$40</f>
        <v>0</v>
      </c>
      <c r="H460" s="64">
        <f>'Jul 13'!$G$40</f>
        <v>0</v>
      </c>
      <c r="I460" s="64" t="str">
        <f>'Jul 13'!$M$40</f>
        <v/>
      </c>
      <c r="J460" s="25" t="str">
        <f>'Jul 13'!$S$40</f>
        <v/>
      </c>
      <c r="K460" s="23">
        <f>'Jul 13'!$AG$40</f>
        <v>0</v>
      </c>
      <c r="L460" s="23">
        <f>'Jul 13'!$N$40</f>
        <v>0</v>
      </c>
    </row>
    <row r="461" spans="1:12" x14ac:dyDescent="0.25">
      <c r="A461" s="66" t="str">
        <f t="shared" si="7"/>
        <v>✓</v>
      </c>
      <c r="B461" s="67">
        <v>46216</v>
      </c>
      <c r="C461" s="23">
        <f>'Jul 13'!$D$41</f>
        <v>0</v>
      </c>
      <c r="D461" s="23">
        <f>'Jul 13'!$B$41</f>
        <v>0</v>
      </c>
      <c r="E461" s="64">
        <f>'Jul 13'!$E$41</f>
        <v>0</v>
      </c>
      <c r="F461" s="23">
        <f>'Jul 13'!$A$41</f>
        <v>0</v>
      </c>
      <c r="G461" s="64">
        <f>'Jul 13'!$F$41</f>
        <v>0</v>
      </c>
      <c r="H461" s="64">
        <f>'Jul 13'!$G$41</f>
        <v>0</v>
      </c>
      <c r="I461" s="64" t="str">
        <f>'Jul 13'!$M$41</f>
        <v/>
      </c>
      <c r="J461" s="25" t="str">
        <f>'Jul 13'!$S$41</f>
        <v/>
      </c>
      <c r="K461" s="23">
        <f>'Jul 13'!$AG$41</f>
        <v>0</v>
      </c>
      <c r="L461" s="23">
        <f>'Jul 13'!$N$41</f>
        <v>0</v>
      </c>
    </row>
    <row r="462" spans="1:12" x14ac:dyDescent="0.25">
      <c r="A462" s="66" t="str">
        <f t="shared" si="7"/>
        <v>✓</v>
      </c>
      <c r="B462" s="67">
        <v>46216</v>
      </c>
      <c r="C462" s="23">
        <f>'Jul 13'!$D$42</f>
        <v>0</v>
      </c>
      <c r="D462" s="23">
        <f>'Jul 13'!$B$42</f>
        <v>0</v>
      </c>
      <c r="E462" s="64">
        <f>'Jul 13'!$E$42</f>
        <v>0</v>
      </c>
      <c r="F462" s="23">
        <f>'Jul 13'!$A$42</f>
        <v>0</v>
      </c>
      <c r="G462" s="64">
        <f>'Jul 13'!$F$42</f>
        <v>0</v>
      </c>
      <c r="H462" s="64">
        <f>'Jul 13'!$G$42</f>
        <v>0</v>
      </c>
      <c r="I462" s="64" t="str">
        <f>'Jul 13'!$M$42</f>
        <v/>
      </c>
      <c r="J462" s="25" t="str">
        <f>'Jul 13'!$S$42</f>
        <v/>
      </c>
      <c r="K462" s="23">
        <f>'Jul 13'!$AG$42</f>
        <v>0</v>
      </c>
      <c r="L462" s="23">
        <f>'Jul 13'!$N$42</f>
        <v>0</v>
      </c>
    </row>
    <row r="463" spans="1:12" x14ac:dyDescent="0.25">
      <c r="A463" s="66" t="str">
        <f t="shared" si="7"/>
        <v>✓</v>
      </c>
      <c r="B463" s="67">
        <v>46217</v>
      </c>
      <c r="C463" s="23">
        <f>'Jul 14'!$D$8</f>
        <v>0</v>
      </c>
      <c r="D463" s="23">
        <f>'Jul 14'!$B$8</f>
        <v>0</v>
      </c>
      <c r="E463" s="64">
        <f>'Jul 14'!$E$8</f>
        <v>0</v>
      </c>
      <c r="F463" s="23">
        <f>'Jul 14'!$A$8</f>
        <v>0</v>
      </c>
      <c r="G463" s="64">
        <f>'Jul 14'!$F$8</f>
        <v>0</v>
      </c>
      <c r="H463" s="64">
        <f>'Jul 14'!$G$8</f>
        <v>0</v>
      </c>
      <c r="I463" s="64" t="str">
        <f>'Jul 14'!$M$8</f>
        <v/>
      </c>
      <c r="J463" s="25" t="str">
        <f>'Jul 14'!$S$8</f>
        <v/>
      </c>
      <c r="K463" s="23">
        <f>'Jul 14'!$AG$8</f>
        <v>0</v>
      </c>
      <c r="L463" s="23">
        <f>'Jul 14'!$N$8</f>
        <v>0</v>
      </c>
    </row>
    <row r="464" spans="1:12" x14ac:dyDescent="0.25">
      <c r="A464" s="66" t="str">
        <f t="shared" si="7"/>
        <v>✓</v>
      </c>
      <c r="B464" s="67">
        <v>46217</v>
      </c>
      <c r="C464" s="23">
        <f>'Jul 14'!$D$9</f>
        <v>0</v>
      </c>
      <c r="D464" s="23">
        <f>'Jul 14'!$B$9</f>
        <v>0</v>
      </c>
      <c r="E464" s="64">
        <f>'Jul 14'!$E$9</f>
        <v>0</v>
      </c>
      <c r="F464" s="23">
        <f>'Jul 14'!$A$9</f>
        <v>0</v>
      </c>
      <c r="G464" s="64">
        <f>'Jul 14'!$F$9</f>
        <v>0</v>
      </c>
      <c r="H464" s="64">
        <f>'Jul 14'!$G$9</f>
        <v>0</v>
      </c>
      <c r="I464" s="64" t="str">
        <f>'Jul 14'!$M$9</f>
        <v/>
      </c>
      <c r="J464" s="25" t="str">
        <f>'Jul 14'!$S$9</f>
        <v/>
      </c>
      <c r="K464" s="23">
        <f>'Jul 14'!$AG$9</f>
        <v>0</v>
      </c>
      <c r="L464" s="23">
        <f>'Jul 14'!$N$9</f>
        <v>0</v>
      </c>
    </row>
    <row r="465" spans="1:12" x14ac:dyDescent="0.25">
      <c r="A465" s="66" t="str">
        <f t="shared" si="7"/>
        <v>✓</v>
      </c>
      <c r="B465" s="67">
        <v>46217</v>
      </c>
      <c r="C465" s="23">
        <f>'Jul 14'!$D$10</f>
        <v>0</v>
      </c>
      <c r="D465" s="23">
        <f>'Jul 14'!$B$10</f>
        <v>0</v>
      </c>
      <c r="E465" s="64">
        <f>'Jul 14'!$E$10</f>
        <v>0</v>
      </c>
      <c r="F465" s="23">
        <f>'Jul 14'!$A$10</f>
        <v>0</v>
      </c>
      <c r="G465" s="64">
        <f>'Jul 14'!$F$10</f>
        <v>0</v>
      </c>
      <c r="H465" s="64">
        <f>'Jul 14'!$G$10</f>
        <v>0</v>
      </c>
      <c r="I465" s="64" t="str">
        <f>'Jul 14'!$M$10</f>
        <v/>
      </c>
      <c r="J465" s="25" t="str">
        <f>'Jul 14'!$S$10</f>
        <v/>
      </c>
      <c r="K465" s="23">
        <f>'Jul 14'!$AG$10</f>
        <v>0</v>
      </c>
      <c r="L465" s="23">
        <f>'Jul 14'!$N$10</f>
        <v>0</v>
      </c>
    </row>
    <row r="466" spans="1:12" x14ac:dyDescent="0.25">
      <c r="A466" s="66" t="str">
        <f t="shared" si="7"/>
        <v>✓</v>
      </c>
      <c r="B466" s="67">
        <v>46217</v>
      </c>
      <c r="C466" s="23">
        <f>'Jul 14'!$D$11</f>
        <v>0</v>
      </c>
      <c r="D466" s="23">
        <f>'Jul 14'!$B$11</f>
        <v>0</v>
      </c>
      <c r="E466" s="64">
        <f>'Jul 14'!$E$11</f>
        <v>0</v>
      </c>
      <c r="F466" s="23">
        <f>'Jul 14'!$A$11</f>
        <v>0</v>
      </c>
      <c r="G466" s="64">
        <f>'Jul 14'!$F$11</f>
        <v>0</v>
      </c>
      <c r="H466" s="64">
        <f>'Jul 14'!$G$11</f>
        <v>0</v>
      </c>
      <c r="I466" s="64" t="str">
        <f>'Jul 14'!$M$11</f>
        <v/>
      </c>
      <c r="J466" s="25" t="str">
        <f>'Jul 14'!$S$11</f>
        <v/>
      </c>
      <c r="K466" s="23">
        <f>'Jul 14'!$AG$11</f>
        <v>0</v>
      </c>
      <c r="L466" s="23">
        <f>'Jul 14'!$N$11</f>
        <v>0</v>
      </c>
    </row>
    <row r="467" spans="1:12" x14ac:dyDescent="0.25">
      <c r="A467" s="66" t="str">
        <f t="shared" si="7"/>
        <v>✓</v>
      </c>
      <c r="B467" s="67">
        <v>46217</v>
      </c>
      <c r="C467" s="23">
        <f>'Jul 14'!$D$12</f>
        <v>0</v>
      </c>
      <c r="D467" s="23">
        <f>'Jul 14'!$B$12</f>
        <v>0</v>
      </c>
      <c r="E467" s="64">
        <f>'Jul 14'!$E$12</f>
        <v>0</v>
      </c>
      <c r="F467" s="23">
        <f>'Jul 14'!$A$12</f>
        <v>0</v>
      </c>
      <c r="G467" s="64">
        <f>'Jul 14'!$F$12</f>
        <v>0</v>
      </c>
      <c r="H467" s="64">
        <f>'Jul 14'!$G$12</f>
        <v>0</v>
      </c>
      <c r="I467" s="64" t="str">
        <f>'Jul 14'!$M$12</f>
        <v/>
      </c>
      <c r="J467" s="25" t="str">
        <f>'Jul 14'!$S$12</f>
        <v/>
      </c>
      <c r="K467" s="23">
        <f>'Jul 14'!$AG$12</f>
        <v>0</v>
      </c>
      <c r="L467" s="23">
        <f>'Jul 14'!$N$12</f>
        <v>0</v>
      </c>
    </row>
    <row r="468" spans="1:12" x14ac:dyDescent="0.25">
      <c r="A468" s="66" t="str">
        <f t="shared" si="7"/>
        <v>✓</v>
      </c>
      <c r="B468" s="67">
        <v>46217</v>
      </c>
      <c r="C468" s="23">
        <f>'Jul 14'!$D$13</f>
        <v>0</v>
      </c>
      <c r="D468" s="23">
        <f>'Jul 14'!$B$13</f>
        <v>0</v>
      </c>
      <c r="E468" s="64">
        <f>'Jul 14'!$E$13</f>
        <v>0</v>
      </c>
      <c r="F468" s="23">
        <f>'Jul 14'!$A$13</f>
        <v>0</v>
      </c>
      <c r="G468" s="64">
        <f>'Jul 14'!$F$13</f>
        <v>0</v>
      </c>
      <c r="H468" s="64">
        <f>'Jul 14'!$G$13</f>
        <v>0</v>
      </c>
      <c r="I468" s="64" t="str">
        <f>'Jul 14'!$M$13</f>
        <v/>
      </c>
      <c r="J468" s="25" t="str">
        <f>'Jul 14'!$S$13</f>
        <v/>
      </c>
      <c r="K468" s="23">
        <f>'Jul 14'!$AG$13</f>
        <v>0</v>
      </c>
      <c r="L468" s="23">
        <f>'Jul 14'!$N$13</f>
        <v>0</v>
      </c>
    </row>
    <row r="469" spans="1:12" x14ac:dyDescent="0.25">
      <c r="A469" s="66" t="str">
        <f t="shared" si="7"/>
        <v>✓</v>
      </c>
      <c r="B469" s="67">
        <v>46217</v>
      </c>
      <c r="C469" s="23">
        <f>'Jul 14'!$D$14</f>
        <v>0</v>
      </c>
      <c r="D469" s="23">
        <f>'Jul 14'!$B$14</f>
        <v>0</v>
      </c>
      <c r="E469" s="64">
        <f>'Jul 14'!$E$14</f>
        <v>0</v>
      </c>
      <c r="F469" s="23">
        <f>'Jul 14'!$A$14</f>
        <v>0</v>
      </c>
      <c r="G469" s="64">
        <f>'Jul 14'!$F$14</f>
        <v>0</v>
      </c>
      <c r="H469" s="64">
        <f>'Jul 14'!$G$14</f>
        <v>0</v>
      </c>
      <c r="I469" s="64" t="str">
        <f>'Jul 14'!$M$14</f>
        <v/>
      </c>
      <c r="J469" s="25" t="str">
        <f>'Jul 14'!$S$14</f>
        <v/>
      </c>
      <c r="K469" s="23">
        <f>'Jul 14'!$AG$14</f>
        <v>0</v>
      </c>
      <c r="L469" s="23">
        <f>'Jul 14'!$N$14</f>
        <v>0</v>
      </c>
    </row>
    <row r="470" spans="1:12" x14ac:dyDescent="0.25">
      <c r="A470" s="66" t="str">
        <f t="shared" si="7"/>
        <v>✓</v>
      </c>
      <c r="B470" s="67">
        <v>46217</v>
      </c>
      <c r="C470" s="23">
        <f>'Jul 14'!$D$15</f>
        <v>0</v>
      </c>
      <c r="D470" s="23">
        <f>'Jul 14'!$B$15</f>
        <v>0</v>
      </c>
      <c r="E470" s="64">
        <f>'Jul 14'!$E$15</f>
        <v>0</v>
      </c>
      <c r="F470" s="23">
        <f>'Jul 14'!$A$15</f>
        <v>0</v>
      </c>
      <c r="G470" s="64">
        <f>'Jul 14'!$F$15</f>
        <v>0</v>
      </c>
      <c r="H470" s="64">
        <f>'Jul 14'!$G$15</f>
        <v>0</v>
      </c>
      <c r="I470" s="64" t="str">
        <f>'Jul 14'!$M$15</f>
        <v/>
      </c>
      <c r="J470" s="25" t="str">
        <f>'Jul 14'!$S$15</f>
        <v/>
      </c>
      <c r="K470" s="23">
        <f>'Jul 14'!$AG$15</f>
        <v>0</v>
      </c>
      <c r="L470" s="23">
        <f>'Jul 14'!$N$15</f>
        <v>0</v>
      </c>
    </row>
    <row r="471" spans="1:12" x14ac:dyDescent="0.25">
      <c r="A471" s="66" t="str">
        <f t="shared" si="7"/>
        <v>✓</v>
      </c>
      <c r="B471" s="67">
        <v>46217</v>
      </c>
      <c r="C471" s="23">
        <f>'Jul 14'!$D$16</f>
        <v>0</v>
      </c>
      <c r="D471" s="23">
        <f>'Jul 14'!$B$16</f>
        <v>0</v>
      </c>
      <c r="E471" s="64">
        <f>'Jul 14'!$E$16</f>
        <v>0</v>
      </c>
      <c r="F471" s="23">
        <f>'Jul 14'!$A$16</f>
        <v>0</v>
      </c>
      <c r="G471" s="64">
        <f>'Jul 14'!$F$16</f>
        <v>0</v>
      </c>
      <c r="H471" s="64">
        <f>'Jul 14'!$G$16</f>
        <v>0</v>
      </c>
      <c r="I471" s="64" t="str">
        <f>'Jul 14'!$M$16</f>
        <v/>
      </c>
      <c r="J471" s="25" t="str">
        <f>'Jul 14'!$S$16</f>
        <v/>
      </c>
      <c r="K471" s="23">
        <f>'Jul 14'!$AG$16</f>
        <v>0</v>
      </c>
      <c r="L471" s="23">
        <f>'Jul 14'!$N$16</f>
        <v>0</v>
      </c>
    </row>
    <row r="472" spans="1:12" x14ac:dyDescent="0.25">
      <c r="A472" s="66" t="str">
        <f t="shared" si="7"/>
        <v>✓</v>
      </c>
      <c r="B472" s="67">
        <v>46217</v>
      </c>
      <c r="C472" s="23">
        <f>'Jul 14'!$D$17</f>
        <v>0</v>
      </c>
      <c r="D472" s="23">
        <f>'Jul 14'!$B$17</f>
        <v>0</v>
      </c>
      <c r="E472" s="64">
        <f>'Jul 14'!$E$17</f>
        <v>0</v>
      </c>
      <c r="F472" s="23">
        <f>'Jul 14'!$A$17</f>
        <v>0</v>
      </c>
      <c r="G472" s="64">
        <f>'Jul 14'!$F$17</f>
        <v>0</v>
      </c>
      <c r="H472" s="64">
        <f>'Jul 14'!$G$17</f>
        <v>0</v>
      </c>
      <c r="I472" s="64" t="str">
        <f>'Jul 14'!$M$17</f>
        <v/>
      </c>
      <c r="J472" s="25" t="str">
        <f>'Jul 14'!$S$17</f>
        <v/>
      </c>
      <c r="K472" s="23">
        <f>'Jul 14'!$AG$17</f>
        <v>0</v>
      </c>
      <c r="L472" s="23">
        <f>'Jul 14'!$N$17</f>
        <v>0</v>
      </c>
    </row>
    <row r="473" spans="1:12" x14ac:dyDescent="0.25">
      <c r="A473" s="66" t="str">
        <f t="shared" si="7"/>
        <v>✓</v>
      </c>
      <c r="B473" s="67">
        <v>46217</v>
      </c>
      <c r="C473" s="23">
        <f>'Jul 14'!$D$18</f>
        <v>0</v>
      </c>
      <c r="D473" s="23">
        <f>'Jul 14'!$B$18</f>
        <v>0</v>
      </c>
      <c r="E473" s="64">
        <f>'Jul 14'!$E$18</f>
        <v>0</v>
      </c>
      <c r="F473" s="23">
        <f>'Jul 14'!$A$18</f>
        <v>0</v>
      </c>
      <c r="G473" s="64">
        <f>'Jul 14'!$F$18</f>
        <v>0</v>
      </c>
      <c r="H473" s="64">
        <f>'Jul 14'!$G$18</f>
        <v>0</v>
      </c>
      <c r="I473" s="64" t="str">
        <f>'Jul 14'!$M$18</f>
        <v/>
      </c>
      <c r="J473" s="25" t="str">
        <f>'Jul 14'!$S$18</f>
        <v/>
      </c>
      <c r="K473" s="23">
        <f>'Jul 14'!$AG$18</f>
        <v>0</v>
      </c>
      <c r="L473" s="23">
        <f>'Jul 14'!$N$18</f>
        <v>0</v>
      </c>
    </row>
    <row r="474" spans="1:12" x14ac:dyDescent="0.25">
      <c r="A474" s="66" t="str">
        <f t="shared" si="7"/>
        <v>✓</v>
      </c>
      <c r="B474" s="67">
        <v>46217</v>
      </c>
      <c r="C474" s="23">
        <f>'Jul 14'!$D$19</f>
        <v>0</v>
      </c>
      <c r="D474" s="23">
        <f>'Jul 14'!$B$19</f>
        <v>0</v>
      </c>
      <c r="E474" s="64">
        <f>'Jul 14'!$E$19</f>
        <v>0</v>
      </c>
      <c r="F474" s="23">
        <f>'Jul 14'!$A$19</f>
        <v>0</v>
      </c>
      <c r="G474" s="64">
        <f>'Jul 14'!$F$19</f>
        <v>0</v>
      </c>
      <c r="H474" s="64">
        <f>'Jul 14'!$G$19</f>
        <v>0</v>
      </c>
      <c r="I474" s="64" t="str">
        <f>'Jul 14'!$M$19</f>
        <v/>
      </c>
      <c r="J474" s="25" t="str">
        <f>'Jul 14'!$S$19</f>
        <v/>
      </c>
      <c r="K474" s="23">
        <f>'Jul 14'!$AG$19</f>
        <v>0</v>
      </c>
      <c r="L474" s="23">
        <f>'Jul 14'!$N$19</f>
        <v>0</v>
      </c>
    </row>
    <row r="475" spans="1:12" x14ac:dyDescent="0.25">
      <c r="A475" s="66" t="str">
        <f t="shared" si="7"/>
        <v>✓</v>
      </c>
      <c r="B475" s="67">
        <v>46217</v>
      </c>
      <c r="C475" s="23">
        <f>'Jul 14'!$D$20</f>
        <v>0</v>
      </c>
      <c r="D475" s="23">
        <f>'Jul 14'!$B$20</f>
        <v>0</v>
      </c>
      <c r="E475" s="64">
        <f>'Jul 14'!$E$20</f>
        <v>0</v>
      </c>
      <c r="F475" s="23">
        <f>'Jul 14'!$A$20</f>
        <v>0</v>
      </c>
      <c r="G475" s="64">
        <f>'Jul 14'!$F$20</f>
        <v>0</v>
      </c>
      <c r="H475" s="64">
        <f>'Jul 14'!$G$20</f>
        <v>0</v>
      </c>
      <c r="I475" s="64" t="str">
        <f>'Jul 14'!$M$20</f>
        <v/>
      </c>
      <c r="J475" s="25" t="str">
        <f>'Jul 14'!$S$20</f>
        <v/>
      </c>
      <c r="K475" s="23">
        <f>'Jul 14'!$AG$20</f>
        <v>0</v>
      </c>
      <c r="L475" s="23">
        <f>'Jul 14'!$N$20</f>
        <v>0</v>
      </c>
    </row>
    <row r="476" spans="1:12" x14ac:dyDescent="0.25">
      <c r="A476" s="66" t="str">
        <f t="shared" si="7"/>
        <v>✓</v>
      </c>
      <c r="B476" s="67">
        <v>46217</v>
      </c>
      <c r="C476" s="23">
        <f>'Jul 14'!$D$21</f>
        <v>0</v>
      </c>
      <c r="D476" s="23">
        <f>'Jul 14'!$B$21</f>
        <v>0</v>
      </c>
      <c r="E476" s="64">
        <f>'Jul 14'!$E$21</f>
        <v>0</v>
      </c>
      <c r="F476" s="23">
        <f>'Jul 14'!$A$21</f>
        <v>0</v>
      </c>
      <c r="G476" s="64">
        <f>'Jul 14'!$F$21</f>
        <v>0</v>
      </c>
      <c r="H476" s="64">
        <f>'Jul 14'!$G$21</f>
        <v>0</v>
      </c>
      <c r="I476" s="64" t="str">
        <f>'Jul 14'!$M$21</f>
        <v/>
      </c>
      <c r="J476" s="25" t="str">
        <f>'Jul 14'!$S$21</f>
        <v/>
      </c>
      <c r="K476" s="23">
        <f>'Jul 14'!$AG$21</f>
        <v>0</v>
      </c>
      <c r="L476" s="23">
        <f>'Jul 14'!$N$21</f>
        <v>0</v>
      </c>
    </row>
    <row r="477" spans="1:12" x14ac:dyDescent="0.25">
      <c r="A477" s="66" t="str">
        <f t="shared" si="7"/>
        <v>✓</v>
      </c>
      <c r="B477" s="67">
        <v>46217</v>
      </c>
      <c r="C477" s="23">
        <f>'Jul 14'!$D$22</f>
        <v>0</v>
      </c>
      <c r="D477" s="23">
        <f>'Jul 14'!$B$22</f>
        <v>0</v>
      </c>
      <c r="E477" s="64">
        <f>'Jul 14'!$E$22</f>
        <v>0</v>
      </c>
      <c r="F477" s="23">
        <f>'Jul 14'!$A$22</f>
        <v>0</v>
      </c>
      <c r="G477" s="64">
        <f>'Jul 14'!$F$22</f>
        <v>0</v>
      </c>
      <c r="H477" s="64">
        <f>'Jul 14'!$G$22</f>
        <v>0</v>
      </c>
      <c r="I477" s="64" t="str">
        <f>'Jul 14'!$M$22</f>
        <v/>
      </c>
      <c r="J477" s="25" t="str">
        <f>'Jul 14'!$S$22</f>
        <v/>
      </c>
      <c r="K477" s="23">
        <f>'Jul 14'!$AG$22</f>
        <v>0</v>
      </c>
      <c r="L477" s="23">
        <f>'Jul 14'!$N$22</f>
        <v>0</v>
      </c>
    </row>
    <row r="478" spans="1:12" x14ac:dyDescent="0.25">
      <c r="A478" s="66" t="str">
        <f t="shared" si="7"/>
        <v>✓</v>
      </c>
      <c r="B478" s="67">
        <v>46217</v>
      </c>
      <c r="C478" s="23">
        <f>'Jul 14'!$D$23</f>
        <v>0</v>
      </c>
      <c r="D478" s="23">
        <f>'Jul 14'!$B$23</f>
        <v>0</v>
      </c>
      <c r="E478" s="64">
        <f>'Jul 14'!$E$23</f>
        <v>0</v>
      </c>
      <c r="F478" s="23">
        <f>'Jul 14'!$A$23</f>
        <v>0</v>
      </c>
      <c r="G478" s="64">
        <f>'Jul 14'!$F$23</f>
        <v>0</v>
      </c>
      <c r="H478" s="64">
        <f>'Jul 14'!$G$23</f>
        <v>0</v>
      </c>
      <c r="I478" s="64" t="str">
        <f>'Jul 14'!$M$23</f>
        <v/>
      </c>
      <c r="J478" s="25" t="str">
        <f>'Jul 14'!$S$23</f>
        <v/>
      </c>
      <c r="K478" s="23">
        <f>'Jul 14'!$AG$23</f>
        <v>0</v>
      </c>
      <c r="L478" s="23">
        <f>'Jul 14'!$N$23</f>
        <v>0</v>
      </c>
    </row>
    <row r="479" spans="1:12" x14ac:dyDescent="0.25">
      <c r="A479" s="66" t="str">
        <f t="shared" si="7"/>
        <v>✓</v>
      </c>
      <c r="B479" s="67">
        <v>46217</v>
      </c>
      <c r="C479" s="23">
        <f>'Jul 14'!$D$24</f>
        <v>0</v>
      </c>
      <c r="D479" s="23">
        <f>'Jul 14'!$B$24</f>
        <v>0</v>
      </c>
      <c r="E479" s="64">
        <f>'Jul 14'!$E$24</f>
        <v>0</v>
      </c>
      <c r="F479" s="23">
        <f>'Jul 14'!$A$24</f>
        <v>0</v>
      </c>
      <c r="G479" s="64">
        <f>'Jul 14'!$F$24</f>
        <v>0</v>
      </c>
      <c r="H479" s="64">
        <f>'Jul 14'!$G$24</f>
        <v>0</v>
      </c>
      <c r="I479" s="64" t="str">
        <f>'Jul 14'!$M$24</f>
        <v/>
      </c>
      <c r="J479" s="25" t="str">
        <f>'Jul 14'!$S$24</f>
        <v/>
      </c>
      <c r="K479" s="23">
        <f>'Jul 14'!$AG$24</f>
        <v>0</v>
      </c>
      <c r="L479" s="23">
        <f>'Jul 14'!$N$24</f>
        <v>0</v>
      </c>
    </row>
    <row r="480" spans="1:12" x14ac:dyDescent="0.25">
      <c r="A480" s="66" t="str">
        <f t="shared" si="7"/>
        <v>✓</v>
      </c>
      <c r="B480" s="67">
        <v>46217</v>
      </c>
      <c r="C480" s="23">
        <f>'Jul 14'!$D$25</f>
        <v>0</v>
      </c>
      <c r="D480" s="23">
        <f>'Jul 14'!$B$25</f>
        <v>0</v>
      </c>
      <c r="E480" s="64">
        <f>'Jul 14'!$E$25</f>
        <v>0</v>
      </c>
      <c r="F480" s="23">
        <f>'Jul 14'!$A$25</f>
        <v>0</v>
      </c>
      <c r="G480" s="64">
        <f>'Jul 14'!$F$25</f>
        <v>0</v>
      </c>
      <c r="H480" s="64">
        <f>'Jul 14'!$G$25</f>
        <v>0</v>
      </c>
      <c r="I480" s="64" t="str">
        <f>'Jul 14'!$M$25</f>
        <v/>
      </c>
      <c r="J480" s="25" t="str">
        <f>'Jul 14'!$S$25</f>
        <v/>
      </c>
      <c r="K480" s="23">
        <f>'Jul 14'!$AG$25</f>
        <v>0</v>
      </c>
      <c r="L480" s="23">
        <f>'Jul 14'!$N$25</f>
        <v>0</v>
      </c>
    </row>
    <row r="481" spans="1:12" x14ac:dyDescent="0.25">
      <c r="A481" s="66" t="str">
        <f t="shared" si="7"/>
        <v>✓</v>
      </c>
      <c r="B481" s="67">
        <v>46217</v>
      </c>
      <c r="C481" s="23">
        <f>'Jul 14'!$D$26</f>
        <v>0</v>
      </c>
      <c r="D481" s="23">
        <f>'Jul 14'!$B$26</f>
        <v>0</v>
      </c>
      <c r="E481" s="64">
        <f>'Jul 14'!$E$26</f>
        <v>0</v>
      </c>
      <c r="F481" s="23">
        <f>'Jul 14'!$A$26</f>
        <v>0</v>
      </c>
      <c r="G481" s="64">
        <f>'Jul 14'!$F$26</f>
        <v>0</v>
      </c>
      <c r="H481" s="64">
        <f>'Jul 14'!$G$26</f>
        <v>0</v>
      </c>
      <c r="I481" s="64" t="str">
        <f>'Jul 14'!$M$26</f>
        <v/>
      </c>
      <c r="J481" s="25" t="str">
        <f>'Jul 14'!$S$26</f>
        <v/>
      </c>
      <c r="K481" s="23">
        <f>'Jul 14'!$AG$26</f>
        <v>0</v>
      </c>
      <c r="L481" s="23">
        <f>'Jul 14'!$N$26</f>
        <v>0</v>
      </c>
    </row>
    <row r="482" spans="1:12" x14ac:dyDescent="0.25">
      <c r="A482" s="66" t="str">
        <f t="shared" si="7"/>
        <v>✓</v>
      </c>
      <c r="B482" s="67">
        <v>46217</v>
      </c>
      <c r="C482" s="23">
        <f>'Jul 14'!$D$27</f>
        <v>0</v>
      </c>
      <c r="D482" s="23">
        <f>'Jul 14'!$B$27</f>
        <v>0</v>
      </c>
      <c r="E482" s="64">
        <f>'Jul 14'!$E$27</f>
        <v>0</v>
      </c>
      <c r="F482" s="23">
        <f>'Jul 14'!$A$27</f>
        <v>0</v>
      </c>
      <c r="G482" s="64">
        <f>'Jul 14'!$F$27</f>
        <v>0</v>
      </c>
      <c r="H482" s="64">
        <f>'Jul 14'!$G$27</f>
        <v>0</v>
      </c>
      <c r="I482" s="64" t="str">
        <f>'Jul 14'!$M$27</f>
        <v/>
      </c>
      <c r="J482" s="25" t="str">
        <f>'Jul 14'!$S$27</f>
        <v/>
      </c>
      <c r="K482" s="23">
        <f>'Jul 14'!$AG$27</f>
        <v>0</v>
      </c>
      <c r="L482" s="23">
        <f>'Jul 14'!$N$27</f>
        <v>0</v>
      </c>
    </row>
    <row r="483" spans="1:12" x14ac:dyDescent="0.25">
      <c r="A483" s="66" t="str">
        <f t="shared" si="7"/>
        <v>✓</v>
      </c>
      <c r="B483" s="67">
        <v>46217</v>
      </c>
      <c r="C483" s="23">
        <f>'Jul 14'!$D$28</f>
        <v>0</v>
      </c>
      <c r="D483" s="23">
        <f>'Jul 14'!$B$28</f>
        <v>0</v>
      </c>
      <c r="E483" s="64">
        <f>'Jul 14'!$E$28</f>
        <v>0</v>
      </c>
      <c r="F483" s="23">
        <f>'Jul 14'!$A$28</f>
        <v>0</v>
      </c>
      <c r="G483" s="64">
        <f>'Jul 14'!$F$28</f>
        <v>0</v>
      </c>
      <c r="H483" s="64">
        <f>'Jul 14'!$G$28</f>
        <v>0</v>
      </c>
      <c r="I483" s="64" t="str">
        <f>'Jul 14'!$M$28</f>
        <v/>
      </c>
      <c r="J483" s="25" t="str">
        <f>'Jul 14'!$S$28</f>
        <v/>
      </c>
      <c r="K483" s="23">
        <f>'Jul 14'!$AG$28</f>
        <v>0</v>
      </c>
      <c r="L483" s="23">
        <f>'Jul 14'!$N$28</f>
        <v>0</v>
      </c>
    </row>
    <row r="484" spans="1:12" x14ac:dyDescent="0.25">
      <c r="A484" s="66" t="str">
        <f t="shared" si="7"/>
        <v>✓</v>
      </c>
      <c r="B484" s="67">
        <v>46217</v>
      </c>
      <c r="C484" s="23">
        <f>'Jul 14'!$D$29</f>
        <v>0</v>
      </c>
      <c r="D484" s="23">
        <f>'Jul 14'!$B$29</f>
        <v>0</v>
      </c>
      <c r="E484" s="64">
        <f>'Jul 14'!$E$29</f>
        <v>0</v>
      </c>
      <c r="F484" s="23">
        <f>'Jul 14'!$A$29</f>
        <v>0</v>
      </c>
      <c r="G484" s="64">
        <f>'Jul 14'!$F$29</f>
        <v>0</v>
      </c>
      <c r="H484" s="64">
        <f>'Jul 14'!$G$29</f>
        <v>0</v>
      </c>
      <c r="I484" s="64" t="str">
        <f>'Jul 14'!$M$29</f>
        <v/>
      </c>
      <c r="J484" s="25" t="str">
        <f>'Jul 14'!$S$29</f>
        <v/>
      </c>
      <c r="K484" s="23">
        <f>'Jul 14'!$AG$29</f>
        <v>0</v>
      </c>
      <c r="L484" s="23">
        <f>'Jul 14'!$N$29</f>
        <v>0</v>
      </c>
    </row>
    <row r="485" spans="1:12" x14ac:dyDescent="0.25">
      <c r="A485" s="66" t="str">
        <f t="shared" si="7"/>
        <v>✓</v>
      </c>
      <c r="B485" s="67">
        <v>46217</v>
      </c>
      <c r="C485" s="23">
        <f>'Jul 14'!$D$30</f>
        <v>0</v>
      </c>
      <c r="D485" s="23">
        <f>'Jul 14'!$B$30</f>
        <v>0</v>
      </c>
      <c r="E485" s="64">
        <f>'Jul 14'!$E$30</f>
        <v>0</v>
      </c>
      <c r="F485" s="23">
        <f>'Jul 14'!$A$30</f>
        <v>0</v>
      </c>
      <c r="G485" s="64">
        <f>'Jul 14'!$F$30</f>
        <v>0</v>
      </c>
      <c r="H485" s="64">
        <f>'Jul 14'!$G$30</f>
        <v>0</v>
      </c>
      <c r="I485" s="64" t="str">
        <f>'Jul 14'!$M$30</f>
        <v/>
      </c>
      <c r="J485" s="25" t="str">
        <f>'Jul 14'!$S$30</f>
        <v/>
      </c>
      <c r="K485" s="23">
        <f>'Jul 14'!$AG$30</f>
        <v>0</v>
      </c>
      <c r="L485" s="23">
        <f>'Jul 14'!$N$30</f>
        <v>0</v>
      </c>
    </row>
    <row r="486" spans="1:12" x14ac:dyDescent="0.25">
      <c r="A486" s="66" t="str">
        <f t="shared" si="7"/>
        <v>✓</v>
      </c>
      <c r="B486" s="67">
        <v>46217</v>
      </c>
      <c r="C486" s="23">
        <f>'Jul 14'!$D$31</f>
        <v>0</v>
      </c>
      <c r="D486" s="23">
        <f>'Jul 14'!$B$31</f>
        <v>0</v>
      </c>
      <c r="E486" s="64">
        <f>'Jul 14'!$E$31</f>
        <v>0</v>
      </c>
      <c r="F486" s="23">
        <f>'Jul 14'!$A$31</f>
        <v>0</v>
      </c>
      <c r="G486" s="64">
        <f>'Jul 14'!$F$31</f>
        <v>0</v>
      </c>
      <c r="H486" s="64">
        <f>'Jul 14'!$G$31</f>
        <v>0</v>
      </c>
      <c r="I486" s="64" t="str">
        <f>'Jul 14'!$M$31</f>
        <v/>
      </c>
      <c r="J486" s="25" t="str">
        <f>'Jul 14'!$S$31</f>
        <v/>
      </c>
      <c r="K486" s="23">
        <f>'Jul 14'!$AG$31</f>
        <v>0</v>
      </c>
      <c r="L486" s="23">
        <f>'Jul 14'!$N$31</f>
        <v>0</v>
      </c>
    </row>
    <row r="487" spans="1:12" x14ac:dyDescent="0.25">
      <c r="A487" s="66" t="str">
        <f t="shared" si="7"/>
        <v>✓</v>
      </c>
      <c r="B487" s="67">
        <v>46217</v>
      </c>
      <c r="C487" s="23">
        <f>'Jul 14'!$D$32</f>
        <v>0</v>
      </c>
      <c r="D487" s="23">
        <f>'Jul 14'!$B$32</f>
        <v>0</v>
      </c>
      <c r="E487" s="64">
        <f>'Jul 14'!$E$32</f>
        <v>0</v>
      </c>
      <c r="F487" s="23">
        <f>'Jul 14'!$A$32</f>
        <v>0</v>
      </c>
      <c r="G487" s="64">
        <f>'Jul 14'!$F$32</f>
        <v>0</v>
      </c>
      <c r="H487" s="64">
        <f>'Jul 14'!$G$32</f>
        <v>0</v>
      </c>
      <c r="I487" s="64" t="str">
        <f>'Jul 14'!$M$32</f>
        <v/>
      </c>
      <c r="J487" s="25" t="str">
        <f>'Jul 14'!$S$32</f>
        <v/>
      </c>
      <c r="K487" s="23">
        <f>'Jul 14'!$AG$32</f>
        <v>0</v>
      </c>
      <c r="L487" s="23">
        <f>'Jul 14'!$N$32</f>
        <v>0</v>
      </c>
    </row>
    <row r="488" spans="1:12" x14ac:dyDescent="0.25">
      <c r="A488" s="66" t="str">
        <f t="shared" si="7"/>
        <v>✓</v>
      </c>
      <c r="B488" s="67">
        <v>46217</v>
      </c>
      <c r="C488" s="23">
        <f>'Jul 14'!$D$33</f>
        <v>0</v>
      </c>
      <c r="D488" s="23">
        <f>'Jul 14'!$B$33</f>
        <v>0</v>
      </c>
      <c r="E488" s="64">
        <f>'Jul 14'!$E$33</f>
        <v>0</v>
      </c>
      <c r="F488" s="23">
        <f>'Jul 14'!$A$33</f>
        <v>0</v>
      </c>
      <c r="G488" s="64">
        <f>'Jul 14'!$F$33</f>
        <v>0</v>
      </c>
      <c r="H488" s="64">
        <f>'Jul 14'!$G$33</f>
        <v>0</v>
      </c>
      <c r="I488" s="64" t="str">
        <f>'Jul 14'!$M$33</f>
        <v/>
      </c>
      <c r="J488" s="25" t="str">
        <f>'Jul 14'!$S$33</f>
        <v/>
      </c>
      <c r="K488" s="23">
        <f>'Jul 14'!$AG$33</f>
        <v>0</v>
      </c>
      <c r="L488" s="23">
        <f>'Jul 14'!$N$33</f>
        <v>0</v>
      </c>
    </row>
    <row r="489" spans="1:12" x14ac:dyDescent="0.25">
      <c r="A489" s="66" t="str">
        <f t="shared" si="7"/>
        <v>✓</v>
      </c>
      <c r="B489" s="67">
        <v>46217</v>
      </c>
      <c r="C489" s="23">
        <f>'Jul 14'!$D$34</f>
        <v>0</v>
      </c>
      <c r="D489" s="23">
        <f>'Jul 14'!$B$34</f>
        <v>0</v>
      </c>
      <c r="E489" s="64">
        <f>'Jul 14'!$E$34</f>
        <v>0</v>
      </c>
      <c r="F489" s="23">
        <f>'Jul 14'!$A$34</f>
        <v>0</v>
      </c>
      <c r="G489" s="64">
        <f>'Jul 14'!$F$34</f>
        <v>0</v>
      </c>
      <c r="H489" s="64">
        <f>'Jul 14'!$G$34</f>
        <v>0</v>
      </c>
      <c r="I489" s="64" t="str">
        <f>'Jul 14'!$M$34</f>
        <v/>
      </c>
      <c r="J489" s="25" t="str">
        <f>'Jul 14'!$S$34</f>
        <v/>
      </c>
      <c r="K489" s="23">
        <f>'Jul 14'!$AG$34</f>
        <v>0</v>
      </c>
      <c r="L489" s="23">
        <f>'Jul 14'!$N$34</f>
        <v>0</v>
      </c>
    </row>
    <row r="490" spans="1:12" x14ac:dyDescent="0.25">
      <c r="A490" s="66" t="str">
        <f t="shared" si="7"/>
        <v>✓</v>
      </c>
      <c r="B490" s="67">
        <v>46217</v>
      </c>
      <c r="C490" s="23">
        <f>'Jul 14'!$D$35</f>
        <v>0</v>
      </c>
      <c r="D490" s="23">
        <f>'Jul 14'!$B$35</f>
        <v>0</v>
      </c>
      <c r="E490" s="64">
        <f>'Jul 14'!$E$35</f>
        <v>0</v>
      </c>
      <c r="F490" s="23">
        <f>'Jul 14'!$A$35</f>
        <v>0</v>
      </c>
      <c r="G490" s="64">
        <f>'Jul 14'!$F$35</f>
        <v>0</v>
      </c>
      <c r="H490" s="64">
        <f>'Jul 14'!$G$35</f>
        <v>0</v>
      </c>
      <c r="I490" s="64" t="str">
        <f>'Jul 14'!$M$35</f>
        <v/>
      </c>
      <c r="J490" s="25" t="str">
        <f>'Jul 14'!$S$35</f>
        <v/>
      </c>
      <c r="K490" s="23">
        <f>'Jul 14'!$AG$35</f>
        <v>0</v>
      </c>
      <c r="L490" s="23">
        <f>'Jul 14'!$N$35</f>
        <v>0</v>
      </c>
    </row>
    <row r="491" spans="1:12" x14ac:dyDescent="0.25">
      <c r="A491" s="66" t="str">
        <f t="shared" si="7"/>
        <v>✓</v>
      </c>
      <c r="B491" s="67">
        <v>46217</v>
      </c>
      <c r="C491" s="23">
        <f>'Jul 14'!$D$36</f>
        <v>0</v>
      </c>
      <c r="D491" s="23">
        <f>'Jul 14'!$B$36</f>
        <v>0</v>
      </c>
      <c r="E491" s="64">
        <f>'Jul 14'!$E$36</f>
        <v>0</v>
      </c>
      <c r="F491" s="23">
        <f>'Jul 14'!$A$36</f>
        <v>0</v>
      </c>
      <c r="G491" s="64">
        <f>'Jul 14'!$F$36</f>
        <v>0</v>
      </c>
      <c r="H491" s="64">
        <f>'Jul 14'!$G$36</f>
        <v>0</v>
      </c>
      <c r="I491" s="64" t="str">
        <f>'Jul 14'!$M$36</f>
        <v/>
      </c>
      <c r="J491" s="25" t="str">
        <f>'Jul 14'!$S$36</f>
        <v/>
      </c>
      <c r="K491" s="23">
        <f>'Jul 14'!$AG$36</f>
        <v>0</v>
      </c>
      <c r="L491" s="23">
        <f>'Jul 14'!$N$36</f>
        <v>0</v>
      </c>
    </row>
    <row r="492" spans="1:12" x14ac:dyDescent="0.25">
      <c r="A492" s="66" t="str">
        <f t="shared" si="7"/>
        <v>✓</v>
      </c>
      <c r="B492" s="67">
        <v>46217</v>
      </c>
      <c r="C492" s="23">
        <f>'Jul 14'!$D$37</f>
        <v>0</v>
      </c>
      <c r="D492" s="23">
        <f>'Jul 14'!$B$37</f>
        <v>0</v>
      </c>
      <c r="E492" s="64">
        <f>'Jul 14'!$E$37</f>
        <v>0</v>
      </c>
      <c r="F492" s="23">
        <f>'Jul 14'!$A$37</f>
        <v>0</v>
      </c>
      <c r="G492" s="64">
        <f>'Jul 14'!$F$37</f>
        <v>0</v>
      </c>
      <c r="H492" s="64">
        <f>'Jul 14'!$G$37</f>
        <v>0</v>
      </c>
      <c r="I492" s="64" t="str">
        <f>'Jul 14'!$M$37</f>
        <v/>
      </c>
      <c r="J492" s="25" t="str">
        <f>'Jul 14'!$S$37</f>
        <v/>
      </c>
      <c r="K492" s="23">
        <f>'Jul 14'!$AG$37</f>
        <v>0</v>
      </c>
      <c r="L492" s="23">
        <f>'Jul 14'!$N$37</f>
        <v>0</v>
      </c>
    </row>
    <row r="493" spans="1:12" x14ac:dyDescent="0.25">
      <c r="A493" s="66" t="str">
        <f t="shared" si="7"/>
        <v>✓</v>
      </c>
      <c r="B493" s="67">
        <v>46217</v>
      </c>
      <c r="C493" s="23">
        <f>'Jul 14'!$D$38</f>
        <v>0</v>
      </c>
      <c r="D493" s="23">
        <f>'Jul 14'!$B$38</f>
        <v>0</v>
      </c>
      <c r="E493" s="64">
        <f>'Jul 14'!$E$38</f>
        <v>0</v>
      </c>
      <c r="F493" s="23">
        <f>'Jul 14'!$A$38</f>
        <v>0</v>
      </c>
      <c r="G493" s="64">
        <f>'Jul 14'!$F$38</f>
        <v>0</v>
      </c>
      <c r="H493" s="64">
        <f>'Jul 14'!$G$38</f>
        <v>0</v>
      </c>
      <c r="I493" s="64" t="str">
        <f>'Jul 14'!$M$38</f>
        <v/>
      </c>
      <c r="J493" s="25" t="str">
        <f>'Jul 14'!$S$38</f>
        <v/>
      </c>
      <c r="K493" s="23">
        <f>'Jul 14'!$AG$38</f>
        <v>0</v>
      </c>
      <c r="L493" s="23">
        <f>'Jul 14'!$N$38</f>
        <v>0</v>
      </c>
    </row>
    <row r="494" spans="1:12" x14ac:dyDescent="0.25">
      <c r="A494" s="66" t="str">
        <f t="shared" si="7"/>
        <v>✓</v>
      </c>
      <c r="B494" s="67">
        <v>46217</v>
      </c>
      <c r="C494" s="23">
        <f>'Jul 14'!$D$39</f>
        <v>0</v>
      </c>
      <c r="D494" s="23">
        <f>'Jul 14'!$B$39</f>
        <v>0</v>
      </c>
      <c r="E494" s="64">
        <f>'Jul 14'!$E$39</f>
        <v>0</v>
      </c>
      <c r="F494" s="23">
        <f>'Jul 14'!$A$39</f>
        <v>0</v>
      </c>
      <c r="G494" s="64">
        <f>'Jul 14'!$F$39</f>
        <v>0</v>
      </c>
      <c r="H494" s="64">
        <f>'Jul 14'!$G$39</f>
        <v>0</v>
      </c>
      <c r="I494" s="64" t="str">
        <f>'Jul 14'!$M$39</f>
        <v/>
      </c>
      <c r="J494" s="25" t="str">
        <f>'Jul 14'!$S$39</f>
        <v/>
      </c>
      <c r="K494" s="23">
        <f>'Jul 14'!$AG$39</f>
        <v>0</v>
      </c>
      <c r="L494" s="23">
        <f>'Jul 14'!$N$39</f>
        <v>0</v>
      </c>
    </row>
    <row r="495" spans="1:12" x14ac:dyDescent="0.25">
      <c r="A495" s="66" t="str">
        <f t="shared" si="7"/>
        <v>✓</v>
      </c>
      <c r="B495" s="67">
        <v>46217</v>
      </c>
      <c r="C495" s="23">
        <f>'Jul 14'!$D$40</f>
        <v>0</v>
      </c>
      <c r="D495" s="23">
        <f>'Jul 14'!$B$40</f>
        <v>0</v>
      </c>
      <c r="E495" s="64">
        <f>'Jul 14'!$E$40</f>
        <v>0</v>
      </c>
      <c r="F495" s="23">
        <f>'Jul 14'!$A$40</f>
        <v>0</v>
      </c>
      <c r="G495" s="64">
        <f>'Jul 14'!$F$40</f>
        <v>0</v>
      </c>
      <c r="H495" s="64">
        <f>'Jul 14'!$G$40</f>
        <v>0</v>
      </c>
      <c r="I495" s="64" t="str">
        <f>'Jul 14'!$M$40</f>
        <v/>
      </c>
      <c r="J495" s="25" t="str">
        <f>'Jul 14'!$S$40</f>
        <v/>
      </c>
      <c r="K495" s="23">
        <f>'Jul 14'!$AG$40</f>
        <v>0</v>
      </c>
      <c r="L495" s="23">
        <f>'Jul 14'!$N$40</f>
        <v>0</v>
      </c>
    </row>
    <row r="496" spans="1:12" x14ac:dyDescent="0.25">
      <c r="A496" s="66" t="str">
        <f t="shared" si="7"/>
        <v>✓</v>
      </c>
      <c r="B496" s="67">
        <v>46217</v>
      </c>
      <c r="C496" s="23">
        <f>'Jul 14'!$D$41</f>
        <v>0</v>
      </c>
      <c r="D496" s="23">
        <f>'Jul 14'!$B$41</f>
        <v>0</v>
      </c>
      <c r="E496" s="64">
        <f>'Jul 14'!$E$41</f>
        <v>0</v>
      </c>
      <c r="F496" s="23">
        <f>'Jul 14'!$A$41</f>
        <v>0</v>
      </c>
      <c r="G496" s="64">
        <f>'Jul 14'!$F$41</f>
        <v>0</v>
      </c>
      <c r="H496" s="64">
        <f>'Jul 14'!$G$41</f>
        <v>0</v>
      </c>
      <c r="I496" s="64" t="str">
        <f>'Jul 14'!$M$41</f>
        <v/>
      </c>
      <c r="J496" s="25" t="str">
        <f>'Jul 14'!$S$41</f>
        <v/>
      </c>
      <c r="K496" s="23">
        <f>'Jul 14'!$AG$41</f>
        <v>0</v>
      </c>
      <c r="L496" s="23">
        <f>'Jul 14'!$N$41</f>
        <v>0</v>
      </c>
    </row>
    <row r="497" spans="1:12" x14ac:dyDescent="0.25">
      <c r="A497" s="66" t="str">
        <f t="shared" si="7"/>
        <v>✓</v>
      </c>
      <c r="B497" s="67">
        <v>46217</v>
      </c>
      <c r="C497" s="23">
        <f>'Jul 14'!$D$42</f>
        <v>0</v>
      </c>
      <c r="D497" s="23">
        <f>'Jul 14'!$B$42</f>
        <v>0</v>
      </c>
      <c r="E497" s="64">
        <f>'Jul 14'!$E$42</f>
        <v>0</v>
      </c>
      <c r="F497" s="23">
        <f>'Jul 14'!$A$42</f>
        <v>0</v>
      </c>
      <c r="G497" s="64">
        <f>'Jul 14'!$F$42</f>
        <v>0</v>
      </c>
      <c r="H497" s="64">
        <f>'Jul 14'!$G$42</f>
        <v>0</v>
      </c>
      <c r="I497" s="64" t="str">
        <f>'Jul 14'!$M$42</f>
        <v/>
      </c>
      <c r="J497" s="25" t="str">
        <f>'Jul 14'!$S$42</f>
        <v/>
      </c>
      <c r="K497" s="23">
        <f>'Jul 14'!$AG$42</f>
        <v>0</v>
      </c>
      <c r="L497" s="23">
        <f>'Jul 14'!$N$42</f>
        <v>0</v>
      </c>
    </row>
    <row r="498" spans="1:12" x14ac:dyDescent="0.25">
      <c r="A498" s="66" t="str">
        <f t="shared" si="7"/>
        <v>✓</v>
      </c>
      <c r="B498" s="67">
        <v>46218</v>
      </c>
      <c r="C498" s="23">
        <f>'Jul 15'!$D$8</f>
        <v>0</v>
      </c>
      <c r="D498" s="23">
        <f>'Jul 15'!$B$8</f>
        <v>0</v>
      </c>
      <c r="E498" s="64">
        <f>'Jul 15'!$E$8</f>
        <v>0</v>
      </c>
      <c r="F498" s="23">
        <f>'Jul 15'!$A$8</f>
        <v>0</v>
      </c>
      <c r="G498" s="64">
        <f>'Jul 15'!$F$8</f>
        <v>0</v>
      </c>
      <c r="H498" s="64">
        <f>'Jul 15'!$G$8</f>
        <v>0</v>
      </c>
      <c r="I498" s="64" t="str">
        <f>'Jul 15'!$M$8</f>
        <v/>
      </c>
      <c r="J498" s="25" t="str">
        <f>'Jul 15'!$S$8</f>
        <v/>
      </c>
      <c r="K498" s="23">
        <f>'Jul 15'!$AG$8</f>
        <v>0</v>
      </c>
      <c r="L498" s="23">
        <f>'Jul 15'!$N$8</f>
        <v>0</v>
      </c>
    </row>
    <row r="499" spans="1:12" x14ac:dyDescent="0.25">
      <c r="A499" s="66" t="str">
        <f t="shared" si="7"/>
        <v>✓</v>
      </c>
      <c r="B499" s="67">
        <v>46218</v>
      </c>
      <c r="C499" s="23">
        <f>'Jul 15'!$D$9</f>
        <v>0</v>
      </c>
      <c r="D499" s="23">
        <f>'Jul 15'!$B$9</f>
        <v>0</v>
      </c>
      <c r="E499" s="64">
        <f>'Jul 15'!$E$9</f>
        <v>0</v>
      </c>
      <c r="F499" s="23">
        <f>'Jul 15'!$A$9</f>
        <v>0</v>
      </c>
      <c r="G499" s="64">
        <f>'Jul 15'!$F$9</f>
        <v>0</v>
      </c>
      <c r="H499" s="64">
        <f>'Jul 15'!$G$9</f>
        <v>0</v>
      </c>
      <c r="I499" s="64" t="str">
        <f>'Jul 15'!$M$9</f>
        <v/>
      </c>
      <c r="J499" s="25" t="str">
        <f>'Jul 15'!$S$9</f>
        <v/>
      </c>
      <c r="K499" s="23">
        <f>'Jul 15'!$AG$9</f>
        <v>0</v>
      </c>
      <c r="L499" s="23">
        <f>'Jul 15'!$N$9</f>
        <v>0</v>
      </c>
    </row>
    <row r="500" spans="1:12" x14ac:dyDescent="0.25">
      <c r="A500" s="66" t="str">
        <f t="shared" si="7"/>
        <v>✓</v>
      </c>
      <c r="B500" s="67">
        <v>46218</v>
      </c>
      <c r="C500" s="23">
        <f>'Jul 15'!$D$10</f>
        <v>0</v>
      </c>
      <c r="D500" s="23">
        <f>'Jul 15'!$B$10</f>
        <v>0</v>
      </c>
      <c r="E500" s="64">
        <f>'Jul 15'!$E$10</f>
        <v>0</v>
      </c>
      <c r="F500" s="23">
        <f>'Jul 15'!$A$10</f>
        <v>0</v>
      </c>
      <c r="G500" s="64">
        <f>'Jul 15'!$F$10</f>
        <v>0</v>
      </c>
      <c r="H500" s="64">
        <f>'Jul 15'!$G$10</f>
        <v>0</v>
      </c>
      <c r="I500" s="64" t="str">
        <f>'Jul 15'!$M$10</f>
        <v/>
      </c>
      <c r="J500" s="25" t="str">
        <f>'Jul 15'!$S$10</f>
        <v/>
      </c>
      <c r="K500" s="23">
        <f>'Jul 15'!$AG$10</f>
        <v>0</v>
      </c>
      <c r="L500" s="23">
        <f>'Jul 15'!$N$10</f>
        <v>0</v>
      </c>
    </row>
    <row r="501" spans="1:12" x14ac:dyDescent="0.25">
      <c r="A501" s="66" t="str">
        <f t="shared" si="7"/>
        <v>✓</v>
      </c>
      <c r="B501" s="67">
        <v>46218</v>
      </c>
      <c r="C501" s="23">
        <f>'Jul 15'!$D$11</f>
        <v>0</v>
      </c>
      <c r="D501" s="23">
        <f>'Jul 15'!$B$11</f>
        <v>0</v>
      </c>
      <c r="E501" s="64">
        <f>'Jul 15'!$E$11</f>
        <v>0</v>
      </c>
      <c r="F501" s="23">
        <f>'Jul 15'!$A$11</f>
        <v>0</v>
      </c>
      <c r="G501" s="64">
        <f>'Jul 15'!$F$11</f>
        <v>0</v>
      </c>
      <c r="H501" s="64">
        <f>'Jul 15'!$G$11</f>
        <v>0</v>
      </c>
      <c r="I501" s="64" t="str">
        <f>'Jul 15'!$M$11</f>
        <v/>
      </c>
      <c r="J501" s="25" t="str">
        <f>'Jul 15'!$S$11</f>
        <v/>
      </c>
      <c r="K501" s="23">
        <f>'Jul 15'!$AG$11</f>
        <v>0</v>
      </c>
      <c r="L501" s="23">
        <f>'Jul 15'!$N$11</f>
        <v>0</v>
      </c>
    </row>
    <row r="502" spans="1:12" x14ac:dyDescent="0.25">
      <c r="A502" s="66" t="str">
        <f t="shared" si="7"/>
        <v>✓</v>
      </c>
      <c r="B502" s="67">
        <v>46218</v>
      </c>
      <c r="C502" s="23">
        <f>'Jul 15'!$D$12</f>
        <v>0</v>
      </c>
      <c r="D502" s="23">
        <f>'Jul 15'!$B$12</f>
        <v>0</v>
      </c>
      <c r="E502" s="64">
        <f>'Jul 15'!$E$12</f>
        <v>0</v>
      </c>
      <c r="F502" s="23">
        <f>'Jul 15'!$A$12</f>
        <v>0</v>
      </c>
      <c r="G502" s="64">
        <f>'Jul 15'!$F$12</f>
        <v>0</v>
      </c>
      <c r="H502" s="64">
        <f>'Jul 15'!$G$12</f>
        <v>0</v>
      </c>
      <c r="I502" s="64" t="str">
        <f>'Jul 15'!$M$12</f>
        <v/>
      </c>
      <c r="J502" s="25" t="str">
        <f>'Jul 15'!$S$12</f>
        <v/>
      </c>
      <c r="K502" s="23">
        <f>'Jul 15'!$AG$12</f>
        <v>0</v>
      </c>
      <c r="L502" s="23">
        <f>'Jul 15'!$N$12</f>
        <v>0</v>
      </c>
    </row>
    <row r="503" spans="1:12" x14ac:dyDescent="0.25">
      <c r="A503" s="66" t="str">
        <f t="shared" si="7"/>
        <v>✓</v>
      </c>
      <c r="B503" s="67">
        <v>46218</v>
      </c>
      <c r="C503" s="23">
        <f>'Jul 15'!$D$13</f>
        <v>0</v>
      </c>
      <c r="D503" s="23">
        <f>'Jul 15'!$B$13</f>
        <v>0</v>
      </c>
      <c r="E503" s="64">
        <f>'Jul 15'!$E$13</f>
        <v>0</v>
      </c>
      <c r="F503" s="23">
        <f>'Jul 15'!$A$13</f>
        <v>0</v>
      </c>
      <c r="G503" s="64">
        <f>'Jul 15'!$F$13</f>
        <v>0</v>
      </c>
      <c r="H503" s="64">
        <f>'Jul 15'!$G$13</f>
        <v>0</v>
      </c>
      <c r="I503" s="64" t="str">
        <f>'Jul 15'!$M$13</f>
        <v/>
      </c>
      <c r="J503" s="25" t="str">
        <f>'Jul 15'!$S$13</f>
        <v/>
      </c>
      <c r="K503" s="23">
        <f>'Jul 15'!$AG$13</f>
        <v>0</v>
      </c>
      <c r="L503" s="23">
        <f>'Jul 15'!$N$13</f>
        <v>0</v>
      </c>
    </row>
    <row r="504" spans="1:12" x14ac:dyDescent="0.25">
      <c r="A504" s="66" t="str">
        <f t="shared" si="7"/>
        <v>✓</v>
      </c>
      <c r="B504" s="67">
        <v>46218</v>
      </c>
      <c r="C504" s="23">
        <f>'Jul 15'!$D$14</f>
        <v>0</v>
      </c>
      <c r="D504" s="23">
        <f>'Jul 15'!$B$14</f>
        <v>0</v>
      </c>
      <c r="E504" s="64">
        <f>'Jul 15'!$E$14</f>
        <v>0</v>
      </c>
      <c r="F504" s="23">
        <f>'Jul 15'!$A$14</f>
        <v>0</v>
      </c>
      <c r="G504" s="64">
        <f>'Jul 15'!$F$14</f>
        <v>0</v>
      </c>
      <c r="H504" s="64">
        <f>'Jul 15'!$G$14</f>
        <v>0</v>
      </c>
      <c r="I504" s="64" t="str">
        <f>'Jul 15'!$M$14</f>
        <v/>
      </c>
      <c r="J504" s="25" t="str">
        <f>'Jul 15'!$S$14</f>
        <v/>
      </c>
      <c r="K504" s="23">
        <f>'Jul 15'!$AG$14</f>
        <v>0</v>
      </c>
      <c r="L504" s="23">
        <f>'Jul 15'!$N$14</f>
        <v>0</v>
      </c>
    </row>
    <row r="505" spans="1:12" x14ac:dyDescent="0.25">
      <c r="A505" s="66" t="str">
        <f t="shared" si="7"/>
        <v>✓</v>
      </c>
      <c r="B505" s="67">
        <v>46218</v>
      </c>
      <c r="C505" s="23">
        <f>'Jul 15'!$D$15</f>
        <v>0</v>
      </c>
      <c r="D505" s="23">
        <f>'Jul 15'!$B$15</f>
        <v>0</v>
      </c>
      <c r="E505" s="64">
        <f>'Jul 15'!$E$15</f>
        <v>0</v>
      </c>
      <c r="F505" s="23">
        <f>'Jul 15'!$A$15</f>
        <v>0</v>
      </c>
      <c r="G505" s="64">
        <f>'Jul 15'!$F$15</f>
        <v>0</v>
      </c>
      <c r="H505" s="64">
        <f>'Jul 15'!$G$15</f>
        <v>0</v>
      </c>
      <c r="I505" s="64" t="str">
        <f>'Jul 15'!$M$15</f>
        <v/>
      </c>
      <c r="J505" s="25" t="str">
        <f>'Jul 15'!$S$15</f>
        <v/>
      </c>
      <c r="K505" s="23">
        <f>'Jul 15'!$AG$15</f>
        <v>0</v>
      </c>
      <c r="L505" s="23">
        <f>'Jul 15'!$N$15</f>
        <v>0</v>
      </c>
    </row>
    <row r="506" spans="1:12" x14ac:dyDescent="0.25">
      <c r="A506" s="66" t="str">
        <f t="shared" si="7"/>
        <v>✓</v>
      </c>
      <c r="B506" s="67">
        <v>46218</v>
      </c>
      <c r="C506" s="23">
        <f>'Jul 15'!$D$16</f>
        <v>0</v>
      </c>
      <c r="D506" s="23">
        <f>'Jul 15'!$B$16</f>
        <v>0</v>
      </c>
      <c r="E506" s="64">
        <f>'Jul 15'!$E$16</f>
        <v>0</v>
      </c>
      <c r="F506" s="23">
        <f>'Jul 15'!$A$16</f>
        <v>0</v>
      </c>
      <c r="G506" s="64">
        <f>'Jul 15'!$F$16</f>
        <v>0</v>
      </c>
      <c r="H506" s="64">
        <f>'Jul 15'!$G$16</f>
        <v>0</v>
      </c>
      <c r="I506" s="64" t="str">
        <f>'Jul 15'!$M$16</f>
        <v/>
      </c>
      <c r="J506" s="25" t="str">
        <f>'Jul 15'!$S$16</f>
        <v/>
      </c>
      <c r="K506" s="23">
        <f>'Jul 15'!$AG$16</f>
        <v>0</v>
      </c>
      <c r="L506" s="23">
        <f>'Jul 15'!$N$16</f>
        <v>0</v>
      </c>
    </row>
    <row r="507" spans="1:12" x14ac:dyDescent="0.25">
      <c r="A507" s="66" t="str">
        <f t="shared" si="7"/>
        <v>✓</v>
      </c>
      <c r="B507" s="67">
        <v>46218</v>
      </c>
      <c r="C507" s="23">
        <f>'Jul 15'!$D$17</f>
        <v>0</v>
      </c>
      <c r="D507" s="23">
        <f>'Jul 15'!$B$17</f>
        <v>0</v>
      </c>
      <c r="E507" s="64">
        <f>'Jul 15'!$E$17</f>
        <v>0</v>
      </c>
      <c r="F507" s="23">
        <f>'Jul 15'!$A$17</f>
        <v>0</v>
      </c>
      <c r="G507" s="64">
        <f>'Jul 15'!$F$17</f>
        <v>0</v>
      </c>
      <c r="H507" s="64">
        <f>'Jul 15'!$G$17</f>
        <v>0</v>
      </c>
      <c r="I507" s="64" t="str">
        <f>'Jul 15'!$M$17</f>
        <v/>
      </c>
      <c r="J507" s="25" t="str">
        <f>'Jul 15'!$S$17</f>
        <v/>
      </c>
      <c r="K507" s="23">
        <f>'Jul 15'!$AG$17</f>
        <v>0</v>
      </c>
      <c r="L507" s="23">
        <f>'Jul 15'!$N$17</f>
        <v>0</v>
      </c>
    </row>
    <row r="508" spans="1:12" x14ac:dyDescent="0.25">
      <c r="A508" s="66" t="str">
        <f t="shared" si="7"/>
        <v>✓</v>
      </c>
      <c r="B508" s="67">
        <v>46218</v>
      </c>
      <c r="C508" s="23">
        <f>'Jul 15'!$D$18</f>
        <v>0</v>
      </c>
      <c r="D508" s="23">
        <f>'Jul 15'!$B$18</f>
        <v>0</v>
      </c>
      <c r="E508" s="64">
        <f>'Jul 15'!$E$18</f>
        <v>0</v>
      </c>
      <c r="F508" s="23">
        <f>'Jul 15'!$A$18</f>
        <v>0</v>
      </c>
      <c r="G508" s="64">
        <f>'Jul 15'!$F$18</f>
        <v>0</v>
      </c>
      <c r="H508" s="64">
        <f>'Jul 15'!$G$18</f>
        <v>0</v>
      </c>
      <c r="I508" s="64" t="str">
        <f>'Jul 15'!$M$18</f>
        <v/>
      </c>
      <c r="J508" s="25" t="str">
        <f>'Jul 15'!$S$18</f>
        <v/>
      </c>
      <c r="K508" s="23">
        <f>'Jul 15'!$AG$18</f>
        <v>0</v>
      </c>
      <c r="L508" s="23">
        <f>'Jul 15'!$N$18</f>
        <v>0</v>
      </c>
    </row>
    <row r="509" spans="1:12" x14ac:dyDescent="0.25">
      <c r="A509" s="66" t="str">
        <f t="shared" si="7"/>
        <v>✓</v>
      </c>
      <c r="B509" s="67">
        <v>46218</v>
      </c>
      <c r="C509" s="23">
        <f>'Jul 15'!$D$19</f>
        <v>0</v>
      </c>
      <c r="D509" s="23">
        <f>'Jul 15'!$B$19</f>
        <v>0</v>
      </c>
      <c r="E509" s="64">
        <f>'Jul 15'!$E$19</f>
        <v>0</v>
      </c>
      <c r="F509" s="23">
        <f>'Jul 15'!$A$19</f>
        <v>0</v>
      </c>
      <c r="G509" s="64">
        <f>'Jul 15'!$F$19</f>
        <v>0</v>
      </c>
      <c r="H509" s="64">
        <f>'Jul 15'!$G$19</f>
        <v>0</v>
      </c>
      <c r="I509" s="64" t="str">
        <f>'Jul 15'!$M$19</f>
        <v/>
      </c>
      <c r="J509" s="25" t="str">
        <f>'Jul 15'!$S$19</f>
        <v/>
      </c>
      <c r="K509" s="23">
        <f>'Jul 15'!$AG$19</f>
        <v>0</v>
      </c>
      <c r="L509" s="23">
        <f>'Jul 15'!$N$19</f>
        <v>0</v>
      </c>
    </row>
    <row r="510" spans="1:12" x14ac:dyDescent="0.25">
      <c r="A510" s="66" t="str">
        <f t="shared" si="7"/>
        <v>✓</v>
      </c>
      <c r="B510" s="67">
        <v>46218</v>
      </c>
      <c r="C510" s="23">
        <f>'Jul 15'!$D$20</f>
        <v>0</v>
      </c>
      <c r="D510" s="23">
        <f>'Jul 15'!$B$20</f>
        <v>0</v>
      </c>
      <c r="E510" s="64">
        <f>'Jul 15'!$E$20</f>
        <v>0</v>
      </c>
      <c r="F510" s="23">
        <f>'Jul 15'!$A$20</f>
        <v>0</v>
      </c>
      <c r="G510" s="64">
        <f>'Jul 15'!$F$20</f>
        <v>0</v>
      </c>
      <c r="H510" s="64">
        <f>'Jul 15'!$G$20</f>
        <v>0</v>
      </c>
      <c r="I510" s="64" t="str">
        <f>'Jul 15'!$M$20</f>
        <v/>
      </c>
      <c r="J510" s="25" t="str">
        <f>'Jul 15'!$S$20</f>
        <v/>
      </c>
      <c r="K510" s="23">
        <f>'Jul 15'!$AG$20</f>
        <v>0</v>
      </c>
      <c r="L510" s="23">
        <f>'Jul 15'!$N$20</f>
        <v>0</v>
      </c>
    </row>
    <row r="511" spans="1:12" x14ac:dyDescent="0.25">
      <c r="A511" s="66" t="str">
        <f t="shared" si="7"/>
        <v>✓</v>
      </c>
      <c r="B511" s="67">
        <v>46218</v>
      </c>
      <c r="C511" s="23">
        <f>'Jul 15'!$D$21</f>
        <v>0</v>
      </c>
      <c r="D511" s="23">
        <f>'Jul 15'!$B$21</f>
        <v>0</v>
      </c>
      <c r="E511" s="64">
        <f>'Jul 15'!$E$21</f>
        <v>0</v>
      </c>
      <c r="F511" s="23">
        <f>'Jul 15'!$A$21</f>
        <v>0</v>
      </c>
      <c r="G511" s="64">
        <f>'Jul 15'!$F$21</f>
        <v>0</v>
      </c>
      <c r="H511" s="64">
        <f>'Jul 15'!$G$21</f>
        <v>0</v>
      </c>
      <c r="I511" s="64" t="str">
        <f>'Jul 15'!$M$21</f>
        <v/>
      </c>
      <c r="J511" s="25" t="str">
        <f>'Jul 15'!$S$21</f>
        <v/>
      </c>
      <c r="K511" s="23">
        <f>'Jul 15'!$AG$21</f>
        <v>0</v>
      </c>
      <c r="L511" s="23">
        <f>'Jul 15'!$N$21</f>
        <v>0</v>
      </c>
    </row>
    <row r="512" spans="1:12" x14ac:dyDescent="0.25">
      <c r="A512" s="66" t="str">
        <f t="shared" si="7"/>
        <v>✓</v>
      </c>
      <c r="B512" s="67">
        <v>46218</v>
      </c>
      <c r="C512" s="23">
        <f>'Jul 15'!$D$22</f>
        <v>0</v>
      </c>
      <c r="D512" s="23">
        <f>'Jul 15'!$B$22</f>
        <v>0</v>
      </c>
      <c r="E512" s="64">
        <f>'Jul 15'!$E$22</f>
        <v>0</v>
      </c>
      <c r="F512" s="23">
        <f>'Jul 15'!$A$22</f>
        <v>0</v>
      </c>
      <c r="G512" s="64">
        <f>'Jul 15'!$F$22</f>
        <v>0</v>
      </c>
      <c r="H512" s="64">
        <f>'Jul 15'!$G$22</f>
        <v>0</v>
      </c>
      <c r="I512" s="64" t="str">
        <f>'Jul 15'!$M$22</f>
        <v/>
      </c>
      <c r="J512" s="25" t="str">
        <f>'Jul 15'!$S$22</f>
        <v/>
      </c>
      <c r="K512" s="23">
        <f>'Jul 15'!$AG$22</f>
        <v>0</v>
      </c>
      <c r="L512" s="23">
        <f>'Jul 15'!$N$22</f>
        <v>0</v>
      </c>
    </row>
    <row r="513" spans="1:12" x14ac:dyDescent="0.25">
      <c r="A513" s="66" t="str">
        <f t="shared" si="7"/>
        <v>✓</v>
      </c>
      <c r="B513" s="67">
        <v>46218</v>
      </c>
      <c r="C513" s="23">
        <f>'Jul 15'!$D$23</f>
        <v>0</v>
      </c>
      <c r="D513" s="23">
        <f>'Jul 15'!$B$23</f>
        <v>0</v>
      </c>
      <c r="E513" s="64">
        <f>'Jul 15'!$E$23</f>
        <v>0</v>
      </c>
      <c r="F513" s="23">
        <f>'Jul 15'!$A$23</f>
        <v>0</v>
      </c>
      <c r="G513" s="64">
        <f>'Jul 15'!$F$23</f>
        <v>0</v>
      </c>
      <c r="H513" s="64">
        <f>'Jul 15'!$G$23</f>
        <v>0</v>
      </c>
      <c r="I513" s="64" t="str">
        <f>'Jul 15'!$M$23</f>
        <v/>
      </c>
      <c r="J513" s="25" t="str">
        <f>'Jul 15'!$S$23</f>
        <v/>
      </c>
      <c r="K513" s="23">
        <f>'Jul 15'!$AG$23</f>
        <v>0</v>
      </c>
      <c r="L513" s="23">
        <f>'Jul 15'!$N$23</f>
        <v>0</v>
      </c>
    </row>
    <row r="514" spans="1:12" x14ac:dyDescent="0.25">
      <c r="A514" s="66" t="str">
        <f t="shared" si="7"/>
        <v>✓</v>
      </c>
      <c r="B514" s="67">
        <v>46218</v>
      </c>
      <c r="C514" s="23">
        <f>'Jul 15'!$D$24</f>
        <v>0</v>
      </c>
      <c r="D514" s="23">
        <f>'Jul 15'!$B$24</f>
        <v>0</v>
      </c>
      <c r="E514" s="64">
        <f>'Jul 15'!$E$24</f>
        <v>0</v>
      </c>
      <c r="F514" s="23">
        <f>'Jul 15'!$A$24</f>
        <v>0</v>
      </c>
      <c r="G514" s="64">
        <f>'Jul 15'!$F$24</f>
        <v>0</v>
      </c>
      <c r="H514" s="64">
        <f>'Jul 15'!$G$24</f>
        <v>0</v>
      </c>
      <c r="I514" s="64" t="str">
        <f>'Jul 15'!$M$24</f>
        <v/>
      </c>
      <c r="J514" s="25" t="str">
        <f>'Jul 15'!$S$24</f>
        <v/>
      </c>
      <c r="K514" s="23">
        <f>'Jul 15'!$AG$24</f>
        <v>0</v>
      </c>
      <c r="L514" s="23">
        <f>'Jul 15'!$N$24</f>
        <v>0</v>
      </c>
    </row>
    <row r="515" spans="1:12" x14ac:dyDescent="0.25">
      <c r="A515" s="66" t="str">
        <f t="shared" si="7"/>
        <v>✓</v>
      </c>
      <c r="B515" s="67">
        <v>46218</v>
      </c>
      <c r="C515" s="23">
        <f>'Jul 15'!$D$25</f>
        <v>0</v>
      </c>
      <c r="D515" s="23">
        <f>'Jul 15'!$B$25</f>
        <v>0</v>
      </c>
      <c r="E515" s="64">
        <f>'Jul 15'!$E$25</f>
        <v>0</v>
      </c>
      <c r="F515" s="23">
        <f>'Jul 15'!$A$25</f>
        <v>0</v>
      </c>
      <c r="G515" s="64">
        <f>'Jul 15'!$F$25</f>
        <v>0</v>
      </c>
      <c r="H515" s="64">
        <f>'Jul 15'!$G$25</f>
        <v>0</v>
      </c>
      <c r="I515" s="64" t="str">
        <f>'Jul 15'!$M$25</f>
        <v/>
      </c>
      <c r="J515" s="25" t="str">
        <f>'Jul 15'!$S$25</f>
        <v/>
      </c>
      <c r="K515" s="23">
        <f>'Jul 15'!$AG$25</f>
        <v>0</v>
      </c>
      <c r="L515" s="23">
        <f>'Jul 15'!$N$25</f>
        <v>0</v>
      </c>
    </row>
    <row r="516" spans="1:12" x14ac:dyDescent="0.25">
      <c r="A516" s="66" t="str">
        <f t="shared" si="7"/>
        <v>✓</v>
      </c>
      <c r="B516" s="67">
        <v>46218</v>
      </c>
      <c r="C516" s="23">
        <f>'Jul 15'!$D$26</f>
        <v>0</v>
      </c>
      <c r="D516" s="23">
        <f>'Jul 15'!$B$26</f>
        <v>0</v>
      </c>
      <c r="E516" s="64">
        <f>'Jul 15'!$E$26</f>
        <v>0</v>
      </c>
      <c r="F516" s="23">
        <f>'Jul 15'!$A$26</f>
        <v>0</v>
      </c>
      <c r="G516" s="64">
        <f>'Jul 15'!$F$26</f>
        <v>0</v>
      </c>
      <c r="H516" s="64">
        <f>'Jul 15'!$G$26</f>
        <v>0</v>
      </c>
      <c r="I516" s="64" t="str">
        <f>'Jul 15'!$M$26</f>
        <v/>
      </c>
      <c r="J516" s="25" t="str">
        <f>'Jul 15'!$S$26</f>
        <v/>
      </c>
      <c r="K516" s="23">
        <f>'Jul 15'!$AG$26</f>
        <v>0</v>
      </c>
      <c r="L516" s="23">
        <f>'Jul 15'!$N$26</f>
        <v>0</v>
      </c>
    </row>
    <row r="517" spans="1:12" x14ac:dyDescent="0.25">
      <c r="A517" s="66" t="str">
        <f t="shared" si="7"/>
        <v>✓</v>
      </c>
      <c r="B517" s="67">
        <v>46218</v>
      </c>
      <c r="C517" s="23">
        <f>'Jul 15'!$D$27</f>
        <v>0</v>
      </c>
      <c r="D517" s="23">
        <f>'Jul 15'!$B$27</f>
        <v>0</v>
      </c>
      <c r="E517" s="64">
        <f>'Jul 15'!$E$27</f>
        <v>0</v>
      </c>
      <c r="F517" s="23">
        <f>'Jul 15'!$A$27</f>
        <v>0</v>
      </c>
      <c r="G517" s="64">
        <f>'Jul 15'!$F$27</f>
        <v>0</v>
      </c>
      <c r="H517" s="64">
        <f>'Jul 15'!$G$27</f>
        <v>0</v>
      </c>
      <c r="I517" s="64" t="str">
        <f>'Jul 15'!$M$27</f>
        <v/>
      </c>
      <c r="J517" s="25" t="str">
        <f>'Jul 15'!$S$27</f>
        <v/>
      </c>
      <c r="K517" s="23">
        <f>'Jul 15'!$AG$27</f>
        <v>0</v>
      </c>
      <c r="L517" s="23">
        <f>'Jul 15'!$N$27</f>
        <v>0</v>
      </c>
    </row>
    <row r="518" spans="1:12" x14ac:dyDescent="0.25">
      <c r="A518" s="66" t="str">
        <f t="shared" si="7"/>
        <v>✓</v>
      </c>
      <c r="B518" s="67">
        <v>46218</v>
      </c>
      <c r="C518" s="23">
        <f>'Jul 15'!$D$28</f>
        <v>0</v>
      </c>
      <c r="D518" s="23">
        <f>'Jul 15'!$B$28</f>
        <v>0</v>
      </c>
      <c r="E518" s="64">
        <f>'Jul 15'!$E$28</f>
        <v>0</v>
      </c>
      <c r="F518" s="23">
        <f>'Jul 15'!$A$28</f>
        <v>0</v>
      </c>
      <c r="G518" s="64">
        <f>'Jul 15'!$F$28</f>
        <v>0</v>
      </c>
      <c r="H518" s="64">
        <f>'Jul 15'!$G$28</f>
        <v>0</v>
      </c>
      <c r="I518" s="64" t="str">
        <f>'Jul 15'!$M$28</f>
        <v/>
      </c>
      <c r="J518" s="25" t="str">
        <f>'Jul 15'!$S$28</f>
        <v/>
      </c>
      <c r="K518" s="23">
        <f>'Jul 15'!$AG$28</f>
        <v>0</v>
      </c>
      <c r="L518" s="23">
        <f>'Jul 15'!$N$28</f>
        <v>0</v>
      </c>
    </row>
    <row r="519" spans="1:12" x14ac:dyDescent="0.25">
      <c r="A519" s="66" t="str">
        <f t="shared" si="7"/>
        <v>✓</v>
      </c>
      <c r="B519" s="67">
        <v>46218</v>
      </c>
      <c r="C519" s="23">
        <f>'Jul 15'!$D$29</f>
        <v>0</v>
      </c>
      <c r="D519" s="23">
        <f>'Jul 15'!$B$29</f>
        <v>0</v>
      </c>
      <c r="E519" s="64">
        <f>'Jul 15'!$E$29</f>
        <v>0</v>
      </c>
      <c r="F519" s="23">
        <f>'Jul 15'!$A$29</f>
        <v>0</v>
      </c>
      <c r="G519" s="64">
        <f>'Jul 15'!$F$29</f>
        <v>0</v>
      </c>
      <c r="H519" s="64">
        <f>'Jul 15'!$G$29</f>
        <v>0</v>
      </c>
      <c r="I519" s="64" t="str">
        <f>'Jul 15'!$M$29</f>
        <v/>
      </c>
      <c r="J519" s="25" t="str">
        <f>'Jul 15'!$S$29</f>
        <v/>
      </c>
      <c r="K519" s="23">
        <f>'Jul 15'!$AG$29</f>
        <v>0</v>
      </c>
      <c r="L519" s="23">
        <f>'Jul 15'!$N$29</f>
        <v>0</v>
      </c>
    </row>
    <row r="520" spans="1:12" x14ac:dyDescent="0.25">
      <c r="A520" s="66" t="str">
        <f t="shared" ref="A520:A583" si="8">IF(C520="","",IF(AND(OR($B$5="",G520=$B$5,H520=$B$5),OR($D$5="",F520=$D$5),OR($E$5="",K520=$E$5),OR($G$5="",L520=$G$5),OR($H$5="",N(J520)&gt;=$H$5),OR($I$5="",ISNUMBER(SEARCH($I$5,C520&amp;" "&amp;D520&amp;" "&amp;E520&amp;" "&amp;I520)))),"✓",""))</f>
        <v>✓</v>
      </c>
      <c r="B520" s="67">
        <v>46218</v>
      </c>
      <c r="C520" s="23">
        <f>'Jul 15'!$D$30</f>
        <v>0</v>
      </c>
      <c r="D520" s="23">
        <f>'Jul 15'!$B$30</f>
        <v>0</v>
      </c>
      <c r="E520" s="64">
        <f>'Jul 15'!$E$30</f>
        <v>0</v>
      </c>
      <c r="F520" s="23">
        <f>'Jul 15'!$A$30</f>
        <v>0</v>
      </c>
      <c r="G520" s="64">
        <f>'Jul 15'!$F$30</f>
        <v>0</v>
      </c>
      <c r="H520" s="64">
        <f>'Jul 15'!$G$30</f>
        <v>0</v>
      </c>
      <c r="I520" s="64" t="str">
        <f>'Jul 15'!$M$30</f>
        <v/>
      </c>
      <c r="J520" s="25" t="str">
        <f>'Jul 15'!$S$30</f>
        <v/>
      </c>
      <c r="K520" s="23">
        <f>'Jul 15'!$AG$30</f>
        <v>0</v>
      </c>
      <c r="L520" s="23">
        <f>'Jul 15'!$N$30</f>
        <v>0</v>
      </c>
    </row>
    <row r="521" spans="1:12" x14ac:dyDescent="0.25">
      <c r="A521" s="66" t="str">
        <f t="shared" si="8"/>
        <v>✓</v>
      </c>
      <c r="B521" s="67">
        <v>46218</v>
      </c>
      <c r="C521" s="23">
        <f>'Jul 15'!$D$31</f>
        <v>0</v>
      </c>
      <c r="D521" s="23">
        <f>'Jul 15'!$B$31</f>
        <v>0</v>
      </c>
      <c r="E521" s="64">
        <f>'Jul 15'!$E$31</f>
        <v>0</v>
      </c>
      <c r="F521" s="23">
        <f>'Jul 15'!$A$31</f>
        <v>0</v>
      </c>
      <c r="G521" s="64">
        <f>'Jul 15'!$F$31</f>
        <v>0</v>
      </c>
      <c r="H521" s="64">
        <f>'Jul 15'!$G$31</f>
        <v>0</v>
      </c>
      <c r="I521" s="64" t="str">
        <f>'Jul 15'!$M$31</f>
        <v/>
      </c>
      <c r="J521" s="25" t="str">
        <f>'Jul 15'!$S$31</f>
        <v/>
      </c>
      <c r="K521" s="23">
        <f>'Jul 15'!$AG$31</f>
        <v>0</v>
      </c>
      <c r="L521" s="23">
        <f>'Jul 15'!$N$31</f>
        <v>0</v>
      </c>
    </row>
    <row r="522" spans="1:12" x14ac:dyDescent="0.25">
      <c r="A522" s="66" t="str">
        <f t="shared" si="8"/>
        <v>✓</v>
      </c>
      <c r="B522" s="67">
        <v>46218</v>
      </c>
      <c r="C522" s="23">
        <f>'Jul 15'!$D$32</f>
        <v>0</v>
      </c>
      <c r="D522" s="23">
        <f>'Jul 15'!$B$32</f>
        <v>0</v>
      </c>
      <c r="E522" s="64">
        <f>'Jul 15'!$E$32</f>
        <v>0</v>
      </c>
      <c r="F522" s="23">
        <f>'Jul 15'!$A$32</f>
        <v>0</v>
      </c>
      <c r="G522" s="64">
        <f>'Jul 15'!$F$32</f>
        <v>0</v>
      </c>
      <c r="H522" s="64">
        <f>'Jul 15'!$G$32</f>
        <v>0</v>
      </c>
      <c r="I522" s="64" t="str">
        <f>'Jul 15'!$M$32</f>
        <v/>
      </c>
      <c r="J522" s="25" t="str">
        <f>'Jul 15'!$S$32</f>
        <v/>
      </c>
      <c r="K522" s="23">
        <f>'Jul 15'!$AG$32</f>
        <v>0</v>
      </c>
      <c r="L522" s="23">
        <f>'Jul 15'!$N$32</f>
        <v>0</v>
      </c>
    </row>
    <row r="523" spans="1:12" x14ac:dyDescent="0.25">
      <c r="A523" s="66" t="str">
        <f t="shared" si="8"/>
        <v>✓</v>
      </c>
      <c r="B523" s="67">
        <v>46218</v>
      </c>
      <c r="C523" s="23">
        <f>'Jul 15'!$D$33</f>
        <v>0</v>
      </c>
      <c r="D523" s="23">
        <f>'Jul 15'!$B$33</f>
        <v>0</v>
      </c>
      <c r="E523" s="64">
        <f>'Jul 15'!$E$33</f>
        <v>0</v>
      </c>
      <c r="F523" s="23">
        <f>'Jul 15'!$A$33</f>
        <v>0</v>
      </c>
      <c r="G523" s="64">
        <f>'Jul 15'!$F$33</f>
        <v>0</v>
      </c>
      <c r="H523" s="64">
        <f>'Jul 15'!$G$33</f>
        <v>0</v>
      </c>
      <c r="I523" s="64" t="str">
        <f>'Jul 15'!$M$33</f>
        <v/>
      </c>
      <c r="J523" s="25" t="str">
        <f>'Jul 15'!$S$33</f>
        <v/>
      </c>
      <c r="K523" s="23">
        <f>'Jul 15'!$AG$33</f>
        <v>0</v>
      </c>
      <c r="L523" s="23">
        <f>'Jul 15'!$N$33</f>
        <v>0</v>
      </c>
    </row>
    <row r="524" spans="1:12" x14ac:dyDescent="0.25">
      <c r="A524" s="66" t="str">
        <f t="shared" si="8"/>
        <v>✓</v>
      </c>
      <c r="B524" s="67">
        <v>46218</v>
      </c>
      <c r="C524" s="23">
        <f>'Jul 15'!$D$34</f>
        <v>0</v>
      </c>
      <c r="D524" s="23">
        <f>'Jul 15'!$B$34</f>
        <v>0</v>
      </c>
      <c r="E524" s="64">
        <f>'Jul 15'!$E$34</f>
        <v>0</v>
      </c>
      <c r="F524" s="23">
        <f>'Jul 15'!$A$34</f>
        <v>0</v>
      </c>
      <c r="G524" s="64">
        <f>'Jul 15'!$F$34</f>
        <v>0</v>
      </c>
      <c r="H524" s="64">
        <f>'Jul 15'!$G$34</f>
        <v>0</v>
      </c>
      <c r="I524" s="64" t="str">
        <f>'Jul 15'!$M$34</f>
        <v/>
      </c>
      <c r="J524" s="25" t="str">
        <f>'Jul 15'!$S$34</f>
        <v/>
      </c>
      <c r="K524" s="23">
        <f>'Jul 15'!$AG$34</f>
        <v>0</v>
      </c>
      <c r="L524" s="23">
        <f>'Jul 15'!$N$34</f>
        <v>0</v>
      </c>
    </row>
    <row r="525" spans="1:12" x14ac:dyDescent="0.25">
      <c r="A525" s="66" t="str">
        <f t="shared" si="8"/>
        <v>✓</v>
      </c>
      <c r="B525" s="67">
        <v>46218</v>
      </c>
      <c r="C525" s="23">
        <f>'Jul 15'!$D$35</f>
        <v>0</v>
      </c>
      <c r="D525" s="23">
        <f>'Jul 15'!$B$35</f>
        <v>0</v>
      </c>
      <c r="E525" s="64">
        <f>'Jul 15'!$E$35</f>
        <v>0</v>
      </c>
      <c r="F525" s="23">
        <f>'Jul 15'!$A$35</f>
        <v>0</v>
      </c>
      <c r="G525" s="64">
        <f>'Jul 15'!$F$35</f>
        <v>0</v>
      </c>
      <c r="H525" s="64">
        <f>'Jul 15'!$G$35</f>
        <v>0</v>
      </c>
      <c r="I525" s="64" t="str">
        <f>'Jul 15'!$M$35</f>
        <v/>
      </c>
      <c r="J525" s="25" t="str">
        <f>'Jul 15'!$S$35</f>
        <v/>
      </c>
      <c r="K525" s="23">
        <f>'Jul 15'!$AG$35</f>
        <v>0</v>
      </c>
      <c r="L525" s="23">
        <f>'Jul 15'!$N$35</f>
        <v>0</v>
      </c>
    </row>
    <row r="526" spans="1:12" x14ac:dyDescent="0.25">
      <c r="A526" s="66" t="str">
        <f t="shared" si="8"/>
        <v>✓</v>
      </c>
      <c r="B526" s="67">
        <v>46218</v>
      </c>
      <c r="C526" s="23">
        <f>'Jul 15'!$D$36</f>
        <v>0</v>
      </c>
      <c r="D526" s="23">
        <f>'Jul 15'!$B$36</f>
        <v>0</v>
      </c>
      <c r="E526" s="64">
        <f>'Jul 15'!$E$36</f>
        <v>0</v>
      </c>
      <c r="F526" s="23">
        <f>'Jul 15'!$A$36</f>
        <v>0</v>
      </c>
      <c r="G526" s="64">
        <f>'Jul 15'!$F$36</f>
        <v>0</v>
      </c>
      <c r="H526" s="64">
        <f>'Jul 15'!$G$36</f>
        <v>0</v>
      </c>
      <c r="I526" s="64" t="str">
        <f>'Jul 15'!$M$36</f>
        <v/>
      </c>
      <c r="J526" s="25" t="str">
        <f>'Jul 15'!$S$36</f>
        <v/>
      </c>
      <c r="K526" s="23">
        <f>'Jul 15'!$AG$36</f>
        <v>0</v>
      </c>
      <c r="L526" s="23">
        <f>'Jul 15'!$N$36</f>
        <v>0</v>
      </c>
    </row>
    <row r="527" spans="1:12" x14ac:dyDescent="0.25">
      <c r="A527" s="66" t="str">
        <f t="shared" si="8"/>
        <v>✓</v>
      </c>
      <c r="B527" s="67">
        <v>46218</v>
      </c>
      <c r="C527" s="23">
        <f>'Jul 15'!$D$37</f>
        <v>0</v>
      </c>
      <c r="D527" s="23">
        <f>'Jul 15'!$B$37</f>
        <v>0</v>
      </c>
      <c r="E527" s="64">
        <f>'Jul 15'!$E$37</f>
        <v>0</v>
      </c>
      <c r="F527" s="23">
        <f>'Jul 15'!$A$37</f>
        <v>0</v>
      </c>
      <c r="G527" s="64">
        <f>'Jul 15'!$F$37</f>
        <v>0</v>
      </c>
      <c r="H527" s="64">
        <f>'Jul 15'!$G$37</f>
        <v>0</v>
      </c>
      <c r="I527" s="64" t="str">
        <f>'Jul 15'!$M$37</f>
        <v/>
      </c>
      <c r="J527" s="25" t="str">
        <f>'Jul 15'!$S$37</f>
        <v/>
      </c>
      <c r="K527" s="23">
        <f>'Jul 15'!$AG$37</f>
        <v>0</v>
      </c>
      <c r="L527" s="23">
        <f>'Jul 15'!$N$37</f>
        <v>0</v>
      </c>
    </row>
    <row r="528" spans="1:12" x14ac:dyDescent="0.25">
      <c r="A528" s="66" t="str">
        <f t="shared" si="8"/>
        <v>✓</v>
      </c>
      <c r="B528" s="67">
        <v>46218</v>
      </c>
      <c r="C528" s="23">
        <f>'Jul 15'!$D$38</f>
        <v>0</v>
      </c>
      <c r="D528" s="23">
        <f>'Jul 15'!$B$38</f>
        <v>0</v>
      </c>
      <c r="E528" s="64">
        <f>'Jul 15'!$E$38</f>
        <v>0</v>
      </c>
      <c r="F528" s="23">
        <f>'Jul 15'!$A$38</f>
        <v>0</v>
      </c>
      <c r="G528" s="64">
        <f>'Jul 15'!$F$38</f>
        <v>0</v>
      </c>
      <c r="H528" s="64">
        <f>'Jul 15'!$G$38</f>
        <v>0</v>
      </c>
      <c r="I528" s="64" t="str">
        <f>'Jul 15'!$M$38</f>
        <v/>
      </c>
      <c r="J528" s="25" t="str">
        <f>'Jul 15'!$S$38</f>
        <v/>
      </c>
      <c r="K528" s="23">
        <f>'Jul 15'!$AG$38</f>
        <v>0</v>
      </c>
      <c r="L528" s="23">
        <f>'Jul 15'!$N$38</f>
        <v>0</v>
      </c>
    </row>
    <row r="529" spans="1:12" x14ac:dyDescent="0.25">
      <c r="A529" s="66" t="str">
        <f t="shared" si="8"/>
        <v>✓</v>
      </c>
      <c r="B529" s="67">
        <v>46218</v>
      </c>
      <c r="C529" s="23">
        <f>'Jul 15'!$D$39</f>
        <v>0</v>
      </c>
      <c r="D529" s="23">
        <f>'Jul 15'!$B$39</f>
        <v>0</v>
      </c>
      <c r="E529" s="64">
        <f>'Jul 15'!$E$39</f>
        <v>0</v>
      </c>
      <c r="F529" s="23">
        <f>'Jul 15'!$A$39</f>
        <v>0</v>
      </c>
      <c r="G529" s="64">
        <f>'Jul 15'!$F$39</f>
        <v>0</v>
      </c>
      <c r="H529" s="64">
        <f>'Jul 15'!$G$39</f>
        <v>0</v>
      </c>
      <c r="I529" s="64" t="str">
        <f>'Jul 15'!$M$39</f>
        <v/>
      </c>
      <c r="J529" s="25" t="str">
        <f>'Jul 15'!$S$39</f>
        <v/>
      </c>
      <c r="K529" s="23">
        <f>'Jul 15'!$AG$39</f>
        <v>0</v>
      </c>
      <c r="L529" s="23">
        <f>'Jul 15'!$N$39</f>
        <v>0</v>
      </c>
    </row>
    <row r="530" spans="1:12" x14ac:dyDescent="0.25">
      <c r="A530" s="66" t="str">
        <f t="shared" si="8"/>
        <v>✓</v>
      </c>
      <c r="B530" s="67">
        <v>46218</v>
      </c>
      <c r="C530" s="23">
        <f>'Jul 15'!$D$40</f>
        <v>0</v>
      </c>
      <c r="D530" s="23">
        <f>'Jul 15'!$B$40</f>
        <v>0</v>
      </c>
      <c r="E530" s="64">
        <f>'Jul 15'!$E$40</f>
        <v>0</v>
      </c>
      <c r="F530" s="23">
        <f>'Jul 15'!$A$40</f>
        <v>0</v>
      </c>
      <c r="G530" s="64">
        <f>'Jul 15'!$F$40</f>
        <v>0</v>
      </c>
      <c r="H530" s="64">
        <f>'Jul 15'!$G$40</f>
        <v>0</v>
      </c>
      <c r="I530" s="64" t="str">
        <f>'Jul 15'!$M$40</f>
        <v/>
      </c>
      <c r="J530" s="25" t="str">
        <f>'Jul 15'!$S$40</f>
        <v/>
      </c>
      <c r="K530" s="23">
        <f>'Jul 15'!$AG$40</f>
        <v>0</v>
      </c>
      <c r="L530" s="23">
        <f>'Jul 15'!$N$40</f>
        <v>0</v>
      </c>
    </row>
    <row r="531" spans="1:12" x14ac:dyDescent="0.25">
      <c r="A531" s="66" t="str">
        <f t="shared" si="8"/>
        <v>✓</v>
      </c>
      <c r="B531" s="67">
        <v>46218</v>
      </c>
      <c r="C531" s="23">
        <f>'Jul 15'!$D$41</f>
        <v>0</v>
      </c>
      <c r="D531" s="23">
        <f>'Jul 15'!$B$41</f>
        <v>0</v>
      </c>
      <c r="E531" s="64">
        <f>'Jul 15'!$E$41</f>
        <v>0</v>
      </c>
      <c r="F531" s="23">
        <f>'Jul 15'!$A$41</f>
        <v>0</v>
      </c>
      <c r="G531" s="64">
        <f>'Jul 15'!$F$41</f>
        <v>0</v>
      </c>
      <c r="H531" s="64">
        <f>'Jul 15'!$G$41</f>
        <v>0</v>
      </c>
      <c r="I531" s="64" t="str">
        <f>'Jul 15'!$M$41</f>
        <v/>
      </c>
      <c r="J531" s="25" t="str">
        <f>'Jul 15'!$S$41</f>
        <v/>
      </c>
      <c r="K531" s="23">
        <f>'Jul 15'!$AG$41</f>
        <v>0</v>
      </c>
      <c r="L531" s="23">
        <f>'Jul 15'!$N$41</f>
        <v>0</v>
      </c>
    </row>
    <row r="532" spans="1:12" x14ac:dyDescent="0.25">
      <c r="A532" s="66" t="str">
        <f t="shared" si="8"/>
        <v>✓</v>
      </c>
      <c r="B532" s="67">
        <v>46218</v>
      </c>
      <c r="C532" s="23">
        <f>'Jul 15'!$D$42</f>
        <v>0</v>
      </c>
      <c r="D532" s="23">
        <f>'Jul 15'!$B$42</f>
        <v>0</v>
      </c>
      <c r="E532" s="64">
        <f>'Jul 15'!$E$42</f>
        <v>0</v>
      </c>
      <c r="F532" s="23">
        <f>'Jul 15'!$A$42</f>
        <v>0</v>
      </c>
      <c r="G532" s="64">
        <f>'Jul 15'!$F$42</f>
        <v>0</v>
      </c>
      <c r="H532" s="64">
        <f>'Jul 15'!$G$42</f>
        <v>0</v>
      </c>
      <c r="I532" s="64" t="str">
        <f>'Jul 15'!$M$42</f>
        <v/>
      </c>
      <c r="J532" s="25" t="str">
        <f>'Jul 15'!$S$42</f>
        <v/>
      </c>
      <c r="K532" s="23">
        <f>'Jul 15'!$AG$42</f>
        <v>0</v>
      </c>
      <c r="L532" s="23">
        <f>'Jul 15'!$N$42</f>
        <v>0</v>
      </c>
    </row>
    <row r="533" spans="1:12" x14ac:dyDescent="0.25">
      <c r="A533" s="66" t="str">
        <f t="shared" si="8"/>
        <v>✓</v>
      </c>
      <c r="B533" s="67">
        <v>46219</v>
      </c>
      <c r="C533" s="23">
        <f>'Jul 16'!$D$8</f>
        <v>0</v>
      </c>
      <c r="D533" s="23">
        <f>'Jul 16'!$B$8</f>
        <v>0</v>
      </c>
      <c r="E533" s="64">
        <f>'Jul 16'!$E$8</f>
        <v>0</v>
      </c>
      <c r="F533" s="23">
        <f>'Jul 16'!$A$8</f>
        <v>0</v>
      </c>
      <c r="G533" s="64">
        <f>'Jul 16'!$F$8</f>
        <v>0</v>
      </c>
      <c r="H533" s="64">
        <f>'Jul 16'!$G$8</f>
        <v>0</v>
      </c>
      <c r="I533" s="64" t="str">
        <f>'Jul 16'!$M$8</f>
        <v/>
      </c>
      <c r="J533" s="25" t="str">
        <f>'Jul 16'!$S$8</f>
        <v/>
      </c>
      <c r="K533" s="23">
        <f>'Jul 16'!$AG$8</f>
        <v>0</v>
      </c>
      <c r="L533" s="23">
        <f>'Jul 16'!$N$8</f>
        <v>0</v>
      </c>
    </row>
    <row r="534" spans="1:12" x14ac:dyDescent="0.25">
      <c r="A534" s="66" t="str">
        <f t="shared" si="8"/>
        <v>✓</v>
      </c>
      <c r="B534" s="67">
        <v>46219</v>
      </c>
      <c r="C534" s="23">
        <f>'Jul 16'!$D$9</f>
        <v>0</v>
      </c>
      <c r="D534" s="23">
        <f>'Jul 16'!$B$9</f>
        <v>0</v>
      </c>
      <c r="E534" s="64">
        <f>'Jul 16'!$E$9</f>
        <v>0</v>
      </c>
      <c r="F534" s="23">
        <f>'Jul 16'!$A$9</f>
        <v>0</v>
      </c>
      <c r="G534" s="64">
        <f>'Jul 16'!$F$9</f>
        <v>0</v>
      </c>
      <c r="H534" s="64">
        <f>'Jul 16'!$G$9</f>
        <v>0</v>
      </c>
      <c r="I534" s="64" t="str">
        <f>'Jul 16'!$M$9</f>
        <v/>
      </c>
      <c r="J534" s="25" t="str">
        <f>'Jul 16'!$S$9</f>
        <v/>
      </c>
      <c r="K534" s="23">
        <f>'Jul 16'!$AG$9</f>
        <v>0</v>
      </c>
      <c r="L534" s="23">
        <f>'Jul 16'!$N$9</f>
        <v>0</v>
      </c>
    </row>
    <row r="535" spans="1:12" x14ac:dyDescent="0.25">
      <c r="A535" s="66" t="str">
        <f t="shared" si="8"/>
        <v>✓</v>
      </c>
      <c r="B535" s="67">
        <v>46219</v>
      </c>
      <c r="C535" s="23">
        <f>'Jul 16'!$D$10</f>
        <v>0</v>
      </c>
      <c r="D535" s="23">
        <f>'Jul 16'!$B$10</f>
        <v>0</v>
      </c>
      <c r="E535" s="64">
        <f>'Jul 16'!$E$10</f>
        <v>0</v>
      </c>
      <c r="F535" s="23">
        <f>'Jul 16'!$A$10</f>
        <v>0</v>
      </c>
      <c r="G535" s="64">
        <f>'Jul 16'!$F$10</f>
        <v>0</v>
      </c>
      <c r="H535" s="64">
        <f>'Jul 16'!$G$10</f>
        <v>0</v>
      </c>
      <c r="I535" s="64" t="str">
        <f>'Jul 16'!$M$10</f>
        <v/>
      </c>
      <c r="J535" s="25" t="str">
        <f>'Jul 16'!$S$10</f>
        <v/>
      </c>
      <c r="K535" s="23">
        <f>'Jul 16'!$AG$10</f>
        <v>0</v>
      </c>
      <c r="L535" s="23">
        <f>'Jul 16'!$N$10</f>
        <v>0</v>
      </c>
    </row>
    <row r="536" spans="1:12" x14ac:dyDescent="0.25">
      <c r="A536" s="66" t="str">
        <f t="shared" si="8"/>
        <v>✓</v>
      </c>
      <c r="B536" s="67">
        <v>46219</v>
      </c>
      <c r="C536" s="23">
        <f>'Jul 16'!$D$11</f>
        <v>0</v>
      </c>
      <c r="D536" s="23">
        <f>'Jul 16'!$B$11</f>
        <v>0</v>
      </c>
      <c r="E536" s="64">
        <f>'Jul 16'!$E$11</f>
        <v>0</v>
      </c>
      <c r="F536" s="23">
        <f>'Jul 16'!$A$11</f>
        <v>0</v>
      </c>
      <c r="G536" s="64">
        <f>'Jul 16'!$F$11</f>
        <v>0</v>
      </c>
      <c r="H536" s="64">
        <f>'Jul 16'!$G$11</f>
        <v>0</v>
      </c>
      <c r="I536" s="64" t="str">
        <f>'Jul 16'!$M$11</f>
        <v/>
      </c>
      <c r="J536" s="25" t="str">
        <f>'Jul 16'!$S$11</f>
        <v/>
      </c>
      <c r="K536" s="23">
        <f>'Jul 16'!$AG$11</f>
        <v>0</v>
      </c>
      <c r="L536" s="23">
        <f>'Jul 16'!$N$11</f>
        <v>0</v>
      </c>
    </row>
    <row r="537" spans="1:12" x14ac:dyDescent="0.25">
      <c r="A537" s="66" t="str">
        <f t="shared" si="8"/>
        <v>✓</v>
      </c>
      <c r="B537" s="67">
        <v>46219</v>
      </c>
      <c r="C537" s="23">
        <f>'Jul 16'!$D$12</f>
        <v>0</v>
      </c>
      <c r="D537" s="23">
        <f>'Jul 16'!$B$12</f>
        <v>0</v>
      </c>
      <c r="E537" s="64">
        <f>'Jul 16'!$E$12</f>
        <v>0</v>
      </c>
      <c r="F537" s="23">
        <f>'Jul 16'!$A$12</f>
        <v>0</v>
      </c>
      <c r="G537" s="64">
        <f>'Jul 16'!$F$12</f>
        <v>0</v>
      </c>
      <c r="H537" s="64">
        <f>'Jul 16'!$G$12</f>
        <v>0</v>
      </c>
      <c r="I537" s="64" t="str">
        <f>'Jul 16'!$M$12</f>
        <v/>
      </c>
      <c r="J537" s="25" t="str">
        <f>'Jul 16'!$S$12</f>
        <v/>
      </c>
      <c r="K537" s="23">
        <f>'Jul 16'!$AG$12</f>
        <v>0</v>
      </c>
      <c r="L537" s="23">
        <f>'Jul 16'!$N$12</f>
        <v>0</v>
      </c>
    </row>
    <row r="538" spans="1:12" x14ac:dyDescent="0.25">
      <c r="A538" s="66" t="str">
        <f t="shared" si="8"/>
        <v>✓</v>
      </c>
      <c r="B538" s="67">
        <v>46219</v>
      </c>
      <c r="C538" s="23">
        <f>'Jul 16'!$D$13</f>
        <v>0</v>
      </c>
      <c r="D538" s="23">
        <f>'Jul 16'!$B$13</f>
        <v>0</v>
      </c>
      <c r="E538" s="64">
        <f>'Jul 16'!$E$13</f>
        <v>0</v>
      </c>
      <c r="F538" s="23">
        <f>'Jul 16'!$A$13</f>
        <v>0</v>
      </c>
      <c r="G538" s="64">
        <f>'Jul 16'!$F$13</f>
        <v>0</v>
      </c>
      <c r="H538" s="64">
        <f>'Jul 16'!$G$13</f>
        <v>0</v>
      </c>
      <c r="I538" s="64" t="str">
        <f>'Jul 16'!$M$13</f>
        <v/>
      </c>
      <c r="J538" s="25" t="str">
        <f>'Jul 16'!$S$13</f>
        <v/>
      </c>
      <c r="K538" s="23">
        <f>'Jul 16'!$AG$13</f>
        <v>0</v>
      </c>
      <c r="L538" s="23">
        <f>'Jul 16'!$N$13</f>
        <v>0</v>
      </c>
    </row>
    <row r="539" spans="1:12" x14ac:dyDescent="0.25">
      <c r="A539" s="66" t="str">
        <f t="shared" si="8"/>
        <v>✓</v>
      </c>
      <c r="B539" s="67">
        <v>46219</v>
      </c>
      <c r="C539" s="23">
        <f>'Jul 16'!$D$14</f>
        <v>0</v>
      </c>
      <c r="D539" s="23">
        <f>'Jul 16'!$B$14</f>
        <v>0</v>
      </c>
      <c r="E539" s="64">
        <f>'Jul 16'!$E$14</f>
        <v>0</v>
      </c>
      <c r="F539" s="23">
        <f>'Jul 16'!$A$14</f>
        <v>0</v>
      </c>
      <c r="G539" s="64">
        <f>'Jul 16'!$F$14</f>
        <v>0</v>
      </c>
      <c r="H539" s="64">
        <f>'Jul 16'!$G$14</f>
        <v>0</v>
      </c>
      <c r="I539" s="64" t="str">
        <f>'Jul 16'!$M$14</f>
        <v/>
      </c>
      <c r="J539" s="25" t="str">
        <f>'Jul 16'!$S$14</f>
        <v/>
      </c>
      <c r="K539" s="23">
        <f>'Jul 16'!$AG$14</f>
        <v>0</v>
      </c>
      <c r="L539" s="23">
        <f>'Jul 16'!$N$14</f>
        <v>0</v>
      </c>
    </row>
    <row r="540" spans="1:12" x14ac:dyDescent="0.25">
      <c r="A540" s="66" t="str">
        <f t="shared" si="8"/>
        <v>✓</v>
      </c>
      <c r="B540" s="67">
        <v>46219</v>
      </c>
      <c r="C540" s="23">
        <f>'Jul 16'!$D$15</f>
        <v>0</v>
      </c>
      <c r="D540" s="23">
        <f>'Jul 16'!$B$15</f>
        <v>0</v>
      </c>
      <c r="E540" s="64">
        <f>'Jul 16'!$E$15</f>
        <v>0</v>
      </c>
      <c r="F540" s="23">
        <f>'Jul 16'!$A$15</f>
        <v>0</v>
      </c>
      <c r="G540" s="64">
        <f>'Jul 16'!$F$15</f>
        <v>0</v>
      </c>
      <c r="H540" s="64">
        <f>'Jul 16'!$G$15</f>
        <v>0</v>
      </c>
      <c r="I540" s="64" t="str">
        <f>'Jul 16'!$M$15</f>
        <v/>
      </c>
      <c r="J540" s="25" t="str">
        <f>'Jul 16'!$S$15</f>
        <v/>
      </c>
      <c r="K540" s="23">
        <f>'Jul 16'!$AG$15</f>
        <v>0</v>
      </c>
      <c r="L540" s="23">
        <f>'Jul 16'!$N$15</f>
        <v>0</v>
      </c>
    </row>
    <row r="541" spans="1:12" x14ac:dyDescent="0.25">
      <c r="A541" s="66" t="str">
        <f t="shared" si="8"/>
        <v>✓</v>
      </c>
      <c r="B541" s="67">
        <v>46219</v>
      </c>
      <c r="C541" s="23">
        <f>'Jul 16'!$D$16</f>
        <v>0</v>
      </c>
      <c r="D541" s="23">
        <f>'Jul 16'!$B$16</f>
        <v>0</v>
      </c>
      <c r="E541" s="64">
        <f>'Jul 16'!$E$16</f>
        <v>0</v>
      </c>
      <c r="F541" s="23">
        <f>'Jul 16'!$A$16</f>
        <v>0</v>
      </c>
      <c r="G541" s="64">
        <f>'Jul 16'!$F$16</f>
        <v>0</v>
      </c>
      <c r="H541" s="64">
        <f>'Jul 16'!$G$16</f>
        <v>0</v>
      </c>
      <c r="I541" s="64" t="str">
        <f>'Jul 16'!$M$16</f>
        <v/>
      </c>
      <c r="J541" s="25" t="str">
        <f>'Jul 16'!$S$16</f>
        <v/>
      </c>
      <c r="K541" s="23">
        <f>'Jul 16'!$AG$16</f>
        <v>0</v>
      </c>
      <c r="L541" s="23">
        <f>'Jul 16'!$N$16</f>
        <v>0</v>
      </c>
    </row>
    <row r="542" spans="1:12" x14ac:dyDescent="0.25">
      <c r="A542" s="66" t="str">
        <f t="shared" si="8"/>
        <v>✓</v>
      </c>
      <c r="B542" s="67">
        <v>46219</v>
      </c>
      <c r="C542" s="23">
        <f>'Jul 16'!$D$17</f>
        <v>0</v>
      </c>
      <c r="D542" s="23">
        <f>'Jul 16'!$B$17</f>
        <v>0</v>
      </c>
      <c r="E542" s="64">
        <f>'Jul 16'!$E$17</f>
        <v>0</v>
      </c>
      <c r="F542" s="23">
        <f>'Jul 16'!$A$17</f>
        <v>0</v>
      </c>
      <c r="G542" s="64">
        <f>'Jul 16'!$F$17</f>
        <v>0</v>
      </c>
      <c r="H542" s="64">
        <f>'Jul 16'!$G$17</f>
        <v>0</v>
      </c>
      <c r="I542" s="64" t="str">
        <f>'Jul 16'!$M$17</f>
        <v/>
      </c>
      <c r="J542" s="25" t="str">
        <f>'Jul 16'!$S$17</f>
        <v/>
      </c>
      <c r="K542" s="23">
        <f>'Jul 16'!$AG$17</f>
        <v>0</v>
      </c>
      <c r="L542" s="23">
        <f>'Jul 16'!$N$17</f>
        <v>0</v>
      </c>
    </row>
    <row r="543" spans="1:12" x14ac:dyDescent="0.25">
      <c r="A543" s="66" t="str">
        <f t="shared" si="8"/>
        <v>✓</v>
      </c>
      <c r="B543" s="67">
        <v>46219</v>
      </c>
      <c r="C543" s="23">
        <f>'Jul 16'!$D$18</f>
        <v>0</v>
      </c>
      <c r="D543" s="23">
        <f>'Jul 16'!$B$18</f>
        <v>0</v>
      </c>
      <c r="E543" s="64">
        <f>'Jul 16'!$E$18</f>
        <v>0</v>
      </c>
      <c r="F543" s="23">
        <f>'Jul 16'!$A$18</f>
        <v>0</v>
      </c>
      <c r="G543" s="64">
        <f>'Jul 16'!$F$18</f>
        <v>0</v>
      </c>
      <c r="H543" s="64">
        <f>'Jul 16'!$G$18</f>
        <v>0</v>
      </c>
      <c r="I543" s="64" t="str">
        <f>'Jul 16'!$M$18</f>
        <v/>
      </c>
      <c r="J543" s="25" t="str">
        <f>'Jul 16'!$S$18</f>
        <v/>
      </c>
      <c r="K543" s="23">
        <f>'Jul 16'!$AG$18</f>
        <v>0</v>
      </c>
      <c r="L543" s="23">
        <f>'Jul 16'!$N$18</f>
        <v>0</v>
      </c>
    </row>
    <row r="544" spans="1:12" x14ac:dyDescent="0.25">
      <c r="A544" s="66" t="str">
        <f t="shared" si="8"/>
        <v>✓</v>
      </c>
      <c r="B544" s="67">
        <v>46219</v>
      </c>
      <c r="C544" s="23">
        <f>'Jul 16'!$D$19</f>
        <v>0</v>
      </c>
      <c r="D544" s="23">
        <f>'Jul 16'!$B$19</f>
        <v>0</v>
      </c>
      <c r="E544" s="64">
        <f>'Jul 16'!$E$19</f>
        <v>0</v>
      </c>
      <c r="F544" s="23">
        <f>'Jul 16'!$A$19</f>
        <v>0</v>
      </c>
      <c r="G544" s="64">
        <f>'Jul 16'!$F$19</f>
        <v>0</v>
      </c>
      <c r="H544" s="64">
        <f>'Jul 16'!$G$19</f>
        <v>0</v>
      </c>
      <c r="I544" s="64" t="str">
        <f>'Jul 16'!$M$19</f>
        <v/>
      </c>
      <c r="J544" s="25" t="str">
        <f>'Jul 16'!$S$19</f>
        <v/>
      </c>
      <c r="K544" s="23">
        <f>'Jul 16'!$AG$19</f>
        <v>0</v>
      </c>
      <c r="L544" s="23">
        <f>'Jul 16'!$N$19</f>
        <v>0</v>
      </c>
    </row>
    <row r="545" spans="1:12" x14ac:dyDescent="0.25">
      <c r="A545" s="66" t="str">
        <f t="shared" si="8"/>
        <v>✓</v>
      </c>
      <c r="B545" s="67">
        <v>46219</v>
      </c>
      <c r="C545" s="23">
        <f>'Jul 16'!$D$20</f>
        <v>0</v>
      </c>
      <c r="D545" s="23">
        <f>'Jul 16'!$B$20</f>
        <v>0</v>
      </c>
      <c r="E545" s="64">
        <f>'Jul 16'!$E$20</f>
        <v>0</v>
      </c>
      <c r="F545" s="23">
        <f>'Jul 16'!$A$20</f>
        <v>0</v>
      </c>
      <c r="G545" s="64">
        <f>'Jul 16'!$F$20</f>
        <v>0</v>
      </c>
      <c r="H545" s="64">
        <f>'Jul 16'!$G$20</f>
        <v>0</v>
      </c>
      <c r="I545" s="64" t="str">
        <f>'Jul 16'!$M$20</f>
        <v/>
      </c>
      <c r="J545" s="25" t="str">
        <f>'Jul 16'!$S$20</f>
        <v/>
      </c>
      <c r="K545" s="23">
        <f>'Jul 16'!$AG$20</f>
        <v>0</v>
      </c>
      <c r="L545" s="23">
        <f>'Jul 16'!$N$20</f>
        <v>0</v>
      </c>
    </row>
    <row r="546" spans="1:12" x14ac:dyDescent="0.25">
      <c r="A546" s="66" t="str">
        <f t="shared" si="8"/>
        <v>✓</v>
      </c>
      <c r="B546" s="67">
        <v>46219</v>
      </c>
      <c r="C546" s="23">
        <f>'Jul 16'!$D$21</f>
        <v>0</v>
      </c>
      <c r="D546" s="23">
        <f>'Jul 16'!$B$21</f>
        <v>0</v>
      </c>
      <c r="E546" s="64">
        <f>'Jul 16'!$E$21</f>
        <v>0</v>
      </c>
      <c r="F546" s="23">
        <f>'Jul 16'!$A$21</f>
        <v>0</v>
      </c>
      <c r="G546" s="64">
        <f>'Jul 16'!$F$21</f>
        <v>0</v>
      </c>
      <c r="H546" s="64">
        <f>'Jul 16'!$G$21</f>
        <v>0</v>
      </c>
      <c r="I546" s="64" t="str">
        <f>'Jul 16'!$M$21</f>
        <v/>
      </c>
      <c r="J546" s="25" t="str">
        <f>'Jul 16'!$S$21</f>
        <v/>
      </c>
      <c r="K546" s="23">
        <f>'Jul 16'!$AG$21</f>
        <v>0</v>
      </c>
      <c r="L546" s="23">
        <f>'Jul 16'!$N$21</f>
        <v>0</v>
      </c>
    </row>
    <row r="547" spans="1:12" x14ac:dyDescent="0.25">
      <c r="A547" s="66" t="str">
        <f t="shared" si="8"/>
        <v>✓</v>
      </c>
      <c r="B547" s="67">
        <v>46219</v>
      </c>
      <c r="C547" s="23">
        <f>'Jul 16'!$D$22</f>
        <v>0</v>
      </c>
      <c r="D547" s="23">
        <f>'Jul 16'!$B$22</f>
        <v>0</v>
      </c>
      <c r="E547" s="64">
        <f>'Jul 16'!$E$22</f>
        <v>0</v>
      </c>
      <c r="F547" s="23">
        <f>'Jul 16'!$A$22</f>
        <v>0</v>
      </c>
      <c r="G547" s="64">
        <f>'Jul 16'!$F$22</f>
        <v>0</v>
      </c>
      <c r="H547" s="64">
        <f>'Jul 16'!$G$22</f>
        <v>0</v>
      </c>
      <c r="I547" s="64" t="str">
        <f>'Jul 16'!$M$22</f>
        <v/>
      </c>
      <c r="J547" s="25" t="str">
        <f>'Jul 16'!$S$22</f>
        <v/>
      </c>
      <c r="K547" s="23">
        <f>'Jul 16'!$AG$22</f>
        <v>0</v>
      </c>
      <c r="L547" s="23">
        <f>'Jul 16'!$N$22</f>
        <v>0</v>
      </c>
    </row>
    <row r="548" spans="1:12" x14ac:dyDescent="0.25">
      <c r="A548" s="66" t="str">
        <f t="shared" si="8"/>
        <v>✓</v>
      </c>
      <c r="B548" s="67">
        <v>46219</v>
      </c>
      <c r="C548" s="23">
        <f>'Jul 16'!$D$23</f>
        <v>0</v>
      </c>
      <c r="D548" s="23">
        <f>'Jul 16'!$B$23</f>
        <v>0</v>
      </c>
      <c r="E548" s="64">
        <f>'Jul 16'!$E$23</f>
        <v>0</v>
      </c>
      <c r="F548" s="23">
        <f>'Jul 16'!$A$23</f>
        <v>0</v>
      </c>
      <c r="G548" s="64">
        <f>'Jul 16'!$F$23</f>
        <v>0</v>
      </c>
      <c r="H548" s="64">
        <f>'Jul 16'!$G$23</f>
        <v>0</v>
      </c>
      <c r="I548" s="64" t="str">
        <f>'Jul 16'!$M$23</f>
        <v/>
      </c>
      <c r="J548" s="25" t="str">
        <f>'Jul 16'!$S$23</f>
        <v/>
      </c>
      <c r="K548" s="23">
        <f>'Jul 16'!$AG$23</f>
        <v>0</v>
      </c>
      <c r="L548" s="23">
        <f>'Jul 16'!$N$23</f>
        <v>0</v>
      </c>
    </row>
    <row r="549" spans="1:12" x14ac:dyDescent="0.25">
      <c r="A549" s="66" t="str">
        <f t="shared" si="8"/>
        <v>✓</v>
      </c>
      <c r="B549" s="67">
        <v>46219</v>
      </c>
      <c r="C549" s="23">
        <f>'Jul 16'!$D$24</f>
        <v>0</v>
      </c>
      <c r="D549" s="23">
        <f>'Jul 16'!$B$24</f>
        <v>0</v>
      </c>
      <c r="E549" s="64">
        <f>'Jul 16'!$E$24</f>
        <v>0</v>
      </c>
      <c r="F549" s="23">
        <f>'Jul 16'!$A$24</f>
        <v>0</v>
      </c>
      <c r="G549" s="64">
        <f>'Jul 16'!$F$24</f>
        <v>0</v>
      </c>
      <c r="H549" s="64">
        <f>'Jul 16'!$G$24</f>
        <v>0</v>
      </c>
      <c r="I549" s="64" t="str">
        <f>'Jul 16'!$M$24</f>
        <v/>
      </c>
      <c r="J549" s="25" t="str">
        <f>'Jul 16'!$S$24</f>
        <v/>
      </c>
      <c r="K549" s="23">
        <f>'Jul 16'!$AG$24</f>
        <v>0</v>
      </c>
      <c r="L549" s="23">
        <f>'Jul 16'!$N$24</f>
        <v>0</v>
      </c>
    </row>
    <row r="550" spans="1:12" x14ac:dyDescent="0.25">
      <c r="A550" s="66" t="str">
        <f t="shared" si="8"/>
        <v>✓</v>
      </c>
      <c r="B550" s="67">
        <v>46219</v>
      </c>
      <c r="C550" s="23">
        <f>'Jul 16'!$D$25</f>
        <v>0</v>
      </c>
      <c r="D550" s="23">
        <f>'Jul 16'!$B$25</f>
        <v>0</v>
      </c>
      <c r="E550" s="64">
        <f>'Jul 16'!$E$25</f>
        <v>0</v>
      </c>
      <c r="F550" s="23">
        <f>'Jul 16'!$A$25</f>
        <v>0</v>
      </c>
      <c r="G550" s="64">
        <f>'Jul 16'!$F$25</f>
        <v>0</v>
      </c>
      <c r="H550" s="64">
        <f>'Jul 16'!$G$25</f>
        <v>0</v>
      </c>
      <c r="I550" s="64" t="str">
        <f>'Jul 16'!$M$25</f>
        <v/>
      </c>
      <c r="J550" s="25" t="str">
        <f>'Jul 16'!$S$25</f>
        <v/>
      </c>
      <c r="K550" s="23">
        <f>'Jul 16'!$AG$25</f>
        <v>0</v>
      </c>
      <c r="L550" s="23">
        <f>'Jul 16'!$N$25</f>
        <v>0</v>
      </c>
    </row>
    <row r="551" spans="1:12" x14ac:dyDescent="0.25">
      <c r="A551" s="66" t="str">
        <f t="shared" si="8"/>
        <v>✓</v>
      </c>
      <c r="B551" s="67">
        <v>46219</v>
      </c>
      <c r="C551" s="23">
        <f>'Jul 16'!$D$26</f>
        <v>0</v>
      </c>
      <c r="D551" s="23">
        <f>'Jul 16'!$B$26</f>
        <v>0</v>
      </c>
      <c r="E551" s="64">
        <f>'Jul 16'!$E$26</f>
        <v>0</v>
      </c>
      <c r="F551" s="23">
        <f>'Jul 16'!$A$26</f>
        <v>0</v>
      </c>
      <c r="G551" s="64">
        <f>'Jul 16'!$F$26</f>
        <v>0</v>
      </c>
      <c r="H551" s="64">
        <f>'Jul 16'!$G$26</f>
        <v>0</v>
      </c>
      <c r="I551" s="64" t="str">
        <f>'Jul 16'!$M$26</f>
        <v/>
      </c>
      <c r="J551" s="25" t="str">
        <f>'Jul 16'!$S$26</f>
        <v/>
      </c>
      <c r="K551" s="23">
        <f>'Jul 16'!$AG$26</f>
        <v>0</v>
      </c>
      <c r="L551" s="23">
        <f>'Jul 16'!$N$26</f>
        <v>0</v>
      </c>
    </row>
    <row r="552" spans="1:12" x14ac:dyDescent="0.25">
      <c r="A552" s="66" t="str">
        <f t="shared" si="8"/>
        <v>✓</v>
      </c>
      <c r="B552" s="67">
        <v>46219</v>
      </c>
      <c r="C552" s="23">
        <f>'Jul 16'!$D$27</f>
        <v>0</v>
      </c>
      <c r="D552" s="23">
        <f>'Jul 16'!$B$27</f>
        <v>0</v>
      </c>
      <c r="E552" s="64">
        <f>'Jul 16'!$E$27</f>
        <v>0</v>
      </c>
      <c r="F552" s="23">
        <f>'Jul 16'!$A$27</f>
        <v>0</v>
      </c>
      <c r="G552" s="64">
        <f>'Jul 16'!$F$27</f>
        <v>0</v>
      </c>
      <c r="H552" s="64">
        <f>'Jul 16'!$G$27</f>
        <v>0</v>
      </c>
      <c r="I552" s="64" t="str">
        <f>'Jul 16'!$M$27</f>
        <v/>
      </c>
      <c r="J552" s="25" t="str">
        <f>'Jul 16'!$S$27</f>
        <v/>
      </c>
      <c r="K552" s="23">
        <f>'Jul 16'!$AG$27</f>
        <v>0</v>
      </c>
      <c r="L552" s="23">
        <f>'Jul 16'!$N$27</f>
        <v>0</v>
      </c>
    </row>
    <row r="553" spans="1:12" x14ac:dyDescent="0.25">
      <c r="A553" s="66" t="str">
        <f t="shared" si="8"/>
        <v>✓</v>
      </c>
      <c r="B553" s="67">
        <v>46219</v>
      </c>
      <c r="C553" s="23">
        <f>'Jul 16'!$D$28</f>
        <v>0</v>
      </c>
      <c r="D553" s="23">
        <f>'Jul 16'!$B$28</f>
        <v>0</v>
      </c>
      <c r="E553" s="64">
        <f>'Jul 16'!$E$28</f>
        <v>0</v>
      </c>
      <c r="F553" s="23">
        <f>'Jul 16'!$A$28</f>
        <v>0</v>
      </c>
      <c r="G553" s="64">
        <f>'Jul 16'!$F$28</f>
        <v>0</v>
      </c>
      <c r="H553" s="64">
        <f>'Jul 16'!$G$28</f>
        <v>0</v>
      </c>
      <c r="I553" s="64" t="str">
        <f>'Jul 16'!$M$28</f>
        <v/>
      </c>
      <c r="J553" s="25" t="str">
        <f>'Jul 16'!$S$28</f>
        <v/>
      </c>
      <c r="K553" s="23">
        <f>'Jul 16'!$AG$28</f>
        <v>0</v>
      </c>
      <c r="L553" s="23">
        <f>'Jul 16'!$N$28</f>
        <v>0</v>
      </c>
    </row>
    <row r="554" spans="1:12" x14ac:dyDescent="0.25">
      <c r="A554" s="66" t="str">
        <f t="shared" si="8"/>
        <v>✓</v>
      </c>
      <c r="B554" s="67">
        <v>46219</v>
      </c>
      <c r="C554" s="23">
        <f>'Jul 16'!$D$29</f>
        <v>0</v>
      </c>
      <c r="D554" s="23">
        <f>'Jul 16'!$B$29</f>
        <v>0</v>
      </c>
      <c r="E554" s="64">
        <f>'Jul 16'!$E$29</f>
        <v>0</v>
      </c>
      <c r="F554" s="23">
        <f>'Jul 16'!$A$29</f>
        <v>0</v>
      </c>
      <c r="G554" s="64">
        <f>'Jul 16'!$F$29</f>
        <v>0</v>
      </c>
      <c r="H554" s="64">
        <f>'Jul 16'!$G$29</f>
        <v>0</v>
      </c>
      <c r="I554" s="64" t="str">
        <f>'Jul 16'!$M$29</f>
        <v/>
      </c>
      <c r="J554" s="25" t="str">
        <f>'Jul 16'!$S$29</f>
        <v/>
      </c>
      <c r="K554" s="23">
        <f>'Jul 16'!$AG$29</f>
        <v>0</v>
      </c>
      <c r="L554" s="23">
        <f>'Jul 16'!$N$29</f>
        <v>0</v>
      </c>
    </row>
    <row r="555" spans="1:12" x14ac:dyDescent="0.25">
      <c r="A555" s="66" t="str">
        <f t="shared" si="8"/>
        <v>✓</v>
      </c>
      <c r="B555" s="67">
        <v>46219</v>
      </c>
      <c r="C555" s="23">
        <f>'Jul 16'!$D$30</f>
        <v>0</v>
      </c>
      <c r="D555" s="23">
        <f>'Jul 16'!$B$30</f>
        <v>0</v>
      </c>
      <c r="E555" s="64">
        <f>'Jul 16'!$E$30</f>
        <v>0</v>
      </c>
      <c r="F555" s="23">
        <f>'Jul 16'!$A$30</f>
        <v>0</v>
      </c>
      <c r="G555" s="64">
        <f>'Jul 16'!$F$30</f>
        <v>0</v>
      </c>
      <c r="H555" s="64">
        <f>'Jul 16'!$G$30</f>
        <v>0</v>
      </c>
      <c r="I555" s="64" t="str">
        <f>'Jul 16'!$M$30</f>
        <v/>
      </c>
      <c r="J555" s="25" t="str">
        <f>'Jul 16'!$S$30</f>
        <v/>
      </c>
      <c r="K555" s="23">
        <f>'Jul 16'!$AG$30</f>
        <v>0</v>
      </c>
      <c r="L555" s="23">
        <f>'Jul 16'!$N$30</f>
        <v>0</v>
      </c>
    </row>
    <row r="556" spans="1:12" x14ac:dyDescent="0.25">
      <c r="A556" s="66" t="str">
        <f t="shared" si="8"/>
        <v>✓</v>
      </c>
      <c r="B556" s="67">
        <v>46219</v>
      </c>
      <c r="C556" s="23">
        <f>'Jul 16'!$D$31</f>
        <v>0</v>
      </c>
      <c r="D556" s="23">
        <f>'Jul 16'!$B$31</f>
        <v>0</v>
      </c>
      <c r="E556" s="64">
        <f>'Jul 16'!$E$31</f>
        <v>0</v>
      </c>
      <c r="F556" s="23">
        <f>'Jul 16'!$A$31</f>
        <v>0</v>
      </c>
      <c r="G556" s="64">
        <f>'Jul 16'!$F$31</f>
        <v>0</v>
      </c>
      <c r="H556" s="64">
        <f>'Jul 16'!$G$31</f>
        <v>0</v>
      </c>
      <c r="I556" s="64" t="str">
        <f>'Jul 16'!$M$31</f>
        <v/>
      </c>
      <c r="J556" s="25" t="str">
        <f>'Jul 16'!$S$31</f>
        <v/>
      </c>
      <c r="K556" s="23">
        <f>'Jul 16'!$AG$31</f>
        <v>0</v>
      </c>
      <c r="L556" s="23">
        <f>'Jul 16'!$N$31</f>
        <v>0</v>
      </c>
    </row>
    <row r="557" spans="1:12" x14ac:dyDescent="0.25">
      <c r="A557" s="66" t="str">
        <f t="shared" si="8"/>
        <v>✓</v>
      </c>
      <c r="B557" s="67">
        <v>46219</v>
      </c>
      <c r="C557" s="23">
        <f>'Jul 16'!$D$32</f>
        <v>0</v>
      </c>
      <c r="D557" s="23">
        <f>'Jul 16'!$B$32</f>
        <v>0</v>
      </c>
      <c r="E557" s="64">
        <f>'Jul 16'!$E$32</f>
        <v>0</v>
      </c>
      <c r="F557" s="23">
        <f>'Jul 16'!$A$32</f>
        <v>0</v>
      </c>
      <c r="G557" s="64">
        <f>'Jul 16'!$F$32</f>
        <v>0</v>
      </c>
      <c r="H557" s="64">
        <f>'Jul 16'!$G$32</f>
        <v>0</v>
      </c>
      <c r="I557" s="64" t="str">
        <f>'Jul 16'!$M$32</f>
        <v/>
      </c>
      <c r="J557" s="25" t="str">
        <f>'Jul 16'!$S$32</f>
        <v/>
      </c>
      <c r="K557" s="23">
        <f>'Jul 16'!$AG$32</f>
        <v>0</v>
      </c>
      <c r="L557" s="23">
        <f>'Jul 16'!$N$32</f>
        <v>0</v>
      </c>
    </row>
    <row r="558" spans="1:12" x14ac:dyDescent="0.25">
      <c r="A558" s="66" t="str">
        <f t="shared" si="8"/>
        <v>✓</v>
      </c>
      <c r="B558" s="67">
        <v>46219</v>
      </c>
      <c r="C558" s="23">
        <f>'Jul 16'!$D$33</f>
        <v>0</v>
      </c>
      <c r="D558" s="23">
        <f>'Jul 16'!$B$33</f>
        <v>0</v>
      </c>
      <c r="E558" s="64">
        <f>'Jul 16'!$E$33</f>
        <v>0</v>
      </c>
      <c r="F558" s="23">
        <f>'Jul 16'!$A$33</f>
        <v>0</v>
      </c>
      <c r="G558" s="64">
        <f>'Jul 16'!$F$33</f>
        <v>0</v>
      </c>
      <c r="H558" s="64">
        <f>'Jul 16'!$G$33</f>
        <v>0</v>
      </c>
      <c r="I558" s="64" t="str">
        <f>'Jul 16'!$M$33</f>
        <v/>
      </c>
      <c r="J558" s="25" t="str">
        <f>'Jul 16'!$S$33</f>
        <v/>
      </c>
      <c r="K558" s="23">
        <f>'Jul 16'!$AG$33</f>
        <v>0</v>
      </c>
      <c r="L558" s="23">
        <f>'Jul 16'!$N$33</f>
        <v>0</v>
      </c>
    </row>
    <row r="559" spans="1:12" x14ac:dyDescent="0.25">
      <c r="A559" s="66" t="str">
        <f t="shared" si="8"/>
        <v>✓</v>
      </c>
      <c r="B559" s="67">
        <v>46219</v>
      </c>
      <c r="C559" s="23">
        <f>'Jul 16'!$D$34</f>
        <v>0</v>
      </c>
      <c r="D559" s="23">
        <f>'Jul 16'!$B$34</f>
        <v>0</v>
      </c>
      <c r="E559" s="64">
        <f>'Jul 16'!$E$34</f>
        <v>0</v>
      </c>
      <c r="F559" s="23">
        <f>'Jul 16'!$A$34</f>
        <v>0</v>
      </c>
      <c r="G559" s="64">
        <f>'Jul 16'!$F$34</f>
        <v>0</v>
      </c>
      <c r="H559" s="64">
        <f>'Jul 16'!$G$34</f>
        <v>0</v>
      </c>
      <c r="I559" s="64" t="str">
        <f>'Jul 16'!$M$34</f>
        <v/>
      </c>
      <c r="J559" s="25" t="str">
        <f>'Jul 16'!$S$34</f>
        <v/>
      </c>
      <c r="K559" s="23">
        <f>'Jul 16'!$AG$34</f>
        <v>0</v>
      </c>
      <c r="L559" s="23">
        <f>'Jul 16'!$N$34</f>
        <v>0</v>
      </c>
    </row>
    <row r="560" spans="1:12" x14ac:dyDescent="0.25">
      <c r="A560" s="66" t="str">
        <f t="shared" si="8"/>
        <v>✓</v>
      </c>
      <c r="B560" s="67">
        <v>46219</v>
      </c>
      <c r="C560" s="23">
        <f>'Jul 16'!$D$35</f>
        <v>0</v>
      </c>
      <c r="D560" s="23">
        <f>'Jul 16'!$B$35</f>
        <v>0</v>
      </c>
      <c r="E560" s="64">
        <f>'Jul 16'!$E$35</f>
        <v>0</v>
      </c>
      <c r="F560" s="23">
        <f>'Jul 16'!$A$35</f>
        <v>0</v>
      </c>
      <c r="G560" s="64">
        <f>'Jul 16'!$F$35</f>
        <v>0</v>
      </c>
      <c r="H560" s="64">
        <f>'Jul 16'!$G$35</f>
        <v>0</v>
      </c>
      <c r="I560" s="64" t="str">
        <f>'Jul 16'!$M$35</f>
        <v/>
      </c>
      <c r="J560" s="25" t="str">
        <f>'Jul 16'!$S$35</f>
        <v/>
      </c>
      <c r="K560" s="23">
        <f>'Jul 16'!$AG$35</f>
        <v>0</v>
      </c>
      <c r="L560" s="23">
        <f>'Jul 16'!$N$35</f>
        <v>0</v>
      </c>
    </row>
    <row r="561" spans="1:12" x14ac:dyDescent="0.25">
      <c r="A561" s="66" t="str">
        <f t="shared" si="8"/>
        <v>✓</v>
      </c>
      <c r="B561" s="67">
        <v>46219</v>
      </c>
      <c r="C561" s="23">
        <f>'Jul 16'!$D$36</f>
        <v>0</v>
      </c>
      <c r="D561" s="23">
        <f>'Jul 16'!$B$36</f>
        <v>0</v>
      </c>
      <c r="E561" s="64">
        <f>'Jul 16'!$E$36</f>
        <v>0</v>
      </c>
      <c r="F561" s="23">
        <f>'Jul 16'!$A$36</f>
        <v>0</v>
      </c>
      <c r="G561" s="64">
        <f>'Jul 16'!$F$36</f>
        <v>0</v>
      </c>
      <c r="H561" s="64">
        <f>'Jul 16'!$G$36</f>
        <v>0</v>
      </c>
      <c r="I561" s="64" t="str">
        <f>'Jul 16'!$M$36</f>
        <v/>
      </c>
      <c r="J561" s="25" t="str">
        <f>'Jul 16'!$S$36</f>
        <v/>
      </c>
      <c r="K561" s="23">
        <f>'Jul 16'!$AG$36</f>
        <v>0</v>
      </c>
      <c r="L561" s="23">
        <f>'Jul 16'!$N$36</f>
        <v>0</v>
      </c>
    </row>
    <row r="562" spans="1:12" x14ac:dyDescent="0.25">
      <c r="A562" s="66" t="str">
        <f t="shared" si="8"/>
        <v>✓</v>
      </c>
      <c r="B562" s="67">
        <v>46219</v>
      </c>
      <c r="C562" s="23">
        <f>'Jul 16'!$D$37</f>
        <v>0</v>
      </c>
      <c r="D562" s="23">
        <f>'Jul 16'!$B$37</f>
        <v>0</v>
      </c>
      <c r="E562" s="64">
        <f>'Jul 16'!$E$37</f>
        <v>0</v>
      </c>
      <c r="F562" s="23">
        <f>'Jul 16'!$A$37</f>
        <v>0</v>
      </c>
      <c r="G562" s="64">
        <f>'Jul 16'!$F$37</f>
        <v>0</v>
      </c>
      <c r="H562" s="64">
        <f>'Jul 16'!$G$37</f>
        <v>0</v>
      </c>
      <c r="I562" s="64" t="str">
        <f>'Jul 16'!$M$37</f>
        <v/>
      </c>
      <c r="J562" s="25" t="str">
        <f>'Jul 16'!$S$37</f>
        <v/>
      </c>
      <c r="K562" s="23">
        <f>'Jul 16'!$AG$37</f>
        <v>0</v>
      </c>
      <c r="L562" s="23">
        <f>'Jul 16'!$N$37</f>
        <v>0</v>
      </c>
    </row>
    <row r="563" spans="1:12" x14ac:dyDescent="0.25">
      <c r="A563" s="66" t="str">
        <f t="shared" si="8"/>
        <v>✓</v>
      </c>
      <c r="B563" s="67">
        <v>46219</v>
      </c>
      <c r="C563" s="23">
        <f>'Jul 16'!$D$38</f>
        <v>0</v>
      </c>
      <c r="D563" s="23">
        <f>'Jul 16'!$B$38</f>
        <v>0</v>
      </c>
      <c r="E563" s="64">
        <f>'Jul 16'!$E$38</f>
        <v>0</v>
      </c>
      <c r="F563" s="23">
        <f>'Jul 16'!$A$38</f>
        <v>0</v>
      </c>
      <c r="G563" s="64">
        <f>'Jul 16'!$F$38</f>
        <v>0</v>
      </c>
      <c r="H563" s="64">
        <f>'Jul 16'!$G$38</f>
        <v>0</v>
      </c>
      <c r="I563" s="64" t="str">
        <f>'Jul 16'!$M$38</f>
        <v/>
      </c>
      <c r="J563" s="25" t="str">
        <f>'Jul 16'!$S$38</f>
        <v/>
      </c>
      <c r="K563" s="23">
        <f>'Jul 16'!$AG$38</f>
        <v>0</v>
      </c>
      <c r="L563" s="23">
        <f>'Jul 16'!$N$38</f>
        <v>0</v>
      </c>
    </row>
    <row r="564" spans="1:12" x14ac:dyDescent="0.25">
      <c r="A564" s="66" t="str">
        <f t="shared" si="8"/>
        <v>✓</v>
      </c>
      <c r="B564" s="67">
        <v>46219</v>
      </c>
      <c r="C564" s="23">
        <f>'Jul 16'!$D$39</f>
        <v>0</v>
      </c>
      <c r="D564" s="23">
        <f>'Jul 16'!$B$39</f>
        <v>0</v>
      </c>
      <c r="E564" s="64">
        <f>'Jul 16'!$E$39</f>
        <v>0</v>
      </c>
      <c r="F564" s="23">
        <f>'Jul 16'!$A$39</f>
        <v>0</v>
      </c>
      <c r="G564" s="64">
        <f>'Jul 16'!$F$39</f>
        <v>0</v>
      </c>
      <c r="H564" s="64">
        <f>'Jul 16'!$G$39</f>
        <v>0</v>
      </c>
      <c r="I564" s="64" t="str">
        <f>'Jul 16'!$M$39</f>
        <v/>
      </c>
      <c r="J564" s="25" t="str">
        <f>'Jul 16'!$S$39</f>
        <v/>
      </c>
      <c r="K564" s="23">
        <f>'Jul 16'!$AG$39</f>
        <v>0</v>
      </c>
      <c r="L564" s="23">
        <f>'Jul 16'!$N$39</f>
        <v>0</v>
      </c>
    </row>
    <row r="565" spans="1:12" x14ac:dyDescent="0.25">
      <c r="A565" s="66" t="str">
        <f t="shared" si="8"/>
        <v>✓</v>
      </c>
      <c r="B565" s="67">
        <v>46219</v>
      </c>
      <c r="C565" s="23">
        <f>'Jul 16'!$D$40</f>
        <v>0</v>
      </c>
      <c r="D565" s="23">
        <f>'Jul 16'!$B$40</f>
        <v>0</v>
      </c>
      <c r="E565" s="64">
        <f>'Jul 16'!$E$40</f>
        <v>0</v>
      </c>
      <c r="F565" s="23">
        <f>'Jul 16'!$A$40</f>
        <v>0</v>
      </c>
      <c r="G565" s="64">
        <f>'Jul 16'!$F$40</f>
        <v>0</v>
      </c>
      <c r="H565" s="64">
        <f>'Jul 16'!$G$40</f>
        <v>0</v>
      </c>
      <c r="I565" s="64" t="str">
        <f>'Jul 16'!$M$40</f>
        <v/>
      </c>
      <c r="J565" s="25" t="str">
        <f>'Jul 16'!$S$40</f>
        <v/>
      </c>
      <c r="K565" s="23">
        <f>'Jul 16'!$AG$40</f>
        <v>0</v>
      </c>
      <c r="L565" s="23">
        <f>'Jul 16'!$N$40</f>
        <v>0</v>
      </c>
    </row>
    <row r="566" spans="1:12" x14ac:dyDescent="0.25">
      <c r="A566" s="66" t="str">
        <f t="shared" si="8"/>
        <v>✓</v>
      </c>
      <c r="B566" s="67">
        <v>46219</v>
      </c>
      <c r="C566" s="23">
        <f>'Jul 16'!$D$41</f>
        <v>0</v>
      </c>
      <c r="D566" s="23">
        <f>'Jul 16'!$B$41</f>
        <v>0</v>
      </c>
      <c r="E566" s="64">
        <f>'Jul 16'!$E$41</f>
        <v>0</v>
      </c>
      <c r="F566" s="23">
        <f>'Jul 16'!$A$41</f>
        <v>0</v>
      </c>
      <c r="G566" s="64">
        <f>'Jul 16'!$F$41</f>
        <v>0</v>
      </c>
      <c r="H566" s="64">
        <f>'Jul 16'!$G$41</f>
        <v>0</v>
      </c>
      <c r="I566" s="64" t="str">
        <f>'Jul 16'!$M$41</f>
        <v/>
      </c>
      <c r="J566" s="25" t="str">
        <f>'Jul 16'!$S$41</f>
        <v/>
      </c>
      <c r="K566" s="23">
        <f>'Jul 16'!$AG$41</f>
        <v>0</v>
      </c>
      <c r="L566" s="23">
        <f>'Jul 16'!$N$41</f>
        <v>0</v>
      </c>
    </row>
    <row r="567" spans="1:12" x14ac:dyDescent="0.25">
      <c r="A567" s="66" t="str">
        <f t="shared" si="8"/>
        <v>✓</v>
      </c>
      <c r="B567" s="67">
        <v>46219</v>
      </c>
      <c r="C567" s="23">
        <f>'Jul 16'!$D$42</f>
        <v>0</v>
      </c>
      <c r="D567" s="23">
        <f>'Jul 16'!$B$42</f>
        <v>0</v>
      </c>
      <c r="E567" s="64">
        <f>'Jul 16'!$E$42</f>
        <v>0</v>
      </c>
      <c r="F567" s="23">
        <f>'Jul 16'!$A$42</f>
        <v>0</v>
      </c>
      <c r="G567" s="64">
        <f>'Jul 16'!$F$42</f>
        <v>0</v>
      </c>
      <c r="H567" s="64">
        <f>'Jul 16'!$G$42</f>
        <v>0</v>
      </c>
      <c r="I567" s="64" t="str">
        <f>'Jul 16'!$M$42</f>
        <v/>
      </c>
      <c r="J567" s="25" t="str">
        <f>'Jul 16'!$S$42</f>
        <v/>
      </c>
      <c r="K567" s="23">
        <f>'Jul 16'!$AG$42</f>
        <v>0</v>
      </c>
      <c r="L567" s="23">
        <f>'Jul 16'!$N$42</f>
        <v>0</v>
      </c>
    </row>
    <row r="568" spans="1:12" x14ac:dyDescent="0.25">
      <c r="A568" s="66" t="str">
        <f t="shared" si="8"/>
        <v>✓</v>
      </c>
      <c r="B568" s="67">
        <v>46220</v>
      </c>
      <c r="C568" s="23">
        <f>'Jul 17'!$D$8</f>
        <v>0</v>
      </c>
      <c r="D568" s="23">
        <f>'Jul 17'!$B$8</f>
        <v>0</v>
      </c>
      <c r="E568" s="64">
        <f>'Jul 17'!$E$8</f>
        <v>0</v>
      </c>
      <c r="F568" s="23">
        <f>'Jul 17'!$A$8</f>
        <v>0</v>
      </c>
      <c r="G568" s="64">
        <f>'Jul 17'!$F$8</f>
        <v>0</v>
      </c>
      <c r="H568" s="64">
        <f>'Jul 17'!$G$8</f>
        <v>0</v>
      </c>
      <c r="I568" s="64" t="str">
        <f>'Jul 17'!$M$8</f>
        <v/>
      </c>
      <c r="J568" s="25" t="str">
        <f>'Jul 17'!$S$8</f>
        <v/>
      </c>
      <c r="K568" s="23">
        <f>'Jul 17'!$AG$8</f>
        <v>0</v>
      </c>
      <c r="L568" s="23">
        <f>'Jul 17'!$N$8</f>
        <v>0</v>
      </c>
    </row>
    <row r="569" spans="1:12" x14ac:dyDescent="0.25">
      <c r="A569" s="66" t="str">
        <f t="shared" si="8"/>
        <v>✓</v>
      </c>
      <c r="B569" s="67">
        <v>46220</v>
      </c>
      <c r="C569" s="23">
        <f>'Jul 17'!$D$9</f>
        <v>0</v>
      </c>
      <c r="D569" s="23">
        <f>'Jul 17'!$B$9</f>
        <v>0</v>
      </c>
      <c r="E569" s="64">
        <f>'Jul 17'!$E$9</f>
        <v>0</v>
      </c>
      <c r="F569" s="23">
        <f>'Jul 17'!$A$9</f>
        <v>0</v>
      </c>
      <c r="G569" s="64">
        <f>'Jul 17'!$F$9</f>
        <v>0</v>
      </c>
      <c r="H569" s="64">
        <f>'Jul 17'!$G$9</f>
        <v>0</v>
      </c>
      <c r="I569" s="64" t="str">
        <f>'Jul 17'!$M$9</f>
        <v/>
      </c>
      <c r="J569" s="25" t="str">
        <f>'Jul 17'!$S$9</f>
        <v/>
      </c>
      <c r="K569" s="23">
        <f>'Jul 17'!$AG$9</f>
        <v>0</v>
      </c>
      <c r="L569" s="23">
        <f>'Jul 17'!$N$9</f>
        <v>0</v>
      </c>
    </row>
    <row r="570" spans="1:12" x14ac:dyDescent="0.25">
      <c r="A570" s="66" t="str">
        <f t="shared" si="8"/>
        <v>✓</v>
      </c>
      <c r="B570" s="67">
        <v>46220</v>
      </c>
      <c r="C570" s="23">
        <f>'Jul 17'!$D$10</f>
        <v>0</v>
      </c>
      <c r="D570" s="23">
        <f>'Jul 17'!$B$10</f>
        <v>0</v>
      </c>
      <c r="E570" s="64">
        <f>'Jul 17'!$E$10</f>
        <v>0</v>
      </c>
      <c r="F570" s="23">
        <f>'Jul 17'!$A$10</f>
        <v>0</v>
      </c>
      <c r="G570" s="64">
        <f>'Jul 17'!$F$10</f>
        <v>0</v>
      </c>
      <c r="H570" s="64">
        <f>'Jul 17'!$G$10</f>
        <v>0</v>
      </c>
      <c r="I570" s="64" t="str">
        <f>'Jul 17'!$M$10</f>
        <v/>
      </c>
      <c r="J570" s="25" t="str">
        <f>'Jul 17'!$S$10</f>
        <v/>
      </c>
      <c r="K570" s="23">
        <f>'Jul 17'!$AG$10</f>
        <v>0</v>
      </c>
      <c r="L570" s="23">
        <f>'Jul 17'!$N$10</f>
        <v>0</v>
      </c>
    </row>
    <row r="571" spans="1:12" x14ac:dyDescent="0.25">
      <c r="A571" s="66" t="str">
        <f t="shared" si="8"/>
        <v>✓</v>
      </c>
      <c r="B571" s="67">
        <v>46220</v>
      </c>
      <c r="C571" s="23">
        <f>'Jul 17'!$D$11</f>
        <v>0</v>
      </c>
      <c r="D571" s="23">
        <f>'Jul 17'!$B$11</f>
        <v>0</v>
      </c>
      <c r="E571" s="64">
        <f>'Jul 17'!$E$11</f>
        <v>0</v>
      </c>
      <c r="F571" s="23">
        <f>'Jul 17'!$A$11</f>
        <v>0</v>
      </c>
      <c r="G571" s="64">
        <f>'Jul 17'!$F$11</f>
        <v>0</v>
      </c>
      <c r="H571" s="64">
        <f>'Jul 17'!$G$11</f>
        <v>0</v>
      </c>
      <c r="I571" s="64" t="str">
        <f>'Jul 17'!$M$11</f>
        <v/>
      </c>
      <c r="J571" s="25" t="str">
        <f>'Jul 17'!$S$11</f>
        <v/>
      </c>
      <c r="K571" s="23">
        <f>'Jul 17'!$AG$11</f>
        <v>0</v>
      </c>
      <c r="L571" s="23">
        <f>'Jul 17'!$N$11</f>
        <v>0</v>
      </c>
    </row>
    <row r="572" spans="1:12" x14ac:dyDescent="0.25">
      <c r="A572" s="66" t="str">
        <f t="shared" si="8"/>
        <v>✓</v>
      </c>
      <c r="B572" s="67">
        <v>46220</v>
      </c>
      <c r="C572" s="23">
        <f>'Jul 17'!$D$12</f>
        <v>0</v>
      </c>
      <c r="D572" s="23">
        <f>'Jul 17'!$B$12</f>
        <v>0</v>
      </c>
      <c r="E572" s="64">
        <f>'Jul 17'!$E$12</f>
        <v>0</v>
      </c>
      <c r="F572" s="23">
        <f>'Jul 17'!$A$12</f>
        <v>0</v>
      </c>
      <c r="G572" s="64">
        <f>'Jul 17'!$F$12</f>
        <v>0</v>
      </c>
      <c r="H572" s="64">
        <f>'Jul 17'!$G$12</f>
        <v>0</v>
      </c>
      <c r="I572" s="64" t="str">
        <f>'Jul 17'!$M$12</f>
        <v/>
      </c>
      <c r="J572" s="25" t="str">
        <f>'Jul 17'!$S$12</f>
        <v/>
      </c>
      <c r="K572" s="23">
        <f>'Jul 17'!$AG$12</f>
        <v>0</v>
      </c>
      <c r="L572" s="23">
        <f>'Jul 17'!$N$12</f>
        <v>0</v>
      </c>
    </row>
    <row r="573" spans="1:12" x14ac:dyDescent="0.25">
      <c r="A573" s="66" t="str">
        <f t="shared" si="8"/>
        <v>✓</v>
      </c>
      <c r="B573" s="67">
        <v>46220</v>
      </c>
      <c r="C573" s="23">
        <f>'Jul 17'!$D$13</f>
        <v>0</v>
      </c>
      <c r="D573" s="23">
        <f>'Jul 17'!$B$13</f>
        <v>0</v>
      </c>
      <c r="E573" s="64">
        <f>'Jul 17'!$E$13</f>
        <v>0</v>
      </c>
      <c r="F573" s="23">
        <f>'Jul 17'!$A$13</f>
        <v>0</v>
      </c>
      <c r="G573" s="64">
        <f>'Jul 17'!$F$13</f>
        <v>0</v>
      </c>
      <c r="H573" s="64">
        <f>'Jul 17'!$G$13</f>
        <v>0</v>
      </c>
      <c r="I573" s="64" t="str">
        <f>'Jul 17'!$M$13</f>
        <v/>
      </c>
      <c r="J573" s="25" t="str">
        <f>'Jul 17'!$S$13</f>
        <v/>
      </c>
      <c r="K573" s="23">
        <f>'Jul 17'!$AG$13</f>
        <v>0</v>
      </c>
      <c r="L573" s="23">
        <f>'Jul 17'!$N$13</f>
        <v>0</v>
      </c>
    </row>
    <row r="574" spans="1:12" x14ac:dyDescent="0.25">
      <c r="A574" s="66" t="str">
        <f t="shared" si="8"/>
        <v>✓</v>
      </c>
      <c r="B574" s="67">
        <v>46220</v>
      </c>
      <c r="C574" s="23">
        <f>'Jul 17'!$D$14</f>
        <v>0</v>
      </c>
      <c r="D574" s="23">
        <f>'Jul 17'!$B$14</f>
        <v>0</v>
      </c>
      <c r="E574" s="64">
        <f>'Jul 17'!$E$14</f>
        <v>0</v>
      </c>
      <c r="F574" s="23">
        <f>'Jul 17'!$A$14</f>
        <v>0</v>
      </c>
      <c r="G574" s="64">
        <f>'Jul 17'!$F$14</f>
        <v>0</v>
      </c>
      <c r="H574" s="64">
        <f>'Jul 17'!$G$14</f>
        <v>0</v>
      </c>
      <c r="I574" s="64" t="str">
        <f>'Jul 17'!$M$14</f>
        <v/>
      </c>
      <c r="J574" s="25" t="str">
        <f>'Jul 17'!$S$14</f>
        <v/>
      </c>
      <c r="K574" s="23">
        <f>'Jul 17'!$AG$14</f>
        <v>0</v>
      </c>
      <c r="L574" s="23">
        <f>'Jul 17'!$N$14</f>
        <v>0</v>
      </c>
    </row>
    <row r="575" spans="1:12" x14ac:dyDescent="0.25">
      <c r="A575" s="66" t="str">
        <f t="shared" si="8"/>
        <v>✓</v>
      </c>
      <c r="B575" s="67">
        <v>46220</v>
      </c>
      <c r="C575" s="23">
        <f>'Jul 17'!$D$15</f>
        <v>0</v>
      </c>
      <c r="D575" s="23">
        <f>'Jul 17'!$B$15</f>
        <v>0</v>
      </c>
      <c r="E575" s="64">
        <f>'Jul 17'!$E$15</f>
        <v>0</v>
      </c>
      <c r="F575" s="23">
        <f>'Jul 17'!$A$15</f>
        <v>0</v>
      </c>
      <c r="G575" s="64">
        <f>'Jul 17'!$F$15</f>
        <v>0</v>
      </c>
      <c r="H575" s="64">
        <f>'Jul 17'!$G$15</f>
        <v>0</v>
      </c>
      <c r="I575" s="64" t="str">
        <f>'Jul 17'!$M$15</f>
        <v/>
      </c>
      <c r="J575" s="25" t="str">
        <f>'Jul 17'!$S$15</f>
        <v/>
      </c>
      <c r="K575" s="23">
        <f>'Jul 17'!$AG$15</f>
        <v>0</v>
      </c>
      <c r="L575" s="23">
        <f>'Jul 17'!$N$15</f>
        <v>0</v>
      </c>
    </row>
    <row r="576" spans="1:12" x14ac:dyDescent="0.25">
      <c r="A576" s="66" t="str">
        <f t="shared" si="8"/>
        <v>✓</v>
      </c>
      <c r="B576" s="67">
        <v>46220</v>
      </c>
      <c r="C576" s="23">
        <f>'Jul 17'!$D$16</f>
        <v>0</v>
      </c>
      <c r="D576" s="23">
        <f>'Jul 17'!$B$16</f>
        <v>0</v>
      </c>
      <c r="E576" s="64">
        <f>'Jul 17'!$E$16</f>
        <v>0</v>
      </c>
      <c r="F576" s="23">
        <f>'Jul 17'!$A$16</f>
        <v>0</v>
      </c>
      <c r="G576" s="64">
        <f>'Jul 17'!$F$16</f>
        <v>0</v>
      </c>
      <c r="H576" s="64">
        <f>'Jul 17'!$G$16</f>
        <v>0</v>
      </c>
      <c r="I576" s="64" t="str">
        <f>'Jul 17'!$M$16</f>
        <v/>
      </c>
      <c r="J576" s="25" t="str">
        <f>'Jul 17'!$S$16</f>
        <v/>
      </c>
      <c r="K576" s="23">
        <f>'Jul 17'!$AG$16</f>
        <v>0</v>
      </c>
      <c r="L576" s="23">
        <f>'Jul 17'!$N$16</f>
        <v>0</v>
      </c>
    </row>
    <row r="577" spans="1:12" x14ac:dyDescent="0.25">
      <c r="A577" s="66" t="str">
        <f t="shared" si="8"/>
        <v>✓</v>
      </c>
      <c r="B577" s="67">
        <v>46220</v>
      </c>
      <c r="C577" s="23">
        <f>'Jul 17'!$D$17</f>
        <v>0</v>
      </c>
      <c r="D577" s="23">
        <f>'Jul 17'!$B$17</f>
        <v>0</v>
      </c>
      <c r="E577" s="64">
        <f>'Jul 17'!$E$17</f>
        <v>0</v>
      </c>
      <c r="F577" s="23">
        <f>'Jul 17'!$A$17</f>
        <v>0</v>
      </c>
      <c r="G577" s="64">
        <f>'Jul 17'!$F$17</f>
        <v>0</v>
      </c>
      <c r="H577" s="64">
        <f>'Jul 17'!$G$17</f>
        <v>0</v>
      </c>
      <c r="I577" s="64" t="str">
        <f>'Jul 17'!$M$17</f>
        <v/>
      </c>
      <c r="J577" s="25" t="str">
        <f>'Jul 17'!$S$17</f>
        <v/>
      </c>
      <c r="K577" s="23">
        <f>'Jul 17'!$AG$17</f>
        <v>0</v>
      </c>
      <c r="L577" s="23">
        <f>'Jul 17'!$N$17</f>
        <v>0</v>
      </c>
    </row>
    <row r="578" spans="1:12" x14ac:dyDescent="0.25">
      <c r="A578" s="66" t="str">
        <f t="shared" si="8"/>
        <v>✓</v>
      </c>
      <c r="B578" s="67">
        <v>46220</v>
      </c>
      <c r="C578" s="23">
        <f>'Jul 17'!$D$18</f>
        <v>0</v>
      </c>
      <c r="D578" s="23">
        <f>'Jul 17'!$B$18</f>
        <v>0</v>
      </c>
      <c r="E578" s="64">
        <f>'Jul 17'!$E$18</f>
        <v>0</v>
      </c>
      <c r="F578" s="23">
        <f>'Jul 17'!$A$18</f>
        <v>0</v>
      </c>
      <c r="G578" s="64">
        <f>'Jul 17'!$F$18</f>
        <v>0</v>
      </c>
      <c r="H578" s="64">
        <f>'Jul 17'!$G$18</f>
        <v>0</v>
      </c>
      <c r="I578" s="64" t="str">
        <f>'Jul 17'!$M$18</f>
        <v/>
      </c>
      <c r="J578" s="25" t="str">
        <f>'Jul 17'!$S$18</f>
        <v/>
      </c>
      <c r="K578" s="23">
        <f>'Jul 17'!$AG$18</f>
        <v>0</v>
      </c>
      <c r="L578" s="23">
        <f>'Jul 17'!$N$18</f>
        <v>0</v>
      </c>
    </row>
    <row r="579" spans="1:12" x14ac:dyDescent="0.25">
      <c r="A579" s="66" t="str">
        <f t="shared" si="8"/>
        <v>✓</v>
      </c>
      <c r="B579" s="67">
        <v>46220</v>
      </c>
      <c r="C579" s="23">
        <f>'Jul 17'!$D$19</f>
        <v>0</v>
      </c>
      <c r="D579" s="23">
        <f>'Jul 17'!$B$19</f>
        <v>0</v>
      </c>
      <c r="E579" s="64">
        <f>'Jul 17'!$E$19</f>
        <v>0</v>
      </c>
      <c r="F579" s="23">
        <f>'Jul 17'!$A$19</f>
        <v>0</v>
      </c>
      <c r="G579" s="64">
        <f>'Jul 17'!$F$19</f>
        <v>0</v>
      </c>
      <c r="H579" s="64">
        <f>'Jul 17'!$G$19</f>
        <v>0</v>
      </c>
      <c r="I579" s="64" t="str">
        <f>'Jul 17'!$M$19</f>
        <v/>
      </c>
      <c r="J579" s="25" t="str">
        <f>'Jul 17'!$S$19</f>
        <v/>
      </c>
      <c r="K579" s="23">
        <f>'Jul 17'!$AG$19</f>
        <v>0</v>
      </c>
      <c r="L579" s="23">
        <f>'Jul 17'!$N$19</f>
        <v>0</v>
      </c>
    </row>
    <row r="580" spans="1:12" x14ac:dyDescent="0.25">
      <c r="A580" s="66" t="str">
        <f t="shared" si="8"/>
        <v>✓</v>
      </c>
      <c r="B580" s="67">
        <v>46220</v>
      </c>
      <c r="C580" s="23">
        <f>'Jul 17'!$D$20</f>
        <v>0</v>
      </c>
      <c r="D580" s="23">
        <f>'Jul 17'!$B$20</f>
        <v>0</v>
      </c>
      <c r="E580" s="64">
        <f>'Jul 17'!$E$20</f>
        <v>0</v>
      </c>
      <c r="F580" s="23">
        <f>'Jul 17'!$A$20</f>
        <v>0</v>
      </c>
      <c r="G580" s="64">
        <f>'Jul 17'!$F$20</f>
        <v>0</v>
      </c>
      <c r="H580" s="64">
        <f>'Jul 17'!$G$20</f>
        <v>0</v>
      </c>
      <c r="I580" s="64" t="str">
        <f>'Jul 17'!$M$20</f>
        <v/>
      </c>
      <c r="J580" s="25" t="str">
        <f>'Jul 17'!$S$20</f>
        <v/>
      </c>
      <c r="K580" s="23">
        <f>'Jul 17'!$AG$20</f>
        <v>0</v>
      </c>
      <c r="L580" s="23">
        <f>'Jul 17'!$N$20</f>
        <v>0</v>
      </c>
    </row>
    <row r="581" spans="1:12" x14ac:dyDescent="0.25">
      <c r="A581" s="66" t="str">
        <f t="shared" si="8"/>
        <v>✓</v>
      </c>
      <c r="B581" s="67">
        <v>46220</v>
      </c>
      <c r="C581" s="23">
        <f>'Jul 17'!$D$21</f>
        <v>0</v>
      </c>
      <c r="D581" s="23">
        <f>'Jul 17'!$B$21</f>
        <v>0</v>
      </c>
      <c r="E581" s="64">
        <f>'Jul 17'!$E$21</f>
        <v>0</v>
      </c>
      <c r="F581" s="23">
        <f>'Jul 17'!$A$21</f>
        <v>0</v>
      </c>
      <c r="G581" s="64">
        <f>'Jul 17'!$F$21</f>
        <v>0</v>
      </c>
      <c r="H581" s="64">
        <f>'Jul 17'!$G$21</f>
        <v>0</v>
      </c>
      <c r="I581" s="64" t="str">
        <f>'Jul 17'!$M$21</f>
        <v/>
      </c>
      <c r="J581" s="25" t="str">
        <f>'Jul 17'!$S$21</f>
        <v/>
      </c>
      <c r="K581" s="23">
        <f>'Jul 17'!$AG$21</f>
        <v>0</v>
      </c>
      <c r="L581" s="23">
        <f>'Jul 17'!$N$21</f>
        <v>0</v>
      </c>
    </row>
    <row r="582" spans="1:12" x14ac:dyDescent="0.25">
      <c r="A582" s="66" t="str">
        <f t="shared" si="8"/>
        <v>✓</v>
      </c>
      <c r="B582" s="67">
        <v>46220</v>
      </c>
      <c r="C582" s="23">
        <f>'Jul 17'!$D$22</f>
        <v>0</v>
      </c>
      <c r="D582" s="23">
        <f>'Jul 17'!$B$22</f>
        <v>0</v>
      </c>
      <c r="E582" s="64">
        <f>'Jul 17'!$E$22</f>
        <v>0</v>
      </c>
      <c r="F582" s="23">
        <f>'Jul 17'!$A$22</f>
        <v>0</v>
      </c>
      <c r="G582" s="64">
        <f>'Jul 17'!$F$22</f>
        <v>0</v>
      </c>
      <c r="H582" s="64">
        <f>'Jul 17'!$G$22</f>
        <v>0</v>
      </c>
      <c r="I582" s="64" t="str">
        <f>'Jul 17'!$M$22</f>
        <v/>
      </c>
      <c r="J582" s="25" t="str">
        <f>'Jul 17'!$S$22</f>
        <v/>
      </c>
      <c r="K582" s="23">
        <f>'Jul 17'!$AG$22</f>
        <v>0</v>
      </c>
      <c r="L582" s="23">
        <f>'Jul 17'!$N$22</f>
        <v>0</v>
      </c>
    </row>
    <row r="583" spans="1:12" x14ac:dyDescent="0.25">
      <c r="A583" s="66" t="str">
        <f t="shared" si="8"/>
        <v>✓</v>
      </c>
      <c r="B583" s="67">
        <v>46220</v>
      </c>
      <c r="C583" s="23">
        <f>'Jul 17'!$D$23</f>
        <v>0</v>
      </c>
      <c r="D583" s="23">
        <f>'Jul 17'!$B$23</f>
        <v>0</v>
      </c>
      <c r="E583" s="64">
        <f>'Jul 17'!$E$23</f>
        <v>0</v>
      </c>
      <c r="F583" s="23">
        <f>'Jul 17'!$A$23</f>
        <v>0</v>
      </c>
      <c r="G583" s="64">
        <f>'Jul 17'!$F$23</f>
        <v>0</v>
      </c>
      <c r="H583" s="64">
        <f>'Jul 17'!$G$23</f>
        <v>0</v>
      </c>
      <c r="I583" s="64" t="str">
        <f>'Jul 17'!$M$23</f>
        <v/>
      </c>
      <c r="J583" s="25" t="str">
        <f>'Jul 17'!$S$23</f>
        <v/>
      </c>
      <c r="K583" s="23">
        <f>'Jul 17'!$AG$23</f>
        <v>0</v>
      </c>
      <c r="L583" s="23">
        <f>'Jul 17'!$N$23</f>
        <v>0</v>
      </c>
    </row>
    <row r="584" spans="1:12" x14ac:dyDescent="0.25">
      <c r="A584" s="66" t="str">
        <f t="shared" ref="A584:A647" si="9">IF(C584="","",IF(AND(OR($B$5="",G584=$B$5,H584=$B$5),OR($D$5="",F584=$D$5),OR($E$5="",K584=$E$5),OR($G$5="",L584=$G$5),OR($H$5="",N(J584)&gt;=$H$5),OR($I$5="",ISNUMBER(SEARCH($I$5,C584&amp;" "&amp;D584&amp;" "&amp;E584&amp;" "&amp;I584)))),"✓",""))</f>
        <v>✓</v>
      </c>
      <c r="B584" s="67">
        <v>46220</v>
      </c>
      <c r="C584" s="23">
        <f>'Jul 17'!$D$24</f>
        <v>0</v>
      </c>
      <c r="D584" s="23">
        <f>'Jul 17'!$B$24</f>
        <v>0</v>
      </c>
      <c r="E584" s="64">
        <f>'Jul 17'!$E$24</f>
        <v>0</v>
      </c>
      <c r="F584" s="23">
        <f>'Jul 17'!$A$24</f>
        <v>0</v>
      </c>
      <c r="G584" s="64">
        <f>'Jul 17'!$F$24</f>
        <v>0</v>
      </c>
      <c r="H584" s="64">
        <f>'Jul 17'!$G$24</f>
        <v>0</v>
      </c>
      <c r="I584" s="64" t="str">
        <f>'Jul 17'!$M$24</f>
        <v/>
      </c>
      <c r="J584" s="25" t="str">
        <f>'Jul 17'!$S$24</f>
        <v/>
      </c>
      <c r="K584" s="23">
        <f>'Jul 17'!$AG$24</f>
        <v>0</v>
      </c>
      <c r="L584" s="23">
        <f>'Jul 17'!$N$24</f>
        <v>0</v>
      </c>
    </row>
    <row r="585" spans="1:12" x14ac:dyDescent="0.25">
      <c r="A585" s="66" t="str">
        <f t="shared" si="9"/>
        <v>✓</v>
      </c>
      <c r="B585" s="67">
        <v>46220</v>
      </c>
      <c r="C585" s="23">
        <f>'Jul 17'!$D$25</f>
        <v>0</v>
      </c>
      <c r="D585" s="23">
        <f>'Jul 17'!$B$25</f>
        <v>0</v>
      </c>
      <c r="E585" s="64">
        <f>'Jul 17'!$E$25</f>
        <v>0</v>
      </c>
      <c r="F585" s="23">
        <f>'Jul 17'!$A$25</f>
        <v>0</v>
      </c>
      <c r="G585" s="64">
        <f>'Jul 17'!$F$25</f>
        <v>0</v>
      </c>
      <c r="H585" s="64">
        <f>'Jul 17'!$G$25</f>
        <v>0</v>
      </c>
      <c r="I585" s="64" t="str">
        <f>'Jul 17'!$M$25</f>
        <v/>
      </c>
      <c r="J585" s="25" t="str">
        <f>'Jul 17'!$S$25</f>
        <v/>
      </c>
      <c r="K585" s="23">
        <f>'Jul 17'!$AG$25</f>
        <v>0</v>
      </c>
      <c r="L585" s="23">
        <f>'Jul 17'!$N$25</f>
        <v>0</v>
      </c>
    </row>
    <row r="586" spans="1:12" x14ac:dyDescent="0.25">
      <c r="A586" s="66" t="str">
        <f t="shared" si="9"/>
        <v>✓</v>
      </c>
      <c r="B586" s="67">
        <v>46220</v>
      </c>
      <c r="C586" s="23">
        <f>'Jul 17'!$D$26</f>
        <v>0</v>
      </c>
      <c r="D586" s="23">
        <f>'Jul 17'!$B$26</f>
        <v>0</v>
      </c>
      <c r="E586" s="64">
        <f>'Jul 17'!$E$26</f>
        <v>0</v>
      </c>
      <c r="F586" s="23">
        <f>'Jul 17'!$A$26</f>
        <v>0</v>
      </c>
      <c r="G586" s="64">
        <f>'Jul 17'!$F$26</f>
        <v>0</v>
      </c>
      <c r="H586" s="64">
        <f>'Jul 17'!$G$26</f>
        <v>0</v>
      </c>
      <c r="I586" s="64" t="str">
        <f>'Jul 17'!$M$26</f>
        <v/>
      </c>
      <c r="J586" s="25" t="str">
        <f>'Jul 17'!$S$26</f>
        <v/>
      </c>
      <c r="K586" s="23">
        <f>'Jul 17'!$AG$26</f>
        <v>0</v>
      </c>
      <c r="L586" s="23">
        <f>'Jul 17'!$N$26</f>
        <v>0</v>
      </c>
    </row>
    <row r="587" spans="1:12" x14ac:dyDescent="0.25">
      <c r="A587" s="66" t="str">
        <f t="shared" si="9"/>
        <v>✓</v>
      </c>
      <c r="B587" s="67">
        <v>46220</v>
      </c>
      <c r="C587" s="23">
        <f>'Jul 17'!$D$27</f>
        <v>0</v>
      </c>
      <c r="D587" s="23">
        <f>'Jul 17'!$B$27</f>
        <v>0</v>
      </c>
      <c r="E587" s="64">
        <f>'Jul 17'!$E$27</f>
        <v>0</v>
      </c>
      <c r="F587" s="23">
        <f>'Jul 17'!$A$27</f>
        <v>0</v>
      </c>
      <c r="G587" s="64">
        <f>'Jul 17'!$F$27</f>
        <v>0</v>
      </c>
      <c r="H587" s="64">
        <f>'Jul 17'!$G$27</f>
        <v>0</v>
      </c>
      <c r="I587" s="64" t="str">
        <f>'Jul 17'!$M$27</f>
        <v/>
      </c>
      <c r="J587" s="25" t="str">
        <f>'Jul 17'!$S$27</f>
        <v/>
      </c>
      <c r="K587" s="23">
        <f>'Jul 17'!$AG$27</f>
        <v>0</v>
      </c>
      <c r="L587" s="23">
        <f>'Jul 17'!$N$27</f>
        <v>0</v>
      </c>
    </row>
    <row r="588" spans="1:12" x14ac:dyDescent="0.25">
      <c r="A588" s="66" t="str">
        <f t="shared" si="9"/>
        <v>✓</v>
      </c>
      <c r="B588" s="67">
        <v>46220</v>
      </c>
      <c r="C588" s="23">
        <f>'Jul 17'!$D$28</f>
        <v>0</v>
      </c>
      <c r="D588" s="23">
        <f>'Jul 17'!$B$28</f>
        <v>0</v>
      </c>
      <c r="E588" s="64">
        <f>'Jul 17'!$E$28</f>
        <v>0</v>
      </c>
      <c r="F588" s="23">
        <f>'Jul 17'!$A$28</f>
        <v>0</v>
      </c>
      <c r="G588" s="64">
        <f>'Jul 17'!$F$28</f>
        <v>0</v>
      </c>
      <c r="H588" s="64">
        <f>'Jul 17'!$G$28</f>
        <v>0</v>
      </c>
      <c r="I588" s="64" t="str">
        <f>'Jul 17'!$M$28</f>
        <v/>
      </c>
      <c r="J588" s="25" t="str">
        <f>'Jul 17'!$S$28</f>
        <v/>
      </c>
      <c r="K588" s="23">
        <f>'Jul 17'!$AG$28</f>
        <v>0</v>
      </c>
      <c r="L588" s="23">
        <f>'Jul 17'!$N$28</f>
        <v>0</v>
      </c>
    </row>
    <row r="589" spans="1:12" x14ac:dyDescent="0.25">
      <c r="A589" s="66" t="str">
        <f t="shared" si="9"/>
        <v>✓</v>
      </c>
      <c r="B589" s="67">
        <v>46220</v>
      </c>
      <c r="C589" s="23">
        <f>'Jul 17'!$D$29</f>
        <v>0</v>
      </c>
      <c r="D589" s="23">
        <f>'Jul 17'!$B$29</f>
        <v>0</v>
      </c>
      <c r="E589" s="64">
        <f>'Jul 17'!$E$29</f>
        <v>0</v>
      </c>
      <c r="F589" s="23">
        <f>'Jul 17'!$A$29</f>
        <v>0</v>
      </c>
      <c r="G589" s="64">
        <f>'Jul 17'!$F$29</f>
        <v>0</v>
      </c>
      <c r="H589" s="64">
        <f>'Jul 17'!$G$29</f>
        <v>0</v>
      </c>
      <c r="I589" s="64" t="str">
        <f>'Jul 17'!$M$29</f>
        <v/>
      </c>
      <c r="J589" s="25" t="str">
        <f>'Jul 17'!$S$29</f>
        <v/>
      </c>
      <c r="K589" s="23">
        <f>'Jul 17'!$AG$29</f>
        <v>0</v>
      </c>
      <c r="L589" s="23">
        <f>'Jul 17'!$N$29</f>
        <v>0</v>
      </c>
    </row>
    <row r="590" spans="1:12" x14ac:dyDescent="0.25">
      <c r="A590" s="66" t="str">
        <f t="shared" si="9"/>
        <v>✓</v>
      </c>
      <c r="B590" s="67">
        <v>46220</v>
      </c>
      <c r="C590" s="23">
        <f>'Jul 17'!$D$30</f>
        <v>0</v>
      </c>
      <c r="D590" s="23">
        <f>'Jul 17'!$B$30</f>
        <v>0</v>
      </c>
      <c r="E590" s="64">
        <f>'Jul 17'!$E$30</f>
        <v>0</v>
      </c>
      <c r="F590" s="23">
        <f>'Jul 17'!$A$30</f>
        <v>0</v>
      </c>
      <c r="G590" s="64">
        <f>'Jul 17'!$F$30</f>
        <v>0</v>
      </c>
      <c r="H590" s="64">
        <f>'Jul 17'!$G$30</f>
        <v>0</v>
      </c>
      <c r="I590" s="64" t="str">
        <f>'Jul 17'!$M$30</f>
        <v/>
      </c>
      <c r="J590" s="25" t="str">
        <f>'Jul 17'!$S$30</f>
        <v/>
      </c>
      <c r="K590" s="23">
        <f>'Jul 17'!$AG$30</f>
        <v>0</v>
      </c>
      <c r="L590" s="23">
        <f>'Jul 17'!$N$30</f>
        <v>0</v>
      </c>
    </row>
    <row r="591" spans="1:12" x14ac:dyDescent="0.25">
      <c r="A591" s="66" t="str">
        <f t="shared" si="9"/>
        <v>✓</v>
      </c>
      <c r="B591" s="67">
        <v>46220</v>
      </c>
      <c r="C591" s="23">
        <f>'Jul 17'!$D$31</f>
        <v>0</v>
      </c>
      <c r="D591" s="23">
        <f>'Jul 17'!$B$31</f>
        <v>0</v>
      </c>
      <c r="E591" s="64">
        <f>'Jul 17'!$E$31</f>
        <v>0</v>
      </c>
      <c r="F591" s="23">
        <f>'Jul 17'!$A$31</f>
        <v>0</v>
      </c>
      <c r="G591" s="64">
        <f>'Jul 17'!$F$31</f>
        <v>0</v>
      </c>
      <c r="H591" s="64">
        <f>'Jul 17'!$G$31</f>
        <v>0</v>
      </c>
      <c r="I591" s="64" t="str">
        <f>'Jul 17'!$M$31</f>
        <v/>
      </c>
      <c r="J591" s="25" t="str">
        <f>'Jul 17'!$S$31</f>
        <v/>
      </c>
      <c r="K591" s="23">
        <f>'Jul 17'!$AG$31</f>
        <v>0</v>
      </c>
      <c r="L591" s="23">
        <f>'Jul 17'!$N$31</f>
        <v>0</v>
      </c>
    </row>
    <row r="592" spans="1:12" x14ac:dyDescent="0.25">
      <c r="A592" s="66" t="str">
        <f t="shared" si="9"/>
        <v>✓</v>
      </c>
      <c r="B592" s="67">
        <v>46220</v>
      </c>
      <c r="C592" s="23">
        <f>'Jul 17'!$D$32</f>
        <v>0</v>
      </c>
      <c r="D592" s="23">
        <f>'Jul 17'!$B$32</f>
        <v>0</v>
      </c>
      <c r="E592" s="64">
        <f>'Jul 17'!$E$32</f>
        <v>0</v>
      </c>
      <c r="F592" s="23">
        <f>'Jul 17'!$A$32</f>
        <v>0</v>
      </c>
      <c r="G592" s="64">
        <f>'Jul 17'!$F$32</f>
        <v>0</v>
      </c>
      <c r="H592" s="64">
        <f>'Jul 17'!$G$32</f>
        <v>0</v>
      </c>
      <c r="I592" s="64" t="str">
        <f>'Jul 17'!$M$32</f>
        <v/>
      </c>
      <c r="J592" s="25" t="str">
        <f>'Jul 17'!$S$32</f>
        <v/>
      </c>
      <c r="K592" s="23">
        <f>'Jul 17'!$AG$32</f>
        <v>0</v>
      </c>
      <c r="L592" s="23">
        <f>'Jul 17'!$N$32</f>
        <v>0</v>
      </c>
    </row>
    <row r="593" spans="1:12" x14ac:dyDescent="0.25">
      <c r="A593" s="66" t="str">
        <f t="shared" si="9"/>
        <v>✓</v>
      </c>
      <c r="B593" s="67">
        <v>46220</v>
      </c>
      <c r="C593" s="23">
        <f>'Jul 17'!$D$33</f>
        <v>0</v>
      </c>
      <c r="D593" s="23">
        <f>'Jul 17'!$B$33</f>
        <v>0</v>
      </c>
      <c r="E593" s="64">
        <f>'Jul 17'!$E$33</f>
        <v>0</v>
      </c>
      <c r="F593" s="23">
        <f>'Jul 17'!$A$33</f>
        <v>0</v>
      </c>
      <c r="G593" s="64">
        <f>'Jul 17'!$F$33</f>
        <v>0</v>
      </c>
      <c r="H593" s="64">
        <f>'Jul 17'!$G$33</f>
        <v>0</v>
      </c>
      <c r="I593" s="64" t="str">
        <f>'Jul 17'!$M$33</f>
        <v/>
      </c>
      <c r="J593" s="25" t="str">
        <f>'Jul 17'!$S$33</f>
        <v/>
      </c>
      <c r="K593" s="23">
        <f>'Jul 17'!$AG$33</f>
        <v>0</v>
      </c>
      <c r="L593" s="23">
        <f>'Jul 17'!$N$33</f>
        <v>0</v>
      </c>
    </row>
    <row r="594" spans="1:12" x14ac:dyDescent="0.25">
      <c r="A594" s="66" t="str">
        <f t="shared" si="9"/>
        <v>✓</v>
      </c>
      <c r="B594" s="67">
        <v>46220</v>
      </c>
      <c r="C594" s="23">
        <f>'Jul 17'!$D$34</f>
        <v>0</v>
      </c>
      <c r="D594" s="23">
        <f>'Jul 17'!$B$34</f>
        <v>0</v>
      </c>
      <c r="E594" s="64">
        <f>'Jul 17'!$E$34</f>
        <v>0</v>
      </c>
      <c r="F594" s="23">
        <f>'Jul 17'!$A$34</f>
        <v>0</v>
      </c>
      <c r="G594" s="64">
        <f>'Jul 17'!$F$34</f>
        <v>0</v>
      </c>
      <c r="H594" s="64">
        <f>'Jul 17'!$G$34</f>
        <v>0</v>
      </c>
      <c r="I594" s="64" t="str">
        <f>'Jul 17'!$M$34</f>
        <v/>
      </c>
      <c r="J594" s="25" t="str">
        <f>'Jul 17'!$S$34</f>
        <v/>
      </c>
      <c r="K594" s="23">
        <f>'Jul 17'!$AG$34</f>
        <v>0</v>
      </c>
      <c r="L594" s="23">
        <f>'Jul 17'!$N$34</f>
        <v>0</v>
      </c>
    </row>
    <row r="595" spans="1:12" x14ac:dyDescent="0.25">
      <c r="A595" s="66" t="str">
        <f t="shared" si="9"/>
        <v>✓</v>
      </c>
      <c r="B595" s="67">
        <v>46220</v>
      </c>
      <c r="C595" s="23">
        <f>'Jul 17'!$D$35</f>
        <v>0</v>
      </c>
      <c r="D595" s="23">
        <f>'Jul 17'!$B$35</f>
        <v>0</v>
      </c>
      <c r="E595" s="64">
        <f>'Jul 17'!$E$35</f>
        <v>0</v>
      </c>
      <c r="F595" s="23">
        <f>'Jul 17'!$A$35</f>
        <v>0</v>
      </c>
      <c r="G595" s="64">
        <f>'Jul 17'!$F$35</f>
        <v>0</v>
      </c>
      <c r="H595" s="64">
        <f>'Jul 17'!$G$35</f>
        <v>0</v>
      </c>
      <c r="I595" s="64" t="str">
        <f>'Jul 17'!$M$35</f>
        <v/>
      </c>
      <c r="J595" s="25" t="str">
        <f>'Jul 17'!$S$35</f>
        <v/>
      </c>
      <c r="K595" s="23">
        <f>'Jul 17'!$AG$35</f>
        <v>0</v>
      </c>
      <c r="L595" s="23">
        <f>'Jul 17'!$N$35</f>
        <v>0</v>
      </c>
    </row>
    <row r="596" spans="1:12" x14ac:dyDescent="0.25">
      <c r="A596" s="66" t="str">
        <f t="shared" si="9"/>
        <v>✓</v>
      </c>
      <c r="B596" s="67">
        <v>46220</v>
      </c>
      <c r="C596" s="23">
        <f>'Jul 17'!$D$36</f>
        <v>0</v>
      </c>
      <c r="D596" s="23">
        <f>'Jul 17'!$B$36</f>
        <v>0</v>
      </c>
      <c r="E596" s="64">
        <f>'Jul 17'!$E$36</f>
        <v>0</v>
      </c>
      <c r="F596" s="23">
        <f>'Jul 17'!$A$36</f>
        <v>0</v>
      </c>
      <c r="G596" s="64">
        <f>'Jul 17'!$F$36</f>
        <v>0</v>
      </c>
      <c r="H596" s="64">
        <f>'Jul 17'!$G$36</f>
        <v>0</v>
      </c>
      <c r="I596" s="64" t="str">
        <f>'Jul 17'!$M$36</f>
        <v/>
      </c>
      <c r="J596" s="25" t="str">
        <f>'Jul 17'!$S$36</f>
        <v/>
      </c>
      <c r="K596" s="23">
        <f>'Jul 17'!$AG$36</f>
        <v>0</v>
      </c>
      <c r="L596" s="23">
        <f>'Jul 17'!$N$36</f>
        <v>0</v>
      </c>
    </row>
    <row r="597" spans="1:12" x14ac:dyDescent="0.25">
      <c r="A597" s="66" t="str">
        <f t="shared" si="9"/>
        <v>✓</v>
      </c>
      <c r="B597" s="67">
        <v>46220</v>
      </c>
      <c r="C597" s="23">
        <f>'Jul 17'!$D$37</f>
        <v>0</v>
      </c>
      <c r="D597" s="23">
        <f>'Jul 17'!$B$37</f>
        <v>0</v>
      </c>
      <c r="E597" s="64">
        <f>'Jul 17'!$E$37</f>
        <v>0</v>
      </c>
      <c r="F597" s="23">
        <f>'Jul 17'!$A$37</f>
        <v>0</v>
      </c>
      <c r="G597" s="64">
        <f>'Jul 17'!$F$37</f>
        <v>0</v>
      </c>
      <c r="H597" s="64">
        <f>'Jul 17'!$G$37</f>
        <v>0</v>
      </c>
      <c r="I597" s="64" t="str">
        <f>'Jul 17'!$M$37</f>
        <v/>
      </c>
      <c r="J597" s="25" t="str">
        <f>'Jul 17'!$S$37</f>
        <v/>
      </c>
      <c r="K597" s="23">
        <f>'Jul 17'!$AG$37</f>
        <v>0</v>
      </c>
      <c r="L597" s="23">
        <f>'Jul 17'!$N$37</f>
        <v>0</v>
      </c>
    </row>
    <row r="598" spans="1:12" x14ac:dyDescent="0.25">
      <c r="A598" s="66" t="str">
        <f t="shared" si="9"/>
        <v>✓</v>
      </c>
      <c r="B598" s="67">
        <v>46220</v>
      </c>
      <c r="C598" s="23">
        <f>'Jul 17'!$D$38</f>
        <v>0</v>
      </c>
      <c r="D598" s="23">
        <f>'Jul 17'!$B$38</f>
        <v>0</v>
      </c>
      <c r="E598" s="64">
        <f>'Jul 17'!$E$38</f>
        <v>0</v>
      </c>
      <c r="F598" s="23">
        <f>'Jul 17'!$A$38</f>
        <v>0</v>
      </c>
      <c r="G598" s="64">
        <f>'Jul 17'!$F$38</f>
        <v>0</v>
      </c>
      <c r="H598" s="64">
        <f>'Jul 17'!$G$38</f>
        <v>0</v>
      </c>
      <c r="I598" s="64" t="str">
        <f>'Jul 17'!$M$38</f>
        <v/>
      </c>
      <c r="J598" s="25" t="str">
        <f>'Jul 17'!$S$38</f>
        <v/>
      </c>
      <c r="K598" s="23">
        <f>'Jul 17'!$AG$38</f>
        <v>0</v>
      </c>
      <c r="L598" s="23">
        <f>'Jul 17'!$N$38</f>
        <v>0</v>
      </c>
    </row>
    <row r="599" spans="1:12" x14ac:dyDescent="0.25">
      <c r="A599" s="66" t="str">
        <f t="shared" si="9"/>
        <v>✓</v>
      </c>
      <c r="B599" s="67">
        <v>46220</v>
      </c>
      <c r="C599" s="23">
        <f>'Jul 17'!$D$39</f>
        <v>0</v>
      </c>
      <c r="D599" s="23">
        <f>'Jul 17'!$B$39</f>
        <v>0</v>
      </c>
      <c r="E599" s="64">
        <f>'Jul 17'!$E$39</f>
        <v>0</v>
      </c>
      <c r="F599" s="23">
        <f>'Jul 17'!$A$39</f>
        <v>0</v>
      </c>
      <c r="G599" s="64">
        <f>'Jul 17'!$F$39</f>
        <v>0</v>
      </c>
      <c r="H599" s="64">
        <f>'Jul 17'!$G$39</f>
        <v>0</v>
      </c>
      <c r="I599" s="64" t="str">
        <f>'Jul 17'!$M$39</f>
        <v/>
      </c>
      <c r="J599" s="25" t="str">
        <f>'Jul 17'!$S$39</f>
        <v/>
      </c>
      <c r="K599" s="23">
        <f>'Jul 17'!$AG$39</f>
        <v>0</v>
      </c>
      <c r="L599" s="23">
        <f>'Jul 17'!$N$39</f>
        <v>0</v>
      </c>
    </row>
    <row r="600" spans="1:12" x14ac:dyDescent="0.25">
      <c r="A600" s="66" t="str">
        <f t="shared" si="9"/>
        <v>✓</v>
      </c>
      <c r="B600" s="67">
        <v>46220</v>
      </c>
      <c r="C600" s="23">
        <f>'Jul 17'!$D$40</f>
        <v>0</v>
      </c>
      <c r="D600" s="23">
        <f>'Jul 17'!$B$40</f>
        <v>0</v>
      </c>
      <c r="E600" s="64">
        <f>'Jul 17'!$E$40</f>
        <v>0</v>
      </c>
      <c r="F600" s="23">
        <f>'Jul 17'!$A$40</f>
        <v>0</v>
      </c>
      <c r="G600" s="64">
        <f>'Jul 17'!$F$40</f>
        <v>0</v>
      </c>
      <c r="H600" s="64">
        <f>'Jul 17'!$G$40</f>
        <v>0</v>
      </c>
      <c r="I600" s="64" t="str">
        <f>'Jul 17'!$M$40</f>
        <v/>
      </c>
      <c r="J600" s="25" t="str">
        <f>'Jul 17'!$S$40</f>
        <v/>
      </c>
      <c r="K600" s="23">
        <f>'Jul 17'!$AG$40</f>
        <v>0</v>
      </c>
      <c r="L600" s="23">
        <f>'Jul 17'!$N$40</f>
        <v>0</v>
      </c>
    </row>
    <row r="601" spans="1:12" x14ac:dyDescent="0.25">
      <c r="A601" s="66" t="str">
        <f t="shared" si="9"/>
        <v>✓</v>
      </c>
      <c r="B601" s="67">
        <v>46220</v>
      </c>
      <c r="C601" s="23">
        <f>'Jul 17'!$D$41</f>
        <v>0</v>
      </c>
      <c r="D601" s="23">
        <f>'Jul 17'!$B$41</f>
        <v>0</v>
      </c>
      <c r="E601" s="64">
        <f>'Jul 17'!$E$41</f>
        <v>0</v>
      </c>
      <c r="F601" s="23">
        <f>'Jul 17'!$A$41</f>
        <v>0</v>
      </c>
      <c r="G601" s="64">
        <f>'Jul 17'!$F$41</f>
        <v>0</v>
      </c>
      <c r="H601" s="64">
        <f>'Jul 17'!$G$41</f>
        <v>0</v>
      </c>
      <c r="I601" s="64" t="str">
        <f>'Jul 17'!$M$41</f>
        <v/>
      </c>
      <c r="J601" s="25" t="str">
        <f>'Jul 17'!$S$41</f>
        <v/>
      </c>
      <c r="K601" s="23">
        <f>'Jul 17'!$AG$41</f>
        <v>0</v>
      </c>
      <c r="L601" s="23">
        <f>'Jul 17'!$N$41</f>
        <v>0</v>
      </c>
    </row>
    <row r="602" spans="1:12" x14ac:dyDescent="0.25">
      <c r="A602" s="66" t="str">
        <f t="shared" si="9"/>
        <v>✓</v>
      </c>
      <c r="B602" s="67">
        <v>46220</v>
      </c>
      <c r="C602" s="23">
        <f>'Jul 17'!$D$42</f>
        <v>0</v>
      </c>
      <c r="D602" s="23">
        <f>'Jul 17'!$B$42</f>
        <v>0</v>
      </c>
      <c r="E602" s="64">
        <f>'Jul 17'!$E$42</f>
        <v>0</v>
      </c>
      <c r="F602" s="23">
        <f>'Jul 17'!$A$42</f>
        <v>0</v>
      </c>
      <c r="G602" s="64">
        <f>'Jul 17'!$F$42</f>
        <v>0</v>
      </c>
      <c r="H602" s="64">
        <f>'Jul 17'!$G$42</f>
        <v>0</v>
      </c>
      <c r="I602" s="64" t="str">
        <f>'Jul 17'!$M$42</f>
        <v/>
      </c>
      <c r="J602" s="25" t="str">
        <f>'Jul 17'!$S$42</f>
        <v/>
      </c>
      <c r="K602" s="23">
        <f>'Jul 17'!$AG$42</f>
        <v>0</v>
      </c>
      <c r="L602" s="23">
        <f>'Jul 17'!$N$42</f>
        <v>0</v>
      </c>
    </row>
    <row r="603" spans="1:12" x14ac:dyDescent="0.25">
      <c r="A603" s="66" t="str">
        <f t="shared" si="9"/>
        <v>✓</v>
      </c>
      <c r="B603" s="67">
        <v>46221</v>
      </c>
      <c r="C603" s="23">
        <f>'Jul 18'!$D$8</f>
        <v>0</v>
      </c>
      <c r="D603" s="23">
        <f>'Jul 18'!$B$8</f>
        <v>0</v>
      </c>
      <c r="E603" s="64">
        <f>'Jul 18'!$E$8</f>
        <v>0</v>
      </c>
      <c r="F603" s="23">
        <f>'Jul 18'!$A$8</f>
        <v>0</v>
      </c>
      <c r="G603" s="64">
        <f>'Jul 18'!$F$8</f>
        <v>0</v>
      </c>
      <c r="H603" s="64">
        <f>'Jul 18'!$G$8</f>
        <v>0</v>
      </c>
      <c r="I603" s="64" t="str">
        <f>'Jul 18'!$M$8</f>
        <v/>
      </c>
      <c r="J603" s="25" t="str">
        <f>'Jul 18'!$S$8</f>
        <v/>
      </c>
      <c r="K603" s="23">
        <f>'Jul 18'!$AG$8</f>
        <v>0</v>
      </c>
      <c r="L603" s="23">
        <f>'Jul 18'!$N$8</f>
        <v>0</v>
      </c>
    </row>
    <row r="604" spans="1:12" x14ac:dyDescent="0.25">
      <c r="A604" s="66" t="str">
        <f t="shared" si="9"/>
        <v>✓</v>
      </c>
      <c r="B604" s="67">
        <v>46221</v>
      </c>
      <c r="C604" s="23">
        <f>'Jul 18'!$D$9</f>
        <v>0</v>
      </c>
      <c r="D604" s="23">
        <f>'Jul 18'!$B$9</f>
        <v>0</v>
      </c>
      <c r="E604" s="64">
        <f>'Jul 18'!$E$9</f>
        <v>0</v>
      </c>
      <c r="F604" s="23">
        <f>'Jul 18'!$A$9</f>
        <v>0</v>
      </c>
      <c r="G604" s="64">
        <f>'Jul 18'!$F$9</f>
        <v>0</v>
      </c>
      <c r="H604" s="64">
        <f>'Jul 18'!$G$9</f>
        <v>0</v>
      </c>
      <c r="I604" s="64" t="str">
        <f>'Jul 18'!$M$9</f>
        <v/>
      </c>
      <c r="J604" s="25" t="str">
        <f>'Jul 18'!$S$9</f>
        <v/>
      </c>
      <c r="K604" s="23">
        <f>'Jul 18'!$AG$9</f>
        <v>0</v>
      </c>
      <c r="L604" s="23">
        <f>'Jul 18'!$N$9</f>
        <v>0</v>
      </c>
    </row>
    <row r="605" spans="1:12" x14ac:dyDescent="0.25">
      <c r="A605" s="66" t="str">
        <f t="shared" si="9"/>
        <v>✓</v>
      </c>
      <c r="B605" s="67">
        <v>46221</v>
      </c>
      <c r="C605" s="23">
        <f>'Jul 18'!$D$10</f>
        <v>0</v>
      </c>
      <c r="D605" s="23">
        <f>'Jul 18'!$B$10</f>
        <v>0</v>
      </c>
      <c r="E605" s="64">
        <f>'Jul 18'!$E$10</f>
        <v>0</v>
      </c>
      <c r="F605" s="23">
        <f>'Jul 18'!$A$10</f>
        <v>0</v>
      </c>
      <c r="G605" s="64">
        <f>'Jul 18'!$F$10</f>
        <v>0</v>
      </c>
      <c r="H605" s="64">
        <f>'Jul 18'!$G$10</f>
        <v>0</v>
      </c>
      <c r="I605" s="64" t="str">
        <f>'Jul 18'!$M$10</f>
        <v/>
      </c>
      <c r="J605" s="25" t="str">
        <f>'Jul 18'!$S$10</f>
        <v/>
      </c>
      <c r="K605" s="23">
        <f>'Jul 18'!$AG$10</f>
        <v>0</v>
      </c>
      <c r="L605" s="23">
        <f>'Jul 18'!$N$10</f>
        <v>0</v>
      </c>
    </row>
    <row r="606" spans="1:12" x14ac:dyDescent="0.25">
      <c r="A606" s="66" t="str">
        <f t="shared" si="9"/>
        <v>✓</v>
      </c>
      <c r="B606" s="67">
        <v>46221</v>
      </c>
      <c r="C606" s="23">
        <f>'Jul 18'!$D$11</f>
        <v>0</v>
      </c>
      <c r="D606" s="23">
        <f>'Jul 18'!$B$11</f>
        <v>0</v>
      </c>
      <c r="E606" s="64">
        <f>'Jul 18'!$E$11</f>
        <v>0</v>
      </c>
      <c r="F606" s="23">
        <f>'Jul 18'!$A$11</f>
        <v>0</v>
      </c>
      <c r="G606" s="64">
        <f>'Jul 18'!$F$11</f>
        <v>0</v>
      </c>
      <c r="H606" s="64">
        <f>'Jul 18'!$G$11</f>
        <v>0</v>
      </c>
      <c r="I606" s="64" t="str">
        <f>'Jul 18'!$M$11</f>
        <v/>
      </c>
      <c r="J606" s="25" t="str">
        <f>'Jul 18'!$S$11</f>
        <v/>
      </c>
      <c r="K606" s="23">
        <f>'Jul 18'!$AG$11</f>
        <v>0</v>
      </c>
      <c r="L606" s="23">
        <f>'Jul 18'!$N$11</f>
        <v>0</v>
      </c>
    </row>
    <row r="607" spans="1:12" x14ac:dyDescent="0.25">
      <c r="A607" s="66" t="str">
        <f t="shared" si="9"/>
        <v>✓</v>
      </c>
      <c r="B607" s="67">
        <v>46221</v>
      </c>
      <c r="C607" s="23">
        <f>'Jul 18'!$D$12</f>
        <v>0</v>
      </c>
      <c r="D607" s="23">
        <f>'Jul 18'!$B$12</f>
        <v>0</v>
      </c>
      <c r="E607" s="64">
        <f>'Jul 18'!$E$12</f>
        <v>0</v>
      </c>
      <c r="F607" s="23">
        <f>'Jul 18'!$A$12</f>
        <v>0</v>
      </c>
      <c r="G607" s="64">
        <f>'Jul 18'!$F$12</f>
        <v>0</v>
      </c>
      <c r="H607" s="64">
        <f>'Jul 18'!$G$12</f>
        <v>0</v>
      </c>
      <c r="I607" s="64" t="str">
        <f>'Jul 18'!$M$12</f>
        <v/>
      </c>
      <c r="J607" s="25" t="str">
        <f>'Jul 18'!$S$12</f>
        <v/>
      </c>
      <c r="K607" s="23">
        <f>'Jul 18'!$AG$12</f>
        <v>0</v>
      </c>
      <c r="L607" s="23">
        <f>'Jul 18'!$N$12</f>
        <v>0</v>
      </c>
    </row>
    <row r="608" spans="1:12" x14ac:dyDescent="0.25">
      <c r="A608" s="66" t="str">
        <f t="shared" si="9"/>
        <v>✓</v>
      </c>
      <c r="B608" s="67">
        <v>46221</v>
      </c>
      <c r="C608" s="23">
        <f>'Jul 18'!$D$13</f>
        <v>0</v>
      </c>
      <c r="D608" s="23">
        <f>'Jul 18'!$B$13</f>
        <v>0</v>
      </c>
      <c r="E608" s="64">
        <f>'Jul 18'!$E$13</f>
        <v>0</v>
      </c>
      <c r="F608" s="23">
        <f>'Jul 18'!$A$13</f>
        <v>0</v>
      </c>
      <c r="G608" s="64">
        <f>'Jul 18'!$F$13</f>
        <v>0</v>
      </c>
      <c r="H608" s="64">
        <f>'Jul 18'!$G$13</f>
        <v>0</v>
      </c>
      <c r="I608" s="64" t="str">
        <f>'Jul 18'!$M$13</f>
        <v/>
      </c>
      <c r="J608" s="25" t="str">
        <f>'Jul 18'!$S$13</f>
        <v/>
      </c>
      <c r="K608" s="23">
        <f>'Jul 18'!$AG$13</f>
        <v>0</v>
      </c>
      <c r="L608" s="23">
        <f>'Jul 18'!$N$13</f>
        <v>0</v>
      </c>
    </row>
    <row r="609" spans="1:12" x14ac:dyDescent="0.25">
      <c r="A609" s="66" t="str">
        <f t="shared" si="9"/>
        <v>✓</v>
      </c>
      <c r="B609" s="67">
        <v>46221</v>
      </c>
      <c r="C609" s="23">
        <f>'Jul 18'!$D$14</f>
        <v>0</v>
      </c>
      <c r="D609" s="23">
        <f>'Jul 18'!$B$14</f>
        <v>0</v>
      </c>
      <c r="E609" s="64">
        <f>'Jul 18'!$E$14</f>
        <v>0</v>
      </c>
      <c r="F609" s="23">
        <f>'Jul 18'!$A$14</f>
        <v>0</v>
      </c>
      <c r="G609" s="64">
        <f>'Jul 18'!$F$14</f>
        <v>0</v>
      </c>
      <c r="H609" s="64">
        <f>'Jul 18'!$G$14</f>
        <v>0</v>
      </c>
      <c r="I609" s="64" t="str">
        <f>'Jul 18'!$M$14</f>
        <v/>
      </c>
      <c r="J609" s="25" t="str">
        <f>'Jul 18'!$S$14</f>
        <v/>
      </c>
      <c r="K609" s="23">
        <f>'Jul 18'!$AG$14</f>
        <v>0</v>
      </c>
      <c r="L609" s="23">
        <f>'Jul 18'!$N$14</f>
        <v>0</v>
      </c>
    </row>
    <row r="610" spans="1:12" x14ac:dyDescent="0.25">
      <c r="A610" s="66" t="str">
        <f t="shared" si="9"/>
        <v>✓</v>
      </c>
      <c r="B610" s="67">
        <v>46221</v>
      </c>
      <c r="C610" s="23">
        <f>'Jul 18'!$D$15</f>
        <v>0</v>
      </c>
      <c r="D610" s="23">
        <f>'Jul 18'!$B$15</f>
        <v>0</v>
      </c>
      <c r="E610" s="64">
        <f>'Jul 18'!$E$15</f>
        <v>0</v>
      </c>
      <c r="F610" s="23">
        <f>'Jul 18'!$A$15</f>
        <v>0</v>
      </c>
      <c r="G610" s="64">
        <f>'Jul 18'!$F$15</f>
        <v>0</v>
      </c>
      <c r="H610" s="64">
        <f>'Jul 18'!$G$15</f>
        <v>0</v>
      </c>
      <c r="I610" s="64" t="str">
        <f>'Jul 18'!$M$15</f>
        <v/>
      </c>
      <c r="J610" s="25" t="str">
        <f>'Jul 18'!$S$15</f>
        <v/>
      </c>
      <c r="K610" s="23">
        <f>'Jul 18'!$AG$15</f>
        <v>0</v>
      </c>
      <c r="L610" s="23">
        <f>'Jul 18'!$N$15</f>
        <v>0</v>
      </c>
    </row>
    <row r="611" spans="1:12" x14ac:dyDescent="0.25">
      <c r="A611" s="66" t="str">
        <f t="shared" si="9"/>
        <v>✓</v>
      </c>
      <c r="B611" s="67">
        <v>46221</v>
      </c>
      <c r="C611" s="23">
        <f>'Jul 18'!$D$16</f>
        <v>0</v>
      </c>
      <c r="D611" s="23">
        <f>'Jul 18'!$B$16</f>
        <v>0</v>
      </c>
      <c r="E611" s="64">
        <f>'Jul 18'!$E$16</f>
        <v>0</v>
      </c>
      <c r="F611" s="23">
        <f>'Jul 18'!$A$16</f>
        <v>0</v>
      </c>
      <c r="G611" s="64">
        <f>'Jul 18'!$F$16</f>
        <v>0</v>
      </c>
      <c r="H611" s="64">
        <f>'Jul 18'!$G$16</f>
        <v>0</v>
      </c>
      <c r="I611" s="64" t="str">
        <f>'Jul 18'!$M$16</f>
        <v/>
      </c>
      <c r="J611" s="25" t="str">
        <f>'Jul 18'!$S$16</f>
        <v/>
      </c>
      <c r="K611" s="23">
        <f>'Jul 18'!$AG$16</f>
        <v>0</v>
      </c>
      <c r="L611" s="23">
        <f>'Jul 18'!$N$16</f>
        <v>0</v>
      </c>
    </row>
    <row r="612" spans="1:12" x14ac:dyDescent="0.25">
      <c r="A612" s="66" t="str">
        <f t="shared" si="9"/>
        <v>✓</v>
      </c>
      <c r="B612" s="67">
        <v>46221</v>
      </c>
      <c r="C612" s="23">
        <f>'Jul 18'!$D$17</f>
        <v>0</v>
      </c>
      <c r="D612" s="23">
        <f>'Jul 18'!$B$17</f>
        <v>0</v>
      </c>
      <c r="E612" s="64">
        <f>'Jul 18'!$E$17</f>
        <v>0</v>
      </c>
      <c r="F612" s="23">
        <f>'Jul 18'!$A$17</f>
        <v>0</v>
      </c>
      <c r="G612" s="64">
        <f>'Jul 18'!$F$17</f>
        <v>0</v>
      </c>
      <c r="H612" s="64">
        <f>'Jul 18'!$G$17</f>
        <v>0</v>
      </c>
      <c r="I612" s="64" t="str">
        <f>'Jul 18'!$M$17</f>
        <v/>
      </c>
      <c r="J612" s="25" t="str">
        <f>'Jul 18'!$S$17</f>
        <v/>
      </c>
      <c r="K612" s="23">
        <f>'Jul 18'!$AG$17</f>
        <v>0</v>
      </c>
      <c r="L612" s="23">
        <f>'Jul 18'!$N$17</f>
        <v>0</v>
      </c>
    </row>
    <row r="613" spans="1:12" x14ac:dyDescent="0.25">
      <c r="A613" s="66" t="str">
        <f t="shared" si="9"/>
        <v>✓</v>
      </c>
      <c r="B613" s="67">
        <v>46221</v>
      </c>
      <c r="C613" s="23">
        <f>'Jul 18'!$D$18</f>
        <v>0</v>
      </c>
      <c r="D613" s="23">
        <f>'Jul 18'!$B$18</f>
        <v>0</v>
      </c>
      <c r="E613" s="64">
        <f>'Jul 18'!$E$18</f>
        <v>0</v>
      </c>
      <c r="F613" s="23">
        <f>'Jul 18'!$A$18</f>
        <v>0</v>
      </c>
      <c r="G613" s="64">
        <f>'Jul 18'!$F$18</f>
        <v>0</v>
      </c>
      <c r="H613" s="64">
        <f>'Jul 18'!$G$18</f>
        <v>0</v>
      </c>
      <c r="I613" s="64" t="str">
        <f>'Jul 18'!$M$18</f>
        <v/>
      </c>
      <c r="J613" s="25" t="str">
        <f>'Jul 18'!$S$18</f>
        <v/>
      </c>
      <c r="K613" s="23">
        <f>'Jul 18'!$AG$18</f>
        <v>0</v>
      </c>
      <c r="L613" s="23">
        <f>'Jul 18'!$N$18</f>
        <v>0</v>
      </c>
    </row>
    <row r="614" spans="1:12" x14ac:dyDescent="0.25">
      <c r="A614" s="66" t="str">
        <f t="shared" si="9"/>
        <v>✓</v>
      </c>
      <c r="B614" s="67">
        <v>46221</v>
      </c>
      <c r="C614" s="23">
        <f>'Jul 18'!$D$19</f>
        <v>0</v>
      </c>
      <c r="D614" s="23">
        <f>'Jul 18'!$B$19</f>
        <v>0</v>
      </c>
      <c r="E614" s="64">
        <f>'Jul 18'!$E$19</f>
        <v>0</v>
      </c>
      <c r="F614" s="23">
        <f>'Jul 18'!$A$19</f>
        <v>0</v>
      </c>
      <c r="G614" s="64">
        <f>'Jul 18'!$F$19</f>
        <v>0</v>
      </c>
      <c r="H614" s="64">
        <f>'Jul 18'!$G$19</f>
        <v>0</v>
      </c>
      <c r="I614" s="64" t="str">
        <f>'Jul 18'!$M$19</f>
        <v/>
      </c>
      <c r="J614" s="25" t="str">
        <f>'Jul 18'!$S$19</f>
        <v/>
      </c>
      <c r="K614" s="23">
        <f>'Jul 18'!$AG$19</f>
        <v>0</v>
      </c>
      <c r="L614" s="23">
        <f>'Jul 18'!$N$19</f>
        <v>0</v>
      </c>
    </row>
    <row r="615" spans="1:12" x14ac:dyDescent="0.25">
      <c r="A615" s="66" t="str">
        <f t="shared" si="9"/>
        <v>✓</v>
      </c>
      <c r="B615" s="67">
        <v>46221</v>
      </c>
      <c r="C615" s="23">
        <f>'Jul 18'!$D$20</f>
        <v>0</v>
      </c>
      <c r="D615" s="23">
        <f>'Jul 18'!$B$20</f>
        <v>0</v>
      </c>
      <c r="E615" s="64">
        <f>'Jul 18'!$E$20</f>
        <v>0</v>
      </c>
      <c r="F615" s="23">
        <f>'Jul 18'!$A$20</f>
        <v>0</v>
      </c>
      <c r="G615" s="64">
        <f>'Jul 18'!$F$20</f>
        <v>0</v>
      </c>
      <c r="H615" s="64">
        <f>'Jul 18'!$G$20</f>
        <v>0</v>
      </c>
      <c r="I615" s="64" t="str">
        <f>'Jul 18'!$M$20</f>
        <v/>
      </c>
      <c r="J615" s="25" t="str">
        <f>'Jul 18'!$S$20</f>
        <v/>
      </c>
      <c r="K615" s="23">
        <f>'Jul 18'!$AG$20</f>
        <v>0</v>
      </c>
      <c r="L615" s="23">
        <f>'Jul 18'!$N$20</f>
        <v>0</v>
      </c>
    </row>
    <row r="616" spans="1:12" x14ac:dyDescent="0.25">
      <c r="A616" s="66" t="str">
        <f t="shared" si="9"/>
        <v>✓</v>
      </c>
      <c r="B616" s="67">
        <v>46221</v>
      </c>
      <c r="C616" s="23">
        <f>'Jul 18'!$D$21</f>
        <v>0</v>
      </c>
      <c r="D616" s="23">
        <f>'Jul 18'!$B$21</f>
        <v>0</v>
      </c>
      <c r="E616" s="64">
        <f>'Jul 18'!$E$21</f>
        <v>0</v>
      </c>
      <c r="F616" s="23">
        <f>'Jul 18'!$A$21</f>
        <v>0</v>
      </c>
      <c r="G616" s="64">
        <f>'Jul 18'!$F$21</f>
        <v>0</v>
      </c>
      <c r="H616" s="64">
        <f>'Jul 18'!$G$21</f>
        <v>0</v>
      </c>
      <c r="I616" s="64" t="str">
        <f>'Jul 18'!$M$21</f>
        <v/>
      </c>
      <c r="J616" s="25" t="str">
        <f>'Jul 18'!$S$21</f>
        <v/>
      </c>
      <c r="K616" s="23">
        <f>'Jul 18'!$AG$21</f>
        <v>0</v>
      </c>
      <c r="L616" s="23">
        <f>'Jul 18'!$N$21</f>
        <v>0</v>
      </c>
    </row>
    <row r="617" spans="1:12" x14ac:dyDescent="0.25">
      <c r="A617" s="66" t="str">
        <f t="shared" si="9"/>
        <v>✓</v>
      </c>
      <c r="B617" s="67">
        <v>46221</v>
      </c>
      <c r="C617" s="23">
        <f>'Jul 18'!$D$22</f>
        <v>0</v>
      </c>
      <c r="D617" s="23">
        <f>'Jul 18'!$B$22</f>
        <v>0</v>
      </c>
      <c r="E617" s="64">
        <f>'Jul 18'!$E$22</f>
        <v>0</v>
      </c>
      <c r="F617" s="23">
        <f>'Jul 18'!$A$22</f>
        <v>0</v>
      </c>
      <c r="G617" s="64">
        <f>'Jul 18'!$F$22</f>
        <v>0</v>
      </c>
      <c r="H617" s="64">
        <f>'Jul 18'!$G$22</f>
        <v>0</v>
      </c>
      <c r="I617" s="64" t="str">
        <f>'Jul 18'!$M$22</f>
        <v/>
      </c>
      <c r="J617" s="25" t="str">
        <f>'Jul 18'!$S$22</f>
        <v/>
      </c>
      <c r="K617" s="23">
        <f>'Jul 18'!$AG$22</f>
        <v>0</v>
      </c>
      <c r="L617" s="23">
        <f>'Jul 18'!$N$22</f>
        <v>0</v>
      </c>
    </row>
    <row r="618" spans="1:12" x14ac:dyDescent="0.25">
      <c r="A618" s="66" t="str">
        <f t="shared" si="9"/>
        <v>✓</v>
      </c>
      <c r="B618" s="67">
        <v>46221</v>
      </c>
      <c r="C618" s="23">
        <f>'Jul 18'!$D$23</f>
        <v>0</v>
      </c>
      <c r="D618" s="23">
        <f>'Jul 18'!$B$23</f>
        <v>0</v>
      </c>
      <c r="E618" s="64">
        <f>'Jul 18'!$E$23</f>
        <v>0</v>
      </c>
      <c r="F618" s="23">
        <f>'Jul 18'!$A$23</f>
        <v>0</v>
      </c>
      <c r="G618" s="64">
        <f>'Jul 18'!$F$23</f>
        <v>0</v>
      </c>
      <c r="H618" s="64">
        <f>'Jul 18'!$G$23</f>
        <v>0</v>
      </c>
      <c r="I618" s="64" t="str">
        <f>'Jul 18'!$M$23</f>
        <v/>
      </c>
      <c r="J618" s="25" t="str">
        <f>'Jul 18'!$S$23</f>
        <v/>
      </c>
      <c r="K618" s="23">
        <f>'Jul 18'!$AG$23</f>
        <v>0</v>
      </c>
      <c r="L618" s="23">
        <f>'Jul 18'!$N$23</f>
        <v>0</v>
      </c>
    </row>
    <row r="619" spans="1:12" x14ac:dyDescent="0.25">
      <c r="A619" s="66" t="str">
        <f t="shared" si="9"/>
        <v>✓</v>
      </c>
      <c r="B619" s="67">
        <v>46221</v>
      </c>
      <c r="C619" s="23">
        <f>'Jul 18'!$D$24</f>
        <v>0</v>
      </c>
      <c r="D619" s="23">
        <f>'Jul 18'!$B$24</f>
        <v>0</v>
      </c>
      <c r="E619" s="64">
        <f>'Jul 18'!$E$24</f>
        <v>0</v>
      </c>
      <c r="F619" s="23">
        <f>'Jul 18'!$A$24</f>
        <v>0</v>
      </c>
      <c r="G619" s="64">
        <f>'Jul 18'!$F$24</f>
        <v>0</v>
      </c>
      <c r="H619" s="64">
        <f>'Jul 18'!$G$24</f>
        <v>0</v>
      </c>
      <c r="I619" s="64" t="str">
        <f>'Jul 18'!$M$24</f>
        <v/>
      </c>
      <c r="J619" s="25" t="str">
        <f>'Jul 18'!$S$24</f>
        <v/>
      </c>
      <c r="K619" s="23">
        <f>'Jul 18'!$AG$24</f>
        <v>0</v>
      </c>
      <c r="L619" s="23">
        <f>'Jul 18'!$N$24</f>
        <v>0</v>
      </c>
    </row>
    <row r="620" spans="1:12" x14ac:dyDescent="0.25">
      <c r="A620" s="66" t="str">
        <f t="shared" si="9"/>
        <v>✓</v>
      </c>
      <c r="B620" s="67">
        <v>46221</v>
      </c>
      <c r="C620" s="23">
        <f>'Jul 18'!$D$25</f>
        <v>0</v>
      </c>
      <c r="D620" s="23">
        <f>'Jul 18'!$B$25</f>
        <v>0</v>
      </c>
      <c r="E620" s="64">
        <f>'Jul 18'!$E$25</f>
        <v>0</v>
      </c>
      <c r="F620" s="23">
        <f>'Jul 18'!$A$25</f>
        <v>0</v>
      </c>
      <c r="G620" s="64">
        <f>'Jul 18'!$F$25</f>
        <v>0</v>
      </c>
      <c r="H620" s="64">
        <f>'Jul 18'!$G$25</f>
        <v>0</v>
      </c>
      <c r="I620" s="64" t="str">
        <f>'Jul 18'!$M$25</f>
        <v/>
      </c>
      <c r="J620" s="25" t="str">
        <f>'Jul 18'!$S$25</f>
        <v/>
      </c>
      <c r="K620" s="23">
        <f>'Jul 18'!$AG$25</f>
        <v>0</v>
      </c>
      <c r="L620" s="23">
        <f>'Jul 18'!$N$25</f>
        <v>0</v>
      </c>
    </row>
    <row r="621" spans="1:12" x14ac:dyDescent="0.25">
      <c r="A621" s="66" t="str">
        <f t="shared" si="9"/>
        <v>✓</v>
      </c>
      <c r="B621" s="67">
        <v>46221</v>
      </c>
      <c r="C621" s="23">
        <f>'Jul 18'!$D$26</f>
        <v>0</v>
      </c>
      <c r="D621" s="23">
        <f>'Jul 18'!$B$26</f>
        <v>0</v>
      </c>
      <c r="E621" s="64">
        <f>'Jul 18'!$E$26</f>
        <v>0</v>
      </c>
      <c r="F621" s="23">
        <f>'Jul 18'!$A$26</f>
        <v>0</v>
      </c>
      <c r="G621" s="64">
        <f>'Jul 18'!$F$26</f>
        <v>0</v>
      </c>
      <c r="H621" s="64">
        <f>'Jul 18'!$G$26</f>
        <v>0</v>
      </c>
      <c r="I621" s="64" t="str">
        <f>'Jul 18'!$M$26</f>
        <v/>
      </c>
      <c r="J621" s="25" t="str">
        <f>'Jul 18'!$S$26</f>
        <v/>
      </c>
      <c r="K621" s="23">
        <f>'Jul 18'!$AG$26</f>
        <v>0</v>
      </c>
      <c r="L621" s="23">
        <f>'Jul 18'!$N$26</f>
        <v>0</v>
      </c>
    </row>
    <row r="622" spans="1:12" x14ac:dyDescent="0.25">
      <c r="A622" s="66" t="str">
        <f t="shared" si="9"/>
        <v>✓</v>
      </c>
      <c r="B622" s="67">
        <v>46221</v>
      </c>
      <c r="C622" s="23">
        <f>'Jul 18'!$D$27</f>
        <v>0</v>
      </c>
      <c r="D622" s="23">
        <f>'Jul 18'!$B$27</f>
        <v>0</v>
      </c>
      <c r="E622" s="64">
        <f>'Jul 18'!$E$27</f>
        <v>0</v>
      </c>
      <c r="F622" s="23">
        <f>'Jul 18'!$A$27</f>
        <v>0</v>
      </c>
      <c r="G622" s="64">
        <f>'Jul 18'!$F$27</f>
        <v>0</v>
      </c>
      <c r="H622" s="64">
        <f>'Jul 18'!$G$27</f>
        <v>0</v>
      </c>
      <c r="I622" s="64" t="str">
        <f>'Jul 18'!$M$27</f>
        <v/>
      </c>
      <c r="J622" s="25" t="str">
        <f>'Jul 18'!$S$27</f>
        <v/>
      </c>
      <c r="K622" s="23">
        <f>'Jul 18'!$AG$27</f>
        <v>0</v>
      </c>
      <c r="L622" s="23">
        <f>'Jul 18'!$N$27</f>
        <v>0</v>
      </c>
    </row>
    <row r="623" spans="1:12" x14ac:dyDescent="0.25">
      <c r="A623" s="66" t="str">
        <f t="shared" si="9"/>
        <v>✓</v>
      </c>
      <c r="B623" s="67">
        <v>46221</v>
      </c>
      <c r="C623" s="23">
        <f>'Jul 18'!$D$28</f>
        <v>0</v>
      </c>
      <c r="D623" s="23">
        <f>'Jul 18'!$B$28</f>
        <v>0</v>
      </c>
      <c r="E623" s="64">
        <f>'Jul 18'!$E$28</f>
        <v>0</v>
      </c>
      <c r="F623" s="23">
        <f>'Jul 18'!$A$28</f>
        <v>0</v>
      </c>
      <c r="G623" s="64">
        <f>'Jul 18'!$F$28</f>
        <v>0</v>
      </c>
      <c r="H623" s="64">
        <f>'Jul 18'!$G$28</f>
        <v>0</v>
      </c>
      <c r="I623" s="64" t="str">
        <f>'Jul 18'!$M$28</f>
        <v/>
      </c>
      <c r="J623" s="25" t="str">
        <f>'Jul 18'!$S$28</f>
        <v/>
      </c>
      <c r="K623" s="23">
        <f>'Jul 18'!$AG$28</f>
        <v>0</v>
      </c>
      <c r="L623" s="23">
        <f>'Jul 18'!$N$28</f>
        <v>0</v>
      </c>
    </row>
    <row r="624" spans="1:12" x14ac:dyDescent="0.25">
      <c r="A624" s="66" t="str">
        <f t="shared" si="9"/>
        <v>✓</v>
      </c>
      <c r="B624" s="67">
        <v>46221</v>
      </c>
      <c r="C624" s="23">
        <f>'Jul 18'!$D$29</f>
        <v>0</v>
      </c>
      <c r="D624" s="23">
        <f>'Jul 18'!$B$29</f>
        <v>0</v>
      </c>
      <c r="E624" s="64">
        <f>'Jul 18'!$E$29</f>
        <v>0</v>
      </c>
      <c r="F624" s="23">
        <f>'Jul 18'!$A$29</f>
        <v>0</v>
      </c>
      <c r="G624" s="64">
        <f>'Jul 18'!$F$29</f>
        <v>0</v>
      </c>
      <c r="H624" s="64">
        <f>'Jul 18'!$G$29</f>
        <v>0</v>
      </c>
      <c r="I624" s="64" t="str">
        <f>'Jul 18'!$M$29</f>
        <v/>
      </c>
      <c r="J624" s="25" t="str">
        <f>'Jul 18'!$S$29</f>
        <v/>
      </c>
      <c r="K624" s="23">
        <f>'Jul 18'!$AG$29</f>
        <v>0</v>
      </c>
      <c r="L624" s="23">
        <f>'Jul 18'!$N$29</f>
        <v>0</v>
      </c>
    </row>
    <row r="625" spans="1:12" x14ac:dyDescent="0.25">
      <c r="A625" s="66" t="str">
        <f t="shared" si="9"/>
        <v>✓</v>
      </c>
      <c r="B625" s="67">
        <v>46221</v>
      </c>
      <c r="C625" s="23">
        <f>'Jul 18'!$D$30</f>
        <v>0</v>
      </c>
      <c r="D625" s="23">
        <f>'Jul 18'!$B$30</f>
        <v>0</v>
      </c>
      <c r="E625" s="64">
        <f>'Jul 18'!$E$30</f>
        <v>0</v>
      </c>
      <c r="F625" s="23">
        <f>'Jul 18'!$A$30</f>
        <v>0</v>
      </c>
      <c r="G625" s="64">
        <f>'Jul 18'!$F$30</f>
        <v>0</v>
      </c>
      <c r="H625" s="64">
        <f>'Jul 18'!$G$30</f>
        <v>0</v>
      </c>
      <c r="I625" s="64" t="str">
        <f>'Jul 18'!$M$30</f>
        <v/>
      </c>
      <c r="J625" s="25" t="str">
        <f>'Jul 18'!$S$30</f>
        <v/>
      </c>
      <c r="K625" s="23">
        <f>'Jul 18'!$AG$30</f>
        <v>0</v>
      </c>
      <c r="L625" s="23">
        <f>'Jul 18'!$N$30</f>
        <v>0</v>
      </c>
    </row>
    <row r="626" spans="1:12" x14ac:dyDescent="0.25">
      <c r="A626" s="66" t="str">
        <f t="shared" si="9"/>
        <v>✓</v>
      </c>
      <c r="B626" s="67">
        <v>46221</v>
      </c>
      <c r="C626" s="23">
        <f>'Jul 18'!$D$31</f>
        <v>0</v>
      </c>
      <c r="D626" s="23">
        <f>'Jul 18'!$B$31</f>
        <v>0</v>
      </c>
      <c r="E626" s="64">
        <f>'Jul 18'!$E$31</f>
        <v>0</v>
      </c>
      <c r="F626" s="23">
        <f>'Jul 18'!$A$31</f>
        <v>0</v>
      </c>
      <c r="G626" s="64">
        <f>'Jul 18'!$F$31</f>
        <v>0</v>
      </c>
      <c r="H626" s="64">
        <f>'Jul 18'!$G$31</f>
        <v>0</v>
      </c>
      <c r="I626" s="64" t="str">
        <f>'Jul 18'!$M$31</f>
        <v/>
      </c>
      <c r="J626" s="25" t="str">
        <f>'Jul 18'!$S$31</f>
        <v/>
      </c>
      <c r="K626" s="23">
        <f>'Jul 18'!$AG$31</f>
        <v>0</v>
      </c>
      <c r="L626" s="23">
        <f>'Jul 18'!$N$31</f>
        <v>0</v>
      </c>
    </row>
    <row r="627" spans="1:12" x14ac:dyDescent="0.25">
      <c r="A627" s="66" t="str">
        <f t="shared" si="9"/>
        <v>✓</v>
      </c>
      <c r="B627" s="67">
        <v>46221</v>
      </c>
      <c r="C627" s="23">
        <f>'Jul 18'!$D$32</f>
        <v>0</v>
      </c>
      <c r="D627" s="23">
        <f>'Jul 18'!$B$32</f>
        <v>0</v>
      </c>
      <c r="E627" s="64">
        <f>'Jul 18'!$E$32</f>
        <v>0</v>
      </c>
      <c r="F627" s="23">
        <f>'Jul 18'!$A$32</f>
        <v>0</v>
      </c>
      <c r="G627" s="64">
        <f>'Jul 18'!$F$32</f>
        <v>0</v>
      </c>
      <c r="H627" s="64">
        <f>'Jul 18'!$G$32</f>
        <v>0</v>
      </c>
      <c r="I627" s="64" t="str">
        <f>'Jul 18'!$M$32</f>
        <v/>
      </c>
      <c r="J627" s="25" t="str">
        <f>'Jul 18'!$S$32</f>
        <v/>
      </c>
      <c r="K627" s="23">
        <f>'Jul 18'!$AG$32</f>
        <v>0</v>
      </c>
      <c r="L627" s="23">
        <f>'Jul 18'!$N$32</f>
        <v>0</v>
      </c>
    </row>
    <row r="628" spans="1:12" x14ac:dyDescent="0.25">
      <c r="A628" s="66" t="str">
        <f t="shared" si="9"/>
        <v>✓</v>
      </c>
      <c r="B628" s="67">
        <v>46221</v>
      </c>
      <c r="C628" s="23">
        <f>'Jul 18'!$D$33</f>
        <v>0</v>
      </c>
      <c r="D628" s="23">
        <f>'Jul 18'!$B$33</f>
        <v>0</v>
      </c>
      <c r="E628" s="64">
        <f>'Jul 18'!$E$33</f>
        <v>0</v>
      </c>
      <c r="F628" s="23">
        <f>'Jul 18'!$A$33</f>
        <v>0</v>
      </c>
      <c r="G628" s="64">
        <f>'Jul 18'!$F$33</f>
        <v>0</v>
      </c>
      <c r="H628" s="64">
        <f>'Jul 18'!$G$33</f>
        <v>0</v>
      </c>
      <c r="I628" s="64" t="str">
        <f>'Jul 18'!$M$33</f>
        <v/>
      </c>
      <c r="J628" s="25" t="str">
        <f>'Jul 18'!$S$33</f>
        <v/>
      </c>
      <c r="K628" s="23">
        <f>'Jul 18'!$AG$33</f>
        <v>0</v>
      </c>
      <c r="L628" s="23">
        <f>'Jul 18'!$N$33</f>
        <v>0</v>
      </c>
    </row>
    <row r="629" spans="1:12" x14ac:dyDescent="0.25">
      <c r="A629" s="66" t="str">
        <f t="shared" si="9"/>
        <v>✓</v>
      </c>
      <c r="B629" s="67">
        <v>46221</v>
      </c>
      <c r="C629" s="23">
        <f>'Jul 18'!$D$34</f>
        <v>0</v>
      </c>
      <c r="D629" s="23">
        <f>'Jul 18'!$B$34</f>
        <v>0</v>
      </c>
      <c r="E629" s="64">
        <f>'Jul 18'!$E$34</f>
        <v>0</v>
      </c>
      <c r="F629" s="23">
        <f>'Jul 18'!$A$34</f>
        <v>0</v>
      </c>
      <c r="G629" s="64">
        <f>'Jul 18'!$F$34</f>
        <v>0</v>
      </c>
      <c r="H629" s="64">
        <f>'Jul 18'!$G$34</f>
        <v>0</v>
      </c>
      <c r="I629" s="64" t="str">
        <f>'Jul 18'!$M$34</f>
        <v/>
      </c>
      <c r="J629" s="25" t="str">
        <f>'Jul 18'!$S$34</f>
        <v/>
      </c>
      <c r="K629" s="23">
        <f>'Jul 18'!$AG$34</f>
        <v>0</v>
      </c>
      <c r="L629" s="23">
        <f>'Jul 18'!$N$34</f>
        <v>0</v>
      </c>
    </row>
    <row r="630" spans="1:12" x14ac:dyDescent="0.25">
      <c r="A630" s="66" t="str">
        <f t="shared" si="9"/>
        <v>✓</v>
      </c>
      <c r="B630" s="67">
        <v>46221</v>
      </c>
      <c r="C630" s="23">
        <f>'Jul 18'!$D$35</f>
        <v>0</v>
      </c>
      <c r="D630" s="23">
        <f>'Jul 18'!$B$35</f>
        <v>0</v>
      </c>
      <c r="E630" s="64">
        <f>'Jul 18'!$E$35</f>
        <v>0</v>
      </c>
      <c r="F630" s="23">
        <f>'Jul 18'!$A$35</f>
        <v>0</v>
      </c>
      <c r="G630" s="64">
        <f>'Jul 18'!$F$35</f>
        <v>0</v>
      </c>
      <c r="H630" s="64">
        <f>'Jul 18'!$G$35</f>
        <v>0</v>
      </c>
      <c r="I630" s="64" t="str">
        <f>'Jul 18'!$M$35</f>
        <v/>
      </c>
      <c r="J630" s="25" t="str">
        <f>'Jul 18'!$S$35</f>
        <v/>
      </c>
      <c r="K630" s="23">
        <f>'Jul 18'!$AG$35</f>
        <v>0</v>
      </c>
      <c r="L630" s="23">
        <f>'Jul 18'!$N$35</f>
        <v>0</v>
      </c>
    </row>
    <row r="631" spans="1:12" x14ac:dyDescent="0.25">
      <c r="A631" s="66" t="str">
        <f t="shared" si="9"/>
        <v>✓</v>
      </c>
      <c r="B631" s="67">
        <v>46221</v>
      </c>
      <c r="C631" s="23">
        <f>'Jul 18'!$D$36</f>
        <v>0</v>
      </c>
      <c r="D631" s="23">
        <f>'Jul 18'!$B$36</f>
        <v>0</v>
      </c>
      <c r="E631" s="64">
        <f>'Jul 18'!$E$36</f>
        <v>0</v>
      </c>
      <c r="F631" s="23">
        <f>'Jul 18'!$A$36</f>
        <v>0</v>
      </c>
      <c r="G631" s="64">
        <f>'Jul 18'!$F$36</f>
        <v>0</v>
      </c>
      <c r="H631" s="64">
        <f>'Jul 18'!$G$36</f>
        <v>0</v>
      </c>
      <c r="I631" s="64" t="str">
        <f>'Jul 18'!$M$36</f>
        <v/>
      </c>
      <c r="J631" s="25" t="str">
        <f>'Jul 18'!$S$36</f>
        <v/>
      </c>
      <c r="K631" s="23">
        <f>'Jul 18'!$AG$36</f>
        <v>0</v>
      </c>
      <c r="L631" s="23">
        <f>'Jul 18'!$N$36</f>
        <v>0</v>
      </c>
    </row>
    <row r="632" spans="1:12" x14ac:dyDescent="0.25">
      <c r="A632" s="66" t="str">
        <f t="shared" si="9"/>
        <v>✓</v>
      </c>
      <c r="B632" s="67">
        <v>46221</v>
      </c>
      <c r="C632" s="23">
        <f>'Jul 18'!$D$37</f>
        <v>0</v>
      </c>
      <c r="D632" s="23">
        <f>'Jul 18'!$B$37</f>
        <v>0</v>
      </c>
      <c r="E632" s="64">
        <f>'Jul 18'!$E$37</f>
        <v>0</v>
      </c>
      <c r="F632" s="23">
        <f>'Jul 18'!$A$37</f>
        <v>0</v>
      </c>
      <c r="G632" s="64">
        <f>'Jul 18'!$F$37</f>
        <v>0</v>
      </c>
      <c r="H632" s="64">
        <f>'Jul 18'!$G$37</f>
        <v>0</v>
      </c>
      <c r="I632" s="64" t="str">
        <f>'Jul 18'!$M$37</f>
        <v/>
      </c>
      <c r="J632" s="25" t="str">
        <f>'Jul 18'!$S$37</f>
        <v/>
      </c>
      <c r="K632" s="23">
        <f>'Jul 18'!$AG$37</f>
        <v>0</v>
      </c>
      <c r="L632" s="23">
        <f>'Jul 18'!$N$37</f>
        <v>0</v>
      </c>
    </row>
    <row r="633" spans="1:12" x14ac:dyDescent="0.25">
      <c r="A633" s="66" t="str">
        <f t="shared" si="9"/>
        <v>✓</v>
      </c>
      <c r="B633" s="67">
        <v>46221</v>
      </c>
      <c r="C633" s="23">
        <f>'Jul 18'!$D$38</f>
        <v>0</v>
      </c>
      <c r="D633" s="23">
        <f>'Jul 18'!$B$38</f>
        <v>0</v>
      </c>
      <c r="E633" s="64">
        <f>'Jul 18'!$E$38</f>
        <v>0</v>
      </c>
      <c r="F633" s="23">
        <f>'Jul 18'!$A$38</f>
        <v>0</v>
      </c>
      <c r="G633" s="64">
        <f>'Jul 18'!$F$38</f>
        <v>0</v>
      </c>
      <c r="H633" s="64">
        <f>'Jul 18'!$G$38</f>
        <v>0</v>
      </c>
      <c r="I633" s="64" t="str">
        <f>'Jul 18'!$M$38</f>
        <v/>
      </c>
      <c r="J633" s="25" t="str">
        <f>'Jul 18'!$S$38</f>
        <v/>
      </c>
      <c r="K633" s="23">
        <f>'Jul 18'!$AG$38</f>
        <v>0</v>
      </c>
      <c r="L633" s="23">
        <f>'Jul 18'!$N$38</f>
        <v>0</v>
      </c>
    </row>
    <row r="634" spans="1:12" x14ac:dyDescent="0.25">
      <c r="A634" s="66" t="str">
        <f t="shared" si="9"/>
        <v>✓</v>
      </c>
      <c r="B634" s="67">
        <v>46221</v>
      </c>
      <c r="C634" s="23">
        <f>'Jul 18'!$D$39</f>
        <v>0</v>
      </c>
      <c r="D634" s="23">
        <f>'Jul 18'!$B$39</f>
        <v>0</v>
      </c>
      <c r="E634" s="64">
        <f>'Jul 18'!$E$39</f>
        <v>0</v>
      </c>
      <c r="F634" s="23">
        <f>'Jul 18'!$A$39</f>
        <v>0</v>
      </c>
      <c r="G634" s="64">
        <f>'Jul 18'!$F$39</f>
        <v>0</v>
      </c>
      <c r="H634" s="64">
        <f>'Jul 18'!$G$39</f>
        <v>0</v>
      </c>
      <c r="I634" s="64" t="str">
        <f>'Jul 18'!$M$39</f>
        <v/>
      </c>
      <c r="J634" s="25" t="str">
        <f>'Jul 18'!$S$39</f>
        <v/>
      </c>
      <c r="K634" s="23">
        <f>'Jul 18'!$AG$39</f>
        <v>0</v>
      </c>
      <c r="L634" s="23">
        <f>'Jul 18'!$N$39</f>
        <v>0</v>
      </c>
    </row>
    <row r="635" spans="1:12" x14ac:dyDescent="0.25">
      <c r="A635" s="66" t="str">
        <f t="shared" si="9"/>
        <v>✓</v>
      </c>
      <c r="B635" s="67">
        <v>46221</v>
      </c>
      <c r="C635" s="23">
        <f>'Jul 18'!$D$40</f>
        <v>0</v>
      </c>
      <c r="D635" s="23">
        <f>'Jul 18'!$B$40</f>
        <v>0</v>
      </c>
      <c r="E635" s="64">
        <f>'Jul 18'!$E$40</f>
        <v>0</v>
      </c>
      <c r="F635" s="23">
        <f>'Jul 18'!$A$40</f>
        <v>0</v>
      </c>
      <c r="G635" s="64">
        <f>'Jul 18'!$F$40</f>
        <v>0</v>
      </c>
      <c r="H635" s="64">
        <f>'Jul 18'!$G$40</f>
        <v>0</v>
      </c>
      <c r="I635" s="64" t="str">
        <f>'Jul 18'!$M$40</f>
        <v/>
      </c>
      <c r="J635" s="25" t="str">
        <f>'Jul 18'!$S$40</f>
        <v/>
      </c>
      <c r="K635" s="23">
        <f>'Jul 18'!$AG$40</f>
        <v>0</v>
      </c>
      <c r="L635" s="23">
        <f>'Jul 18'!$N$40</f>
        <v>0</v>
      </c>
    </row>
    <row r="636" spans="1:12" x14ac:dyDescent="0.25">
      <c r="A636" s="66" t="str">
        <f t="shared" si="9"/>
        <v>✓</v>
      </c>
      <c r="B636" s="67">
        <v>46221</v>
      </c>
      <c r="C636" s="23">
        <f>'Jul 18'!$D$41</f>
        <v>0</v>
      </c>
      <c r="D636" s="23">
        <f>'Jul 18'!$B$41</f>
        <v>0</v>
      </c>
      <c r="E636" s="64">
        <f>'Jul 18'!$E$41</f>
        <v>0</v>
      </c>
      <c r="F636" s="23">
        <f>'Jul 18'!$A$41</f>
        <v>0</v>
      </c>
      <c r="G636" s="64">
        <f>'Jul 18'!$F$41</f>
        <v>0</v>
      </c>
      <c r="H636" s="64">
        <f>'Jul 18'!$G$41</f>
        <v>0</v>
      </c>
      <c r="I636" s="64" t="str">
        <f>'Jul 18'!$M$41</f>
        <v/>
      </c>
      <c r="J636" s="25" t="str">
        <f>'Jul 18'!$S$41</f>
        <v/>
      </c>
      <c r="K636" s="23">
        <f>'Jul 18'!$AG$41</f>
        <v>0</v>
      </c>
      <c r="L636" s="23">
        <f>'Jul 18'!$N$41</f>
        <v>0</v>
      </c>
    </row>
    <row r="637" spans="1:12" x14ac:dyDescent="0.25">
      <c r="A637" s="66" t="str">
        <f t="shared" si="9"/>
        <v>✓</v>
      </c>
      <c r="B637" s="67">
        <v>46221</v>
      </c>
      <c r="C637" s="23">
        <f>'Jul 18'!$D$42</f>
        <v>0</v>
      </c>
      <c r="D637" s="23">
        <f>'Jul 18'!$B$42</f>
        <v>0</v>
      </c>
      <c r="E637" s="64">
        <f>'Jul 18'!$E$42</f>
        <v>0</v>
      </c>
      <c r="F637" s="23">
        <f>'Jul 18'!$A$42</f>
        <v>0</v>
      </c>
      <c r="G637" s="64">
        <f>'Jul 18'!$F$42</f>
        <v>0</v>
      </c>
      <c r="H637" s="64">
        <f>'Jul 18'!$G$42</f>
        <v>0</v>
      </c>
      <c r="I637" s="64" t="str">
        <f>'Jul 18'!$M$42</f>
        <v/>
      </c>
      <c r="J637" s="25" t="str">
        <f>'Jul 18'!$S$42</f>
        <v/>
      </c>
      <c r="K637" s="23">
        <f>'Jul 18'!$AG$42</f>
        <v>0</v>
      </c>
      <c r="L637" s="23">
        <f>'Jul 18'!$N$42</f>
        <v>0</v>
      </c>
    </row>
    <row r="638" spans="1:12" x14ac:dyDescent="0.25">
      <c r="A638" s="66" t="str">
        <f t="shared" si="9"/>
        <v>✓</v>
      </c>
      <c r="B638" s="67">
        <v>46222</v>
      </c>
      <c r="C638" s="23">
        <f>'Jul 19'!$D$8</f>
        <v>0</v>
      </c>
      <c r="D638" s="23">
        <f>'Jul 19'!$B$8</f>
        <v>0</v>
      </c>
      <c r="E638" s="64">
        <f>'Jul 19'!$E$8</f>
        <v>0</v>
      </c>
      <c r="F638" s="23">
        <f>'Jul 19'!$A$8</f>
        <v>0</v>
      </c>
      <c r="G638" s="64">
        <f>'Jul 19'!$F$8</f>
        <v>0</v>
      </c>
      <c r="H638" s="64">
        <f>'Jul 19'!$G$8</f>
        <v>0</v>
      </c>
      <c r="I638" s="64" t="str">
        <f>'Jul 19'!$M$8</f>
        <v/>
      </c>
      <c r="J638" s="25" t="str">
        <f>'Jul 19'!$S$8</f>
        <v/>
      </c>
      <c r="K638" s="23">
        <f>'Jul 19'!$AG$8</f>
        <v>0</v>
      </c>
      <c r="L638" s="23">
        <f>'Jul 19'!$N$8</f>
        <v>0</v>
      </c>
    </row>
    <row r="639" spans="1:12" x14ac:dyDescent="0.25">
      <c r="A639" s="66" t="str">
        <f t="shared" si="9"/>
        <v>✓</v>
      </c>
      <c r="B639" s="67">
        <v>46222</v>
      </c>
      <c r="C639" s="23">
        <f>'Jul 19'!$D$9</f>
        <v>0</v>
      </c>
      <c r="D639" s="23">
        <f>'Jul 19'!$B$9</f>
        <v>0</v>
      </c>
      <c r="E639" s="64">
        <f>'Jul 19'!$E$9</f>
        <v>0</v>
      </c>
      <c r="F639" s="23">
        <f>'Jul 19'!$A$9</f>
        <v>0</v>
      </c>
      <c r="G639" s="64">
        <f>'Jul 19'!$F$9</f>
        <v>0</v>
      </c>
      <c r="H639" s="64">
        <f>'Jul 19'!$G$9</f>
        <v>0</v>
      </c>
      <c r="I639" s="64" t="str">
        <f>'Jul 19'!$M$9</f>
        <v/>
      </c>
      <c r="J639" s="25" t="str">
        <f>'Jul 19'!$S$9</f>
        <v/>
      </c>
      <c r="K639" s="23">
        <f>'Jul 19'!$AG$9</f>
        <v>0</v>
      </c>
      <c r="L639" s="23">
        <f>'Jul 19'!$N$9</f>
        <v>0</v>
      </c>
    </row>
    <row r="640" spans="1:12" x14ac:dyDescent="0.25">
      <c r="A640" s="66" t="str">
        <f t="shared" si="9"/>
        <v>✓</v>
      </c>
      <c r="B640" s="67">
        <v>46222</v>
      </c>
      <c r="C640" s="23">
        <f>'Jul 19'!$D$10</f>
        <v>0</v>
      </c>
      <c r="D640" s="23">
        <f>'Jul 19'!$B$10</f>
        <v>0</v>
      </c>
      <c r="E640" s="64">
        <f>'Jul 19'!$E$10</f>
        <v>0</v>
      </c>
      <c r="F640" s="23">
        <f>'Jul 19'!$A$10</f>
        <v>0</v>
      </c>
      <c r="G640" s="64">
        <f>'Jul 19'!$F$10</f>
        <v>0</v>
      </c>
      <c r="H640" s="64">
        <f>'Jul 19'!$G$10</f>
        <v>0</v>
      </c>
      <c r="I640" s="64" t="str">
        <f>'Jul 19'!$M$10</f>
        <v/>
      </c>
      <c r="J640" s="25" t="str">
        <f>'Jul 19'!$S$10</f>
        <v/>
      </c>
      <c r="K640" s="23">
        <f>'Jul 19'!$AG$10</f>
        <v>0</v>
      </c>
      <c r="L640" s="23">
        <f>'Jul 19'!$N$10</f>
        <v>0</v>
      </c>
    </row>
    <row r="641" spans="1:12" x14ac:dyDescent="0.25">
      <c r="A641" s="66" t="str">
        <f t="shared" si="9"/>
        <v>✓</v>
      </c>
      <c r="B641" s="67">
        <v>46222</v>
      </c>
      <c r="C641" s="23">
        <f>'Jul 19'!$D$11</f>
        <v>0</v>
      </c>
      <c r="D641" s="23">
        <f>'Jul 19'!$B$11</f>
        <v>0</v>
      </c>
      <c r="E641" s="64">
        <f>'Jul 19'!$E$11</f>
        <v>0</v>
      </c>
      <c r="F641" s="23">
        <f>'Jul 19'!$A$11</f>
        <v>0</v>
      </c>
      <c r="G641" s="64">
        <f>'Jul 19'!$F$11</f>
        <v>0</v>
      </c>
      <c r="H641" s="64">
        <f>'Jul 19'!$G$11</f>
        <v>0</v>
      </c>
      <c r="I641" s="64" t="str">
        <f>'Jul 19'!$M$11</f>
        <v/>
      </c>
      <c r="J641" s="25" t="str">
        <f>'Jul 19'!$S$11</f>
        <v/>
      </c>
      <c r="K641" s="23">
        <f>'Jul 19'!$AG$11</f>
        <v>0</v>
      </c>
      <c r="L641" s="23">
        <f>'Jul 19'!$N$11</f>
        <v>0</v>
      </c>
    </row>
    <row r="642" spans="1:12" x14ac:dyDescent="0.25">
      <c r="A642" s="66" t="str">
        <f t="shared" si="9"/>
        <v>✓</v>
      </c>
      <c r="B642" s="67">
        <v>46222</v>
      </c>
      <c r="C642" s="23">
        <f>'Jul 19'!$D$12</f>
        <v>0</v>
      </c>
      <c r="D642" s="23">
        <f>'Jul 19'!$B$12</f>
        <v>0</v>
      </c>
      <c r="E642" s="64">
        <f>'Jul 19'!$E$12</f>
        <v>0</v>
      </c>
      <c r="F642" s="23">
        <f>'Jul 19'!$A$12</f>
        <v>0</v>
      </c>
      <c r="G642" s="64">
        <f>'Jul 19'!$F$12</f>
        <v>0</v>
      </c>
      <c r="H642" s="64">
        <f>'Jul 19'!$G$12</f>
        <v>0</v>
      </c>
      <c r="I642" s="64" t="str">
        <f>'Jul 19'!$M$12</f>
        <v/>
      </c>
      <c r="J642" s="25" t="str">
        <f>'Jul 19'!$S$12</f>
        <v/>
      </c>
      <c r="K642" s="23">
        <f>'Jul 19'!$AG$12</f>
        <v>0</v>
      </c>
      <c r="L642" s="23">
        <f>'Jul 19'!$N$12</f>
        <v>0</v>
      </c>
    </row>
    <row r="643" spans="1:12" x14ac:dyDescent="0.25">
      <c r="A643" s="66" t="str">
        <f t="shared" si="9"/>
        <v>✓</v>
      </c>
      <c r="B643" s="67">
        <v>46222</v>
      </c>
      <c r="C643" s="23">
        <f>'Jul 19'!$D$13</f>
        <v>0</v>
      </c>
      <c r="D643" s="23">
        <f>'Jul 19'!$B$13</f>
        <v>0</v>
      </c>
      <c r="E643" s="64">
        <f>'Jul 19'!$E$13</f>
        <v>0</v>
      </c>
      <c r="F643" s="23">
        <f>'Jul 19'!$A$13</f>
        <v>0</v>
      </c>
      <c r="G643" s="64">
        <f>'Jul 19'!$F$13</f>
        <v>0</v>
      </c>
      <c r="H643" s="64">
        <f>'Jul 19'!$G$13</f>
        <v>0</v>
      </c>
      <c r="I643" s="64" t="str">
        <f>'Jul 19'!$M$13</f>
        <v/>
      </c>
      <c r="J643" s="25" t="str">
        <f>'Jul 19'!$S$13</f>
        <v/>
      </c>
      <c r="K643" s="23">
        <f>'Jul 19'!$AG$13</f>
        <v>0</v>
      </c>
      <c r="L643" s="23">
        <f>'Jul 19'!$N$13</f>
        <v>0</v>
      </c>
    </row>
    <row r="644" spans="1:12" x14ac:dyDescent="0.25">
      <c r="A644" s="66" t="str">
        <f t="shared" si="9"/>
        <v>✓</v>
      </c>
      <c r="B644" s="67">
        <v>46222</v>
      </c>
      <c r="C644" s="23">
        <f>'Jul 19'!$D$14</f>
        <v>0</v>
      </c>
      <c r="D644" s="23">
        <f>'Jul 19'!$B$14</f>
        <v>0</v>
      </c>
      <c r="E644" s="64">
        <f>'Jul 19'!$E$14</f>
        <v>0</v>
      </c>
      <c r="F644" s="23">
        <f>'Jul 19'!$A$14</f>
        <v>0</v>
      </c>
      <c r="G644" s="64">
        <f>'Jul 19'!$F$14</f>
        <v>0</v>
      </c>
      <c r="H644" s="64">
        <f>'Jul 19'!$G$14</f>
        <v>0</v>
      </c>
      <c r="I644" s="64" t="str">
        <f>'Jul 19'!$M$14</f>
        <v/>
      </c>
      <c r="J644" s="25" t="str">
        <f>'Jul 19'!$S$14</f>
        <v/>
      </c>
      <c r="K644" s="23">
        <f>'Jul 19'!$AG$14</f>
        <v>0</v>
      </c>
      <c r="L644" s="23">
        <f>'Jul 19'!$N$14</f>
        <v>0</v>
      </c>
    </row>
    <row r="645" spans="1:12" x14ac:dyDescent="0.25">
      <c r="A645" s="66" t="str">
        <f t="shared" si="9"/>
        <v>✓</v>
      </c>
      <c r="B645" s="67">
        <v>46222</v>
      </c>
      <c r="C645" s="23">
        <f>'Jul 19'!$D$15</f>
        <v>0</v>
      </c>
      <c r="D645" s="23">
        <f>'Jul 19'!$B$15</f>
        <v>0</v>
      </c>
      <c r="E645" s="64">
        <f>'Jul 19'!$E$15</f>
        <v>0</v>
      </c>
      <c r="F645" s="23">
        <f>'Jul 19'!$A$15</f>
        <v>0</v>
      </c>
      <c r="G645" s="64">
        <f>'Jul 19'!$F$15</f>
        <v>0</v>
      </c>
      <c r="H645" s="64">
        <f>'Jul 19'!$G$15</f>
        <v>0</v>
      </c>
      <c r="I645" s="64" t="str">
        <f>'Jul 19'!$M$15</f>
        <v/>
      </c>
      <c r="J645" s="25" t="str">
        <f>'Jul 19'!$S$15</f>
        <v/>
      </c>
      <c r="K645" s="23">
        <f>'Jul 19'!$AG$15</f>
        <v>0</v>
      </c>
      <c r="L645" s="23">
        <f>'Jul 19'!$N$15</f>
        <v>0</v>
      </c>
    </row>
    <row r="646" spans="1:12" x14ac:dyDescent="0.25">
      <c r="A646" s="66" t="str">
        <f t="shared" si="9"/>
        <v>✓</v>
      </c>
      <c r="B646" s="67">
        <v>46222</v>
      </c>
      <c r="C646" s="23">
        <f>'Jul 19'!$D$16</f>
        <v>0</v>
      </c>
      <c r="D646" s="23">
        <f>'Jul 19'!$B$16</f>
        <v>0</v>
      </c>
      <c r="E646" s="64">
        <f>'Jul 19'!$E$16</f>
        <v>0</v>
      </c>
      <c r="F646" s="23">
        <f>'Jul 19'!$A$16</f>
        <v>0</v>
      </c>
      <c r="G646" s="64">
        <f>'Jul 19'!$F$16</f>
        <v>0</v>
      </c>
      <c r="H646" s="64">
        <f>'Jul 19'!$G$16</f>
        <v>0</v>
      </c>
      <c r="I646" s="64" t="str">
        <f>'Jul 19'!$M$16</f>
        <v/>
      </c>
      <c r="J646" s="25" t="str">
        <f>'Jul 19'!$S$16</f>
        <v/>
      </c>
      <c r="K646" s="23">
        <f>'Jul 19'!$AG$16</f>
        <v>0</v>
      </c>
      <c r="L646" s="23">
        <f>'Jul 19'!$N$16</f>
        <v>0</v>
      </c>
    </row>
    <row r="647" spans="1:12" x14ac:dyDescent="0.25">
      <c r="A647" s="66" t="str">
        <f t="shared" si="9"/>
        <v>✓</v>
      </c>
      <c r="B647" s="67">
        <v>46222</v>
      </c>
      <c r="C647" s="23">
        <f>'Jul 19'!$D$17</f>
        <v>0</v>
      </c>
      <c r="D647" s="23">
        <f>'Jul 19'!$B$17</f>
        <v>0</v>
      </c>
      <c r="E647" s="64">
        <f>'Jul 19'!$E$17</f>
        <v>0</v>
      </c>
      <c r="F647" s="23">
        <f>'Jul 19'!$A$17</f>
        <v>0</v>
      </c>
      <c r="G647" s="64">
        <f>'Jul 19'!$F$17</f>
        <v>0</v>
      </c>
      <c r="H647" s="64">
        <f>'Jul 19'!$G$17</f>
        <v>0</v>
      </c>
      <c r="I647" s="64" t="str">
        <f>'Jul 19'!$M$17</f>
        <v/>
      </c>
      <c r="J647" s="25" t="str">
        <f>'Jul 19'!$S$17</f>
        <v/>
      </c>
      <c r="K647" s="23">
        <f>'Jul 19'!$AG$17</f>
        <v>0</v>
      </c>
      <c r="L647" s="23">
        <f>'Jul 19'!$N$17</f>
        <v>0</v>
      </c>
    </row>
    <row r="648" spans="1:12" x14ac:dyDescent="0.25">
      <c r="A648" s="66" t="str">
        <f t="shared" ref="A648:A711" si="10">IF(C648="","",IF(AND(OR($B$5="",G648=$B$5,H648=$B$5),OR($D$5="",F648=$D$5),OR($E$5="",K648=$E$5),OR($G$5="",L648=$G$5),OR($H$5="",N(J648)&gt;=$H$5),OR($I$5="",ISNUMBER(SEARCH($I$5,C648&amp;" "&amp;D648&amp;" "&amp;E648&amp;" "&amp;I648)))),"✓",""))</f>
        <v>✓</v>
      </c>
      <c r="B648" s="67">
        <v>46222</v>
      </c>
      <c r="C648" s="23">
        <f>'Jul 19'!$D$18</f>
        <v>0</v>
      </c>
      <c r="D648" s="23">
        <f>'Jul 19'!$B$18</f>
        <v>0</v>
      </c>
      <c r="E648" s="64">
        <f>'Jul 19'!$E$18</f>
        <v>0</v>
      </c>
      <c r="F648" s="23">
        <f>'Jul 19'!$A$18</f>
        <v>0</v>
      </c>
      <c r="G648" s="64">
        <f>'Jul 19'!$F$18</f>
        <v>0</v>
      </c>
      <c r="H648" s="64">
        <f>'Jul 19'!$G$18</f>
        <v>0</v>
      </c>
      <c r="I648" s="64" t="str">
        <f>'Jul 19'!$M$18</f>
        <v/>
      </c>
      <c r="J648" s="25" t="str">
        <f>'Jul 19'!$S$18</f>
        <v/>
      </c>
      <c r="K648" s="23">
        <f>'Jul 19'!$AG$18</f>
        <v>0</v>
      </c>
      <c r="L648" s="23">
        <f>'Jul 19'!$N$18</f>
        <v>0</v>
      </c>
    </row>
    <row r="649" spans="1:12" x14ac:dyDescent="0.25">
      <c r="A649" s="66" t="str">
        <f t="shared" si="10"/>
        <v>✓</v>
      </c>
      <c r="B649" s="67">
        <v>46222</v>
      </c>
      <c r="C649" s="23">
        <f>'Jul 19'!$D$19</f>
        <v>0</v>
      </c>
      <c r="D649" s="23">
        <f>'Jul 19'!$B$19</f>
        <v>0</v>
      </c>
      <c r="E649" s="64">
        <f>'Jul 19'!$E$19</f>
        <v>0</v>
      </c>
      <c r="F649" s="23">
        <f>'Jul 19'!$A$19</f>
        <v>0</v>
      </c>
      <c r="G649" s="64">
        <f>'Jul 19'!$F$19</f>
        <v>0</v>
      </c>
      <c r="H649" s="64">
        <f>'Jul 19'!$G$19</f>
        <v>0</v>
      </c>
      <c r="I649" s="64" t="str">
        <f>'Jul 19'!$M$19</f>
        <v/>
      </c>
      <c r="J649" s="25" t="str">
        <f>'Jul 19'!$S$19</f>
        <v/>
      </c>
      <c r="K649" s="23">
        <f>'Jul 19'!$AG$19</f>
        <v>0</v>
      </c>
      <c r="L649" s="23">
        <f>'Jul 19'!$N$19</f>
        <v>0</v>
      </c>
    </row>
    <row r="650" spans="1:12" x14ac:dyDescent="0.25">
      <c r="A650" s="66" t="str">
        <f t="shared" si="10"/>
        <v>✓</v>
      </c>
      <c r="B650" s="67">
        <v>46222</v>
      </c>
      <c r="C650" s="23">
        <f>'Jul 19'!$D$20</f>
        <v>0</v>
      </c>
      <c r="D650" s="23">
        <f>'Jul 19'!$B$20</f>
        <v>0</v>
      </c>
      <c r="E650" s="64">
        <f>'Jul 19'!$E$20</f>
        <v>0</v>
      </c>
      <c r="F650" s="23">
        <f>'Jul 19'!$A$20</f>
        <v>0</v>
      </c>
      <c r="G650" s="64">
        <f>'Jul 19'!$F$20</f>
        <v>0</v>
      </c>
      <c r="H650" s="64">
        <f>'Jul 19'!$G$20</f>
        <v>0</v>
      </c>
      <c r="I650" s="64" t="str">
        <f>'Jul 19'!$M$20</f>
        <v/>
      </c>
      <c r="J650" s="25" t="str">
        <f>'Jul 19'!$S$20</f>
        <v/>
      </c>
      <c r="K650" s="23">
        <f>'Jul 19'!$AG$20</f>
        <v>0</v>
      </c>
      <c r="L650" s="23">
        <f>'Jul 19'!$N$20</f>
        <v>0</v>
      </c>
    </row>
    <row r="651" spans="1:12" x14ac:dyDescent="0.25">
      <c r="A651" s="66" t="str">
        <f t="shared" si="10"/>
        <v>✓</v>
      </c>
      <c r="B651" s="67">
        <v>46222</v>
      </c>
      <c r="C651" s="23">
        <f>'Jul 19'!$D$21</f>
        <v>0</v>
      </c>
      <c r="D651" s="23">
        <f>'Jul 19'!$B$21</f>
        <v>0</v>
      </c>
      <c r="E651" s="64">
        <f>'Jul 19'!$E$21</f>
        <v>0</v>
      </c>
      <c r="F651" s="23">
        <f>'Jul 19'!$A$21</f>
        <v>0</v>
      </c>
      <c r="G651" s="64">
        <f>'Jul 19'!$F$21</f>
        <v>0</v>
      </c>
      <c r="H651" s="64">
        <f>'Jul 19'!$G$21</f>
        <v>0</v>
      </c>
      <c r="I651" s="64" t="str">
        <f>'Jul 19'!$M$21</f>
        <v/>
      </c>
      <c r="J651" s="25" t="str">
        <f>'Jul 19'!$S$21</f>
        <v/>
      </c>
      <c r="K651" s="23">
        <f>'Jul 19'!$AG$21</f>
        <v>0</v>
      </c>
      <c r="L651" s="23">
        <f>'Jul 19'!$N$21</f>
        <v>0</v>
      </c>
    </row>
    <row r="652" spans="1:12" x14ac:dyDescent="0.25">
      <c r="A652" s="66" t="str">
        <f t="shared" si="10"/>
        <v>✓</v>
      </c>
      <c r="B652" s="67">
        <v>46222</v>
      </c>
      <c r="C652" s="23">
        <f>'Jul 19'!$D$22</f>
        <v>0</v>
      </c>
      <c r="D652" s="23">
        <f>'Jul 19'!$B$22</f>
        <v>0</v>
      </c>
      <c r="E652" s="64">
        <f>'Jul 19'!$E$22</f>
        <v>0</v>
      </c>
      <c r="F652" s="23">
        <f>'Jul 19'!$A$22</f>
        <v>0</v>
      </c>
      <c r="G652" s="64">
        <f>'Jul 19'!$F$22</f>
        <v>0</v>
      </c>
      <c r="H652" s="64">
        <f>'Jul 19'!$G$22</f>
        <v>0</v>
      </c>
      <c r="I652" s="64" t="str">
        <f>'Jul 19'!$M$22</f>
        <v/>
      </c>
      <c r="J652" s="25" t="str">
        <f>'Jul 19'!$S$22</f>
        <v/>
      </c>
      <c r="K652" s="23">
        <f>'Jul 19'!$AG$22</f>
        <v>0</v>
      </c>
      <c r="L652" s="23">
        <f>'Jul 19'!$N$22</f>
        <v>0</v>
      </c>
    </row>
    <row r="653" spans="1:12" x14ac:dyDescent="0.25">
      <c r="A653" s="66" t="str">
        <f t="shared" si="10"/>
        <v>✓</v>
      </c>
      <c r="B653" s="67">
        <v>46222</v>
      </c>
      <c r="C653" s="23">
        <f>'Jul 19'!$D$23</f>
        <v>0</v>
      </c>
      <c r="D653" s="23">
        <f>'Jul 19'!$B$23</f>
        <v>0</v>
      </c>
      <c r="E653" s="64">
        <f>'Jul 19'!$E$23</f>
        <v>0</v>
      </c>
      <c r="F653" s="23">
        <f>'Jul 19'!$A$23</f>
        <v>0</v>
      </c>
      <c r="G653" s="64">
        <f>'Jul 19'!$F$23</f>
        <v>0</v>
      </c>
      <c r="H653" s="64">
        <f>'Jul 19'!$G$23</f>
        <v>0</v>
      </c>
      <c r="I653" s="64" t="str">
        <f>'Jul 19'!$M$23</f>
        <v/>
      </c>
      <c r="J653" s="25" t="str">
        <f>'Jul 19'!$S$23</f>
        <v/>
      </c>
      <c r="K653" s="23">
        <f>'Jul 19'!$AG$23</f>
        <v>0</v>
      </c>
      <c r="L653" s="23">
        <f>'Jul 19'!$N$23</f>
        <v>0</v>
      </c>
    </row>
    <row r="654" spans="1:12" x14ac:dyDescent="0.25">
      <c r="A654" s="66" t="str">
        <f t="shared" si="10"/>
        <v>✓</v>
      </c>
      <c r="B654" s="67">
        <v>46222</v>
      </c>
      <c r="C654" s="23">
        <f>'Jul 19'!$D$24</f>
        <v>0</v>
      </c>
      <c r="D654" s="23">
        <f>'Jul 19'!$B$24</f>
        <v>0</v>
      </c>
      <c r="E654" s="64">
        <f>'Jul 19'!$E$24</f>
        <v>0</v>
      </c>
      <c r="F654" s="23">
        <f>'Jul 19'!$A$24</f>
        <v>0</v>
      </c>
      <c r="G654" s="64">
        <f>'Jul 19'!$F$24</f>
        <v>0</v>
      </c>
      <c r="H654" s="64">
        <f>'Jul 19'!$G$24</f>
        <v>0</v>
      </c>
      <c r="I654" s="64" t="str">
        <f>'Jul 19'!$M$24</f>
        <v/>
      </c>
      <c r="J654" s="25" t="str">
        <f>'Jul 19'!$S$24</f>
        <v/>
      </c>
      <c r="K654" s="23">
        <f>'Jul 19'!$AG$24</f>
        <v>0</v>
      </c>
      <c r="L654" s="23">
        <f>'Jul 19'!$N$24</f>
        <v>0</v>
      </c>
    </row>
    <row r="655" spans="1:12" x14ac:dyDescent="0.25">
      <c r="A655" s="66" t="str">
        <f t="shared" si="10"/>
        <v>✓</v>
      </c>
      <c r="B655" s="67">
        <v>46222</v>
      </c>
      <c r="C655" s="23">
        <f>'Jul 19'!$D$25</f>
        <v>0</v>
      </c>
      <c r="D655" s="23">
        <f>'Jul 19'!$B$25</f>
        <v>0</v>
      </c>
      <c r="E655" s="64">
        <f>'Jul 19'!$E$25</f>
        <v>0</v>
      </c>
      <c r="F655" s="23">
        <f>'Jul 19'!$A$25</f>
        <v>0</v>
      </c>
      <c r="G655" s="64">
        <f>'Jul 19'!$F$25</f>
        <v>0</v>
      </c>
      <c r="H655" s="64">
        <f>'Jul 19'!$G$25</f>
        <v>0</v>
      </c>
      <c r="I655" s="64" t="str">
        <f>'Jul 19'!$M$25</f>
        <v/>
      </c>
      <c r="J655" s="25" t="str">
        <f>'Jul 19'!$S$25</f>
        <v/>
      </c>
      <c r="K655" s="23">
        <f>'Jul 19'!$AG$25</f>
        <v>0</v>
      </c>
      <c r="L655" s="23">
        <f>'Jul 19'!$N$25</f>
        <v>0</v>
      </c>
    </row>
    <row r="656" spans="1:12" x14ac:dyDescent="0.25">
      <c r="A656" s="66" t="str">
        <f t="shared" si="10"/>
        <v>✓</v>
      </c>
      <c r="B656" s="67">
        <v>46222</v>
      </c>
      <c r="C656" s="23">
        <f>'Jul 19'!$D$26</f>
        <v>0</v>
      </c>
      <c r="D656" s="23">
        <f>'Jul 19'!$B$26</f>
        <v>0</v>
      </c>
      <c r="E656" s="64">
        <f>'Jul 19'!$E$26</f>
        <v>0</v>
      </c>
      <c r="F656" s="23">
        <f>'Jul 19'!$A$26</f>
        <v>0</v>
      </c>
      <c r="G656" s="64">
        <f>'Jul 19'!$F$26</f>
        <v>0</v>
      </c>
      <c r="H656" s="64">
        <f>'Jul 19'!$G$26</f>
        <v>0</v>
      </c>
      <c r="I656" s="64" t="str">
        <f>'Jul 19'!$M$26</f>
        <v/>
      </c>
      <c r="J656" s="25" t="str">
        <f>'Jul 19'!$S$26</f>
        <v/>
      </c>
      <c r="K656" s="23">
        <f>'Jul 19'!$AG$26</f>
        <v>0</v>
      </c>
      <c r="L656" s="23">
        <f>'Jul 19'!$N$26</f>
        <v>0</v>
      </c>
    </row>
    <row r="657" spans="1:12" x14ac:dyDescent="0.25">
      <c r="A657" s="66" t="str">
        <f t="shared" si="10"/>
        <v>✓</v>
      </c>
      <c r="B657" s="67">
        <v>46222</v>
      </c>
      <c r="C657" s="23">
        <f>'Jul 19'!$D$27</f>
        <v>0</v>
      </c>
      <c r="D657" s="23">
        <f>'Jul 19'!$B$27</f>
        <v>0</v>
      </c>
      <c r="E657" s="64">
        <f>'Jul 19'!$E$27</f>
        <v>0</v>
      </c>
      <c r="F657" s="23">
        <f>'Jul 19'!$A$27</f>
        <v>0</v>
      </c>
      <c r="G657" s="64">
        <f>'Jul 19'!$F$27</f>
        <v>0</v>
      </c>
      <c r="H657" s="64">
        <f>'Jul 19'!$G$27</f>
        <v>0</v>
      </c>
      <c r="I657" s="64" t="str">
        <f>'Jul 19'!$M$27</f>
        <v/>
      </c>
      <c r="J657" s="25" t="str">
        <f>'Jul 19'!$S$27</f>
        <v/>
      </c>
      <c r="K657" s="23">
        <f>'Jul 19'!$AG$27</f>
        <v>0</v>
      </c>
      <c r="L657" s="23">
        <f>'Jul 19'!$N$27</f>
        <v>0</v>
      </c>
    </row>
    <row r="658" spans="1:12" x14ac:dyDescent="0.25">
      <c r="A658" s="66" t="str">
        <f t="shared" si="10"/>
        <v>✓</v>
      </c>
      <c r="B658" s="67">
        <v>46222</v>
      </c>
      <c r="C658" s="23">
        <f>'Jul 19'!$D$28</f>
        <v>0</v>
      </c>
      <c r="D658" s="23">
        <f>'Jul 19'!$B$28</f>
        <v>0</v>
      </c>
      <c r="E658" s="64">
        <f>'Jul 19'!$E$28</f>
        <v>0</v>
      </c>
      <c r="F658" s="23">
        <f>'Jul 19'!$A$28</f>
        <v>0</v>
      </c>
      <c r="G658" s="64">
        <f>'Jul 19'!$F$28</f>
        <v>0</v>
      </c>
      <c r="H658" s="64">
        <f>'Jul 19'!$G$28</f>
        <v>0</v>
      </c>
      <c r="I658" s="64" t="str">
        <f>'Jul 19'!$M$28</f>
        <v/>
      </c>
      <c r="J658" s="25" t="str">
        <f>'Jul 19'!$S$28</f>
        <v/>
      </c>
      <c r="K658" s="23">
        <f>'Jul 19'!$AG$28</f>
        <v>0</v>
      </c>
      <c r="L658" s="23">
        <f>'Jul 19'!$N$28</f>
        <v>0</v>
      </c>
    </row>
    <row r="659" spans="1:12" x14ac:dyDescent="0.25">
      <c r="A659" s="66" t="str">
        <f t="shared" si="10"/>
        <v>✓</v>
      </c>
      <c r="B659" s="67">
        <v>46222</v>
      </c>
      <c r="C659" s="23">
        <f>'Jul 19'!$D$29</f>
        <v>0</v>
      </c>
      <c r="D659" s="23">
        <f>'Jul 19'!$B$29</f>
        <v>0</v>
      </c>
      <c r="E659" s="64">
        <f>'Jul 19'!$E$29</f>
        <v>0</v>
      </c>
      <c r="F659" s="23">
        <f>'Jul 19'!$A$29</f>
        <v>0</v>
      </c>
      <c r="G659" s="64">
        <f>'Jul 19'!$F$29</f>
        <v>0</v>
      </c>
      <c r="H659" s="64">
        <f>'Jul 19'!$G$29</f>
        <v>0</v>
      </c>
      <c r="I659" s="64" t="str">
        <f>'Jul 19'!$M$29</f>
        <v/>
      </c>
      <c r="J659" s="25" t="str">
        <f>'Jul 19'!$S$29</f>
        <v/>
      </c>
      <c r="K659" s="23">
        <f>'Jul 19'!$AG$29</f>
        <v>0</v>
      </c>
      <c r="L659" s="23">
        <f>'Jul 19'!$N$29</f>
        <v>0</v>
      </c>
    </row>
    <row r="660" spans="1:12" x14ac:dyDescent="0.25">
      <c r="A660" s="66" t="str">
        <f t="shared" si="10"/>
        <v>✓</v>
      </c>
      <c r="B660" s="67">
        <v>46222</v>
      </c>
      <c r="C660" s="23">
        <f>'Jul 19'!$D$30</f>
        <v>0</v>
      </c>
      <c r="D660" s="23">
        <f>'Jul 19'!$B$30</f>
        <v>0</v>
      </c>
      <c r="E660" s="64">
        <f>'Jul 19'!$E$30</f>
        <v>0</v>
      </c>
      <c r="F660" s="23">
        <f>'Jul 19'!$A$30</f>
        <v>0</v>
      </c>
      <c r="G660" s="64">
        <f>'Jul 19'!$F$30</f>
        <v>0</v>
      </c>
      <c r="H660" s="64">
        <f>'Jul 19'!$G$30</f>
        <v>0</v>
      </c>
      <c r="I660" s="64" t="str">
        <f>'Jul 19'!$M$30</f>
        <v/>
      </c>
      <c r="J660" s="25" t="str">
        <f>'Jul 19'!$S$30</f>
        <v/>
      </c>
      <c r="K660" s="23">
        <f>'Jul 19'!$AG$30</f>
        <v>0</v>
      </c>
      <c r="L660" s="23">
        <f>'Jul 19'!$N$30</f>
        <v>0</v>
      </c>
    </row>
    <row r="661" spans="1:12" x14ac:dyDescent="0.25">
      <c r="A661" s="66" t="str">
        <f t="shared" si="10"/>
        <v>✓</v>
      </c>
      <c r="B661" s="67">
        <v>46222</v>
      </c>
      <c r="C661" s="23">
        <f>'Jul 19'!$D$31</f>
        <v>0</v>
      </c>
      <c r="D661" s="23">
        <f>'Jul 19'!$B$31</f>
        <v>0</v>
      </c>
      <c r="E661" s="64">
        <f>'Jul 19'!$E$31</f>
        <v>0</v>
      </c>
      <c r="F661" s="23">
        <f>'Jul 19'!$A$31</f>
        <v>0</v>
      </c>
      <c r="G661" s="64">
        <f>'Jul 19'!$F$31</f>
        <v>0</v>
      </c>
      <c r="H661" s="64">
        <f>'Jul 19'!$G$31</f>
        <v>0</v>
      </c>
      <c r="I661" s="64" t="str">
        <f>'Jul 19'!$M$31</f>
        <v/>
      </c>
      <c r="J661" s="25" t="str">
        <f>'Jul 19'!$S$31</f>
        <v/>
      </c>
      <c r="K661" s="23">
        <f>'Jul 19'!$AG$31</f>
        <v>0</v>
      </c>
      <c r="L661" s="23">
        <f>'Jul 19'!$N$31</f>
        <v>0</v>
      </c>
    </row>
    <row r="662" spans="1:12" x14ac:dyDescent="0.25">
      <c r="A662" s="66" t="str">
        <f t="shared" si="10"/>
        <v>✓</v>
      </c>
      <c r="B662" s="67">
        <v>46222</v>
      </c>
      <c r="C662" s="23">
        <f>'Jul 19'!$D$32</f>
        <v>0</v>
      </c>
      <c r="D662" s="23">
        <f>'Jul 19'!$B$32</f>
        <v>0</v>
      </c>
      <c r="E662" s="64">
        <f>'Jul 19'!$E$32</f>
        <v>0</v>
      </c>
      <c r="F662" s="23">
        <f>'Jul 19'!$A$32</f>
        <v>0</v>
      </c>
      <c r="G662" s="64">
        <f>'Jul 19'!$F$32</f>
        <v>0</v>
      </c>
      <c r="H662" s="64">
        <f>'Jul 19'!$G$32</f>
        <v>0</v>
      </c>
      <c r="I662" s="64" t="str">
        <f>'Jul 19'!$M$32</f>
        <v/>
      </c>
      <c r="J662" s="25" t="str">
        <f>'Jul 19'!$S$32</f>
        <v/>
      </c>
      <c r="K662" s="23">
        <f>'Jul 19'!$AG$32</f>
        <v>0</v>
      </c>
      <c r="L662" s="23">
        <f>'Jul 19'!$N$32</f>
        <v>0</v>
      </c>
    </row>
    <row r="663" spans="1:12" x14ac:dyDescent="0.25">
      <c r="A663" s="66" t="str">
        <f t="shared" si="10"/>
        <v>✓</v>
      </c>
      <c r="B663" s="67">
        <v>46222</v>
      </c>
      <c r="C663" s="23">
        <f>'Jul 19'!$D$33</f>
        <v>0</v>
      </c>
      <c r="D663" s="23">
        <f>'Jul 19'!$B$33</f>
        <v>0</v>
      </c>
      <c r="E663" s="64">
        <f>'Jul 19'!$E$33</f>
        <v>0</v>
      </c>
      <c r="F663" s="23">
        <f>'Jul 19'!$A$33</f>
        <v>0</v>
      </c>
      <c r="G663" s="64">
        <f>'Jul 19'!$F$33</f>
        <v>0</v>
      </c>
      <c r="H663" s="64">
        <f>'Jul 19'!$G$33</f>
        <v>0</v>
      </c>
      <c r="I663" s="64" t="str">
        <f>'Jul 19'!$M$33</f>
        <v/>
      </c>
      <c r="J663" s="25" t="str">
        <f>'Jul 19'!$S$33</f>
        <v/>
      </c>
      <c r="K663" s="23">
        <f>'Jul 19'!$AG$33</f>
        <v>0</v>
      </c>
      <c r="L663" s="23">
        <f>'Jul 19'!$N$33</f>
        <v>0</v>
      </c>
    </row>
    <row r="664" spans="1:12" x14ac:dyDescent="0.25">
      <c r="A664" s="66" t="str">
        <f t="shared" si="10"/>
        <v>✓</v>
      </c>
      <c r="B664" s="67">
        <v>46222</v>
      </c>
      <c r="C664" s="23">
        <f>'Jul 19'!$D$34</f>
        <v>0</v>
      </c>
      <c r="D664" s="23">
        <f>'Jul 19'!$B$34</f>
        <v>0</v>
      </c>
      <c r="E664" s="64">
        <f>'Jul 19'!$E$34</f>
        <v>0</v>
      </c>
      <c r="F664" s="23">
        <f>'Jul 19'!$A$34</f>
        <v>0</v>
      </c>
      <c r="G664" s="64">
        <f>'Jul 19'!$F$34</f>
        <v>0</v>
      </c>
      <c r="H664" s="64">
        <f>'Jul 19'!$G$34</f>
        <v>0</v>
      </c>
      <c r="I664" s="64" t="str">
        <f>'Jul 19'!$M$34</f>
        <v/>
      </c>
      <c r="J664" s="25" t="str">
        <f>'Jul 19'!$S$34</f>
        <v/>
      </c>
      <c r="K664" s="23">
        <f>'Jul 19'!$AG$34</f>
        <v>0</v>
      </c>
      <c r="L664" s="23">
        <f>'Jul 19'!$N$34</f>
        <v>0</v>
      </c>
    </row>
    <row r="665" spans="1:12" x14ac:dyDescent="0.25">
      <c r="A665" s="66" t="str">
        <f t="shared" si="10"/>
        <v>✓</v>
      </c>
      <c r="B665" s="67">
        <v>46222</v>
      </c>
      <c r="C665" s="23">
        <f>'Jul 19'!$D$35</f>
        <v>0</v>
      </c>
      <c r="D665" s="23">
        <f>'Jul 19'!$B$35</f>
        <v>0</v>
      </c>
      <c r="E665" s="64">
        <f>'Jul 19'!$E$35</f>
        <v>0</v>
      </c>
      <c r="F665" s="23">
        <f>'Jul 19'!$A$35</f>
        <v>0</v>
      </c>
      <c r="G665" s="64">
        <f>'Jul 19'!$F$35</f>
        <v>0</v>
      </c>
      <c r="H665" s="64">
        <f>'Jul 19'!$G$35</f>
        <v>0</v>
      </c>
      <c r="I665" s="64" t="str">
        <f>'Jul 19'!$M$35</f>
        <v/>
      </c>
      <c r="J665" s="25" t="str">
        <f>'Jul 19'!$S$35</f>
        <v/>
      </c>
      <c r="K665" s="23">
        <f>'Jul 19'!$AG$35</f>
        <v>0</v>
      </c>
      <c r="L665" s="23">
        <f>'Jul 19'!$N$35</f>
        <v>0</v>
      </c>
    </row>
    <row r="666" spans="1:12" x14ac:dyDescent="0.25">
      <c r="A666" s="66" t="str">
        <f t="shared" si="10"/>
        <v>✓</v>
      </c>
      <c r="B666" s="67">
        <v>46222</v>
      </c>
      <c r="C666" s="23">
        <f>'Jul 19'!$D$36</f>
        <v>0</v>
      </c>
      <c r="D666" s="23">
        <f>'Jul 19'!$B$36</f>
        <v>0</v>
      </c>
      <c r="E666" s="64">
        <f>'Jul 19'!$E$36</f>
        <v>0</v>
      </c>
      <c r="F666" s="23">
        <f>'Jul 19'!$A$36</f>
        <v>0</v>
      </c>
      <c r="G666" s="64">
        <f>'Jul 19'!$F$36</f>
        <v>0</v>
      </c>
      <c r="H666" s="64">
        <f>'Jul 19'!$G$36</f>
        <v>0</v>
      </c>
      <c r="I666" s="64" t="str">
        <f>'Jul 19'!$M$36</f>
        <v/>
      </c>
      <c r="J666" s="25" t="str">
        <f>'Jul 19'!$S$36</f>
        <v/>
      </c>
      <c r="K666" s="23">
        <f>'Jul 19'!$AG$36</f>
        <v>0</v>
      </c>
      <c r="L666" s="23">
        <f>'Jul 19'!$N$36</f>
        <v>0</v>
      </c>
    </row>
    <row r="667" spans="1:12" x14ac:dyDescent="0.25">
      <c r="A667" s="66" t="str">
        <f t="shared" si="10"/>
        <v>✓</v>
      </c>
      <c r="B667" s="67">
        <v>46222</v>
      </c>
      <c r="C667" s="23">
        <f>'Jul 19'!$D$37</f>
        <v>0</v>
      </c>
      <c r="D667" s="23">
        <f>'Jul 19'!$B$37</f>
        <v>0</v>
      </c>
      <c r="E667" s="64">
        <f>'Jul 19'!$E$37</f>
        <v>0</v>
      </c>
      <c r="F667" s="23">
        <f>'Jul 19'!$A$37</f>
        <v>0</v>
      </c>
      <c r="G667" s="64">
        <f>'Jul 19'!$F$37</f>
        <v>0</v>
      </c>
      <c r="H667" s="64">
        <f>'Jul 19'!$G$37</f>
        <v>0</v>
      </c>
      <c r="I667" s="64" t="str">
        <f>'Jul 19'!$M$37</f>
        <v/>
      </c>
      <c r="J667" s="25" t="str">
        <f>'Jul 19'!$S$37</f>
        <v/>
      </c>
      <c r="K667" s="23">
        <f>'Jul 19'!$AG$37</f>
        <v>0</v>
      </c>
      <c r="L667" s="23">
        <f>'Jul 19'!$N$37</f>
        <v>0</v>
      </c>
    </row>
    <row r="668" spans="1:12" x14ac:dyDescent="0.25">
      <c r="A668" s="66" t="str">
        <f t="shared" si="10"/>
        <v>✓</v>
      </c>
      <c r="B668" s="67">
        <v>46222</v>
      </c>
      <c r="C668" s="23">
        <f>'Jul 19'!$D$38</f>
        <v>0</v>
      </c>
      <c r="D668" s="23">
        <f>'Jul 19'!$B$38</f>
        <v>0</v>
      </c>
      <c r="E668" s="64">
        <f>'Jul 19'!$E$38</f>
        <v>0</v>
      </c>
      <c r="F668" s="23">
        <f>'Jul 19'!$A$38</f>
        <v>0</v>
      </c>
      <c r="G668" s="64">
        <f>'Jul 19'!$F$38</f>
        <v>0</v>
      </c>
      <c r="H668" s="64">
        <f>'Jul 19'!$G$38</f>
        <v>0</v>
      </c>
      <c r="I668" s="64" t="str">
        <f>'Jul 19'!$M$38</f>
        <v/>
      </c>
      <c r="J668" s="25" t="str">
        <f>'Jul 19'!$S$38</f>
        <v/>
      </c>
      <c r="K668" s="23">
        <f>'Jul 19'!$AG$38</f>
        <v>0</v>
      </c>
      <c r="L668" s="23">
        <f>'Jul 19'!$N$38</f>
        <v>0</v>
      </c>
    </row>
    <row r="669" spans="1:12" x14ac:dyDescent="0.25">
      <c r="A669" s="66" t="str">
        <f t="shared" si="10"/>
        <v>✓</v>
      </c>
      <c r="B669" s="67">
        <v>46222</v>
      </c>
      <c r="C669" s="23">
        <f>'Jul 19'!$D$39</f>
        <v>0</v>
      </c>
      <c r="D669" s="23">
        <f>'Jul 19'!$B$39</f>
        <v>0</v>
      </c>
      <c r="E669" s="64">
        <f>'Jul 19'!$E$39</f>
        <v>0</v>
      </c>
      <c r="F669" s="23">
        <f>'Jul 19'!$A$39</f>
        <v>0</v>
      </c>
      <c r="G669" s="64">
        <f>'Jul 19'!$F$39</f>
        <v>0</v>
      </c>
      <c r="H669" s="64">
        <f>'Jul 19'!$G$39</f>
        <v>0</v>
      </c>
      <c r="I669" s="64" t="str">
        <f>'Jul 19'!$M$39</f>
        <v/>
      </c>
      <c r="J669" s="25" t="str">
        <f>'Jul 19'!$S$39</f>
        <v/>
      </c>
      <c r="K669" s="23">
        <f>'Jul 19'!$AG$39</f>
        <v>0</v>
      </c>
      <c r="L669" s="23">
        <f>'Jul 19'!$N$39</f>
        <v>0</v>
      </c>
    </row>
    <row r="670" spans="1:12" x14ac:dyDescent="0.25">
      <c r="A670" s="66" t="str">
        <f t="shared" si="10"/>
        <v>✓</v>
      </c>
      <c r="B670" s="67">
        <v>46222</v>
      </c>
      <c r="C670" s="23">
        <f>'Jul 19'!$D$40</f>
        <v>0</v>
      </c>
      <c r="D670" s="23">
        <f>'Jul 19'!$B$40</f>
        <v>0</v>
      </c>
      <c r="E670" s="64">
        <f>'Jul 19'!$E$40</f>
        <v>0</v>
      </c>
      <c r="F670" s="23">
        <f>'Jul 19'!$A$40</f>
        <v>0</v>
      </c>
      <c r="G670" s="64">
        <f>'Jul 19'!$F$40</f>
        <v>0</v>
      </c>
      <c r="H670" s="64">
        <f>'Jul 19'!$G$40</f>
        <v>0</v>
      </c>
      <c r="I670" s="64" t="str">
        <f>'Jul 19'!$M$40</f>
        <v/>
      </c>
      <c r="J670" s="25" t="str">
        <f>'Jul 19'!$S$40</f>
        <v/>
      </c>
      <c r="K670" s="23">
        <f>'Jul 19'!$AG$40</f>
        <v>0</v>
      </c>
      <c r="L670" s="23">
        <f>'Jul 19'!$N$40</f>
        <v>0</v>
      </c>
    </row>
    <row r="671" spans="1:12" x14ac:dyDescent="0.25">
      <c r="A671" s="66" t="str">
        <f t="shared" si="10"/>
        <v>✓</v>
      </c>
      <c r="B671" s="67">
        <v>46222</v>
      </c>
      <c r="C671" s="23">
        <f>'Jul 19'!$D$41</f>
        <v>0</v>
      </c>
      <c r="D671" s="23">
        <f>'Jul 19'!$B$41</f>
        <v>0</v>
      </c>
      <c r="E671" s="64">
        <f>'Jul 19'!$E$41</f>
        <v>0</v>
      </c>
      <c r="F671" s="23">
        <f>'Jul 19'!$A$41</f>
        <v>0</v>
      </c>
      <c r="G671" s="64">
        <f>'Jul 19'!$F$41</f>
        <v>0</v>
      </c>
      <c r="H671" s="64">
        <f>'Jul 19'!$G$41</f>
        <v>0</v>
      </c>
      <c r="I671" s="64" t="str">
        <f>'Jul 19'!$M$41</f>
        <v/>
      </c>
      <c r="J671" s="25" t="str">
        <f>'Jul 19'!$S$41</f>
        <v/>
      </c>
      <c r="K671" s="23">
        <f>'Jul 19'!$AG$41</f>
        <v>0</v>
      </c>
      <c r="L671" s="23">
        <f>'Jul 19'!$N$41</f>
        <v>0</v>
      </c>
    </row>
    <row r="672" spans="1:12" x14ac:dyDescent="0.25">
      <c r="A672" s="66" t="str">
        <f t="shared" si="10"/>
        <v>✓</v>
      </c>
      <c r="B672" s="67">
        <v>46222</v>
      </c>
      <c r="C672" s="23">
        <f>'Jul 19'!$D$42</f>
        <v>0</v>
      </c>
      <c r="D672" s="23">
        <f>'Jul 19'!$B$42</f>
        <v>0</v>
      </c>
      <c r="E672" s="64">
        <f>'Jul 19'!$E$42</f>
        <v>0</v>
      </c>
      <c r="F672" s="23">
        <f>'Jul 19'!$A$42</f>
        <v>0</v>
      </c>
      <c r="G672" s="64">
        <f>'Jul 19'!$F$42</f>
        <v>0</v>
      </c>
      <c r="H672" s="64">
        <f>'Jul 19'!$G$42</f>
        <v>0</v>
      </c>
      <c r="I672" s="64" t="str">
        <f>'Jul 19'!$M$42</f>
        <v/>
      </c>
      <c r="J672" s="25" t="str">
        <f>'Jul 19'!$S$42</f>
        <v/>
      </c>
      <c r="K672" s="23">
        <f>'Jul 19'!$AG$42</f>
        <v>0</v>
      </c>
      <c r="L672" s="23">
        <f>'Jul 19'!$N$42</f>
        <v>0</v>
      </c>
    </row>
    <row r="673" spans="1:12" x14ac:dyDescent="0.25">
      <c r="A673" s="66" t="str">
        <f t="shared" si="10"/>
        <v>✓</v>
      </c>
      <c r="B673" s="67">
        <v>46223</v>
      </c>
      <c r="C673" s="23">
        <f>'Jul 20'!$D$8</f>
        <v>0</v>
      </c>
      <c r="D673" s="23">
        <f>'Jul 20'!$B$8</f>
        <v>0</v>
      </c>
      <c r="E673" s="64">
        <f>'Jul 20'!$E$8</f>
        <v>0</v>
      </c>
      <c r="F673" s="23">
        <f>'Jul 20'!$A$8</f>
        <v>0</v>
      </c>
      <c r="G673" s="64">
        <f>'Jul 20'!$F$8</f>
        <v>0</v>
      </c>
      <c r="H673" s="64">
        <f>'Jul 20'!$G$8</f>
        <v>0</v>
      </c>
      <c r="I673" s="64" t="str">
        <f>'Jul 20'!$M$8</f>
        <v/>
      </c>
      <c r="J673" s="25" t="str">
        <f>'Jul 20'!$S$8</f>
        <v/>
      </c>
      <c r="K673" s="23">
        <f>'Jul 20'!$AG$8</f>
        <v>0</v>
      </c>
      <c r="L673" s="23">
        <f>'Jul 20'!$N$8</f>
        <v>0</v>
      </c>
    </row>
    <row r="674" spans="1:12" x14ac:dyDescent="0.25">
      <c r="A674" s="66" t="str">
        <f t="shared" si="10"/>
        <v>✓</v>
      </c>
      <c r="B674" s="67">
        <v>46223</v>
      </c>
      <c r="C674" s="23">
        <f>'Jul 20'!$D$9</f>
        <v>0</v>
      </c>
      <c r="D674" s="23">
        <f>'Jul 20'!$B$9</f>
        <v>0</v>
      </c>
      <c r="E674" s="64">
        <f>'Jul 20'!$E$9</f>
        <v>0</v>
      </c>
      <c r="F674" s="23">
        <f>'Jul 20'!$A$9</f>
        <v>0</v>
      </c>
      <c r="G674" s="64">
        <f>'Jul 20'!$F$9</f>
        <v>0</v>
      </c>
      <c r="H674" s="64">
        <f>'Jul 20'!$G$9</f>
        <v>0</v>
      </c>
      <c r="I674" s="64" t="str">
        <f>'Jul 20'!$M$9</f>
        <v/>
      </c>
      <c r="J674" s="25" t="str">
        <f>'Jul 20'!$S$9</f>
        <v/>
      </c>
      <c r="K674" s="23">
        <f>'Jul 20'!$AG$9</f>
        <v>0</v>
      </c>
      <c r="L674" s="23">
        <f>'Jul 20'!$N$9</f>
        <v>0</v>
      </c>
    </row>
    <row r="675" spans="1:12" x14ac:dyDescent="0.25">
      <c r="A675" s="66" t="str">
        <f t="shared" si="10"/>
        <v>✓</v>
      </c>
      <c r="B675" s="67">
        <v>46223</v>
      </c>
      <c r="C675" s="23">
        <f>'Jul 20'!$D$10</f>
        <v>0</v>
      </c>
      <c r="D675" s="23">
        <f>'Jul 20'!$B$10</f>
        <v>0</v>
      </c>
      <c r="E675" s="64">
        <f>'Jul 20'!$E$10</f>
        <v>0</v>
      </c>
      <c r="F675" s="23">
        <f>'Jul 20'!$A$10</f>
        <v>0</v>
      </c>
      <c r="G675" s="64">
        <f>'Jul 20'!$F$10</f>
        <v>0</v>
      </c>
      <c r="H675" s="64">
        <f>'Jul 20'!$G$10</f>
        <v>0</v>
      </c>
      <c r="I675" s="64" t="str">
        <f>'Jul 20'!$M$10</f>
        <v/>
      </c>
      <c r="J675" s="25" t="str">
        <f>'Jul 20'!$S$10</f>
        <v/>
      </c>
      <c r="K675" s="23">
        <f>'Jul 20'!$AG$10</f>
        <v>0</v>
      </c>
      <c r="L675" s="23">
        <f>'Jul 20'!$N$10</f>
        <v>0</v>
      </c>
    </row>
    <row r="676" spans="1:12" x14ac:dyDescent="0.25">
      <c r="A676" s="66" t="str">
        <f t="shared" si="10"/>
        <v>✓</v>
      </c>
      <c r="B676" s="67">
        <v>46223</v>
      </c>
      <c r="C676" s="23">
        <f>'Jul 20'!$D$11</f>
        <v>0</v>
      </c>
      <c r="D676" s="23">
        <f>'Jul 20'!$B$11</f>
        <v>0</v>
      </c>
      <c r="E676" s="64">
        <f>'Jul 20'!$E$11</f>
        <v>0</v>
      </c>
      <c r="F676" s="23">
        <f>'Jul 20'!$A$11</f>
        <v>0</v>
      </c>
      <c r="G676" s="64">
        <f>'Jul 20'!$F$11</f>
        <v>0</v>
      </c>
      <c r="H676" s="64">
        <f>'Jul 20'!$G$11</f>
        <v>0</v>
      </c>
      <c r="I676" s="64" t="str">
        <f>'Jul 20'!$M$11</f>
        <v/>
      </c>
      <c r="J676" s="25" t="str">
        <f>'Jul 20'!$S$11</f>
        <v/>
      </c>
      <c r="K676" s="23">
        <f>'Jul 20'!$AG$11</f>
        <v>0</v>
      </c>
      <c r="L676" s="23">
        <f>'Jul 20'!$N$11</f>
        <v>0</v>
      </c>
    </row>
    <row r="677" spans="1:12" x14ac:dyDescent="0.25">
      <c r="A677" s="66" t="str">
        <f t="shared" si="10"/>
        <v>✓</v>
      </c>
      <c r="B677" s="67">
        <v>46223</v>
      </c>
      <c r="C677" s="23">
        <f>'Jul 20'!$D$12</f>
        <v>0</v>
      </c>
      <c r="D677" s="23">
        <f>'Jul 20'!$B$12</f>
        <v>0</v>
      </c>
      <c r="E677" s="64">
        <f>'Jul 20'!$E$12</f>
        <v>0</v>
      </c>
      <c r="F677" s="23">
        <f>'Jul 20'!$A$12</f>
        <v>0</v>
      </c>
      <c r="G677" s="64">
        <f>'Jul 20'!$F$12</f>
        <v>0</v>
      </c>
      <c r="H677" s="64">
        <f>'Jul 20'!$G$12</f>
        <v>0</v>
      </c>
      <c r="I677" s="64" t="str">
        <f>'Jul 20'!$M$12</f>
        <v/>
      </c>
      <c r="J677" s="25" t="str">
        <f>'Jul 20'!$S$12</f>
        <v/>
      </c>
      <c r="K677" s="23">
        <f>'Jul 20'!$AG$12</f>
        <v>0</v>
      </c>
      <c r="L677" s="23">
        <f>'Jul 20'!$N$12</f>
        <v>0</v>
      </c>
    </row>
    <row r="678" spans="1:12" x14ac:dyDescent="0.25">
      <c r="A678" s="66" t="str">
        <f t="shared" si="10"/>
        <v>✓</v>
      </c>
      <c r="B678" s="67">
        <v>46223</v>
      </c>
      <c r="C678" s="23">
        <f>'Jul 20'!$D$13</f>
        <v>0</v>
      </c>
      <c r="D678" s="23">
        <f>'Jul 20'!$B$13</f>
        <v>0</v>
      </c>
      <c r="E678" s="64">
        <f>'Jul 20'!$E$13</f>
        <v>0</v>
      </c>
      <c r="F678" s="23">
        <f>'Jul 20'!$A$13</f>
        <v>0</v>
      </c>
      <c r="G678" s="64">
        <f>'Jul 20'!$F$13</f>
        <v>0</v>
      </c>
      <c r="H678" s="64">
        <f>'Jul 20'!$G$13</f>
        <v>0</v>
      </c>
      <c r="I678" s="64" t="str">
        <f>'Jul 20'!$M$13</f>
        <v/>
      </c>
      <c r="J678" s="25" t="str">
        <f>'Jul 20'!$S$13</f>
        <v/>
      </c>
      <c r="K678" s="23">
        <f>'Jul 20'!$AG$13</f>
        <v>0</v>
      </c>
      <c r="L678" s="23">
        <f>'Jul 20'!$N$13</f>
        <v>0</v>
      </c>
    </row>
    <row r="679" spans="1:12" x14ac:dyDescent="0.25">
      <c r="A679" s="66" t="str">
        <f t="shared" si="10"/>
        <v>✓</v>
      </c>
      <c r="B679" s="67">
        <v>46223</v>
      </c>
      <c r="C679" s="23">
        <f>'Jul 20'!$D$14</f>
        <v>0</v>
      </c>
      <c r="D679" s="23">
        <f>'Jul 20'!$B$14</f>
        <v>0</v>
      </c>
      <c r="E679" s="64">
        <f>'Jul 20'!$E$14</f>
        <v>0</v>
      </c>
      <c r="F679" s="23">
        <f>'Jul 20'!$A$14</f>
        <v>0</v>
      </c>
      <c r="G679" s="64">
        <f>'Jul 20'!$F$14</f>
        <v>0</v>
      </c>
      <c r="H679" s="64">
        <f>'Jul 20'!$G$14</f>
        <v>0</v>
      </c>
      <c r="I679" s="64" t="str">
        <f>'Jul 20'!$M$14</f>
        <v/>
      </c>
      <c r="J679" s="25" t="str">
        <f>'Jul 20'!$S$14</f>
        <v/>
      </c>
      <c r="K679" s="23">
        <f>'Jul 20'!$AG$14</f>
        <v>0</v>
      </c>
      <c r="L679" s="23">
        <f>'Jul 20'!$N$14</f>
        <v>0</v>
      </c>
    </row>
    <row r="680" spans="1:12" x14ac:dyDescent="0.25">
      <c r="A680" s="66" t="str">
        <f t="shared" si="10"/>
        <v>✓</v>
      </c>
      <c r="B680" s="67">
        <v>46223</v>
      </c>
      <c r="C680" s="23">
        <f>'Jul 20'!$D$15</f>
        <v>0</v>
      </c>
      <c r="D680" s="23">
        <f>'Jul 20'!$B$15</f>
        <v>0</v>
      </c>
      <c r="E680" s="64">
        <f>'Jul 20'!$E$15</f>
        <v>0</v>
      </c>
      <c r="F680" s="23">
        <f>'Jul 20'!$A$15</f>
        <v>0</v>
      </c>
      <c r="G680" s="64">
        <f>'Jul 20'!$F$15</f>
        <v>0</v>
      </c>
      <c r="H680" s="64">
        <f>'Jul 20'!$G$15</f>
        <v>0</v>
      </c>
      <c r="I680" s="64" t="str">
        <f>'Jul 20'!$M$15</f>
        <v/>
      </c>
      <c r="J680" s="25" t="str">
        <f>'Jul 20'!$S$15</f>
        <v/>
      </c>
      <c r="K680" s="23">
        <f>'Jul 20'!$AG$15</f>
        <v>0</v>
      </c>
      <c r="L680" s="23">
        <f>'Jul 20'!$N$15</f>
        <v>0</v>
      </c>
    </row>
    <row r="681" spans="1:12" x14ac:dyDescent="0.25">
      <c r="A681" s="66" t="str">
        <f t="shared" si="10"/>
        <v>✓</v>
      </c>
      <c r="B681" s="67">
        <v>46223</v>
      </c>
      <c r="C681" s="23">
        <f>'Jul 20'!$D$16</f>
        <v>0</v>
      </c>
      <c r="D681" s="23">
        <f>'Jul 20'!$B$16</f>
        <v>0</v>
      </c>
      <c r="E681" s="64">
        <f>'Jul 20'!$E$16</f>
        <v>0</v>
      </c>
      <c r="F681" s="23">
        <f>'Jul 20'!$A$16</f>
        <v>0</v>
      </c>
      <c r="G681" s="64">
        <f>'Jul 20'!$F$16</f>
        <v>0</v>
      </c>
      <c r="H681" s="64">
        <f>'Jul 20'!$G$16</f>
        <v>0</v>
      </c>
      <c r="I681" s="64" t="str">
        <f>'Jul 20'!$M$16</f>
        <v/>
      </c>
      <c r="J681" s="25" t="str">
        <f>'Jul 20'!$S$16</f>
        <v/>
      </c>
      <c r="K681" s="23">
        <f>'Jul 20'!$AG$16</f>
        <v>0</v>
      </c>
      <c r="L681" s="23">
        <f>'Jul 20'!$N$16</f>
        <v>0</v>
      </c>
    </row>
    <row r="682" spans="1:12" x14ac:dyDescent="0.25">
      <c r="A682" s="66" t="str">
        <f t="shared" si="10"/>
        <v>✓</v>
      </c>
      <c r="B682" s="67">
        <v>46223</v>
      </c>
      <c r="C682" s="23">
        <f>'Jul 20'!$D$17</f>
        <v>0</v>
      </c>
      <c r="D682" s="23">
        <f>'Jul 20'!$B$17</f>
        <v>0</v>
      </c>
      <c r="E682" s="64">
        <f>'Jul 20'!$E$17</f>
        <v>0</v>
      </c>
      <c r="F682" s="23">
        <f>'Jul 20'!$A$17</f>
        <v>0</v>
      </c>
      <c r="G682" s="64">
        <f>'Jul 20'!$F$17</f>
        <v>0</v>
      </c>
      <c r="H682" s="64">
        <f>'Jul 20'!$G$17</f>
        <v>0</v>
      </c>
      <c r="I682" s="64" t="str">
        <f>'Jul 20'!$M$17</f>
        <v/>
      </c>
      <c r="J682" s="25" t="str">
        <f>'Jul 20'!$S$17</f>
        <v/>
      </c>
      <c r="K682" s="23">
        <f>'Jul 20'!$AG$17</f>
        <v>0</v>
      </c>
      <c r="L682" s="23">
        <f>'Jul 20'!$N$17</f>
        <v>0</v>
      </c>
    </row>
    <row r="683" spans="1:12" x14ac:dyDescent="0.25">
      <c r="A683" s="66" t="str">
        <f t="shared" si="10"/>
        <v>✓</v>
      </c>
      <c r="B683" s="67">
        <v>46223</v>
      </c>
      <c r="C683" s="23">
        <f>'Jul 20'!$D$18</f>
        <v>0</v>
      </c>
      <c r="D683" s="23">
        <f>'Jul 20'!$B$18</f>
        <v>0</v>
      </c>
      <c r="E683" s="64">
        <f>'Jul 20'!$E$18</f>
        <v>0</v>
      </c>
      <c r="F683" s="23">
        <f>'Jul 20'!$A$18</f>
        <v>0</v>
      </c>
      <c r="G683" s="64">
        <f>'Jul 20'!$F$18</f>
        <v>0</v>
      </c>
      <c r="H683" s="64">
        <f>'Jul 20'!$G$18</f>
        <v>0</v>
      </c>
      <c r="I683" s="64" t="str">
        <f>'Jul 20'!$M$18</f>
        <v/>
      </c>
      <c r="J683" s="25" t="str">
        <f>'Jul 20'!$S$18</f>
        <v/>
      </c>
      <c r="K683" s="23">
        <f>'Jul 20'!$AG$18</f>
        <v>0</v>
      </c>
      <c r="L683" s="23">
        <f>'Jul 20'!$N$18</f>
        <v>0</v>
      </c>
    </row>
    <row r="684" spans="1:12" x14ac:dyDescent="0.25">
      <c r="A684" s="66" t="str">
        <f t="shared" si="10"/>
        <v>✓</v>
      </c>
      <c r="B684" s="67">
        <v>46223</v>
      </c>
      <c r="C684" s="23">
        <f>'Jul 20'!$D$19</f>
        <v>0</v>
      </c>
      <c r="D684" s="23">
        <f>'Jul 20'!$B$19</f>
        <v>0</v>
      </c>
      <c r="E684" s="64">
        <f>'Jul 20'!$E$19</f>
        <v>0</v>
      </c>
      <c r="F684" s="23">
        <f>'Jul 20'!$A$19</f>
        <v>0</v>
      </c>
      <c r="G684" s="64">
        <f>'Jul 20'!$F$19</f>
        <v>0</v>
      </c>
      <c r="H684" s="64">
        <f>'Jul 20'!$G$19</f>
        <v>0</v>
      </c>
      <c r="I684" s="64" t="str">
        <f>'Jul 20'!$M$19</f>
        <v/>
      </c>
      <c r="J684" s="25" t="str">
        <f>'Jul 20'!$S$19</f>
        <v/>
      </c>
      <c r="K684" s="23">
        <f>'Jul 20'!$AG$19</f>
        <v>0</v>
      </c>
      <c r="L684" s="23">
        <f>'Jul 20'!$N$19</f>
        <v>0</v>
      </c>
    </row>
    <row r="685" spans="1:12" x14ac:dyDescent="0.25">
      <c r="A685" s="66" t="str">
        <f t="shared" si="10"/>
        <v>✓</v>
      </c>
      <c r="B685" s="67">
        <v>46223</v>
      </c>
      <c r="C685" s="23">
        <f>'Jul 20'!$D$20</f>
        <v>0</v>
      </c>
      <c r="D685" s="23">
        <f>'Jul 20'!$B$20</f>
        <v>0</v>
      </c>
      <c r="E685" s="64">
        <f>'Jul 20'!$E$20</f>
        <v>0</v>
      </c>
      <c r="F685" s="23">
        <f>'Jul 20'!$A$20</f>
        <v>0</v>
      </c>
      <c r="G685" s="64">
        <f>'Jul 20'!$F$20</f>
        <v>0</v>
      </c>
      <c r="H685" s="64">
        <f>'Jul 20'!$G$20</f>
        <v>0</v>
      </c>
      <c r="I685" s="64" t="str">
        <f>'Jul 20'!$M$20</f>
        <v/>
      </c>
      <c r="J685" s="25" t="str">
        <f>'Jul 20'!$S$20</f>
        <v/>
      </c>
      <c r="K685" s="23">
        <f>'Jul 20'!$AG$20</f>
        <v>0</v>
      </c>
      <c r="L685" s="23">
        <f>'Jul 20'!$N$20</f>
        <v>0</v>
      </c>
    </row>
    <row r="686" spans="1:12" x14ac:dyDescent="0.25">
      <c r="A686" s="66" t="str">
        <f t="shared" si="10"/>
        <v>✓</v>
      </c>
      <c r="B686" s="67">
        <v>46223</v>
      </c>
      <c r="C686" s="23">
        <f>'Jul 20'!$D$21</f>
        <v>0</v>
      </c>
      <c r="D686" s="23">
        <f>'Jul 20'!$B$21</f>
        <v>0</v>
      </c>
      <c r="E686" s="64">
        <f>'Jul 20'!$E$21</f>
        <v>0</v>
      </c>
      <c r="F686" s="23">
        <f>'Jul 20'!$A$21</f>
        <v>0</v>
      </c>
      <c r="G686" s="64">
        <f>'Jul 20'!$F$21</f>
        <v>0</v>
      </c>
      <c r="H686" s="64">
        <f>'Jul 20'!$G$21</f>
        <v>0</v>
      </c>
      <c r="I686" s="64" t="str">
        <f>'Jul 20'!$M$21</f>
        <v/>
      </c>
      <c r="J686" s="25" t="str">
        <f>'Jul 20'!$S$21</f>
        <v/>
      </c>
      <c r="K686" s="23">
        <f>'Jul 20'!$AG$21</f>
        <v>0</v>
      </c>
      <c r="L686" s="23">
        <f>'Jul 20'!$N$21</f>
        <v>0</v>
      </c>
    </row>
    <row r="687" spans="1:12" x14ac:dyDescent="0.25">
      <c r="A687" s="66" t="str">
        <f t="shared" si="10"/>
        <v>✓</v>
      </c>
      <c r="B687" s="67">
        <v>46223</v>
      </c>
      <c r="C687" s="23">
        <f>'Jul 20'!$D$22</f>
        <v>0</v>
      </c>
      <c r="D687" s="23">
        <f>'Jul 20'!$B$22</f>
        <v>0</v>
      </c>
      <c r="E687" s="64">
        <f>'Jul 20'!$E$22</f>
        <v>0</v>
      </c>
      <c r="F687" s="23">
        <f>'Jul 20'!$A$22</f>
        <v>0</v>
      </c>
      <c r="G687" s="64">
        <f>'Jul 20'!$F$22</f>
        <v>0</v>
      </c>
      <c r="H687" s="64">
        <f>'Jul 20'!$G$22</f>
        <v>0</v>
      </c>
      <c r="I687" s="64" t="str">
        <f>'Jul 20'!$M$22</f>
        <v/>
      </c>
      <c r="J687" s="25" t="str">
        <f>'Jul 20'!$S$22</f>
        <v/>
      </c>
      <c r="K687" s="23">
        <f>'Jul 20'!$AG$22</f>
        <v>0</v>
      </c>
      <c r="L687" s="23">
        <f>'Jul 20'!$N$22</f>
        <v>0</v>
      </c>
    </row>
    <row r="688" spans="1:12" x14ac:dyDescent="0.25">
      <c r="A688" s="66" t="str">
        <f t="shared" si="10"/>
        <v>✓</v>
      </c>
      <c r="B688" s="67">
        <v>46223</v>
      </c>
      <c r="C688" s="23">
        <f>'Jul 20'!$D$23</f>
        <v>0</v>
      </c>
      <c r="D688" s="23">
        <f>'Jul 20'!$B$23</f>
        <v>0</v>
      </c>
      <c r="E688" s="64">
        <f>'Jul 20'!$E$23</f>
        <v>0</v>
      </c>
      <c r="F688" s="23">
        <f>'Jul 20'!$A$23</f>
        <v>0</v>
      </c>
      <c r="G688" s="64">
        <f>'Jul 20'!$F$23</f>
        <v>0</v>
      </c>
      <c r="H688" s="64">
        <f>'Jul 20'!$G$23</f>
        <v>0</v>
      </c>
      <c r="I688" s="64" t="str">
        <f>'Jul 20'!$M$23</f>
        <v/>
      </c>
      <c r="J688" s="25" t="str">
        <f>'Jul 20'!$S$23</f>
        <v/>
      </c>
      <c r="K688" s="23">
        <f>'Jul 20'!$AG$23</f>
        <v>0</v>
      </c>
      <c r="L688" s="23">
        <f>'Jul 20'!$N$23</f>
        <v>0</v>
      </c>
    </row>
    <row r="689" spans="1:12" x14ac:dyDescent="0.25">
      <c r="A689" s="66" t="str">
        <f t="shared" si="10"/>
        <v>✓</v>
      </c>
      <c r="B689" s="67">
        <v>46223</v>
      </c>
      <c r="C689" s="23">
        <f>'Jul 20'!$D$24</f>
        <v>0</v>
      </c>
      <c r="D689" s="23">
        <f>'Jul 20'!$B$24</f>
        <v>0</v>
      </c>
      <c r="E689" s="64">
        <f>'Jul 20'!$E$24</f>
        <v>0</v>
      </c>
      <c r="F689" s="23">
        <f>'Jul 20'!$A$24</f>
        <v>0</v>
      </c>
      <c r="G689" s="64">
        <f>'Jul 20'!$F$24</f>
        <v>0</v>
      </c>
      <c r="H689" s="64">
        <f>'Jul 20'!$G$24</f>
        <v>0</v>
      </c>
      <c r="I689" s="64" t="str">
        <f>'Jul 20'!$M$24</f>
        <v/>
      </c>
      <c r="J689" s="25" t="str">
        <f>'Jul 20'!$S$24</f>
        <v/>
      </c>
      <c r="K689" s="23">
        <f>'Jul 20'!$AG$24</f>
        <v>0</v>
      </c>
      <c r="L689" s="23">
        <f>'Jul 20'!$N$24</f>
        <v>0</v>
      </c>
    </row>
    <row r="690" spans="1:12" x14ac:dyDescent="0.25">
      <c r="A690" s="66" t="str">
        <f t="shared" si="10"/>
        <v>✓</v>
      </c>
      <c r="B690" s="67">
        <v>46223</v>
      </c>
      <c r="C690" s="23">
        <f>'Jul 20'!$D$25</f>
        <v>0</v>
      </c>
      <c r="D690" s="23">
        <f>'Jul 20'!$B$25</f>
        <v>0</v>
      </c>
      <c r="E690" s="64">
        <f>'Jul 20'!$E$25</f>
        <v>0</v>
      </c>
      <c r="F690" s="23">
        <f>'Jul 20'!$A$25</f>
        <v>0</v>
      </c>
      <c r="G690" s="64">
        <f>'Jul 20'!$F$25</f>
        <v>0</v>
      </c>
      <c r="H690" s="64">
        <f>'Jul 20'!$G$25</f>
        <v>0</v>
      </c>
      <c r="I690" s="64" t="str">
        <f>'Jul 20'!$M$25</f>
        <v/>
      </c>
      <c r="J690" s="25" t="str">
        <f>'Jul 20'!$S$25</f>
        <v/>
      </c>
      <c r="K690" s="23">
        <f>'Jul 20'!$AG$25</f>
        <v>0</v>
      </c>
      <c r="L690" s="23">
        <f>'Jul 20'!$N$25</f>
        <v>0</v>
      </c>
    </row>
    <row r="691" spans="1:12" x14ac:dyDescent="0.25">
      <c r="A691" s="66" t="str">
        <f t="shared" si="10"/>
        <v>✓</v>
      </c>
      <c r="B691" s="67">
        <v>46223</v>
      </c>
      <c r="C691" s="23">
        <f>'Jul 20'!$D$26</f>
        <v>0</v>
      </c>
      <c r="D691" s="23">
        <f>'Jul 20'!$B$26</f>
        <v>0</v>
      </c>
      <c r="E691" s="64">
        <f>'Jul 20'!$E$26</f>
        <v>0</v>
      </c>
      <c r="F691" s="23">
        <f>'Jul 20'!$A$26</f>
        <v>0</v>
      </c>
      <c r="G691" s="64">
        <f>'Jul 20'!$F$26</f>
        <v>0</v>
      </c>
      <c r="H691" s="64">
        <f>'Jul 20'!$G$26</f>
        <v>0</v>
      </c>
      <c r="I691" s="64" t="str">
        <f>'Jul 20'!$M$26</f>
        <v/>
      </c>
      <c r="J691" s="25" t="str">
        <f>'Jul 20'!$S$26</f>
        <v/>
      </c>
      <c r="K691" s="23">
        <f>'Jul 20'!$AG$26</f>
        <v>0</v>
      </c>
      <c r="L691" s="23">
        <f>'Jul 20'!$N$26</f>
        <v>0</v>
      </c>
    </row>
    <row r="692" spans="1:12" x14ac:dyDescent="0.25">
      <c r="A692" s="66" t="str">
        <f t="shared" si="10"/>
        <v>✓</v>
      </c>
      <c r="B692" s="67">
        <v>46223</v>
      </c>
      <c r="C692" s="23">
        <f>'Jul 20'!$D$27</f>
        <v>0</v>
      </c>
      <c r="D692" s="23">
        <f>'Jul 20'!$B$27</f>
        <v>0</v>
      </c>
      <c r="E692" s="64">
        <f>'Jul 20'!$E$27</f>
        <v>0</v>
      </c>
      <c r="F692" s="23">
        <f>'Jul 20'!$A$27</f>
        <v>0</v>
      </c>
      <c r="G692" s="64">
        <f>'Jul 20'!$F$27</f>
        <v>0</v>
      </c>
      <c r="H692" s="64">
        <f>'Jul 20'!$G$27</f>
        <v>0</v>
      </c>
      <c r="I692" s="64" t="str">
        <f>'Jul 20'!$M$27</f>
        <v/>
      </c>
      <c r="J692" s="25" t="str">
        <f>'Jul 20'!$S$27</f>
        <v/>
      </c>
      <c r="K692" s="23">
        <f>'Jul 20'!$AG$27</f>
        <v>0</v>
      </c>
      <c r="L692" s="23">
        <f>'Jul 20'!$N$27</f>
        <v>0</v>
      </c>
    </row>
    <row r="693" spans="1:12" x14ac:dyDescent="0.25">
      <c r="A693" s="66" t="str">
        <f t="shared" si="10"/>
        <v>✓</v>
      </c>
      <c r="B693" s="67">
        <v>46223</v>
      </c>
      <c r="C693" s="23">
        <f>'Jul 20'!$D$28</f>
        <v>0</v>
      </c>
      <c r="D693" s="23">
        <f>'Jul 20'!$B$28</f>
        <v>0</v>
      </c>
      <c r="E693" s="64">
        <f>'Jul 20'!$E$28</f>
        <v>0</v>
      </c>
      <c r="F693" s="23">
        <f>'Jul 20'!$A$28</f>
        <v>0</v>
      </c>
      <c r="G693" s="64">
        <f>'Jul 20'!$F$28</f>
        <v>0</v>
      </c>
      <c r="H693" s="64">
        <f>'Jul 20'!$G$28</f>
        <v>0</v>
      </c>
      <c r="I693" s="64" t="str">
        <f>'Jul 20'!$M$28</f>
        <v/>
      </c>
      <c r="J693" s="25" t="str">
        <f>'Jul 20'!$S$28</f>
        <v/>
      </c>
      <c r="K693" s="23">
        <f>'Jul 20'!$AG$28</f>
        <v>0</v>
      </c>
      <c r="L693" s="23">
        <f>'Jul 20'!$N$28</f>
        <v>0</v>
      </c>
    </row>
    <row r="694" spans="1:12" x14ac:dyDescent="0.25">
      <c r="A694" s="66" t="str">
        <f t="shared" si="10"/>
        <v>✓</v>
      </c>
      <c r="B694" s="67">
        <v>46223</v>
      </c>
      <c r="C694" s="23">
        <f>'Jul 20'!$D$29</f>
        <v>0</v>
      </c>
      <c r="D694" s="23">
        <f>'Jul 20'!$B$29</f>
        <v>0</v>
      </c>
      <c r="E694" s="64">
        <f>'Jul 20'!$E$29</f>
        <v>0</v>
      </c>
      <c r="F694" s="23">
        <f>'Jul 20'!$A$29</f>
        <v>0</v>
      </c>
      <c r="G694" s="64">
        <f>'Jul 20'!$F$29</f>
        <v>0</v>
      </c>
      <c r="H694" s="64">
        <f>'Jul 20'!$G$29</f>
        <v>0</v>
      </c>
      <c r="I694" s="64" t="str">
        <f>'Jul 20'!$M$29</f>
        <v/>
      </c>
      <c r="J694" s="25" t="str">
        <f>'Jul 20'!$S$29</f>
        <v/>
      </c>
      <c r="K694" s="23">
        <f>'Jul 20'!$AG$29</f>
        <v>0</v>
      </c>
      <c r="L694" s="23">
        <f>'Jul 20'!$N$29</f>
        <v>0</v>
      </c>
    </row>
    <row r="695" spans="1:12" x14ac:dyDescent="0.25">
      <c r="A695" s="66" t="str">
        <f t="shared" si="10"/>
        <v>✓</v>
      </c>
      <c r="B695" s="67">
        <v>46223</v>
      </c>
      <c r="C695" s="23">
        <f>'Jul 20'!$D$30</f>
        <v>0</v>
      </c>
      <c r="D695" s="23">
        <f>'Jul 20'!$B$30</f>
        <v>0</v>
      </c>
      <c r="E695" s="64">
        <f>'Jul 20'!$E$30</f>
        <v>0</v>
      </c>
      <c r="F695" s="23">
        <f>'Jul 20'!$A$30</f>
        <v>0</v>
      </c>
      <c r="G695" s="64">
        <f>'Jul 20'!$F$30</f>
        <v>0</v>
      </c>
      <c r="H695" s="64">
        <f>'Jul 20'!$G$30</f>
        <v>0</v>
      </c>
      <c r="I695" s="64" t="str">
        <f>'Jul 20'!$M$30</f>
        <v/>
      </c>
      <c r="J695" s="25" t="str">
        <f>'Jul 20'!$S$30</f>
        <v/>
      </c>
      <c r="K695" s="23">
        <f>'Jul 20'!$AG$30</f>
        <v>0</v>
      </c>
      <c r="L695" s="23">
        <f>'Jul 20'!$N$30</f>
        <v>0</v>
      </c>
    </row>
    <row r="696" spans="1:12" x14ac:dyDescent="0.25">
      <c r="A696" s="66" t="str">
        <f t="shared" si="10"/>
        <v>✓</v>
      </c>
      <c r="B696" s="67">
        <v>46223</v>
      </c>
      <c r="C696" s="23">
        <f>'Jul 20'!$D$31</f>
        <v>0</v>
      </c>
      <c r="D696" s="23">
        <f>'Jul 20'!$B$31</f>
        <v>0</v>
      </c>
      <c r="E696" s="64">
        <f>'Jul 20'!$E$31</f>
        <v>0</v>
      </c>
      <c r="F696" s="23">
        <f>'Jul 20'!$A$31</f>
        <v>0</v>
      </c>
      <c r="G696" s="64">
        <f>'Jul 20'!$F$31</f>
        <v>0</v>
      </c>
      <c r="H696" s="64">
        <f>'Jul 20'!$G$31</f>
        <v>0</v>
      </c>
      <c r="I696" s="64" t="str">
        <f>'Jul 20'!$M$31</f>
        <v/>
      </c>
      <c r="J696" s="25" t="str">
        <f>'Jul 20'!$S$31</f>
        <v/>
      </c>
      <c r="K696" s="23">
        <f>'Jul 20'!$AG$31</f>
        <v>0</v>
      </c>
      <c r="L696" s="23">
        <f>'Jul 20'!$N$31</f>
        <v>0</v>
      </c>
    </row>
    <row r="697" spans="1:12" x14ac:dyDescent="0.25">
      <c r="A697" s="66" t="str">
        <f t="shared" si="10"/>
        <v>✓</v>
      </c>
      <c r="B697" s="67">
        <v>46223</v>
      </c>
      <c r="C697" s="23">
        <f>'Jul 20'!$D$32</f>
        <v>0</v>
      </c>
      <c r="D697" s="23">
        <f>'Jul 20'!$B$32</f>
        <v>0</v>
      </c>
      <c r="E697" s="64">
        <f>'Jul 20'!$E$32</f>
        <v>0</v>
      </c>
      <c r="F697" s="23">
        <f>'Jul 20'!$A$32</f>
        <v>0</v>
      </c>
      <c r="G697" s="64">
        <f>'Jul 20'!$F$32</f>
        <v>0</v>
      </c>
      <c r="H697" s="64">
        <f>'Jul 20'!$G$32</f>
        <v>0</v>
      </c>
      <c r="I697" s="64" t="str">
        <f>'Jul 20'!$M$32</f>
        <v/>
      </c>
      <c r="J697" s="25" t="str">
        <f>'Jul 20'!$S$32</f>
        <v/>
      </c>
      <c r="K697" s="23">
        <f>'Jul 20'!$AG$32</f>
        <v>0</v>
      </c>
      <c r="L697" s="23">
        <f>'Jul 20'!$N$32</f>
        <v>0</v>
      </c>
    </row>
    <row r="698" spans="1:12" x14ac:dyDescent="0.25">
      <c r="A698" s="66" t="str">
        <f t="shared" si="10"/>
        <v>✓</v>
      </c>
      <c r="B698" s="67">
        <v>46223</v>
      </c>
      <c r="C698" s="23">
        <f>'Jul 20'!$D$33</f>
        <v>0</v>
      </c>
      <c r="D698" s="23">
        <f>'Jul 20'!$B$33</f>
        <v>0</v>
      </c>
      <c r="E698" s="64">
        <f>'Jul 20'!$E$33</f>
        <v>0</v>
      </c>
      <c r="F698" s="23">
        <f>'Jul 20'!$A$33</f>
        <v>0</v>
      </c>
      <c r="G698" s="64">
        <f>'Jul 20'!$F$33</f>
        <v>0</v>
      </c>
      <c r="H698" s="64">
        <f>'Jul 20'!$G$33</f>
        <v>0</v>
      </c>
      <c r="I698" s="64" t="str">
        <f>'Jul 20'!$M$33</f>
        <v/>
      </c>
      <c r="J698" s="25" t="str">
        <f>'Jul 20'!$S$33</f>
        <v/>
      </c>
      <c r="K698" s="23">
        <f>'Jul 20'!$AG$33</f>
        <v>0</v>
      </c>
      <c r="L698" s="23">
        <f>'Jul 20'!$N$33</f>
        <v>0</v>
      </c>
    </row>
    <row r="699" spans="1:12" x14ac:dyDescent="0.25">
      <c r="A699" s="66" t="str">
        <f t="shared" si="10"/>
        <v>✓</v>
      </c>
      <c r="B699" s="67">
        <v>46223</v>
      </c>
      <c r="C699" s="23">
        <f>'Jul 20'!$D$34</f>
        <v>0</v>
      </c>
      <c r="D699" s="23">
        <f>'Jul 20'!$B$34</f>
        <v>0</v>
      </c>
      <c r="E699" s="64">
        <f>'Jul 20'!$E$34</f>
        <v>0</v>
      </c>
      <c r="F699" s="23">
        <f>'Jul 20'!$A$34</f>
        <v>0</v>
      </c>
      <c r="G699" s="64">
        <f>'Jul 20'!$F$34</f>
        <v>0</v>
      </c>
      <c r="H699" s="64">
        <f>'Jul 20'!$G$34</f>
        <v>0</v>
      </c>
      <c r="I699" s="64" t="str">
        <f>'Jul 20'!$M$34</f>
        <v/>
      </c>
      <c r="J699" s="25" t="str">
        <f>'Jul 20'!$S$34</f>
        <v/>
      </c>
      <c r="K699" s="23">
        <f>'Jul 20'!$AG$34</f>
        <v>0</v>
      </c>
      <c r="L699" s="23">
        <f>'Jul 20'!$N$34</f>
        <v>0</v>
      </c>
    </row>
    <row r="700" spans="1:12" x14ac:dyDescent="0.25">
      <c r="A700" s="66" t="str">
        <f t="shared" si="10"/>
        <v>✓</v>
      </c>
      <c r="B700" s="67">
        <v>46223</v>
      </c>
      <c r="C700" s="23">
        <f>'Jul 20'!$D$35</f>
        <v>0</v>
      </c>
      <c r="D700" s="23">
        <f>'Jul 20'!$B$35</f>
        <v>0</v>
      </c>
      <c r="E700" s="64">
        <f>'Jul 20'!$E$35</f>
        <v>0</v>
      </c>
      <c r="F700" s="23">
        <f>'Jul 20'!$A$35</f>
        <v>0</v>
      </c>
      <c r="G700" s="64">
        <f>'Jul 20'!$F$35</f>
        <v>0</v>
      </c>
      <c r="H700" s="64">
        <f>'Jul 20'!$G$35</f>
        <v>0</v>
      </c>
      <c r="I700" s="64" t="str">
        <f>'Jul 20'!$M$35</f>
        <v/>
      </c>
      <c r="J700" s="25" t="str">
        <f>'Jul 20'!$S$35</f>
        <v/>
      </c>
      <c r="K700" s="23">
        <f>'Jul 20'!$AG$35</f>
        <v>0</v>
      </c>
      <c r="L700" s="23">
        <f>'Jul 20'!$N$35</f>
        <v>0</v>
      </c>
    </row>
    <row r="701" spans="1:12" x14ac:dyDescent="0.25">
      <c r="A701" s="66" t="str">
        <f t="shared" si="10"/>
        <v>✓</v>
      </c>
      <c r="B701" s="67">
        <v>46223</v>
      </c>
      <c r="C701" s="23">
        <f>'Jul 20'!$D$36</f>
        <v>0</v>
      </c>
      <c r="D701" s="23">
        <f>'Jul 20'!$B$36</f>
        <v>0</v>
      </c>
      <c r="E701" s="64">
        <f>'Jul 20'!$E$36</f>
        <v>0</v>
      </c>
      <c r="F701" s="23">
        <f>'Jul 20'!$A$36</f>
        <v>0</v>
      </c>
      <c r="G701" s="64">
        <f>'Jul 20'!$F$36</f>
        <v>0</v>
      </c>
      <c r="H701" s="64">
        <f>'Jul 20'!$G$36</f>
        <v>0</v>
      </c>
      <c r="I701" s="64" t="str">
        <f>'Jul 20'!$M$36</f>
        <v/>
      </c>
      <c r="J701" s="25" t="str">
        <f>'Jul 20'!$S$36</f>
        <v/>
      </c>
      <c r="K701" s="23">
        <f>'Jul 20'!$AG$36</f>
        <v>0</v>
      </c>
      <c r="L701" s="23">
        <f>'Jul 20'!$N$36</f>
        <v>0</v>
      </c>
    </row>
    <row r="702" spans="1:12" x14ac:dyDescent="0.25">
      <c r="A702" s="66" t="str">
        <f t="shared" si="10"/>
        <v>✓</v>
      </c>
      <c r="B702" s="67">
        <v>46223</v>
      </c>
      <c r="C702" s="23">
        <f>'Jul 20'!$D$37</f>
        <v>0</v>
      </c>
      <c r="D702" s="23">
        <f>'Jul 20'!$B$37</f>
        <v>0</v>
      </c>
      <c r="E702" s="64">
        <f>'Jul 20'!$E$37</f>
        <v>0</v>
      </c>
      <c r="F702" s="23">
        <f>'Jul 20'!$A$37</f>
        <v>0</v>
      </c>
      <c r="G702" s="64">
        <f>'Jul 20'!$F$37</f>
        <v>0</v>
      </c>
      <c r="H702" s="64">
        <f>'Jul 20'!$G$37</f>
        <v>0</v>
      </c>
      <c r="I702" s="64" t="str">
        <f>'Jul 20'!$M$37</f>
        <v/>
      </c>
      <c r="J702" s="25" t="str">
        <f>'Jul 20'!$S$37</f>
        <v/>
      </c>
      <c r="K702" s="23">
        <f>'Jul 20'!$AG$37</f>
        <v>0</v>
      </c>
      <c r="L702" s="23">
        <f>'Jul 20'!$N$37</f>
        <v>0</v>
      </c>
    </row>
    <row r="703" spans="1:12" x14ac:dyDescent="0.25">
      <c r="A703" s="66" t="str">
        <f t="shared" si="10"/>
        <v>✓</v>
      </c>
      <c r="B703" s="67">
        <v>46223</v>
      </c>
      <c r="C703" s="23">
        <f>'Jul 20'!$D$38</f>
        <v>0</v>
      </c>
      <c r="D703" s="23">
        <f>'Jul 20'!$B$38</f>
        <v>0</v>
      </c>
      <c r="E703" s="64">
        <f>'Jul 20'!$E$38</f>
        <v>0</v>
      </c>
      <c r="F703" s="23">
        <f>'Jul 20'!$A$38</f>
        <v>0</v>
      </c>
      <c r="G703" s="64">
        <f>'Jul 20'!$F$38</f>
        <v>0</v>
      </c>
      <c r="H703" s="64">
        <f>'Jul 20'!$G$38</f>
        <v>0</v>
      </c>
      <c r="I703" s="64" t="str">
        <f>'Jul 20'!$M$38</f>
        <v/>
      </c>
      <c r="J703" s="25" t="str">
        <f>'Jul 20'!$S$38</f>
        <v/>
      </c>
      <c r="K703" s="23">
        <f>'Jul 20'!$AG$38</f>
        <v>0</v>
      </c>
      <c r="L703" s="23">
        <f>'Jul 20'!$N$38</f>
        <v>0</v>
      </c>
    </row>
    <row r="704" spans="1:12" x14ac:dyDescent="0.25">
      <c r="A704" s="66" t="str">
        <f t="shared" si="10"/>
        <v>✓</v>
      </c>
      <c r="B704" s="67">
        <v>46223</v>
      </c>
      <c r="C704" s="23">
        <f>'Jul 20'!$D$39</f>
        <v>0</v>
      </c>
      <c r="D704" s="23">
        <f>'Jul 20'!$B$39</f>
        <v>0</v>
      </c>
      <c r="E704" s="64">
        <f>'Jul 20'!$E$39</f>
        <v>0</v>
      </c>
      <c r="F704" s="23">
        <f>'Jul 20'!$A$39</f>
        <v>0</v>
      </c>
      <c r="G704" s="64">
        <f>'Jul 20'!$F$39</f>
        <v>0</v>
      </c>
      <c r="H704" s="64">
        <f>'Jul 20'!$G$39</f>
        <v>0</v>
      </c>
      <c r="I704" s="64" t="str">
        <f>'Jul 20'!$M$39</f>
        <v/>
      </c>
      <c r="J704" s="25" t="str">
        <f>'Jul 20'!$S$39</f>
        <v/>
      </c>
      <c r="K704" s="23">
        <f>'Jul 20'!$AG$39</f>
        <v>0</v>
      </c>
      <c r="L704" s="23">
        <f>'Jul 20'!$N$39</f>
        <v>0</v>
      </c>
    </row>
    <row r="705" spans="1:12" x14ac:dyDescent="0.25">
      <c r="A705" s="66" t="str">
        <f t="shared" si="10"/>
        <v>✓</v>
      </c>
      <c r="B705" s="67">
        <v>46223</v>
      </c>
      <c r="C705" s="23">
        <f>'Jul 20'!$D$40</f>
        <v>0</v>
      </c>
      <c r="D705" s="23">
        <f>'Jul 20'!$B$40</f>
        <v>0</v>
      </c>
      <c r="E705" s="64">
        <f>'Jul 20'!$E$40</f>
        <v>0</v>
      </c>
      <c r="F705" s="23">
        <f>'Jul 20'!$A$40</f>
        <v>0</v>
      </c>
      <c r="G705" s="64">
        <f>'Jul 20'!$F$40</f>
        <v>0</v>
      </c>
      <c r="H705" s="64">
        <f>'Jul 20'!$G$40</f>
        <v>0</v>
      </c>
      <c r="I705" s="64" t="str">
        <f>'Jul 20'!$M$40</f>
        <v/>
      </c>
      <c r="J705" s="25" t="str">
        <f>'Jul 20'!$S$40</f>
        <v/>
      </c>
      <c r="K705" s="23">
        <f>'Jul 20'!$AG$40</f>
        <v>0</v>
      </c>
      <c r="L705" s="23">
        <f>'Jul 20'!$N$40</f>
        <v>0</v>
      </c>
    </row>
    <row r="706" spans="1:12" x14ac:dyDescent="0.25">
      <c r="A706" s="66" t="str">
        <f t="shared" si="10"/>
        <v>✓</v>
      </c>
      <c r="B706" s="67">
        <v>46223</v>
      </c>
      <c r="C706" s="23">
        <f>'Jul 20'!$D$41</f>
        <v>0</v>
      </c>
      <c r="D706" s="23">
        <f>'Jul 20'!$B$41</f>
        <v>0</v>
      </c>
      <c r="E706" s="64">
        <f>'Jul 20'!$E$41</f>
        <v>0</v>
      </c>
      <c r="F706" s="23">
        <f>'Jul 20'!$A$41</f>
        <v>0</v>
      </c>
      <c r="G706" s="64">
        <f>'Jul 20'!$F$41</f>
        <v>0</v>
      </c>
      <c r="H706" s="64">
        <f>'Jul 20'!$G$41</f>
        <v>0</v>
      </c>
      <c r="I706" s="64" t="str">
        <f>'Jul 20'!$M$41</f>
        <v/>
      </c>
      <c r="J706" s="25" t="str">
        <f>'Jul 20'!$S$41</f>
        <v/>
      </c>
      <c r="K706" s="23">
        <f>'Jul 20'!$AG$41</f>
        <v>0</v>
      </c>
      <c r="L706" s="23">
        <f>'Jul 20'!$N$41</f>
        <v>0</v>
      </c>
    </row>
    <row r="707" spans="1:12" x14ac:dyDescent="0.25">
      <c r="A707" s="66" t="str">
        <f t="shared" si="10"/>
        <v>✓</v>
      </c>
      <c r="B707" s="67">
        <v>46223</v>
      </c>
      <c r="C707" s="23">
        <f>'Jul 20'!$D$42</f>
        <v>0</v>
      </c>
      <c r="D707" s="23">
        <f>'Jul 20'!$B$42</f>
        <v>0</v>
      </c>
      <c r="E707" s="64">
        <f>'Jul 20'!$E$42</f>
        <v>0</v>
      </c>
      <c r="F707" s="23">
        <f>'Jul 20'!$A$42</f>
        <v>0</v>
      </c>
      <c r="G707" s="64">
        <f>'Jul 20'!$F$42</f>
        <v>0</v>
      </c>
      <c r="H707" s="64">
        <f>'Jul 20'!$G$42</f>
        <v>0</v>
      </c>
      <c r="I707" s="64" t="str">
        <f>'Jul 20'!$M$42</f>
        <v/>
      </c>
      <c r="J707" s="25" t="str">
        <f>'Jul 20'!$S$42</f>
        <v/>
      </c>
      <c r="K707" s="23">
        <f>'Jul 20'!$AG$42</f>
        <v>0</v>
      </c>
      <c r="L707" s="23">
        <f>'Jul 20'!$N$42</f>
        <v>0</v>
      </c>
    </row>
    <row r="708" spans="1:12" x14ac:dyDescent="0.25">
      <c r="A708" s="66" t="str">
        <f t="shared" si="10"/>
        <v>✓</v>
      </c>
      <c r="B708" s="67">
        <v>46224</v>
      </c>
      <c r="C708" s="23">
        <f>'Jul 21'!$D$8</f>
        <v>0</v>
      </c>
      <c r="D708" s="23">
        <f>'Jul 21'!$B$8</f>
        <v>0</v>
      </c>
      <c r="E708" s="64">
        <f>'Jul 21'!$E$8</f>
        <v>0</v>
      </c>
      <c r="F708" s="23">
        <f>'Jul 21'!$A$8</f>
        <v>0</v>
      </c>
      <c r="G708" s="64">
        <f>'Jul 21'!$F$8</f>
        <v>0</v>
      </c>
      <c r="H708" s="64">
        <f>'Jul 21'!$G$8</f>
        <v>0</v>
      </c>
      <c r="I708" s="64" t="str">
        <f>'Jul 21'!$M$8</f>
        <v/>
      </c>
      <c r="J708" s="25" t="str">
        <f>'Jul 21'!$S$8</f>
        <v/>
      </c>
      <c r="K708" s="23">
        <f>'Jul 21'!$AG$8</f>
        <v>0</v>
      </c>
      <c r="L708" s="23">
        <f>'Jul 21'!$N$8</f>
        <v>0</v>
      </c>
    </row>
    <row r="709" spans="1:12" x14ac:dyDescent="0.25">
      <c r="A709" s="66" t="str">
        <f t="shared" si="10"/>
        <v>✓</v>
      </c>
      <c r="B709" s="67">
        <v>46224</v>
      </c>
      <c r="C709" s="23">
        <f>'Jul 21'!$D$9</f>
        <v>0</v>
      </c>
      <c r="D709" s="23">
        <f>'Jul 21'!$B$9</f>
        <v>0</v>
      </c>
      <c r="E709" s="64">
        <f>'Jul 21'!$E$9</f>
        <v>0</v>
      </c>
      <c r="F709" s="23">
        <f>'Jul 21'!$A$9</f>
        <v>0</v>
      </c>
      <c r="G709" s="64">
        <f>'Jul 21'!$F$9</f>
        <v>0</v>
      </c>
      <c r="H709" s="64">
        <f>'Jul 21'!$G$9</f>
        <v>0</v>
      </c>
      <c r="I709" s="64" t="str">
        <f>'Jul 21'!$M$9</f>
        <v/>
      </c>
      <c r="J709" s="25" t="str">
        <f>'Jul 21'!$S$9</f>
        <v/>
      </c>
      <c r="K709" s="23">
        <f>'Jul 21'!$AG$9</f>
        <v>0</v>
      </c>
      <c r="L709" s="23">
        <f>'Jul 21'!$N$9</f>
        <v>0</v>
      </c>
    </row>
    <row r="710" spans="1:12" x14ac:dyDescent="0.25">
      <c r="A710" s="66" t="str">
        <f t="shared" si="10"/>
        <v>✓</v>
      </c>
      <c r="B710" s="67">
        <v>46224</v>
      </c>
      <c r="C710" s="23">
        <f>'Jul 21'!$D$10</f>
        <v>0</v>
      </c>
      <c r="D710" s="23">
        <f>'Jul 21'!$B$10</f>
        <v>0</v>
      </c>
      <c r="E710" s="64">
        <f>'Jul 21'!$E$10</f>
        <v>0</v>
      </c>
      <c r="F710" s="23">
        <f>'Jul 21'!$A$10</f>
        <v>0</v>
      </c>
      <c r="G710" s="64">
        <f>'Jul 21'!$F$10</f>
        <v>0</v>
      </c>
      <c r="H710" s="64">
        <f>'Jul 21'!$G$10</f>
        <v>0</v>
      </c>
      <c r="I710" s="64" t="str">
        <f>'Jul 21'!$M$10</f>
        <v/>
      </c>
      <c r="J710" s="25" t="str">
        <f>'Jul 21'!$S$10</f>
        <v/>
      </c>
      <c r="K710" s="23">
        <f>'Jul 21'!$AG$10</f>
        <v>0</v>
      </c>
      <c r="L710" s="23">
        <f>'Jul 21'!$N$10</f>
        <v>0</v>
      </c>
    </row>
    <row r="711" spans="1:12" x14ac:dyDescent="0.25">
      <c r="A711" s="66" t="str">
        <f t="shared" si="10"/>
        <v>✓</v>
      </c>
      <c r="B711" s="67">
        <v>46224</v>
      </c>
      <c r="C711" s="23">
        <f>'Jul 21'!$D$11</f>
        <v>0</v>
      </c>
      <c r="D711" s="23">
        <f>'Jul 21'!$B$11</f>
        <v>0</v>
      </c>
      <c r="E711" s="64">
        <f>'Jul 21'!$E$11</f>
        <v>0</v>
      </c>
      <c r="F711" s="23">
        <f>'Jul 21'!$A$11</f>
        <v>0</v>
      </c>
      <c r="G711" s="64">
        <f>'Jul 21'!$F$11</f>
        <v>0</v>
      </c>
      <c r="H711" s="64">
        <f>'Jul 21'!$G$11</f>
        <v>0</v>
      </c>
      <c r="I711" s="64" t="str">
        <f>'Jul 21'!$M$11</f>
        <v/>
      </c>
      <c r="J711" s="25" t="str">
        <f>'Jul 21'!$S$11</f>
        <v/>
      </c>
      <c r="K711" s="23">
        <f>'Jul 21'!$AG$11</f>
        <v>0</v>
      </c>
      <c r="L711" s="23">
        <f>'Jul 21'!$N$11</f>
        <v>0</v>
      </c>
    </row>
    <row r="712" spans="1:12" x14ac:dyDescent="0.25">
      <c r="A712" s="66" t="str">
        <f t="shared" ref="A712:A775" si="11">IF(C712="","",IF(AND(OR($B$5="",G712=$B$5,H712=$B$5),OR($D$5="",F712=$D$5),OR($E$5="",K712=$E$5),OR($G$5="",L712=$G$5),OR($H$5="",N(J712)&gt;=$H$5),OR($I$5="",ISNUMBER(SEARCH($I$5,C712&amp;" "&amp;D712&amp;" "&amp;E712&amp;" "&amp;I712)))),"✓",""))</f>
        <v>✓</v>
      </c>
      <c r="B712" s="67">
        <v>46224</v>
      </c>
      <c r="C712" s="23">
        <f>'Jul 21'!$D$12</f>
        <v>0</v>
      </c>
      <c r="D712" s="23">
        <f>'Jul 21'!$B$12</f>
        <v>0</v>
      </c>
      <c r="E712" s="64">
        <f>'Jul 21'!$E$12</f>
        <v>0</v>
      </c>
      <c r="F712" s="23">
        <f>'Jul 21'!$A$12</f>
        <v>0</v>
      </c>
      <c r="G712" s="64">
        <f>'Jul 21'!$F$12</f>
        <v>0</v>
      </c>
      <c r="H712" s="64">
        <f>'Jul 21'!$G$12</f>
        <v>0</v>
      </c>
      <c r="I712" s="64" t="str">
        <f>'Jul 21'!$M$12</f>
        <v/>
      </c>
      <c r="J712" s="25" t="str">
        <f>'Jul 21'!$S$12</f>
        <v/>
      </c>
      <c r="K712" s="23">
        <f>'Jul 21'!$AG$12</f>
        <v>0</v>
      </c>
      <c r="L712" s="23">
        <f>'Jul 21'!$N$12</f>
        <v>0</v>
      </c>
    </row>
    <row r="713" spans="1:12" x14ac:dyDescent="0.25">
      <c r="A713" s="66" t="str">
        <f t="shared" si="11"/>
        <v>✓</v>
      </c>
      <c r="B713" s="67">
        <v>46224</v>
      </c>
      <c r="C713" s="23">
        <f>'Jul 21'!$D$13</f>
        <v>0</v>
      </c>
      <c r="D713" s="23">
        <f>'Jul 21'!$B$13</f>
        <v>0</v>
      </c>
      <c r="E713" s="64">
        <f>'Jul 21'!$E$13</f>
        <v>0</v>
      </c>
      <c r="F713" s="23">
        <f>'Jul 21'!$A$13</f>
        <v>0</v>
      </c>
      <c r="G713" s="64">
        <f>'Jul 21'!$F$13</f>
        <v>0</v>
      </c>
      <c r="H713" s="64">
        <f>'Jul 21'!$G$13</f>
        <v>0</v>
      </c>
      <c r="I713" s="64" t="str">
        <f>'Jul 21'!$M$13</f>
        <v/>
      </c>
      <c r="J713" s="25" t="str">
        <f>'Jul 21'!$S$13</f>
        <v/>
      </c>
      <c r="K713" s="23">
        <f>'Jul 21'!$AG$13</f>
        <v>0</v>
      </c>
      <c r="L713" s="23">
        <f>'Jul 21'!$N$13</f>
        <v>0</v>
      </c>
    </row>
    <row r="714" spans="1:12" x14ac:dyDescent="0.25">
      <c r="A714" s="66" t="str">
        <f t="shared" si="11"/>
        <v>✓</v>
      </c>
      <c r="B714" s="67">
        <v>46224</v>
      </c>
      <c r="C714" s="23">
        <f>'Jul 21'!$D$14</f>
        <v>0</v>
      </c>
      <c r="D714" s="23">
        <f>'Jul 21'!$B$14</f>
        <v>0</v>
      </c>
      <c r="E714" s="64">
        <f>'Jul 21'!$E$14</f>
        <v>0</v>
      </c>
      <c r="F714" s="23">
        <f>'Jul 21'!$A$14</f>
        <v>0</v>
      </c>
      <c r="G714" s="64">
        <f>'Jul 21'!$F$14</f>
        <v>0</v>
      </c>
      <c r="H714" s="64">
        <f>'Jul 21'!$G$14</f>
        <v>0</v>
      </c>
      <c r="I714" s="64" t="str">
        <f>'Jul 21'!$M$14</f>
        <v/>
      </c>
      <c r="J714" s="25" t="str">
        <f>'Jul 21'!$S$14</f>
        <v/>
      </c>
      <c r="K714" s="23">
        <f>'Jul 21'!$AG$14</f>
        <v>0</v>
      </c>
      <c r="L714" s="23">
        <f>'Jul 21'!$N$14</f>
        <v>0</v>
      </c>
    </row>
    <row r="715" spans="1:12" x14ac:dyDescent="0.25">
      <c r="A715" s="66" t="str">
        <f t="shared" si="11"/>
        <v>✓</v>
      </c>
      <c r="B715" s="67">
        <v>46224</v>
      </c>
      <c r="C715" s="23">
        <f>'Jul 21'!$D$15</f>
        <v>0</v>
      </c>
      <c r="D715" s="23">
        <f>'Jul 21'!$B$15</f>
        <v>0</v>
      </c>
      <c r="E715" s="64">
        <f>'Jul 21'!$E$15</f>
        <v>0</v>
      </c>
      <c r="F715" s="23">
        <f>'Jul 21'!$A$15</f>
        <v>0</v>
      </c>
      <c r="G715" s="64">
        <f>'Jul 21'!$F$15</f>
        <v>0</v>
      </c>
      <c r="H715" s="64">
        <f>'Jul 21'!$G$15</f>
        <v>0</v>
      </c>
      <c r="I715" s="64" t="str">
        <f>'Jul 21'!$M$15</f>
        <v/>
      </c>
      <c r="J715" s="25" t="str">
        <f>'Jul 21'!$S$15</f>
        <v/>
      </c>
      <c r="K715" s="23">
        <f>'Jul 21'!$AG$15</f>
        <v>0</v>
      </c>
      <c r="L715" s="23">
        <f>'Jul 21'!$N$15</f>
        <v>0</v>
      </c>
    </row>
    <row r="716" spans="1:12" x14ac:dyDescent="0.25">
      <c r="A716" s="66" t="str">
        <f t="shared" si="11"/>
        <v>✓</v>
      </c>
      <c r="B716" s="67">
        <v>46224</v>
      </c>
      <c r="C716" s="23">
        <f>'Jul 21'!$D$16</f>
        <v>0</v>
      </c>
      <c r="D716" s="23">
        <f>'Jul 21'!$B$16</f>
        <v>0</v>
      </c>
      <c r="E716" s="64">
        <f>'Jul 21'!$E$16</f>
        <v>0</v>
      </c>
      <c r="F716" s="23">
        <f>'Jul 21'!$A$16</f>
        <v>0</v>
      </c>
      <c r="G716" s="64">
        <f>'Jul 21'!$F$16</f>
        <v>0</v>
      </c>
      <c r="H716" s="64">
        <f>'Jul 21'!$G$16</f>
        <v>0</v>
      </c>
      <c r="I716" s="64" t="str">
        <f>'Jul 21'!$M$16</f>
        <v/>
      </c>
      <c r="J716" s="25" t="str">
        <f>'Jul 21'!$S$16</f>
        <v/>
      </c>
      <c r="K716" s="23">
        <f>'Jul 21'!$AG$16</f>
        <v>0</v>
      </c>
      <c r="L716" s="23">
        <f>'Jul 21'!$N$16</f>
        <v>0</v>
      </c>
    </row>
    <row r="717" spans="1:12" x14ac:dyDescent="0.25">
      <c r="A717" s="66" t="str">
        <f t="shared" si="11"/>
        <v>✓</v>
      </c>
      <c r="B717" s="67">
        <v>46224</v>
      </c>
      <c r="C717" s="23">
        <f>'Jul 21'!$D$17</f>
        <v>0</v>
      </c>
      <c r="D717" s="23">
        <f>'Jul 21'!$B$17</f>
        <v>0</v>
      </c>
      <c r="E717" s="64">
        <f>'Jul 21'!$E$17</f>
        <v>0</v>
      </c>
      <c r="F717" s="23">
        <f>'Jul 21'!$A$17</f>
        <v>0</v>
      </c>
      <c r="G717" s="64">
        <f>'Jul 21'!$F$17</f>
        <v>0</v>
      </c>
      <c r="H717" s="64">
        <f>'Jul 21'!$G$17</f>
        <v>0</v>
      </c>
      <c r="I717" s="64" t="str">
        <f>'Jul 21'!$M$17</f>
        <v/>
      </c>
      <c r="J717" s="25" t="str">
        <f>'Jul 21'!$S$17</f>
        <v/>
      </c>
      <c r="K717" s="23">
        <f>'Jul 21'!$AG$17</f>
        <v>0</v>
      </c>
      <c r="L717" s="23">
        <f>'Jul 21'!$N$17</f>
        <v>0</v>
      </c>
    </row>
    <row r="718" spans="1:12" x14ac:dyDescent="0.25">
      <c r="A718" s="66" t="str">
        <f t="shared" si="11"/>
        <v>✓</v>
      </c>
      <c r="B718" s="67">
        <v>46224</v>
      </c>
      <c r="C718" s="23">
        <f>'Jul 21'!$D$18</f>
        <v>0</v>
      </c>
      <c r="D718" s="23">
        <f>'Jul 21'!$B$18</f>
        <v>0</v>
      </c>
      <c r="E718" s="64">
        <f>'Jul 21'!$E$18</f>
        <v>0</v>
      </c>
      <c r="F718" s="23">
        <f>'Jul 21'!$A$18</f>
        <v>0</v>
      </c>
      <c r="G718" s="64">
        <f>'Jul 21'!$F$18</f>
        <v>0</v>
      </c>
      <c r="H718" s="64">
        <f>'Jul 21'!$G$18</f>
        <v>0</v>
      </c>
      <c r="I718" s="64" t="str">
        <f>'Jul 21'!$M$18</f>
        <v/>
      </c>
      <c r="J718" s="25" t="str">
        <f>'Jul 21'!$S$18</f>
        <v/>
      </c>
      <c r="K718" s="23">
        <f>'Jul 21'!$AG$18</f>
        <v>0</v>
      </c>
      <c r="L718" s="23">
        <f>'Jul 21'!$N$18</f>
        <v>0</v>
      </c>
    </row>
    <row r="719" spans="1:12" x14ac:dyDescent="0.25">
      <c r="A719" s="66" t="str">
        <f t="shared" si="11"/>
        <v>✓</v>
      </c>
      <c r="B719" s="67">
        <v>46224</v>
      </c>
      <c r="C719" s="23">
        <f>'Jul 21'!$D$19</f>
        <v>0</v>
      </c>
      <c r="D719" s="23">
        <f>'Jul 21'!$B$19</f>
        <v>0</v>
      </c>
      <c r="E719" s="64">
        <f>'Jul 21'!$E$19</f>
        <v>0</v>
      </c>
      <c r="F719" s="23">
        <f>'Jul 21'!$A$19</f>
        <v>0</v>
      </c>
      <c r="G719" s="64">
        <f>'Jul 21'!$F$19</f>
        <v>0</v>
      </c>
      <c r="H719" s="64">
        <f>'Jul 21'!$G$19</f>
        <v>0</v>
      </c>
      <c r="I719" s="64" t="str">
        <f>'Jul 21'!$M$19</f>
        <v/>
      </c>
      <c r="J719" s="25" t="str">
        <f>'Jul 21'!$S$19</f>
        <v/>
      </c>
      <c r="K719" s="23">
        <f>'Jul 21'!$AG$19</f>
        <v>0</v>
      </c>
      <c r="L719" s="23">
        <f>'Jul 21'!$N$19</f>
        <v>0</v>
      </c>
    </row>
    <row r="720" spans="1:12" x14ac:dyDescent="0.25">
      <c r="A720" s="66" t="str">
        <f t="shared" si="11"/>
        <v>✓</v>
      </c>
      <c r="B720" s="67">
        <v>46224</v>
      </c>
      <c r="C720" s="23">
        <f>'Jul 21'!$D$20</f>
        <v>0</v>
      </c>
      <c r="D720" s="23">
        <f>'Jul 21'!$B$20</f>
        <v>0</v>
      </c>
      <c r="E720" s="64">
        <f>'Jul 21'!$E$20</f>
        <v>0</v>
      </c>
      <c r="F720" s="23">
        <f>'Jul 21'!$A$20</f>
        <v>0</v>
      </c>
      <c r="G720" s="64">
        <f>'Jul 21'!$F$20</f>
        <v>0</v>
      </c>
      <c r="H720" s="64">
        <f>'Jul 21'!$G$20</f>
        <v>0</v>
      </c>
      <c r="I720" s="64" t="str">
        <f>'Jul 21'!$M$20</f>
        <v/>
      </c>
      <c r="J720" s="25" t="str">
        <f>'Jul 21'!$S$20</f>
        <v/>
      </c>
      <c r="K720" s="23">
        <f>'Jul 21'!$AG$20</f>
        <v>0</v>
      </c>
      <c r="L720" s="23">
        <f>'Jul 21'!$N$20</f>
        <v>0</v>
      </c>
    </row>
    <row r="721" spans="1:12" x14ac:dyDescent="0.25">
      <c r="A721" s="66" t="str">
        <f t="shared" si="11"/>
        <v>✓</v>
      </c>
      <c r="B721" s="67">
        <v>46224</v>
      </c>
      <c r="C721" s="23">
        <f>'Jul 21'!$D$21</f>
        <v>0</v>
      </c>
      <c r="D721" s="23">
        <f>'Jul 21'!$B$21</f>
        <v>0</v>
      </c>
      <c r="E721" s="64">
        <f>'Jul 21'!$E$21</f>
        <v>0</v>
      </c>
      <c r="F721" s="23">
        <f>'Jul 21'!$A$21</f>
        <v>0</v>
      </c>
      <c r="G721" s="64">
        <f>'Jul 21'!$F$21</f>
        <v>0</v>
      </c>
      <c r="H721" s="64">
        <f>'Jul 21'!$G$21</f>
        <v>0</v>
      </c>
      <c r="I721" s="64" t="str">
        <f>'Jul 21'!$M$21</f>
        <v/>
      </c>
      <c r="J721" s="25" t="str">
        <f>'Jul 21'!$S$21</f>
        <v/>
      </c>
      <c r="K721" s="23">
        <f>'Jul 21'!$AG$21</f>
        <v>0</v>
      </c>
      <c r="L721" s="23">
        <f>'Jul 21'!$N$21</f>
        <v>0</v>
      </c>
    </row>
    <row r="722" spans="1:12" x14ac:dyDescent="0.25">
      <c r="A722" s="66" t="str">
        <f t="shared" si="11"/>
        <v>✓</v>
      </c>
      <c r="B722" s="67">
        <v>46224</v>
      </c>
      <c r="C722" s="23">
        <f>'Jul 21'!$D$22</f>
        <v>0</v>
      </c>
      <c r="D722" s="23">
        <f>'Jul 21'!$B$22</f>
        <v>0</v>
      </c>
      <c r="E722" s="64">
        <f>'Jul 21'!$E$22</f>
        <v>0</v>
      </c>
      <c r="F722" s="23">
        <f>'Jul 21'!$A$22</f>
        <v>0</v>
      </c>
      <c r="G722" s="64">
        <f>'Jul 21'!$F$22</f>
        <v>0</v>
      </c>
      <c r="H722" s="64">
        <f>'Jul 21'!$G$22</f>
        <v>0</v>
      </c>
      <c r="I722" s="64" t="str">
        <f>'Jul 21'!$M$22</f>
        <v/>
      </c>
      <c r="J722" s="25" t="str">
        <f>'Jul 21'!$S$22</f>
        <v/>
      </c>
      <c r="K722" s="23">
        <f>'Jul 21'!$AG$22</f>
        <v>0</v>
      </c>
      <c r="L722" s="23">
        <f>'Jul 21'!$N$22</f>
        <v>0</v>
      </c>
    </row>
    <row r="723" spans="1:12" x14ac:dyDescent="0.25">
      <c r="A723" s="66" t="str">
        <f t="shared" si="11"/>
        <v>✓</v>
      </c>
      <c r="B723" s="67">
        <v>46224</v>
      </c>
      <c r="C723" s="23">
        <f>'Jul 21'!$D$23</f>
        <v>0</v>
      </c>
      <c r="D723" s="23">
        <f>'Jul 21'!$B$23</f>
        <v>0</v>
      </c>
      <c r="E723" s="64">
        <f>'Jul 21'!$E$23</f>
        <v>0</v>
      </c>
      <c r="F723" s="23">
        <f>'Jul 21'!$A$23</f>
        <v>0</v>
      </c>
      <c r="G723" s="64">
        <f>'Jul 21'!$F$23</f>
        <v>0</v>
      </c>
      <c r="H723" s="64">
        <f>'Jul 21'!$G$23</f>
        <v>0</v>
      </c>
      <c r="I723" s="64" t="str">
        <f>'Jul 21'!$M$23</f>
        <v/>
      </c>
      <c r="J723" s="25" t="str">
        <f>'Jul 21'!$S$23</f>
        <v/>
      </c>
      <c r="K723" s="23">
        <f>'Jul 21'!$AG$23</f>
        <v>0</v>
      </c>
      <c r="L723" s="23">
        <f>'Jul 21'!$N$23</f>
        <v>0</v>
      </c>
    </row>
    <row r="724" spans="1:12" x14ac:dyDescent="0.25">
      <c r="A724" s="66" t="str">
        <f t="shared" si="11"/>
        <v>✓</v>
      </c>
      <c r="B724" s="67">
        <v>46224</v>
      </c>
      <c r="C724" s="23">
        <f>'Jul 21'!$D$24</f>
        <v>0</v>
      </c>
      <c r="D724" s="23">
        <f>'Jul 21'!$B$24</f>
        <v>0</v>
      </c>
      <c r="E724" s="64">
        <f>'Jul 21'!$E$24</f>
        <v>0</v>
      </c>
      <c r="F724" s="23">
        <f>'Jul 21'!$A$24</f>
        <v>0</v>
      </c>
      <c r="G724" s="64">
        <f>'Jul 21'!$F$24</f>
        <v>0</v>
      </c>
      <c r="H724" s="64">
        <f>'Jul 21'!$G$24</f>
        <v>0</v>
      </c>
      <c r="I724" s="64" t="str">
        <f>'Jul 21'!$M$24</f>
        <v/>
      </c>
      <c r="J724" s="25" t="str">
        <f>'Jul 21'!$S$24</f>
        <v/>
      </c>
      <c r="K724" s="23">
        <f>'Jul 21'!$AG$24</f>
        <v>0</v>
      </c>
      <c r="L724" s="23">
        <f>'Jul 21'!$N$24</f>
        <v>0</v>
      </c>
    </row>
    <row r="725" spans="1:12" x14ac:dyDescent="0.25">
      <c r="A725" s="66" t="str">
        <f t="shared" si="11"/>
        <v>✓</v>
      </c>
      <c r="B725" s="67">
        <v>46224</v>
      </c>
      <c r="C725" s="23">
        <f>'Jul 21'!$D$25</f>
        <v>0</v>
      </c>
      <c r="D725" s="23">
        <f>'Jul 21'!$B$25</f>
        <v>0</v>
      </c>
      <c r="E725" s="64">
        <f>'Jul 21'!$E$25</f>
        <v>0</v>
      </c>
      <c r="F725" s="23">
        <f>'Jul 21'!$A$25</f>
        <v>0</v>
      </c>
      <c r="G725" s="64">
        <f>'Jul 21'!$F$25</f>
        <v>0</v>
      </c>
      <c r="H725" s="64">
        <f>'Jul 21'!$G$25</f>
        <v>0</v>
      </c>
      <c r="I725" s="64" t="str">
        <f>'Jul 21'!$M$25</f>
        <v/>
      </c>
      <c r="J725" s="25" t="str">
        <f>'Jul 21'!$S$25</f>
        <v/>
      </c>
      <c r="K725" s="23">
        <f>'Jul 21'!$AG$25</f>
        <v>0</v>
      </c>
      <c r="L725" s="23">
        <f>'Jul 21'!$N$25</f>
        <v>0</v>
      </c>
    </row>
    <row r="726" spans="1:12" x14ac:dyDescent="0.25">
      <c r="A726" s="66" t="str">
        <f t="shared" si="11"/>
        <v>✓</v>
      </c>
      <c r="B726" s="67">
        <v>46224</v>
      </c>
      <c r="C726" s="23">
        <f>'Jul 21'!$D$26</f>
        <v>0</v>
      </c>
      <c r="D726" s="23">
        <f>'Jul 21'!$B$26</f>
        <v>0</v>
      </c>
      <c r="E726" s="64">
        <f>'Jul 21'!$E$26</f>
        <v>0</v>
      </c>
      <c r="F726" s="23">
        <f>'Jul 21'!$A$26</f>
        <v>0</v>
      </c>
      <c r="G726" s="64">
        <f>'Jul 21'!$F$26</f>
        <v>0</v>
      </c>
      <c r="H726" s="64">
        <f>'Jul 21'!$G$26</f>
        <v>0</v>
      </c>
      <c r="I726" s="64" t="str">
        <f>'Jul 21'!$M$26</f>
        <v/>
      </c>
      <c r="J726" s="25" t="str">
        <f>'Jul 21'!$S$26</f>
        <v/>
      </c>
      <c r="K726" s="23">
        <f>'Jul 21'!$AG$26</f>
        <v>0</v>
      </c>
      <c r="L726" s="23">
        <f>'Jul 21'!$N$26</f>
        <v>0</v>
      </c>
    </row>
    <row r="727" spans="1:12" x14ac:dyDescent="0.25">
      <c r="A727" s="66" t="str">
        <f t="shared" si="11"/>
        <v>✓</v>
      </c>
      <c r="B727" s="67">
        <v>46224</v>
      </c>
      <c r="C727" s="23">
        <f>'Jul 21'!$D$27</f>
        <v>0</v>
      </c>
      <c r="D727" s="23">
        <f>'Jul 21'!$B$27</f>
        <v>0</v>
      </c>
      <c r="E727" s="64">
        <f>'Jul 21'!$E$27</f>
        <v>0</v>
      </c>
      <c r="F727" s="23">
        <f>'Jul 21'!$A$27</f>
        <v>0</v>
      </c>
      <c r="G727" s="64">
        <f>'Jul 21'!$F$27</f>
        <v>0</v>
      </c>
      <c r="H727" s="64">
        <f>'Jul 21'!$G$27</f>
        <v>0</v>
      </c>
      <c r="I727" s="64" t="str">
        <f>'Jul 21'!$M$27</f>
        <v/>
      </c>
      <c r="J727" s="25" t="str">
        <f>'Jul 21'!$S$27</f>
        <v/>
      </c>
      <c r="K727" s="23">
        <f>'Jul 21'!$AG$27</f>
        <v>0</v>
      </c>
      <c r="L727" s="23">
        <f>'Jul 21'!$N$27</f>
        <v>0</v>
      </c>
    </row>
    <row r="728" spans="1:12" x14ac:dyDescent="0.25">
      <c r="A728" s="66" t="str">
        <f t="shared" si="11"/>
        <v>✓</v>
      </c>
      <c r="B728" s="67">
        <v>46224</v>
      </c>
      <c r="C728" s="23">
        <f>'Jul 21'!$D$28</f>
        <v>0</v>
      </c>
      <c r="D728" s="23">
        <f>'Jul 21'!$B$28</f>
        <v>0</v>
      </c>
      <c r="E728" s="64">
        <f>'Jul 21'!$E$28</f>
        <v>0</v>
      </c>
      <c r="F728" s="23">
        <f>'Jul 21'!$A$28</f>
        <v>0</v>
      </c>
      <c r="G728" s="64">
        <f>'Jul 21'!$F$28</f>
        <v>0</v>
      </c>
      <c r="H728" s="64">
        <f>'Jul 21'!$G$28</f>
        <v>0</v>
      </c>
      <c r="I728" s="64" t="str">
        <f>'Jul 21'!$M$28</f>
        <v/>
      </c>
      <c r="J728" s="25" t="str">
        <f>'Jul 21'!$S$28</f>
        <v/>
      </c>
      <c r="K728" s="23">
        <f>'Jul 21'!$AG$28</f>
        <v>0</v>
      </c>
      <c r="L728" s="23">
        <f>'Jul 21'!$N$28</f>
        <v>0</v>
      </c>
    </row>
    <row r="729" spans="1:12" x14ac:dyDescent="0.25">
      <c r="A729" s="66" t="str">
        <f t="shared" si="11"/>
        <v>✓</v>
      </c>
      <c r="B729" s="67">
        <v>46224</v>
      </c>
      <c r="C729" s="23">
        <f>'Jul 21'!$D$29</f>
        <v>0</v>
      </c>
      <c r="D729" s="23">
        <f>'Jul 21'!$B$29</f>
        <v>0</v>
      </c>
      <c r="E729" s="64">
        <f>'Jul 21'!$E$29</f>
        <v>0</v>
      </c>
      <c r="F729" s="23">
        <f>'Jul 21'!$A$29</f>
        <v>0</v>
      </c>
      <c r="G729" s="64">
        <f>'Jul 21'!$F$29</f>
        <v>0</v>
      </c>
      <c r="H729" s="64">
        <f>'Jul 21'!$G$29</f>
        <v>0</v>
      </c>
      <c r="I729" s="64" t="str">
        <f>'Jul 21'!$M$29</f>
        <v/>
      </c>
      <c r="J729" s="25" t="str">
        <f>'Jul 21'!$S$29</f>
        <v/>
      </c>
      <c r="K729" s="23">
        <f>'Jul 21'!$AG$29</f>
        <v>0</v>
      </c>
      <c r="L729" s="23">
        <f>'Jul 21'!$N$29</f>
        <v>0</v>
      </c>
    </row>
    <row r="730" spans="1:12" x14ac:dyDescent="0.25">
      <c r="A730" s="66" t="str">
        <f t="shared" si="11"/>
        <v>✓</v>
      </c>
      <c r="B730" s="67">
        <v>46224</v>
      </c>
      <c r="C730" s="23">
        <f>'Jul 21'!$D$30</f>
        <v>0</v>
      </c>
      <c r="D730" s="23">
        <f>'Jul 21'!$B$30</f>
        <v>0</v>
      </c>
      <c r="E730" s="64">
        <f>'Jul 21'!$E$30</f>
        <v>0</v>
      </c>
      <c r="F730" s="23">
        <f>'Jul 21'!$A$30</f>
        <v>0</v>
      </c>
      <c r="G730" s="64">
        <f>'Jul 21'!$F$30</f>
        <v>0</v>
      </c>
      <c r="H730" s="64">
        <f>'Jul 21'!$G$30</f>
        <v>0</v>
      </c>
      <c r="I730" s="64" t="str">
        <f>'Jul 21'!$M$30</f>
        <v/>
      </c>
      <c r="J730" s="25" t="str">
        <f>'Jul 21'!$S$30</f>
        <v/>
      </c>
      <c r="K730" s="23">
        <f>'Jul 21'!$AG$30</f>
        <v>0</v>
      </c>
      <c r="L730" s="23">
        <f>'Jul 21'!$N$30</f>
        <v>0</v>
      </c>
    </row>
    <row r="731" spans="1:12" x14ac:dyDescent="0.25">
      <c r="A731" s="66" t="str">
        <f t="shared" si="11"/>
        <v>✓</v>
      </c>
      <c r="B731" s="67">
        <v>46224</v>
      </c>
      <c r="C731" s="23">
        <f>'Jul 21'!$D$31</f>
        <v>0</v>
      </c>
      <c r="D731" s="23">
        <f>'Jul 21'!$B$31</f>
        <v>0</v>
      </c>
      <c r="E731" s="64">
        <f>'Jul 21'!$E$31</f>
        <v>0</v>
      </c>
      <c r="F731" s="23">
        <f>'Jul 21'!$A$31</f>
        <v>0</v>
      </c>
      <c r="G731" s="64">
        <f>'Jul 21'!$F$31</f>
        <v>0</v>
      </c>
      <c r="H731" s="64">
        <f>'Jul 21'!$G$31</f>
        <v>0</v>
      </c>
      <c r="I731" s="64" t="str">
        <f>'Jul 21'!$M$31</f>
        <v/>
      </c>
      <c r="J731" s="25" t="str">
        <f>'Jul 21'!$S$31</f>
        <v/>
      </c>
      <c r="K731" s="23">
        <f>'Jul 21'!$AG$31</f>
        <v>0</v>
      </c>
      <c r="L731" s="23">
        <f>'Jul 21'!$N$31</f>
        <v>0</v>
      </c>
    </row>
    <row r="732" spans="1:12" x14ac:dyDescent="0.25">
      <c r="A732" s="66" t="str">
        <f t="shared" si="11"/>
        <v>✓</v>
      </c>
      <c r="B732" s="67">
        <v>46224</v>
      </c>
      <c r="C732" s="23">
        <f>'Jul 21'!$D$32</f>
        <v>0</v>
      </c>
      <c r="D732" s="23">
        <f>'Jul 21'!$B$32</f>
        <v>0</v>
      </c>
      <c r="E732" s="64">
        <f>'Jul 21'!$E$32</f>
        <v>0</v>
      </c>
      <c r="F732" s="23">
        <f>'Jul 21'!$A$32</f>
        <v>0</v>
      </c>
      <c r="G732" s="64">
        <f>'Jul 21'!$F$32</f>
        <v>0</v>
      </c>
      <c r="H732" s="64">
        <f>'Jul 21'!$G$32</f>
        <v>0</v>
      </c>
      <c r="I732" s="64" t="str">
        <f>'Jul 21'!$M$32</f>
        <v/>
      </c>
      <c r="J732" s="25" t="str">
        <f>'Jul 21'!$S$32</f>
        <v/>
      </c>
      <c r="K732" s="23">
        <f>'Jul 21'!$AG$32</f>
        <v>0</v>
      </c>
      <c r="L732" s="23">
        <f>'Jul 21'!$N$32</f>
        <v>0</v>
      </c>
    </row>
    <row r="733" spans="1:12" x14ac:dyDescent="0.25">
      <c r="A733" s="66" t="str">
        <f t="shared" si="11"/>
        <v>✓</v>
      </c>
      <c r="B733" s="67">
        <v>46224</v>
      </c>
      <c r="C733" s="23">
        <f>'Jul 21'!$D$33</f>
        <v>0</v>
      </c>
      <c r="D733" s="23">
        <f>'Jul 21'!$B$33</f>
        <v>0</v>
      </c>
      <c r="E733" s="64">
        <f>'Jul 21'!$E$33</f>
        <v>0</v>
      </c>
      <c r="F733" s="23">
        <f>'Jul 21'!$A$33</f>
        <v>0</v>
      </c>
      <c r="G733" s="64">
        <f>'Jul 21'!$F$33</f>
        <v>0</v>
      </c>
      <c r="H733" s="64">
        <f>'Jul 21'!$G$33</f>
        <v>0</v>
      </c>
      <c r="I733" s="64" t="str">
        <f>'Jul 21'!$M$33</f>
        <v/>
      </c>
      <c r="J733" s="25" t="str">
        <f>'Jul 21'!$S$33</f>
        <v/>
      </c>
      <c r="K733" s="23">
        <f>'Jul 21'!$AG$33</f>
        <v>0</v>
      </c>
      <c r="L733" s="23">
        <f>'Jul 21'!$N$33</f>
        <v>0</v>
      </c>
    </row>
    <row r="734" spans="1:12" x14ac:dyDescent="0.25">
      <c r="A734" s="66" t="str">
        <f t="shared" si="11"/>
        <v>✓</v>
      </c>
      <c r="B734" s="67">
        <v>46224</v>
      </c>
      <c r="C734" s="23">
        <f>'Jul 21'!$D$34</f>
        <v>0</v>
      </c>
      <c r="D734" s="23">
        <f>'Jul 21'!$B$34</f>
        <v>0</v>
      </c>
      <c r="E734" s="64">
        <f>'Jul 21'!$E$34</f>
        <v>0</v>
      </c>
      <c r="F734" s="23">
        <f>'Jul 21'!$A$34</f>
        <v>0</v>
      </c>
      <c r="G734" s="64">
        <f>'Jul 21'!$F$34</f>
        <v>0</v>
      </c>
      <c r="H734" s="64">
        <f>'Jul 21'!$G$34</f>
        <v>0</v>
      </c>
      <c r="I734" s="64" t="str">
        <f>'Jul 21'!$M$34</f>
        <v/>
      </c>
      <c r="J734" s="25" t="str">
        <f>'Jul 21'!$S$34</f>
        <v/>
      </c>
      <c r="K734" s="23">
        <f>'Jul 21'!$AG$34</f>
        <v>0</v>
      </c>
      <c r="L734" s="23">
        <f>'Jul 21'!$N$34</f>
        <v>0</v>
      </c>
    </row>
    <row r="735" spans="1:12" x14ac:dyDescent="0.25">
      <c r="A735" s="66" t="str">
        <f t="shared" si="11"/>
        <v>✓</v>
      </c>
      <c r="B735" s="67">
        <v>46224</v>
      </c>
      <c r="C735" s="23">
        <f>'Jul 21'!$D$35</f>
        <v>0</v>
      </c>
      <c r="D735" s="23">
        <f>'Jul 21'!$B$35</f>
        <v>0</v>
      </c>
      <c r="E735" s="64">
        <f>'Jul 21'!$E$35</f>
        <v>0</v>
      </c>
      <c r="F735" s="23">
        <f>'Jul 21'!$A$35</f>
        <v>0</v>
      </c>
      <c r="G735" s="64">
        <f>'Jul 21'!$F$35</f>
        <v>0</v>
      </c>
      <c r="H735" s="64">
        <f>'Jul 21'!$G$35</f>
        <v>0</v>
      </c>
      <c r="I735" s="64" t="str">
        <f>'Jul 21'!$M$35</f>
        <v/>
      </c>
      <c r="J735" s="25" t="str">
        <f>'Jul 21'!$S$35</f>
        <v/>
      </c>
      <c r="K735" s="23">
        <f>'Jul 21'!$AG$35</f>
        <v>0</v>
      </c>
      <c r="L735" s="23">
        <f>'Jul 21'!$N$35</f>
        <v>0</v>
      </c>
    </row>
    <row r="736" spans="1:12" x14ac:dyDescent="0.25">
      <c r="A736" s="66" t="str">
        <f t="shared" si="11"/>
        <v>✓</v>
      </c>
      <c r="B736" s="67">
        <v>46224</v>
      </c>
      <c r="C736" s="23">
        <f>'Jul 21'!$D$36</f>
        <v>0</v>
      </c>
      <c r="D736" s="23">
        <f>'Jul 21'!$B$36</f>
        <v>0</v>
      </c>
      <c r="E736" s="64">
        <f>'Jul 21'!$E$36</f>
        <v>0</v>
      </c>
      <c r="F736" s="23">
        <f>'Jul 21'!$A$36</f>
        <v>0</v>
      </c>
      <c r="G736" s="64">
        <f>'Jul 21'!$F$36</f>
        <v>0</v>
      </c>
      <c r="H736" s="64">
        <f>'Jul 21'!$G$36</f>
        <v>0</v>
      </c>
      <c r="I736" s="64" t="str">
        <f>'Jul 21'!$M$36</f>
        <v/>
      </c>
      <c r="J736" s="25" t="str">
        <f>'Jul 21'!$S$36</f>
        <v/>
      </c>
      <c r="K736" s="23">
        <f>'Jul 21'!$AG$36</f>
        <v>0</v>
      </c>
      <c r="L736" s="23">
        <f>'Jul 21'!$N$36</f>
        <v>0</v>
      </c>
    </row>
    <row r="737" spans="1:12" x14ac:dyDescent="0.25">
      <c r="A737" s="66" t="str">
        <f t="shared" si="11"/>
        <v>✓</v>
      </c>
      <c r="B737" s="67">
        <v>46224</v>
      </c>
      <c r="C737" s="23">
        <f>'Jul 21'!$D$37</f>
        <v>0</v>
      </c>
      <c r="D737" s="23">
        <f>'Jul 21'!$B$37</f>
        <v>0</v>
      </c>
      <c r="E737" s="64">
        <f>'Jul 21'!$E$37</f>
        <v>0</v>
      </c>
      <c r="F737" s="23">
        <f>'Jul 21'!$A$37</f>
        <v>0</v>
      </c>
      <c r="G737" s="64">
        <f>'Jul 21'!$F$37</f>
        <v>0</v>
      </c>
      <c r="H737" s="64">
        <f>'Jul 21'!$G$37</f>
        <v>0</v>
      </c>
      <c r="I737" s="64" t="str">
        <f>'Jul 21'!$M$37</f>
        <v/>
      </c>
      <c r="J737" s="25" t="str">
        <f>'Jul 21'!$S$37</f>
        <v/>
      </c>
      <c r="K737" s="23">
        <f>'Jul 21'!$AG$37</f>
        <v>0</v>
      </c>
      <c r="L737" s="23">
        <f>'Jul 21'!$N$37</f>
        <v>0</v>
      </c>
    </row>
    <row r="738" spans="1:12" x14ac:dyDescent="0.25">
      <c r="A738" s="66" t="str">
        <f t="shared" si="11"/>
        <v>✓</v>
      </c>
      <c r="B738" s="67">
        <v>46224</v>
      </c>
      <c r="C738" s="23">
        <f>'Jul 21'!$D$38</f>
        <v>0</v>
      </c>
      <c r="D738" s="23">
        <f>'Jul 21'!$B$38</f>
        <v>0</v>
      </c>
      <c r="E738" s="64">
        <f>'Jul 21'!$E$38</f>
        <v>0</v>
      </c>
      <c r="F738" s="23">
        <f>'Jul 21'!$A$38</f>
        <v>0</v>
      </c>
      <c r="G738" s="64">
        <f>'Jul 21'!$F$38</f>
        <v>0</v>
      </c>
      <c r="H738" s="64">
        <f>'Jul 21'!$G$38</f>
        <v>0</v>
      </c>
      <c r="I738" s="64" t="str">
        <f>'Jul 21'!$M$38</f>
        <v/>
      </c>
      <c r="J738" s="25" t="str">
        <f>'Jul 21'!$S$38</f>
        <v/>
      </c>
      <c r="K738" s="23">
        <f>'Jul 21'!$AG$38</f>
        <v>0</v>
      </c>
      <c r="L738" s="23">
        <f>'Jul 21'!$N$38</f>
        <v>0</v>
      </c>
    </row>
    <row r="739" spans="1:12" x14ac:dyDescent="0.25">
      <c r="A739" s="66" t="str">
        <f t="shared" si="11"/>
        <v>✓</v>
      </c>
      <c r="B739" s="67">
        <v>46224</v>
      </c>
      <c r="C739" s="23">
        <f>'Jul 21'!$D$39</f>
        <v>0</v>
      </c>
      <c r="D739" s="23">
        <f>'Jul 21'!$B$39</f>
        <v>0</v>
      </c>
      <c r="E739" s="64">
        <f>'Jul 21'!$E$39</f>
        <v>0</v>
      </c>
      <c r="F739" s="23">
        <f>'Jul 21'!$A$39</f>
        <v>0</v>
      </c>
      <c r="G739" s="64">
        <f>'Jul 21'!$F$39</f>
        <v>0</v>
      </c>
      <c r="H739" s="64">
        <f>'Jul 21'!$G$39</f>
        <v>0</v>
      </c>
      <c r="I739" s="64" t="str">
        <f>'Jul 21'!$M$39</f>
        <v/>
      </c>
      <c r="J739" s="25" t="str">
        <f>'Jul 21'!$S$39</f>
        <v/>
      </c>
      <c r="K739" s="23">
        <f>'Jul 21'!$AG$39</f>
        <v>0</v>
      </c>
      <c r="L739" s="23">
        <f>'Jul 21'!$N$39</f>
        <v>0</v>
      </c>
    </row>
    <row r="740" spans="1:12" x14ac:dyDescent="0.25">
      <c r="A740" s="66" t="str">
        <f t="shared" si="11"/>
        <v>✓</v>
      </c>
      <c r="B740" s="67">
        <v>46224</v>
      </c>
      <c r="C740" s="23">
        <f>'Jul 21'!$D$40</f>
        <v>0</v>
      </c>
      <c r="D740" s="23">
        <f>'Jul 21'!$B$40</f>
        <v>0</v>
      </c>
      <c r="E740" s="64">
        <f>'Jul 21'!$E$40</f>
        <v>0</v>
      </c>
      <c r="F740" s="23">
        <f>'Jul 21'!$A$40</f>
        <v>0</v>
      </c>
      <c r="G740" s="64">
        <f>'Jul 21'!$F$40</f>
        <v>0</v>
      </c>
      <c r="H740" s="64">
        <f>'Jul 21'!$G$40</f>
        <v>0</v>
      </c>
      <c r="I740" s="64" t="str">
        <f>'Jul 21'!$M$40</f>
        <v/>
      </c>
      <c r="J740" s="25" t="str">
        <f>'Jul 21'!$S$40</f>
        <v/>
      </c>
      <c r="K740" s="23">
        <f>'Jul 21'!$AG$40</f>
        <v>0</v>
      </c>
      <c r="L740" s="23">
        <f>'Jul 21'!$N$40</f>
        <v>0</v>
      </c>
    </row>
    <row r="741" spans="1:12" x14ac:dyDescent="0.25">
      <c r="A741" s="66" t="str">
        <f t="shared" si="11"/>
        <v>✓</v>
      </c>
      <c r="B741" s="67">
        <v>46224</v>
      </c>
      <c r="C741" s="23">
        <f>'Jul 21'!$D$41</f>
        <v>0</v>
      </c>
      <c r="D741" s="23">
        <f>'Jul 21'!$B$41</f>
        <v>0</v>
      </c>
      <c r="E741" s="64">
        <f>'Jul 21'!$E$41</f>
        <v>0</v>
      </c>
      <c r="F741" s="23">
        <f>'Jul 21'!$A$41</f>
        <v>0</v>
      </c>
      <c r="G741" s="64">
        <f>'Jul 21'!$F$41</f>
        <v>0</v>
      </c>
      <c r="H741" s="64">
        <f>'Jul 21'!$G$41</f>
        <v>0</v>
      </c>
      <c r="I741" s="64" t="str">
        <f>'Jul 21'!$M$41</f>
        <v/>
      </c>
      <c r="J741" s="25" t="str">
        <f>'Jul 21'!$S$41</f>
        <v/>
      </c>
      <c r="K741" s="23">
        <f>'Jul 21'!$AG$41</f>
        <v>0</v>
      </c>
      <c r="L741" s="23">
        <f>'Jul 21'!$N$41</f>
        <v>0</v>
      </c>
    </row>
    <row r="742" spans="1:12" x14ac:dyDescent="0.25">
      <c r="A742" s="66" t="str">
        <f t="shared" si="11"/>
        <v>✓</v>
      </c>
      <c r="B742" s="67">
        <v>46224</v>
      </c>
      <c r="C742" s="23">
        <f>'Jul 21'!$D$42</f>
        <v>0</v>
      </c>
      <c r="D742" s="23">
        <f>'Jul 21'!$B$42</f>
        <v>0</v>
      </c>
      <c r="E742" s="64">
        <f>'Jul 21'!$E$42</f>
        <v>0</v>
      </c>
      <c r="F742" s="23">
        <f>'Jul 21'!$A$42</f>
        <v>0</v>
      </c>
      <c r="G742" s="64">
        <f>'Jul 21'!$F$42</f>
        <v>0</v>
      </c>
      <c r="H742" s="64">
        <f>'Jul 21'!$G$42</f>
        <v>0</v>
      </c>
      <c r="I742" s="64" t="str">
        <f>'Jul 21'!$M$42</f>
        <v/>
      </c>
      <c r="J742" s="25" t="str">
        <f>'Jul 21'!$S$42</f>
        <v/>
      </c>
      <c r="K742" s="23">
        <f>'Jul 21'!$AG$42</f>
        <v>0</v>
      </c>
      <c r="L742" s="23">
        <f>'Jul 21'!$N$42</f>
        <v>0</v>
      </c>
    </row>
    <row r="743" spans="1:12" x14ac:dyDescent="0.25">
      <c r="A743" s="66" t="str">
        <f t="shared" si="11"/>
        <v>✓</v>
      </c>
      <c r="B743" s="67">
        <v>46225</v>
      </c>
      <c r="C743" s="23">
        <f>'Jul 22'!$D$8</f>
        <v>0</v>
      </c>
      <c r="D743" s="23">
        <f>'Jul 22'!$B$8</f>
        <v>0</v>
      </c>
      <c r="E743" s="64">
        <f>'Jul 22'!$E$8</f>
        <v>0</v>
      </c>
      <c r="F743" s="23">
        <f>'Jul 22'!$A$8</f>
        <v>0</v>
      </c>
      <c r="G743" s="64">
        <f>'Jul 22'!$F$8</f>
        <v>0</v>
      </c>
      <c r="H743" s="64">
        <f>'Jul 22'!$G$8</f>
        <v>0</v>
      </c>
      <c r="I743" s="64" t="str">
        <f>'Jul 22'!$M$8</f>
        <v/>
      </c>
      <c r="J743" s="25" t="str">
        <f>'Jul 22'!$S$8</f>
        <v/>
      </c>
      <c r="K743" s="23">
        <f>'Jul 22'!$AG$8</f>
        <v>0</v>
      </c>
      <c r="L743" s="23">
        <f>'Jul 22'!$N$8</f>
        <v>0</v>
      </c>
    </row>
    <row r="744" spans="1:12" x14ac:dyDescent="0.25">
      <c r="A744" s="66" t="str">
        <f t="shared" si="11"/>
        <v>✓</v>
      </c>
      <c r="B744" s="67">
        <v>46225</v>
      </c>
      <c r="C744" s="23">
        <f>'Jul 22'!$D$9</f>
        <v>0</v>
      </c>
      <c r="D744" s="23">
        <f>'Jul 22'!$B$9</f>
        <v>0</v>
      </c>
      <c r="E744" s="64">
        <f>'Jul 22'!$E$9</f>
        <v>0</v>
      </c>
      <c r="F744" s="23">
        <f>'Jul 22'!$A$9</f>
        <v>0</v>
      </c>
      <c r="G744" s="64">
        <f>'Jul 22'!$F$9</f>
        <v>0</v>
      </c>
      <c r="H744" s="64">
        <f>'Jul 22'!$G$9</f>
        <v>0</v>
      </c>
      <c r="I744" s="64" t="str">
        <f>'Jul 22'!$M$9</f>
        <v/>
      </c>
      <c r="J744" s="25" t="str">
        <f>'Jul 22'!$S$9</f>
        <v/>
      </c>
      <c r="K744" s="23">
        <f>'Jul 22'!$AG$9</f>
        <v>0</v>
      </c>
      <c r="L744" s="23">
        <f>'Jul 22'!$N$9</f>
        <v>0</v>
      </c>
    </row>
    <row r="745" spans="1:12" x14ac:dyDescent="0.25">
      <c r="A745" s="66" t="str">
        <f t="shared" si="11"/>
        <v>✓</v>
      </c>
      <c r="B745" s="67">
        <v>46225</v>
      </c>
      <c r="C745" s="23">
        <f>'Jul 22'!$D$10</f>
        <v>0</v>
      </c>
      <c r="D745" s="23">
        <f>'Jul 22'!$B$10</f>
        <v>0</v>
      </c>
      <c r="E745" s="64">
        <f>'Jul 22'!$E$10</f>
        <v>0</v>
      </c>
      <c r="F745" s="23">
        <f>'Jul 22'!$A$10</f>
        <v>0</v>
      </c>
      <c r="G745" s="64">
        <f>'Jul 22'!$F$10</f>
        <v>0</v>
      </c>
      <c r="H745" s="64">
        <f>'Jul 22'!$G$10</f>
        <v>0</v>
      </c>
      <c r="I745" s="64" t="str">
        <f>'Jul 22'!$M$10</f>
        <v/>
      </c>
      <c r="J745" s="25" t="str">
        <f>'Jul 22'!$S$10</f>
        <v/>
      </c>
      <c r="K745" s="23">
        <f>'Jul 22'!$AG$10</f>
        <v>0</v>
      </c>
      <c r="L745" s="23">
        <f>'Jul 22'!$N$10</f>
        <v>0</v>
      </c>
    </row>
    <row r="746" spans="1:12" x14ac:dyDescent="0.25">
      <c r="A746" s="66" t="str">
        <f t="shared" si="11"/>
        <v>✓</v>
      </c>
      <c r="B746" s="67">
        <v>46225</v>
      </c>
      <c r="C746" s="23">
        <f>'Jul 22'!$D$11</f>
        <v>0</v>
      </c>
      <c r="D746" s="23">
        <f>'Jul 22'!$B$11</f>
        <v>0</v>
      </c>
      <c r="E746" s="64">
        <f>'Jul 22'!$E$11</f>
        <v>0</v>
      </c>
      <c r="F746" s="23">
        <f>'Jul 22'!$A$11</f>
        <v>0</v>
      </c>
      <c r="G746" s="64">
        <f>'Jul 22'!$F$11</f>
        <v>0</v>
      </c>
      <c r="H746" s="64">
        <f>'Jul 22'!$G$11</f>
        <v>0</v>
      </c>
      <c r="I746" s="64" t="str">
        <f>'Jul 22'!$M$11</f>
        <v/>
      </c>
      <c r="J746" s="25" t="str">
        <f>'Jul 22'!$S$11</f>
        <v/>
      </c>
      <c r="K746" s="23">
        <f>'Jul 22'!$AG$11</f>
        <v>0</v>
      </c>
      <c r="L746" s="23">
        <f>'Jul 22'!$N$11</f>
        <v>0</v>
      </c>
    </row>
    <row r="747" spans="1:12" x14ac:dyDescent="0.25">
      <c r="A747" s="66" t="str">
        <f t="shared" si="11"/>
        <v>✓</v>
      </c>
      <c r="B747" s="67">
        <v>46225</v>
      </c>
      <c r="C747" s="23">
        <f>'Jul 22'!$D$12</f>
        <v>0</v>
      </c>
      <c r="D747" s="23">
        <f>'Jul 22'!$B$12</f>
        <v>0</v>
      </c>
      <c r="E747" s="64">
        <f>'Jul 22'!$E$12</f>
        <v>0</v>
      </c>
      <c r="F747" s="23">
        <f>'Jul 22'!$A$12</f>
        <v>0</v>
      </c>
      <c r="G747" s="64">
        <f>'Jul 22'!$F$12</f>
        <v>0</v>
      </c>
      <c r="H747" s="64">
        <f>'Jul 22'!$G$12</f>
        <v>0</v>
      </c>
      <c r="I747" s="64" t="str">
        <f>'Jul 22'!$M$12</f>
        <v/>
      </c>
      <c r="J747" s="25" t="str">
        <f>'Jul 22'!$S$12</f>
        <v/>
      </c>
      <c r="K747" s="23">
        <f>'Jul 22'!$AG$12</f>
        <v>0</v>
      </c>
      <c r="L747" s="23">
        <f>'Jul 22'!$N$12</f>
        <v>0</v>
      </c>
    </row>
    <row r="748" spans="1:12" x14ac:dyDescent="0.25">
      <c r="A748" s="66" t="str">
        <f t="shared" si="11"/>
        <v>✓</v>
      </c>
      <c r="B748" s="67">
        <v>46225</v>
      </c>
      <c r="C748" s="23">
        <f>'Jul 22'!$D$13</f>
        <v>0</v>
      </c>
      <c r="D748" s="23">
        <f>'Jul 22'!$B$13</f>
        <v>0</v>
      </c>
      <c r="E748" s="64">
        <f>'Jul 22'!$E$13</f>
        <v>0</v>
      </c>
      <c r="F748" s="23">
        <f>'Jul 22'!$A$13</f>
        <v>0</v>
      </c>
      <c r="G748" s="64">
        <f>'Jul 22'!$F$13</f>
        <v>0</v>
      </c>
      <c r="H748" s="64">
        <f>'Jul 22'!$G$13</f>
        <v>0</v>
      </c>
      <c r="I748" s="64" t="str">
        <f>'Jul 22'!$M$13</f>
        <v/>
      </c>
      <c r="J748" s="25" t="str">
        <f>'Jul 22'!$S$13</f>
        <v/>
      </c>
      <c r="K748" s="23">
        <f>'Jul 22'!$AG$13</f>
        <v>0</v>
      </c>
      <c r="L748" s="23">
        <f>'Jul 22'!$N$13</f>
        <v>0</v>
      </c>
    </row>
    <row r="749" spans="1:12" x14ac:dyDescent="0.25">
      <c r="A749" s="66" t="str">
        <f t="shared" si="11"/>
        <v>✓</v>
      </c>
      <c r="B749" s="67">
        <v>46225</v>
      </c>
      <c r="C749" s="23">
        <f>'Jul 22'!$D$14</f>
        <v>0</v>
      </c>
      <c r="D749" s="23">
        <f>'Jul 22'!$B$14</f>
        <v>0</v>
      </c>
      <c r="E749" s="64">
        <f>'Jul 22'!$E$14</f>
        <v>0</v>
      </c>
      <c r="F749" s="23">
        <f>'Jul 22'!$A$14</f>
        <v>0</v>
      </c>
      <c r="G749" s="64">
        <f>'Jul 22'!$F$14</f>
        <v>0</v>
      </c>
      <c r="H749" s="64">
        <f>'Jul 22'!$G$14</f>
        <v>0</v>
      </c>
      <c r="I749" s="64" t="str">
        <f>'Jul 22'!$M$14</f>
        <v/>
      </c>
      <c r="J749" s="25" t="str">
        <f>'Jul 22'!$S$14</f>
        <v/>
      </c>
      <c r="K749" s="23">
        <f>'Jul 22'!$AG$14</f>
        <v>0</v>
      </c>
      <c r="L749" s="23">
        <f>'Jul 22'!$N$14</f>
        <v>0</v>
      </c>
    </row>
    <row r="750" spans="1:12" x14ac:dyDescent="0.25">
      <c r="A750" s="66" t="str">
        <f t="shared" si="11"/>
        <v>✓</v>
      </c>
      <c r="B750" s="67">
        <v>46225</v>
      </c>
      <c r="C750" s="23">
        <f>'Jul 22'!$D$15</f>
        <v>0</v>
      </c>
      <c r="D750" s="23">
        <f>'Jul 22'!$B$15</f>
        <v>0</v>
      </c>
      <c r="E750" s="64">
        <f>'Jul 22'!$E$15</f>
        <v>0</v>
      </c>
      <c r="F750" s="23">
        <f>'Jul 22'!$A$15</f>
        <v>0</v>
      </c>
      <c r="G750" s="64">
        <f>'Jul 22'!$F$15</f>
        <v>0</v>
      </c>
      <c r="H750" s="64">
        <f>'Jul 22'!$G$15</f>
        <v>0</v>
      </c>
      <c r="I750" s="64" t="str">
        <f>'Jul 22'!$M$15</f>
        <v/>
      </c>
      <c r="J750" s="25" t="str">
        <f>'Jul 22'!$S$15</f>
        <v/>
      </c>
      <c r="K750" s="23">
        <f>'Jul 22'!$AG$15</f>
        <v>0</v>
      </c>
      <c r="L750" s="23">
        <f>'Jul 22'!$N$15</f>
        <v>0</v>
      </c>
    </row>
    <row r="751" spans="1:12" x14ac:dyDescent="0.25">
      <c r="A751" s="66" t="str">
        <f t="shared" si="11"/>
        <v>✓</v>
      </c>
      <c r="B751" s="67">
        <v>46225</v>
      </c>
      <c r="C751" s="23">
        <f>'Jul 22'!$D$16</f>
        <v>0</v>
      </c>
      <c r="D751" s="23">
        <f>'Jul 22'!$B$16</f>
        <v>0</v>
      </c>
      <c r="E751" s="64">
        <f>'Jul 22'!$E$16</f>
        <v>0</v>
      </c>
      <c r="F751" s="23">
        <f>'Jul 22'!$A$16</f>
        <v>0</v>
      </c>
      <c r="G751" s="64">
        <f>'Jul 22'!$F$16</f>
        <v>0</v>
      </c>
      <c r="H751" s="64">
        <f>'Jul 22'!$G$16</f>
        <v>0</v>
      </c>
      <c r="I751" s="64" t="str">
        <f>'Jul 22'!$M$16</f>
        <v/>
      </c>
      <c r="J751" s="25" t="str">
        <f>'Jul 22'!$S$16</f>
        <v/>
      </c>
      <c r="K751" s="23">
        <f>'Jul 22'!$AG$16</f>
        <v>0</v>
      </c>
      <c r="L751" s="23">
        <f>'Jul 22'!$N$16</f>
        <v>0</v>
      </c>
    </row>
    <row r="752" spans="1:12" x14ac:dyDescent="0.25">
      <c r="A752" s="66" t="str">
        <f t="shared" si="11"/>
        <v>✓</v>
      </c>
      <c r="B752" s="67">
        <v>46225</v>
      </c>
      <c r="C752" s="23">
        <f>'Jul 22'!$D$17</f>
        <v>0</v>
      </c>
      <c r="D752" s="23">
        <f>'Jul 22'!$B$17</f>
        <v>0</v>
      </c>
      <c r="E752" s="64">
        <f>'Jul 22'!$E$17</f>
        <v>0</v>
      </c>
      <c r="F752" s="23">
        <f>'Jul 22'!$A$17</f>
        <v>0</v>
      </c>
      <c r="G752" s="64">
        <f>'Jul 22'!$F$17</f>
        <v>0</v>
      </c>
      <c r="H752" s="64">
        <f>'Jul 22'!$G$17</f>
        <v>0</v>
      </c>
      <c r="I752" s="64" t="str">
        <f>'Jul 22'!$M$17</f>
        <v/>
      </c>
      <c r="J752" s="25" t="str">
        <f>'Jul 22'!$S$17</f>
        <v/>
      </c>
      <c r="K752" s="23">
        <f>'Jul 22'!$AG$17</f>
        <v>0</v>
      </c>
      <c r="L752" s="23">
        <f>'Jul 22'!$N$17</f>
        <v>0</v>
      </c>
    </row>
    <row r="753" spans="1:12" x14ac:dyDescent="0.25">
      <c r="A753" s="66" t="str">
        <f t="shared" si="11"/>
        <v>✓</v>
      </c>
      <c r="B753" s="67">
        <v>46225</v>
      </c>
      <c r="C753" s="23">
        <f>'Jul 22'!$D$18</f>
        <v>0</v>
      </c>
      <c r="D753" s="23">
        <f>'Jul 22'!$B$18</f>
        <v>0</v>
      </c>
      <c r="E753" s="64">
        <f>'Jul 22'!$E$18</f>
        <v>0</v>
      </c>
      <c r="F753" s="23">
        <f>'Jul 22'!$A$18</f>
        <v>0</v>
      </c>
      <c r="G753" s="64">
        <f>'Jul 22'!$F$18</f>
        <v>0</v>
      </c>
      <c r="H753" s="64">
        <f>'Jul 22'!$G$18</f>
        <v>0</v>
      </c>
      <c r="I753" s="64" t="str">
        <f>'Jul 22'!$M$18</f>
        <v/>
      </c>
      <c r="J753" s="25" t="str">
        <f>'Jul 22'!$S$18</f>
        <v/>
      </c>
      <c r="K753" s="23">
        <f>'Jul 22'!$AG$18</f>
        <v>0</v>
      </c>
      <c r="L753" s="23">
        <f>'Jul 22'!$N$18</f>
        <v>0</v>
      </c>
    </row>
    <row r="754" spans="1:12" x14ac:dyDescent="0.25">
      <c r="A754" s="66" t="str">
        <f t="shared" si="11"/>
        <v>✓</v>
      </c>
      <c r="B754" s="67">
        <v>46225</v>
      </c>
      <c r="C754" s="23">
        <f>'Jul 22'!$D$19</f>
        <v>0</v>
      </c>
      <c r="D754" s="23">
        <f>'Jul 22'!$B$19</f>
        <v>0</v>
      </c>
      <c r="E754" s="64">
        <f>'Jul 22'!$E$19</f>
        <v>0</v>
      </c>
      <c r="F754" s="23">
        <f>'Jul 22'!$A$19</f>
        <v>0</v>
      </c>
      <c r="G754" s="64">
        <f>'Jul 22'!$F$19</f>
        <v>0</v>
      </c>
      <c r="H754" s="64">
        <f>'Jul 22'!$G$19</f>
        <v>0</v>
      </c>
      <c r="I754" s="64" t="str">
        <f>'Jul 22'!$M$19</f>
        <v/>
      </c>
      <c r="J754" s="25" t="str">
        <f>'Jul 22'!$S$19</f>
        <v/>
      </c>
      <c r="K754" s="23">
        <f>'Jul 22'!$AG$19</f>
        <v>0</v>
      </c>
      <c r="L754" s="23">
        <f>'Jul 22'!$N$19</f>
        <v>0</v>
      </c>
    </row>
    <row r="755" spans="1:12" x14ac:dyDescent="0.25">
      <c r="A755" s="66" t="str">
        <f t="shared" si="11"/>
        <v>✓</v>
      </c>
      <c r="B755" s="67">
        <v>46225</v>
      </c>
      <c r="C755" s="23">
        <f>'Jul 22'!$D$20</f>
        <v>0</v>
      </c>
      <c r="D755" s="23">
        <f>'Jul 22'!$B$20</f>
        <v>0</v>
      </c>
      <c r="E755" s="64">
        <f>'Jul 22'!$E$20</f>
        <v>0</v>
      </c>
      <c r="F755" s="23">
        <f>'Jul 22'!$A$20</f>
        <v>0</v>
      </c>
      <c r="G755" s="64">
        <f>'Jul 22'!$F$20</f>
        <v>0</v>
      </c>
      <c r="H755" s="64">
        <f>'Jul 22'!$G$20</f>
        <v>0</v>
      </c>
      <c r="I755" s="64" t="str">
        <f>'Jul 22'!$M$20</f>
        <v/>
      </c>
      <c r="J755" s="25" t="str">
        <f>'Jul 22'!$S$20</f>
        <v/>
      </c>
      <c r="K755" s="23">
        <f>'Jul 22'!$AG$20</f>
        <v>0</v>
      </c>
      <c r="L755" s="23">
        <f>'Jul 22'!$N$20</f>
        <v>0</v>
      </c>
    </row>
    <row r="756" spans="1:12" x14ac:dyDescent="0.25">
      <c r="A756" s="66" t="str">
        <f t="shared" si="11"/>
        <v>✓</v>
      </c>
      <c r="B756" s="67">
        <v>46225</v>
      </c>
      <c r="C756" s="23">
        <f>'Jul 22'!$D$21</f>
        <v>0</v>
      </c>
      <c r="D756" s="23">
        <f>'Jul 22'!$B$21</f>
        <v>0</v>
      </c>
      <c r="E756" s="64">
        <f>'Jul 22'!$E$21</f>
        <v>0</v>
      </c>
      <c r="F756" s="23">
        <f>'Jul 22'!$A$21</f>
        <v>0</v>
      </c>
      <c r="G756" s="64">
        <f>'Jul 22'!$F$21</f>
        <v>0</v>
      </c>
      <c r="H756" s="64">
        <f>'Jul 22'!$G$21</f>
        <v>0</v>
      </c>
      <c r="I756" s="64" t="str">
        <f>'Jul 22'!$M$21</f>
        <v/>
      </c>
      <c r="J756" s="25" t="str">
        <f>'Jul 22'!$S$21</f>
        <v/>
      </c>
      <c r="K756" s="23">
        <f>'Jul 22'!$AG$21</f>
        <v>0</v>
      </c>
      <c r="L756" s="23">
        <f>'Jul 22'!$N$21</f>
        <v>0</v>
      </c>
    </row>
    <row r="757" spans="1:12" x14ac:dyDescent="0.25">
      <c r="A757" s="66" t="str">
        <f t="shared" si="11"/>
        <v>✓</v>
      </c>
      <c r="B757" s="67">
        <v>46225</v>
      </c>
      <c r="C757" s="23">
        <f>'Jul 22'!$D$22</f>
        <v>0</v>
      </c>
      <c r="D757" s="23">
        <f>'Jul 22'!$B$22</f>
        <v>0</v>
      </c>
      <c r="E757" s="64">
        <f>'Jul 22'!$E$22</f>
        <v>0</v>
      </c>
      <c r="F757" s="23">
        <f>'Jul 22'!$A$22</f>
        <v>0</v>
      </c>
      <c r="G757" s="64">
        <f>'Jul 22'!$F$22</f>
        <v>0</v>
      </c>
      <c r="H757" s="64">
        <f>'Jul 22'!$G$22</f>
        <v>0</v>
      </c>
      <c r="I757" s="64" t="str">
        <f>'Jul 22'!$M$22</f>
        <v/>
      </c>
      <c r="J757" s="25" t="str">
        <f>'Jul 22'!$S$22</f>
        <v/>
      </c>
      <c r="K757" s="23">
        <f>'Jul 22'!$AG$22</f>
        <v>0</v>
      </c>
      <c r="L757" s="23">
        <f>'Jul 22'!$N$22</f>
        <v>0</v>
      </c>
    </row>
    <row r="758" spans="1:12" x14ac:dyDescent="0.25">
      <c r="A758" s="66" t="str">
        <f t="shared" si="11"/>
        <v>✓</v>
      </c>
      <c r="B758" s="67">
        <v>46225</v>
      </c>
      <c r="C758" s="23">
        <f>'Jul 22'!$D$23</f>
        <v>0</v>
      </c>
      <c r="D758" s="23">
        <f>'Jul 22'!$B$23</f>
        <v>0</v>
      </c>
      <c r="E758" s="64">
        <f>'Jul 22'!$E$23</f>
        <v>0</v>
      </c>
      <c r="F758" s="23">
        <f>'Jul 22'!$A$23</f>
        <v>0</v>
      </c>
      <c r="G758" s="64">
        <f>'Jul 22'!$F$23</f>
        <v>0</v>
      </c>
      <c r="H758" s="64">
        <f>'Jul 22'!$G$23</f>
        <v>0</v>
      </c>
      <c r="I758" s="64" t="str">
        <f>'Jul 22'!$M$23</f>
        <v/>
      </c>
      <c r="J758" s="25" t="str">
        <f>'Jul 22'!$S$23</f>
        <v/>
      </c>
      <c r="K758" s="23">
        <f>'Jul 22'!$AG$23</f>
        <v>0</v>
      </c>
      <c r="L758" s="23">
        <f>'Jul 22'!$N$23</f>
        <v>0</v>
      </c>
    </row>
    <row r="759" spans="1:12" x14ac:dyDescent="0.25">
      <c r="A759" s="66" t="str">
        <f t="shared" si="11"/>
        <v>✓</v>
      </c>
      <c r="B759" s="67">
        <v>46225</v>
      </c>
      <c r="C759" s="23">
        <f>'Jul 22'!$D$24</f>
        <v>0</v>
      </c>
      <c r="D759" s="23">
        <f>'Jul 22'!$B$24</f>
        <v>0</v>
      </c>
      <c r="E759" s="64">
        <f>'Jul 22'!$E$24</f>
        <v>0</v>
      </c>
      <c r="F759" s="23">
        <f>'Jul 22'!$A$24</f>
        <v>0</v>
      </c>
      <c r="G759" s="64">
        <f>'Jul 22'!$F$24</f>
        <v>0</v>
      </c>
      <c r="H759" s="64">
        <f>'Jul 22'!$G$24</f>
        <v>0</v>
      </c>
      <c r="I759" s="64" t="str">
        <f>'Jul 22'!$M$24</f>
        <v/>
      </c>
      <c r="J759" s="25" t="str">
        <f>'Jul 22'!$S$24</f>
        <v/>
      </c>
      <c r="K759" s="23">
        <f>'Jul 22'!$AG$24</f>
        <v>0</v>
      </c>
      <c r="L759" s="23">
        <f>'Jul 22'!$N$24</f>
        <v>0</v>
      </c>
    </row>
    <row r="760" spans="1:12" x14ac:dyDescent="0.25">
      <c r="A760" s="66" t="str">
        <f t="shared" si="11"/>
        <v>✓</v>
      </c>
      <c r="B760" s="67">
        <v>46225</v>
      </c>
      <c r="C760" s="23">
        <f>'Jul 22'!$D$25</f>
        <v>0</v>
      </c>
      <c r="D760" s="23">
        <f>'Jul 22'!$B$25</f>
        <v>0</v>
      </c>
      <c r="E760" s="64">
        <f>'Jul 22'!$E$25</f>
        <v>0</v>
      </c>
      <c r="F760" s="23">
        <f>'Jul 22'!$A$25</f>
        <v>0</v>
      </c>
      <c r="G760" s="64">
        <f>'Jul 22'!$F$25</f>
        <v>0</v>
      </c>
      <c r="H760" s="64">
        <f>'Jul 22'!$G$25</f>
        <v>0</v>
      </c>
      <c r="I760" s="64" t="str">
        <f>'Jul 22'!$M$25</f>
        <v/>
      </c>
      <c r="J760" s="25" t="str">
        <f>'Jul 22'!$S$25</f>
        <v/>
      </c>
      <c r="K760" s="23">
        <f>'Jul 22'!$AG$25</f>
        <v>0</v>
      </c>
      <c r="L760" s="23">
        <f>'Jul 22'!$N$25</f>
        <v>0</v>
      </c>
    </row>
    <row r="761" spans="1:12" x14ac:dyDescent="0.25">
      <c r="A761" s="66" t="str">
        <f t="shared" si="11"/>
        <v>✓</v>
      </c>
      <c r="B761" s="67">
        <v>46225</v>
      </c>
      <c r="C761" s="23">
        <f>'Jul 22'!$D$26</f>
        <v>0</v>
      </c>
      <c r="D761" s="23">
        <f>'Jul 22'!$B$26</f>
        <v>0</v>
      </c>
      <c r="E761" s="64">
        <f>'Jul 22'!$E$26</f>
        <v>0</v>
      </c>
      <c r="F761" s="23">
        <f>'Jul 22'!$A$26</f>
        <v>0</v>
      </c>
      <c r="G761" s="64">
        <f>'Jul 22'!$F$26</f>
        <v>0</v>
      </c>
      <c r="H761" s="64">
        <f>'Jul 22'!$G$26</f>
        <v>0</v>
      </c>
      <c r="I761" s="64" t="str">
        <f>'Jul 22'!$M$26</f>
        <v/>
      </c>
      <c r="J761" s="25" t="str">
        <f>'Jul 22'!$S$26</f>
        <v/>
      </c>
      <c r="K761" s="23">
        <f>'Jul 22'!$AG$26</f>
        <v>0</v>
      </c>
      <c r="L761" s="23">
        <f>'Jul 22'!$N$26</f>
        <v>0</v>
      </c>
    </row>
    <row r="762" spans="1:12" x14ac:dyDescent="0.25">
      <c r="A762" s="66" t="str">
        <f t="shared" si="11"/>
        <v>✓</v>
      </c>
      <c r="B762" s="67">
        <v>46225</v>
      </c>
      <c r="C762" s="23">
        <f>'Jul 22'!$D$27</f>
        <v>0</v>
      </c>
      <c r="D762" s="23">
        <f>'Jul 22'!$B$27</f>
        <v>0</v>
      </c>
      <c r="E762" s="64">
        <f>'Jul 22'!$E$27</f>
        <v>0</v>
      </c>
      <c r="F762" s="23">
        <f>'Jul 22'!$A$27</f>
        <v>0</v>
      </c>
      <c r="G762" s="64">
        <f>'Jul 22'!$F$27</f>
        <v>0</v>
      </c>
      <c r="H762" s="64">
        <f>'Jul 22'!$G$27</f>
        <v>0</v>
      </c>
      <c r="I762" s="64" t="str">
        <f>'Jul 22'!$M$27</f>
        <v/>
      </c>
      <c r="J762" s="25" t="str">
        <f>'Jul 22'!$S$27</f>
        <v/>
      </c>
      <c r="K762" s="23">
        <f>'Jul 22'!$AG$27</f>
        <v>0</v>
      </c>
      <c r="L762" s="23">
        <f>'Jul 22'!$N$27</f>
        <v>0</v>
      </c>
    </row>
    <row r="763" spans="1:12" x14ac:dyDescent="0.25">
      <c r="A763" s="66" t="str">
        <f t="shared" si="11"/>
        <v>✓</v>
      </c>
      <c r="B763" s="67">
        <v>46225</v>
      </c>
      <c r="C763" s="23">
        <f>'Jul 22'!$D$28</f>
        <v>0</v>
      </c>
      <c r="D763" s="23">
        <f>'Jul 22'!$B$28</f>
        <v>0</v>
      </c>
      <c r="E763" s="64">
        <f>'Jul 22'!$E$28</f>
        <v>0</v>
      </c>
      <c r="F763" s="23">
        <f>'Jul 22'!$A$28</f>
        <v>0</v>
      </c>
      <c r="G763" s="64">
        <f>'Jul 22'!$F$28</f>
        <v>0</v>
      </c>
      <c r="H763" s="64">
        <f>'Jul 22'!$G$28</f>
        <v>0</v>
      </c>
      <c r="I763" s="64" t="str">
        <f>'Jul 22'!$M$28</f>
        <v/>
      </c>
      <c r="J763" s="25" t="str">
        <f>'Jul 22'!$S$28</f>
        <v/>
      </c>
      <c r="K763" s="23">
        <f>'Jul 22'!$AG$28</f>
        <v>0</v>
      </c>
      <c r="L763" s="23">
        <f>'Jul 22'!$N$28</f>
        <v>0</v>
      </c>
    </row>
    <row r="764" spans="1:12" x14ac:dyDescent="0.25">
      <c r="A764" s="66" t="str">
        <f t="shared" si="11"/>
        <v>✓</v>
      </c>
      <c r="B764" s="67">
        <v>46225</v>
      </c>
      <c r="C764" s="23">
        <f>'Jul 22'!$D$29</f>
        <v>0</v>
      </c>
      <c r="D764" s="23">
        <f>'Jul 22'!$B$29</f>
        <v>0</v>
      </c>
      <c r="E764" s="64">
        <f>'Jul 22'!$E$29</f>
        <v>0</v>
      </c>
      <c r="F764" s="23">
        <f>'Jul 22'!$A$29</f>
        <v>0</v>
      </c>
      <c r="G764" s="64">
        <f>'Jul 22'!$F$29</f>
        <v>0</v>
      </c>
      <c r="H764" s="64">
        <f>'Jul 22'!$G$29</f>
        <v>0</v>
      </c>
      <c r="I764" s="64" t="str">
        <f>'Jul 22'!$M$29</f>
        <v/>
      </c>
      <c r="J764" s="25" t="str">
        <f>'Jul 22'!$S$29</f>
        <v/>
      </c>
      <c r="K764" s="23">
        <f>'Jul 22'!$AG$29</f>
        <v>0</v>
      </c>
      <c r="L764" s="23">
        <f>'Jul 22'!$N$29</f>
        <v>0</v>
      </c>
    </row>
    <row r="765" spans="1:12" x14ac:dyDescent="0.25">
      <c r="A765" s="66" t="str">
        <f t="shared" si="11"/>
        <v>✓</v>
      </c>
      <c r="B765" s="67">
        <v>46225</v>
      </c>
      <c r="C765" s="23">
        <f>'Jul 22'!$D$30</f>
        <v>0</v>
      </c>
      <c r="D765" s="23">
        <f>'Jul 22'!$B$30</f>
        <v>0</v>
      </c>
      <c r="E765" s="64">
        <f>'Jul 22'!$E$30</f>
        <v>0</v>
      </c>
      <c r="F765" s="23">
        <f>'Jul 22'!$A$30</f>
        <v>0</v>
      </c>
      <c r="G765" s="64">
        <f>'Jul 22'!$F$30</f>
        <v>0</v>
      </c>
      <c r="H765" s="64">
        <f>'Jul 22'!$G$30</f>
        <v>0</v>
      </c>
      <c r="I765" s="64" t="str">
        <f>'Jul 22'!$M$30</f>
        <v/>
      </c>
      <c r="J765" s="25" t="str">
        <f>'Jul 22'!$S$30</f>
        <v/>
      </c>
      <c r="K765" s="23">
        <f>'Jul 22'!$AG$30</f>
        <v>0</v>
      </c>
      <c r="L765" s="23">
        <f>'Jul 22'!$N$30</f>
        <v>0</v>
      </c>
    </row>
    <row r="766" spans="1:12" x14ac:dyDescent="0.25">
      <c r="A766" s="66" t="str">
        <f t="shared" si="11"/>
        <v>✓</v>
      </c>
      <c r="B766" s="67">
        <v>46225</v>
      </c>
      <c r="C766" s="23">
        <f>'Jul 22'!$D$31</f>
        <v>0</v>
      </c>
      <c r="D766" s="23">
        <f>'Jul 22'!$B$31</f>
        <v>0</v>
      </c>
      <c r="E766" s="64">
        <f>'Jul 22'!$E$31</f>
        <v>0</v>
      </c>
      <c r="F766" s="23">
        <f>'Jul 22'!$A$31</f>
        <v>0</v>
      </c>
      <c r="G766" s="64">
        <f>'Jul 22'!$F$31</f>
        <v>0</v>
      </c>
      <c r="H766" s="64">
        <f>'Jul 22'!$G$31</f>
        <v>0</v>
      </c>
      <c r="I766" s="64" t="str">
        <f>'Jul 22'!$M$31</f>
        <v/>
      </c>
      <c r="J766" s="25" t="str">
        <f>'Jul 22'!$S$31</f>
        <v/>
      </c>
      <c r="K766" s="23">
        <f>'Jul 22'!$AG$31</f>
        <v>0</v>
      </c>
      <c r="L766" s="23">
        <f>'Jul 22'!$N$31</f>
        <v>0</v>
      </c>
    </row>
    <row r="767" spans="1:12" x14ac:dyDescent="0.25">
      <c r="A767" s="66" t="str">
        <f t="shared" si="11"/>
        <v>✓</v>
      </c>
      <c r="B767" s="67">
        <v>46225</v>
      </c>
      <c r="C767" s="23">
        <f>'Jul 22'!$D$32</f>
        <v>0</v>
      </c>
      <c r="D767" s="23">
        <f>'Jul 22'!$B$32</f>
        <v>0</v>
      </c>
      <c r="E767" s="64">
        <f>'Jul 22'!$E$32</f>
        <v>0</v>
      </c>
      <c r="F767" s="23">
        <f>'Jul 22'!$A$32</f>
        <v>0</v>
      </c>
      <c r="G767" s="64">
        <f>'Jul 22'!$F$32</f>
        <v>0</v>
      </c>
      <c r="H767" s="64">
        <f>'Jul 22'!$G$32</f>
        <v>0</v>
      </c>
      <c r="I767" s="64" t="str">
        <f>'Jul 22'!$M$32</f>
        <v/>
      </c>
      <c r="J767" s="25" t="str">
        <f>'Jul 22'!$S$32</f>
        <v/>
      </c>
      <c r="K767" s="23">
        <f>'Jul 22'!$AG$32</f>
        <v>0</v>
      </c>
      <c r="L767" s="23">
        <f>'Jul 22'!$N$32</f>
        <v>0</v>
      </c>
    </row>
    <row r="768" spans="1:12" x14ac:dyDescent="0.25">
      <c r="A768" s="66" t="str">
        <f t="shared" si="11"/>
        <v>✓</v>
      </c>
      <c r="B768" s="67">
        <v>46225</v>
      </c>
      <c r="C768" s="23">
        <f>'Jul 22'!$D$33</f>
        <v>0</v>
      </c>
      <c r="D768" s="23">
        <f>'Jul 22'!$B$33</f>
        <v>0</v>
      </c>
      <c r="E768" s="64">
        <f>'Jul 22'!$E$33</f>
        <v>0</v>
      </c>
      <c r="F768" s="23">
        <f>'Jul 22'!$A$33</f>
        <v>0</v>
      </c>
      <c r="G768" s="64">
        <f>'Jul 22'!$F$33</f>
        <v>0</v>
      </c>
      <c r="H768" s="64">
        <f>'Jul 22'!$G$33</f>
        <v>0</v>
      </c>
      <c r="I768" s="64" t="str">
        <f>'Jul 22'!$M$33</f>
        <v/>
      </c>
      <c r="J768" s="25" t="str">
        <f>'Jul 22'!$S$33</f>
        <v/>
      </c>
      <c r="K768" s="23">
        <f>'Jul 22'!$AG$33</f>
        <v>0</v>
      </c>
      <c r="L768" s="23">
        <f>'Jul 22'!$N$33</f>
        <v>0</v>
      </c>
    </row>
    <row r="769" spans="1:12" x14ac:dyDescent="0.25">
      <c r="A769" s="66" t="str">
        <f t="shared" si="11"/>
        <v>✓</v>
      </c>
      <c r="B769" s="67">
        <v>46225</v>
      </c>
      <c r="C769" s="23">
        <f>'Jul 22'!$D$34</f>
        <v>0</v>
      </c>
      <c r="D769" s="23">
        <f>'Jul 22'!$B$34</f>
        <v>0</v>
      </c>
      <c r="E769" s="64">
        <f>'Jul 22'!$E$34</f>
        <v>0</v>
      </c>
      <c r="F769" s="23">
        <f>'Jul 22'!$A$34</f>
        <v>0</v>
      </c>
      <c r="G769" s="64">
        <f>'Jul 22'!$F$34</f>
        <v>0</v>
      </c>
      <c r="H769" s="64">
        <f>'Jul 22'!$G$34</f>
        <v>0</v>
      </c>
      <c r="I769" s="64" t="str">
        <f>'Jul 22'!$M$34</f>
        <v/>
      </c>
      <c r="J769" s="25" t="str">
        <f>'Jul 22'!$S$34</f>
        <v/>
      </c>
      <c r="K769" s="23">
        <f>'Jul 22'!$AG$34</f>
        <v>0</v>
      </c>
      <c r="L769" s="23">
        <f>'Jul 22'!$N$34</f>
        <v>0</v>
      </c>
    </row>
    <row r="770" spans="1:12" x14ac:dyDescent="0.25">
      <c r="A770" s="66" t="str">
        <f t="shared" si="11"/>
        <v>✓</v>
      </c>
      <c r="B770" s="67">
        <v>46225</v>
      </c>
      <c r="C770" s="23">
        <f>'Jul 22'!$D$35</f>
        <v>0</v>
      </c>
      <c r="D770" s="23">
        <f>'Jul 22'!$B$35</f>
        <v>0</v>
      </c>
      <c r="E770" s="64">
        <f>'Jul 22'!$E$35</f>
        <v>0</v>
      </c>
      <c r="F770" s="23">
        <f>'Jul 22'!$A$35</f>
        <v>0</v>
      </c>
      <c r="G770" s="64">
        <f>'Jul 22'!$F$35</f>
        <v>0</v>
      </c>
      <c r="H770" s="64">
        <f>'Jul 22'!$G$35</f>
        <v>0</v>
      </c>
      <c r="I770" s="64" t="str">
        <f>'Jul 22'!$M$35</f>
        <v/>
      </c>
      <c r="J770" s="25" t="str">
        <f>'Jul 22'!$S$35</f>
        <v/>
      </c>
      <c r="K770" s="23">
        <f>'Jul 22'!$AG$35</f>
        <v>0</v>
      </c>
      <c r="L770" s="23">
        <f>'Jul 22'!$N$35</f>
        <v>0</v>
      </c>
    </row>
    <row r="771" spans="1:12" x14ac:dyDescent="0.25">
      <c r="A771" s="66" t="str">
        <f t="shared" si="11"/>
        <v>✓</v>
      </c>
      <c r="B771" s="67">
        <v>46225</v>
      </c>
      <c r="C771" s="23">
        <f>'Jul 22'!$D$36</f>
        <v>0</v>
      </c>
      <c r="D771" s="23">
        <f>'Jul 22'!$B$36</f>
        <v>0</v>
      </c>
      <c r="E771" s="64">
        <f>'Jul 22'!$E$36</f>
        <v>0</v>
      </c>
      <c r="F771" s="23">
        <f>'Jul 22'!$A$36</f>
        <v>0</v>
      </c>
      <c r="G771" s="64">
        <f>'Jul 22'!$F$36</f>
        <v>0</v>
      </c>
      <c r="H771" s="64">
        <f>'Jul 22'!$G$36</f>
        <v>0</v>
      </c>
      <c r="I771" s="64" t="str">
        <f>'Jul 22'!$M$36</f>
        <v/>
      </c>
      <c r="J771" s="25" t="str">
        <f>'Jul 22'!$S$36</f>
        <v/>
      </c>
      <c r="K771" s="23">
        <f>'Jul 22'!$AG$36</f>
        <v>0</v>
      </c>
      <c r="L771" s="23">
        <f>'Jul 22'!$N$36</f>
        <v>0</v>
      </c>
    </row>
    <row r="772" spans="1:12" x14ac:dyDescent="0.25">
      <c r="A772" s="66" t="str">
        <f t="shared" si="11"/>
        <v>✓</v>
      </c>
      <c r="B772" s="67">
        <v>46225</v>
      </c>
      <c r="C772" s="23">
        <f>'Jul 22'!$D$37</f>
        <v>0</v>
      </c>
      <c r="D772" s="23">
        <f>'Jul 22'!$B$37</f>
        <v>0</v>
      </c>
      <c r="E772" s="64">
        <f>'Jul 22'!$E$37</f>
        <v>0</v>
      </c>
      <c r="F772" s="23">
        <f>'Jul 22'!$A$37</f>
        <v>0</v>
      </c>
      <c r="G772" s="64">
        <f>'Jul 22'!$F$37</f>
        <v>0</v>
      </c>
      <c r="H772" s="64">
        <f>'Jul 22'!$G$37</f>
        <v>0</v>
      </c>
      <c r="I772" s="64" t="str">
        <f>'Jul 22'!$M$37</f>
        <v/>
      </c>
      <c r="J772" s="25" t="str">
        <f>'Jul 22'!$S$37</f>
        <v/>
      </c>
      <c r="K772" s="23">
        <f>'Jul 22'!$AG$37</f>
        <v>0</v>
      </c>
      <c r="L772" s="23">
        <f>'Jul 22'!$N$37</f>
        <v>0</v>
      </c>
    </row>
    <row r="773" spans="1:12" x14ac:dyDescent="0.25">
      <c r="A773" s="66" t="str">
        <f t="shared" si="11"/>
        <v>✓</v>
      </c>
      <c r="B773" s="67">
        <v>46225</v>
      </c>
      <c r="C773" s="23">
        <f>'Jul 22'!$D$38</f>
        <v>0</v>
      </c>
      <c r="D773" s="23">
        <f>'Jul 22'!$B$38</f>
        <v>0</v>
      </c>
      <c r="E773" s="64">
        <f>'Jul 22'!$E$38</f>
        <v>0</v>
      </c>
      <c r="F773" s="23">
        <f>'Jul 22'!$A$38</f>
        <v>0</v>
      </c>
      <c r="G773" s="64">
        <f>'Jul 22'!$F$38</f>
        <v>0</v>
      </c>
      <c r="H773" s="64">
        <f>'Jul 22'!$G$38</f>
        <v>0</v>
      </c>
      <c r="I773" s="64" t="str">
        <f>'Jul 22'!$M$38</f>
        <v/>
      </c>
      <c r="J773" s="25" t="str">
        <f>'Jul 22'!$S$38</f>
        <v/>
      </c>
      <c r="K773" s="23">
        <f>'Jul 22'!$AG$38</f>
        <v>0</v>
      </c>
      <c r="L773" s="23">
        <f>'Jul 22'!$N$38</f>
        <v>0</v>
      </c>
    </row>
    <row r="774" spans="1:12" x14ac:dyDescent="0.25">
      <c r="A774" s="66" t="str">
        <f t="shared" si="11"/>
        <v>✓</v>
      </c>
      <c r="B774" s="67">
        <v>46225</v>
      </c>
      <c r="C774" s="23">
        <f>'Jul 22'!$D$39</f>
        <v>0</v>
      </c>
      <c r="D774" s="23">
        <f>'Jul 22'!$B$39</f>
        <v>0</v>
      </c>
      <c r="E774" s="64">
        <f>'Jul 22'!$E$39</f>
        <v>0</v>
      </c>
      <c r="F774" s="23">
        <f>'Jul 22'!$A$39</f>
        <v>0</v>
      </c>
      <c r="G774" s="64">
        <f>'Jul 22'!$F$39</f>
        <v>0</v>
      </c>
      <c r="H774" s="64">
        <f>'Jul 22'!$G$39</f>
        <v>0</v>
      </c>
      <c r="I774" s="64" t="str">
        <f>'Jul 22'!$M$39</f>
        <v/>
      </c>
      <c r="J774" s="25" t="str">
        <f>'Jul 22'!$S$39</f>
        <v/>
      </c>
      <c r="K774" s="23">
        <f>'Jul 22'!$AG$39</f>
        <v>0</v>
      </c>
      <c r="L774" s="23">
        <f>'Jul 22'!$N$39</f>
        <v>0</v>
      </c>
    </row>
    <row r="775" spans="1:12" x14ac:dyDescent="0.25">
      <c r="A775" s="66" t="str">
        <f t="shared" si="11"/>
        <v>✓</v>
      </c>
      <c r="B775" s="67">
        <v>46225</v>
      </c>
      <c r="C775" s="23">
        <f>'Jul 22'!$D$40</f>
        <v>0</v>
      </c>
      <c r="D775" s="23">
        <f>'Jul 22'!$B$40</f>
        <v>0</v>
      </c>
      <c r="E775" s="64">
        <f>'Jul 22'!$E$40</f>
        <v>0</v>
      </c>
      <c r="F775" s="23">
        <f>'Jul 22'!$A$40</f>
        <v>0</v>
      </c>
      <c r="G775" s="64">
        <f>'Jul 22'!$F$40</f>
        <v>0</v>
      </c>
      <c r="H775" s="64">
        <f>'Jul 22'!$G$40</f>
        <v>0</v>
      </c>
      <c r="I775" s="64" t="str">
        <f>'Jul 22'!$M$40</f>
        <v/>
      </c>
      <c r="J775" s="25" t="str">
        <f>'Jul 22'!$S$40</f>
        <v/>
      </c>
      <c r="K775" s="23">
        <f>'Jul 22'!$AG$40</f>
        <v>0</v>
      </c>
      <c r="L775" s="23">
        <f>'Jul 22'!$N$40</f>
        <v>0</v>
      </c>
    </row>
    <row r="776" spans="1:12" x14ac:dyDescent="0.25">
      <c r="A776" s="66" t="str">
        <f t="shared" ref="A776:A839" si="12">IF(C776="","",IF(AND(OR($B$5="",G776=$B$5,H776=$B$5),OR($D$5="",F776=$D$5),OR($E$5="",K776=$E$5),OR($G$5="",L776=$G$5),OR($H$5="",N(J776)&gt;=$H$5),OR($I$5="",ISNUMBER(SEARCH($I$5,C776&amp;" "&amp;D776&amp;" "&amp;E776&amp;" "&amp;I776)))),"✓",""))</f>
        <v>✓</v>
      </c>
      <c r="B776" s="67">
        <v>46225</v>
      </c>
      <c r="C776" s="23">
        <f>'Jul 22'!$D$41</f>
        <v>0</v>
      </c>
      <c r="D776" s="23">
        <f>'Jul 22'!$B$41</f>
        <v>0</v>
      </c>
      <c r="E776" s="64">
        <f>'Jul 22'!$E$41</f>
        <v>0</v>
      </c>
      <c r="F776" s="23">
        <f>'Jul 22'!$A$41</f>
        <v>0</v>
      </c>
      <c r="G776" s="64">
        <f>'Jul 22'!$F$41</f>
        <v>0</v>
      </c>
      <c r="H776" s="64">
        <f>'Jul 22'!$G$41</f>
        <v>0</v>
      </c>
      <c r="I776" s="64" t="str">
        <f>'Jul 22'!$M$41</f>
        <v/>
      </c>
      <c r="J776" s="25" t="str">
        <f>'Jul 22'!$S$41</f>
        <v/>
      </c>
      <c r="K776" s="23">
        <f>'Jul 22'!$AG$41</f>
        <v>0</v>
      </c>
      <c r="L776" s="23">
        <f>'Jul 22'!$N$41</f>
        <v>0</v>
      </c>
    </row>
    <row r="777" spans="1:12" x14ac:dyDescent="0.25">
      <c r="A777" s="66" t="str">
        <f t="shared" si="12"/>
        <v>✓</v>
      </c>
      <c r="B777" s="67">
        <v>46225</v>
      </c>
      <c r="C777" s="23">
        <f>'Jul 22'!$D$42</f>
        <v>0</v>
      </c>
      <c r="D777" s="23">
        <f>'Jul 22'!$B$42</f>
        <v>0</v>
      </c>
      <c r="E777" s="64">
        <f>'Jul 22'!$E$42</f>
        <v>0</v>
      </c>
      <c r="F777" s="23">
        <f>'Jul 22'!$A$42</f>
        <v>0</v>
      </c>
      <c r="G777" s="64">
        <f>'Jul 22'!$F$42</f>
        <v>0</v>
      </c>
      <c r="H777" s="64">
        <f>'Jul 22'!$G$42</f>
        <v>0</v>
      </c>
      <c r="I777" s="64" t="str">
        <f>'Jul 22'!$M$42</f>
        <v/>
      </c>
      <c r="J777" s="25" t="str">
        <f>'Jul 22'!$S$42</f>
        <v/>
      </c>
      <c r="K777" s="23">
        <f>'Jul 22'!$AG$42</f>
        <v>0</v>
      </c>
      <c r="L777" s="23">
        <f>'Jul 22'!$N$42</f>
        <v>0</v>
      </c>
    </row>
    <row r="778" spans="1:12" x14ac:dyDescent="0.25">
      <c r="A778" s="66" t="str">
        <f t="shared" si="12"/>
        <v>✓</v>
      </c>
      <c r="B778" s="67">
        <v>46226</v>
      </c>
      <c r="C778" s="23">
        <f>'Jul 23'!$D$8</f>
        <v>0</v>
      </c>
      <c r="D778" s="23">
        <f>'Jul 23'!$B$8</f>
        <v>0</v>
      </c>
      <c r="E778" s="64">
        <f>'Jul 23'!$E$8</f>
        <v>0</v>
      </c>
      <c r="F778" s="23">
        <f>'Jul 23'!$A$8</f>
        <v>0</v>
      </c>
      <c r="G778" s="64">
        <f>'Jul 23'!$F$8</f>
        <v>0</v>
      </c>
      <c r="H778" s="64">
        <f>'Jul 23'!$G$8</f>
        <v>0</v>
      </c>
      <c r="I778" s="64" t="str">
        <f>'Jul 23'!$M$8</f>
        <v/>
      </c>
      <c r="J778" s="25" t="str">
        <f>'Jul 23'!$S$8</f>
        <v/>
      </c>
      <c r="K778" s="23">
        <f>'Jul 23'!$AG$8</f>
        <v>0</v>
      </c>
      <c r="L778" s="23">
        <f>'Jul 23'!$N$8</f>
        <v>0</v>
      </c>
    </row>
    <row r="779" spans="1:12" x14ac:dyDescent="0.25">
      <c r="A779" s="66" t="str">
        <f t="shared" si="12"/>
        <v>✓</v>
      </c>
      <c r="B779" s="67">
        <v>46226</v>
      </c>
      <c r="C779" s="23">
        <f>'Jul 23'!$D$9</f>
        <v>0</v>
      </c>
      <c r="D779" s="23">
        <f>'Jul 23'!$B$9</f>
        <v>0</v>
      </c>
      <c r="E779" s="64">
        <f>'Jul 23'!$E$9</f>
        <v>0</v>
      </c>
      <c r="F779" s="23">
        <f>'Jul 23'!$A$9</f>
        <v>0</v>
      </c>
      <c r="G779" s="64">
        <f>'Jul 23'!$F$9</f>
        <v>0</v>
      </c>
      <c r="H779" s="64">
        <f>'Jul 23'!$G$9</f>
        <v>0</v>
      </c>
      <c r="I779" s="64" t="str">
        <f>'Jul 23'!$M$9</f>
        <v/>
      </c>
      <c r="J779" s="25" t="str">
        <f>'Jul 23'!$S$9</f>
        <v/>
      </c>
      <c r="K779" s="23">
        <f>'Jul 23'!$AG$9</f>
        <v>0</v>
      </c>
      <c r="L779" s="23">
        <f>'Jul 23'!$N$9</f>
        <v>0</v>
      </c>
    </row>
    <row r="780" spans="1:12" x14ac:dyDescent="0.25">
      <c r="A780" s="66" t="str">
        <f t="shared" si="12"/>
        <v>✓</v>
      </c>
      <c r="B780" s="67">
        <v>46226</v>
      </c>
      <c r="C780" s="23">
        <f>'Jul 23'!$D$10</f>
        <v>0</v>
      </c>
      <c r="D780" s="23">
        <f>'Jul 23'!$B$10</f>
        <v>0</v>
      </c>
      <c r="E780" s="64">
        <f>'Jul 23'!$E$10</f>
        <v>0</v>
      </c>
      <c r="F780" s="23">
        <f>'Jul 23'!$A$10</f>
        <v>0</v>
      </c>
      <c r="G780" s="64">
        <f>'Jul 23'!$F$10</f>
        <v>0</v>
      </c>
      <c r="H780" s="64">
        <f>'Jul 23'!$G$10</f>
        <v>0</v>
      </c>
      <c r="I780" s="64" t="str">
        <f>'Jul 23'!$M$10</f>
        <v/>
      </c>
      <c r="J780" s="25" t="str">
        <f>'Jul 23'!$S$10</f>
        <v/>
      </c>
      <c r="K780" s="23">
        <f>'Jul 23'!$AG$10</f>
        <v>0</v>
      </c>
      <c r="L780" s="23">
        <f>'Jul 23'!$N$10</f>
        <v>0</v>
      </c>
    </row>
    <row r="781" spans="1:12" x14ac:dyDescent="0.25">
      <c r="A781" s="66" t="str">
        <f t="shared" si="12"/>
        <v>✓</v>
      </c>
      <c r="B781" s="67">
        <v>46226</v>
      </c>
      <c r="C781" s="23">
        <f>'Jul 23'!$D$11</f>
        <v>0</v>
      </c>
      <c r="D781" s="23">
        <f>'Jul 23'!$B$11</f>
        <v>0</v>
      </c>
      <c r="E781" s="64">
        <f>'Jul 23'!$E$11</f>
        <v>0</v>
      </c>
      <c r="F781" s="23">
        <f>'Jul 23'!$A$11</f>
        <v>0</v>
      </c>
      <c r="G781" s="64">
        <f>'Jul 23'!$F$11</f>
        <v>0</v>
      </c>
      <c r="H781" s="64">
        <f>'Jul 23'!$G$11</f>
        <v>0</v>
      </c>
      <c r="I781" s="64" t="str">
        <f>'Jul 23'!$M$11</f>
        <v/>
      </c>
      <c r="J781" s="25" t="str">
        <f>'Jul 23'!$S$11</f>
        <v/>
      </c>
      <c r="K781" s="23">
        <f>'Jul 23'!$AG$11</f>
        <v>0</v>
      </c>
      <c r="L781" s="23">
        <f>'Jul 23'!$N$11</f>
        <v>0</v>
      </c>
    </row>
    <row r="782" spans="1:12" x14ac:dyDescent="0.25">
      <c r="A782" s="66" t="str">
        <f t="shared" si="12"/>
        <v>✓</v>
      </c>
      <c r="B782" s="67">
        <v>46226</v>
      </c>
      <c r="C782" s="23">
        <f>'Jul 23'!$D$12</f>
        <v>0</v>
      </c>
      <c r="D782" s="23">
        <f>'Jul 23'!$B$12</f>
        <v>0</v>
      </c>
      <c r="E782" s="64">
        <f>'Jul 23'!$E$12</f>
        <v>0</v>
      </c>
      <c r="F782" s="23">
        <f>'Jul 23'!$A$12</f>
        <v>0</v>
      </c>
      <c r="G782" s="64">
        <f>'Jul 23'!$F$12</f>
        <v>0</v>
      </c>
      <c r="H782" s="64">
        <f>'Jul 23'!$G$12</f>
        <v>0</v>
      </c>
      <c r="I782" s="64" t="str">
        <f>'Jul 23'!$M$12</f>
        <v/>
      </c>
      <c r="J782" s="25" t="str">
        <f>'Jul 23'!$S$12</f>
        <v/>
      </c>
      <c r="K782" s="23">
        <f>'Jul 23'!$AG$12</f>
        <v>0</v>
      </c>
      <c r="L782" s="23">
        <f>'Jul 23'!$N$12</f>
        <v>0</v>
      </c>
    </row>
    <row r="783" spans="1:12" x14ac:dyDescent="0.25">
      <c r="A783" s="66" t="str">
        <f t="shared" si="12"/>
        <v>✓</v>
      </c>
      <c r="B783" s="67">
        <v>46226</v>
      </c>
      <c r="C783" s="23">
        <f>'Jul 23'!$D$13</f>
        <v>0</v>
      </c>
      <c r="D783" s="23">
        <f>'Jul 23'!$B$13</f>
        <v>0</v>
      </c>
      <c r="E783" s="64">
        <f>'Jul 23'!$E$13</f>
        <v>0</v>
      </c>
      <c r="F783" s="23">
        <f>'Jul 23'!$A$13</f>
        <v>0</v>
      </c>
      <c r="G783" s="64">
        <f>'Jul 23'!$F$13</f>
        <v>0</v>
      </c>
      <c r="H783" s="64">
        <f>'Jul 23'!$G$13</f>
        <v>0</v>
      </c>
      <c r="I783" s="64" t="str">
        <f>'Jul 23'!$M$13</f>
        <v/>
      </c>
      <c r="J783" s="25" t="str">
        <f>'Jul 23'!$S$13</f>
        <v/>
      </c>
      <c r="K783" s="23">
        <f>'Jul 23'!$AG$13</f>
        <v>0</v>
      </c>
      <c r="L783" s="23">
        <f>'Jul 23'!$N$13</f>
        <v>0</v>
      </c>
    </row>
    <row r="784" spans="1:12" x14ac:dyDescent="0.25">
      <c r="A784" s="66" t="str">
        <f t="shared" si="12"/>
        <v>✓</v>
      </c>
      <c r="B784" s="67">
        <v>46226</v>
      </c>
      <c r="C784" s="23">
        <f>'Jul 23'!$D$14</f>
        <v>0</v>
      </c>
      <c r="D784" s="23">
        <f>'Jul 23'!$B$14</f>
        <v>0</v>
      </c>
      <c r="E784" s="64">
        <f>'Jul 23'!$E$14</f>
        <v>0</v>
      </c>
      <c r="F784" s="23">
        <f>'Jul 23'!$A$14</f>
        <v>0</v>
      </c>
      <c r="G784" s="64">
        <f>'Jul 23'!$F$14</f>
        <v>0</v>
      </c>
      <c r="H784" s="64">
        <f>'Jul 23'!$G$14</f>
        <v>0</v>
      </c>
      <c r="I784" s="64" t="str">
        <f>'Jul 23'!$M$14</f>
        <v/>
      </c>
      <c r="J784" s="25" t="str">
        <f>'Jul 23'!$S$14</f>
        <v/>
      </c>
      <c r="K784" s="23">
        <f>'Jul 23'!$AG$14</f>
        <v>0</v>
      </c>
      <c r="L784" s="23">
        <f>'Jul 23'!$N$14</f>
        <v>0</v>
      </c>
    </row>
    <row r="785" spans="1:12" x14ac:dyDescent="0.25">
      <c r="A785" s="66" t="str">
        <f t="shared" si="12"/>
        <v>✓</v>
      </c>
      <c r="B785" s="67">
        <v>46226</v>
      </c>
      <c r="C785" s="23">
        <f>'Jul 23'!$D$15</f>
        <v>0</v>
      </c>
      <c r="D785" s="23">
        <f>'Jul 23'!$B$15</f>
        <v>0</v>
      </c>
      <c r="E785" s="64">
        <f>'Jul 23'!$E$15</f>
        <v>0</v>
      </c>
      <c r="F785" s="23">
        <f>'Jul 23'!$A$15</f>
        <v>0</v>
      </c>
      <c r="G785" s="64">
        <f>'Jul 23'!$F$15</f>
        <v>0</v>
      </c>
      <c r="H785" s="64">
        <f>'Jul 23'!$G$15</f>
        <v>0</v>
      </c>
      <c r="I785" s="64" t="str">
        <f>'Jul 23'!$M$15</f>
        <v/>
      </c>
      <c r="J785" s="25" t="str">
        <f>'Jul 23'!$S$15</f>
        <v/>
      </c>
      <c r="K785" s="23">
        <f>'Jul 23'!$AG$15</f>
        <v>0</v>
      </c>
      <c r="L785" s="23">
        <f>'Jul 23'!$N$15</f>
        <v>0</v>
      </c>
    </row>
    <row r="786" spans="1:12" x14ac:dyDescent="0.25">
      <c r="A786" s="66" t="str">
        <f t="shared" si="12"/>
        <v>✓</v>
      </c>
      <c r="B786" s="67">
        <v>46226</v>
      </c>
      <c r="C786" s="23">
        <f>'Jul 23'!$D$16</f>
        <v>0</v>
      </c>
      <c r="D786" s="23">
        <f>'Jul 23'!$B$16</f>
        <v>0</v>
      </c>
      <c r="E786" s="64">
        <f>'Jul 23'!$E$16</f>
        <v>0</v>
      </c>
      <c r="F786" s="23">
        <f>'Jul 23'!$A$16</f>
        <v>0</v>
      </c>
      <c r="G786" s="64">
        <f>'Jul 23'!$F$16</f>
        <v>0</v>
      </c>
      <c r="H786" s="64">
        <f>'Jul 23'!$G$16</f>
        <v>0</v>
      </c>
      <c r="I786" s="64" t="str">
        <f>'Jul 23'!$M$16</f>
        <v/>
      </c>
      <c r="J786" s="25" t="str">
        <f>'Jul 23'!$S$16</f>
        <v/>
      </c>
      <c r="K786" s="23">
        <f>'Jul 23'!$AG$16</f>
        <v>0</v>
      </c>
      <c r="L786" s="23">
        <f>'Jul 23'!$N$16</f>
        <v>0</v>
      </c>
    </row>
    <row r="787" spans="1:12" x14ac:dyDescent="0.25">
      <c r="A787" s="66" t="str">
        <f t="shared" si="12"/>
        <v>✓</v>
      </c>
      <c r="B787" s="67">
        <v>46226</v>
      </c>
      <c r="C787" s="23">
        <f>'Jul 23'!$D$17</f>
        <v>0</v>
      </c>
      <c r="D787" s="23">
        <f>'Jul 23'!$B$17</f>
        <v>0</v>
      </c>
      <c r="E787" s="64">
        <f>'Jul 23'!$E$17</f>
        <v>0</v>
      </c>
      <c r="F787" s="23">
        <f>'Jul 23'!$A$17</f>
        <v>0</v>
      </c>
      <c r="G787" s="64">
        <f>'Jul 23'!$F$17</f>
        <v>0</v>
      </c>
      <c r="H787" s="64">
        <f>'Jul 23'!$G$17</f>
        <v>0</v>
      </c>
      <c r="I787" s="64" t="str">
        <f>'Jul 23'!$M$17</f>
        <v/>
      </c>
      <c r="J787" s="25" t="str">
        <f>'Jul 23'!$S$17</f>
        <v/>
      </c>
      <c r="K787" s="23">
        <f>'Jul 23'!$AG$17</f>
        <v>0</v>
      </c>
      <c r="L787" s="23">
        <f>'Jul 23'!$N$17</f>
        <v>0</v>
      </c>
    </row>
    <row r="788" spans="1:12" x14ac:dyDescent="0.25">
      <c r="A788" s="66" t="str">
        <f t="shared" si="12"/>
        <v>✓</v>
      </c>
      <c r="B788" s="67">
        <v>46226</v>
      </c>
      <c r="C788" s="23">
        <f>'Jul 23'!$D$18</f>
        <v>0</v>
      </c>
      <c r="D788" s="23">
        <f>'Jul 23'!$B$18</f>
        <v>0</v>
      </c>
      <c r="E788" s="64">
        <f>'Jul 23'!$E$18</f>
        <v>0</v>
      </c>
      <c r="F788" s="23">
        <f>'Jul 23'!$A$18</f>
        <v>0</v>
      </c>
      <c r="G788" s="64">
        <f>'Jul 23'!$F$18</f>
        <v>0</v>
      </c>
      <c r="H788" s="64">
        <f>'Jul 23'!$G$18</f>
        <v>0</v>
      </c>
      <c r="I788" s="64" t="str">
        <f>'Jul 23'!$M$18</f>
        <v/>
      </c>
      <c r="J788" s="25" t="str">
        <f>'Jul 23'!$S$18</f>
        <v/>
      </c>
      <c r="K788" s="23">
        <f>'Jul 23'!$AG$18</f>
        <v>0</v>
      </c>
      <c r="L788" s="23">
        <f>'Jul 23'!$N$18</f>
        <v>0</v>
      </c>
    </row>
    <row r="789" spans="1:12" x14ac:dyDescent="0.25">
      <c r="A789" s="66" t="str">
        <f t="shared" si="12"/>
        <v>✓</v>
      </c>
      <c r="B789" s="67">
        <v>46226</v>
      </c>
      <c r="C789" s="23">
        <f>'Jul 23'!$D$19</f>
        <v>0</v>
      </c>
      <c r="D789" s="23">
        <f>'Jul 23'!$B$19</f>
        <v>0</v>
      </c>
      <c r="E789" s="64">
        <f>'Jul 23'!$E$19</f>
        <v>0</v>
      </c>
      <c r="F789" s="23">
        <f>'Jul 23'!$A$19</f>
        <v>0</v>
      </c>
      <c r="G789" s="64">
        <f>'Jul 23'!$F$19</f>
        <v>0</v>
      </c>
      <c r="H789" s="64">
        <f>'Jul 23'!$G$19</f>
        <v>0</v>
      </c>
      <c r="I789" s="64" t="str">
        <f>'Jul 23'!$M$19</f>
        <v/>
      </c>
      <c r="J789" s="25" t="str">
        <f>'Jul 23'!$S$19</f>
        <v/>
      </c>
      <c r="K789" s="23">
        <f>'Jul 23'!$AG$19</f>
        <v>0</v>
      </c>
      <c r="L789" s="23">
        <f>'Jul 23'!$N$19</f>
        <v>0</v>
      </c>
    </row>
    <row r="790" spans="1:12" x14ac:dyDescent="0.25">
      <c r="A790" s="66" t="str">
        <f t="shared" si="12"/>
        <v>✓</v>
      </c>
      <c r="B790" s="67">
        <v>46226</v>
      </c>
      <c r="C790" s="23">
        <f>'Jul 23'!$D$20</f>
        <v>0</v>
      </c>
      <c r="D790" s="23">
        <f>'Jul 23'!$B$20</f>
        <v>0</v>
      </c>
      <c r="E790" s="64">
        <f>'Jul 23'!$E$20</f>
        <v>0</v>
      </c>
      <c r="F790" s="23">
        <f>'Jul 23'!$A$20</f>
        <v>0</v>
      </c>
      <c r="G790" s="64">
        <f>'Jul 23'!$F$20</f>
        <v>0</v>
      </c>
      <c r="H790" s="64">
        <f>'Jul 23'!$G$20</f>
        <v>0</v>
      </c>
      <c r="I790" s="64" t="str">
        <f>'Jul 23'!$M$20</f>
        <v/>
      </c>
      <c r="J790" s="25" t="str">
        <f>'Jul 23'!$S$20</f>
        <v/>
      </c>
      <c r="K790" s="23">
        <f>'Jul 23'!$AG$20</f>
        <v>0</v>
      </c>
      <c r="L790" s="23">
        <f>'Jul 23'!$N$20</f>
        <v>0</v>
      </c>
    </row>
    <row r="791" spans="1:12" x14ac:dyDescent="0.25">
      <c r="A791" s="66" t="str">
        <f t="shared" si="12"/>
        <v>✓</v>
      </c>
      <c r="B791" s="67">
        <v>46226</v>
      </c>
      <c r="C791" s="23">
        <f>'Jul 23'!$D$21</f>
        <v>0</v>
      </c>
      <c r="D791" s="23">
        <f>'Jul 23'!$B$21</f>
        <v>0</v>
      </c>
      <c r="E791" s="64">
        <f>'Jul 23'!$E$21</f>
        <v>0</v>
      </c>
      <c r="F791" s="23">
        <f>'Jul 23'!$A$21</f>
        <v>0</v>
      </c>
      <c r="G791" s="64">
        <f>'Jul 23'!$F$21</f>
        <v>0</v>
      </c>
      <c r="H791" s="64">
        <f>'Jul 23'!$G$21</f>
        <v>0</v>
      </c>
      <c r="I791" s="64" t="str">
        <f>'Jul 23'!$M$21</f>
        <v/>
      </c>
      <c r="J791" s="25" t="str">
        <f>'Jul 23'!$S$21</f>
        <v/>
      </c>
      <c r="K791" s="23">
        <f>'Jul 23'!$AG$21</f>
        <v>0</v>
      </c>
      <c r="L791" s="23">
        <f>'Jul 23'!$N$21</f>
        <v>0</v>
      </c>
    </row>
    <row r="792" spans="1:12" x14ac:dyDescent="0.25">
      <c r="A792" s="66" t="str">
        <f t="shared" si="12"/>
        <v>✓</v>
      </c>
      <c r="B792" s="67">
        <v>46226</v>
      </c>
      <c r="C792" s="23">
        <f>'Jul 23'!$D$22</f>
        <v>0</v>
      </c>
      <c r="D792" s="23">
        <f>'Jul 23'!$B$22</f>
        <v>0</v>
      </c>
      <c r="E792" s="64">
        <f>'Jul 23'!$E$22</f>
        <v>0</v>
      </c>
      <c r="F792" s="23">
        <f>'Jul 23'!$A$22</f>
        <v>0</v>
      </c>
      <c r="G792" s="64">
        <f>'Jul 23'!$F$22</f>
        <v>0</v>
      </c>
      <c r="H792" s="64">
        <f>'Jul 23'!$G$22</f>
        <v>0</v>
      </c>
      <c r="I792" s="64" t="str">
        <f>'Jul 23'!$M$22</f>
        <v/>
      </c>
      <c r="J792" s="25" t="str">
        <f>'Jul 23'!$S$22</f>
        <v/>
      </c>
      <c r="K792" s="23">
        <f>'Jul 23'!$AG$22</f>
        <v>0</v>
      </c>
      <c r="L792" s="23">
        <f>'Jul 23'!$N$22</f>
        <v>0</v>
      </c>
    </row>
    <row r="793" spans="1:12" x14ac:dyDescent="0.25">
      <c r="A793" s="66" t="str">
        <f t="shared" si="12"/>
        <v>✓</v>
      </c>
      <c r="B793" s="67">
        <v>46226</v>
      </c>
      <c r="C793" s="23">
        <f>'Jul 23'!$D$23</f>
        <v>0</v>
      </c>
      <c r="D793" s="23">
        <f>'Jul 23'!$B$23</f>
        <v>0</v>
      </c>
      <c r="E793" s="64">
        <f>'Jul 23'!$E$23</f>
        <v>0</v>
      </c>
      <c r="F793" s="23">
        <f>'Jul 23'!$A$23</f>
        <v>0</v>
      </c>
      <c r="G793" s="64">
        <f>'Jul 23'!$F$23</f>
        <v>0</v>
      </c>
      <c r="H793" s="64">
        <f>'Jul 23'!$G$23</f>
        <v>0</v>
      </c>
      <c r="I793" s="64" t="str">
        <f>'Jul 23'!$M$23</f>
        <v/>
      </c>
      <c r="J793" s="25" t="str">
        <f>'Jul 23'!$S$23</f>
        <v/>
      </c>
      <c r="K793" s="23">
        <f>'Jul 23'!$AG$23</f>
        <v>0</v>
      </c>
      <c r="L793" s="23">
        <f>'Jul 23'!$N$23</f>
        <v>0</v>
      </c>
    </row>
    <row r="794" spans="1:12" x14ac:dyDescent="0.25">
      <c r="A794" s="66" t="str">
        <f t="shared" si="12"/>
        <v>✓</v>
      </c>
      <c r="B794" s="67">
        <v>46226</v>
      </c>
      <c r="C794" s="23">
        <f>'Jul 23'!$D$24</f>
        <v>0</v>
      </c>
      <c r="D794" s="23">
        <f>'Jul 23'!$B$24</f>
        <v>0</v>
      </c>
      <c r="E794" s="64">
        <f>'Jul 23'!$E$24</f>
        <v>0</v>
      </c>
      <c r="F794" s="23">
        <f>'Jul 23'!$A$24</f>
        <v>0</v>
      </c>
      <c r="G794" s="64">
        <f>'Jul 23'!$F$24</f>
        <v>0</v>
      </c>
      <c r="H794" s="64">
        <f>'Jul 23'!$G$24</f>
        <v>0</v>
      </c>
      <c r="I794" s="64" t="str">
        <f>'Jul 23'!$M$24</f>
        <v/>
      </c>
      <c r="J794" s="25" t="str">
        <f>'Jul 23'!$S$24</f>
        <v/>
      </c>
      <c r="K794" s="23">
        <f>'Jul 23'!$AG$24</f>
        <v>0</v>
      </c>
      <c r="L794" s="23">
        <f>'Jul 23'!$N$24</f>
        <v>0</v>
      </c>
    </row>
    <row r="795" spans="1:12" x14ac:dyDescent="0.25">
      <c r="A795" s="66" t="str">
        <f t="shared" si="12"/>
        <v>✓</v>
      </c>
      <c r="B795" s="67">
        <v>46226</v>
      </c>
      <c r="C795" s="23">
        <f>'Jul 23'!$D$25</f>
        <v>0</v>
      </c>
      <c r="D795" s="23">
        <f>'Jul 23'!$B$25</f>
        <v>0</v>
      </c>
      <c r="E795" s="64">
        <f>'Jul 23'!$E$25</f>
        <v>0</v>
      </c>
      <c r="F795" s="23">
        <f>'Jul 23'!$A$25</f>
        <v>0</v>
      </c>
      <c r="G795" s="64">
        <f>'Jul 23'!$F$25</f>
        <v>0</v>
      </c>
      <c r="H795" s="64">
        <f>'Jul 23'!$G$25</f>
        <v>0</v>
      </c>
      <c r="I795" s="64" t="str">
        <f>'Jul 23'!$M$25</f>
        <v/>
      </c>
      <c r="J795" s="25" t="str">
        <f>'Jul 23'!$S$25</f>
        <v/>
      </c>
      <c r="K795" s="23">
        <f>'Jul 23'!$AG$25</f>
        <v>0</v>
      </c>
      <c r="L795" s="23">
        <f>'Jul 23'!$N$25</f>
        <v>0</v>
      </c>
    </row>
    <row r="796" spans="1:12" x14ac:dyDescent="0.25">
      <c r="A796" s="66" t="str">
        <f t="shared" si="12"/>
        <v>✓</v>
      </c>
      <c r="B796" s="67">
        <v>46226</v>
      </c>
      <c r="C796" s="23">
        <f>'Jul 23'!$D$26</f>
        <v>0</v>
      </c>
      <c r="D796" s="23">
        <f>'Jul 23'!$B$26</f>
        <v>0</v>
      </c>
      <c r="E796" s="64">
        <f>'Jul 23'!$E$26</f>
        <v>0</v>
      </c>
      <c r="F796" s="23">
        <f>'Jul 23'!$A$26</f>
        <v>0</v>
      </c>
      <c r="G796" s="64">
        <f>'Jul 23'!$F$26</f>
        <v>0</v>
      </c>
      <c r="H796" s="64">
        <f>'Jul 23'!$G$26</f>
        <v>0</v>
      </c>
      <c r="I796" s="64" t="str">
        <f>'Jul 23'!$M$26</f>
        <v/>
      </c>
      <c r="J796" s="25" t="str">
        <f>'Jul 23'!$S$26</f>
        <v/>
      </c>
      <c r="K796" s="23">
        <f>'Jul 23'!$AG$26</f>
        <v>0</v>
      </c>
      <c r="L796" s="23">
        <f>'Jul 23'!$N$26</f>
        <v>0</v>
      </c>
    </row>
    <row r="797" spans="1:12" x14ac:dyDescent="0.25">
      <c r="A797" s="66" t="str">
        <f t="shared" si="12"/>
        <v>✓</v>
      </c>
      <c r="B797" s="67">
        <v>46226</v>
      </c>
      <c r="C797" s="23">
        <f>'Jul 23'!$D$27</f>
        <v>0</v>
      </c>
      <c r="D797" s="23">
        <f>'Jul 23'!$B$27</f>
        <v>0</v>
      </c>
      <c r="E797" s="64">
        <f>'Jul 23'!$E$27</f>
        <v>0</v>
      </c>
      <c r="F797" s="23">
        <f>'Jul 23'!$A$27</f>
        <v>0</v>
      </c>
      <c r="G797" s="64">
        <f>'Jul 23'!$F$27</f>
        <v>0</v>
      </c>
      <c r="H797" s="64">
        <f>'Jul 23'!$G$27</f>
        <v>0</v>
      </c>
      <c r="I797" s="64" t="str">
        <f>'Jul 23'!$M$27</f>
        <v/>
      </c>
      <c r="J797" s="25" t="str">
        <f>'Jul 23'!$S$27</f>
        <v/>
      </c>
      <c r="K797" s="23">
        <f>'Jul 23'!$AG$27</f>
        <v>0</v>
      </c>
      <c r="L797" s="23">
        <f>'Jul 23'!$N$27</f>
        <v>0</v>
      </c>
    </row>
    <row r="798" spans="1:12" x14ac:dyDescent="0.25">
      <c r="A798" s="66" t="str">
        <f t="shared" si="12"/>
        <v>✓</v>
      </c>
      <c r="B798" s="67">
        <v>46226</v>
      </c>
      <c r="C798" s="23">
        <f>'Jul 23'!$D$28</f>
        <v>0</v>
      </c>
      <c r="D798" s="23">
        <f>'Jul 23'!$B$28</f>
        <v>0</v>
      </c>
      <c r="E798" s="64">
        <f>'Jul 23'!$E$28</f>
        <v>0</v>
      </c>
      <c r="F798" s="23">
        <f>'Jul 23'!$A$28</f>
        <v>0</v>
      </c>
      <c r="G798" s="64">
        <f>'Jul 23'!$F$28</f>
        <v>0</v>
      </c>
      <c r="H798" s="64">
        <f>'Jul 23'!$G$28</f>
        <v>0</v>
      </c>
      <c r="I798" s="64" t="str">
        <f>'Jul 23'!$M$28</f>
        <v/>
      </c>
      <c r="J798" s="25" t="str">
        <f>'Jul 23'!$S$28</f>
        <v/>
      </c>
      <c r="K798" s="23">
        <f>'Jul 23'!$AG$28</f>
        <v>0</v>
      </c>
      <c r="L798" s="23">
        <f>'Jul 23'!$N$28</f>
        <v>0</v>
      </c>
    </row>
    <row r="799" spans="1:12" x14ac:dyDescent="0.25">
      <c r="A799" s="66" t="str">
        <f t="shared" si="12"/>
        <v>✓</v>
      </c>
      <c r="B799" s="67">
        <v>46226</v>
      </c>
      <c r="C799" s="23">
        <f>'Jul 23'!$D$29</f>
        <v>0</v>
      </c>
      <c r="D799" s="23">
        <f>'Jul 23'!$B$29</f>
        <v>0</v>
      </c>
      <c r="E799" s="64">
        <f>'Jul 23'!$E$29</f>
        <v>0</v>
      </c>
      <c r="F799" s="23">
        <f>'Jul 23'!$A$29</f>
        <v>0</v>
      </c>
      <c r="G799" s="64">
        <f>'Jul 23'!$F$29</f>
        <v>0</v>
      </c>
      <c r="H799" s="64">
        <f>'Jul 23'!$G$29</f>
        <v>0</v>
      </c>
      <c r="I799" s="64" t="str">
        <f>'Jul 23'!$M$29</f>
        <v/>
      </c>
      <c r="J799" s="25" t="str">
        <f>'Jul 23'!$S$29</f>
        <v/>
      </c>
      <c r="K799" s="23">
        <f>'Jul 23'!$AG$29</f>
        <v>0</v>
      </c>
      <c r="L799" s="23">
        <f>'Jul 23'!$N$29</f>
        <v>0</v>
      </c>
    </row>
    <row r="800" spans="1:12" x14ac:dyDescent="0.25">
      <c r="A800" s="66" t="str">
        <f t="shared" si="12"/>
        <v>✓</v>
      </c>
      <c r="B800" s="67">
        <v>46226</v>
      </c>
      <c r="C800" s="23">
        <f>'Jul 23'!$D$30</f>
        <v>0</v>
      </c>
      <c r="D800" s="23">
        <f>'Jul 23'!$B$30</f>
        <v>0</v>
      </c>
      <c r="E800" s="64">
        <f>'Jul 23'!$E$30</f>
        <v>0</v>
      </c>
      <c r="F800" s="23">
        <f>'Jul 23'!$A$30</f>
        <v>0</v>
      </c>
      <c r="G800" s="64">
        <f>'Jul 23'!$F$30</f>
        <v>0</v>
      </c>
      <c r="H800" s="64">
        <f>'Jul 23'!$G$30</f>
        <v>0</v>
      </c>
      <c r="I800" s="64" t="str">
        <f>'Jul 23'!$M$30</f>
        <v/>
      </c>
      <c r="J800" s="25" t="str">
        <f>'Jul 23'!$S$30</f>
        <v/>
      </c>
      <c r="K800" s="23">
        <f>'Jul 23'!$AG$30</f>
        <v>0</v>
      </c>
      <c r="L800" s="23">
        <f>'Jul 23'!$N$30</f>
        <v>0</v>
      </c>
    </row>
    <row r="801" spans="1:12" x14ac:dyDescent="0.25">
      <c r="A801" s="66" t="str">
        <f t="shared" si="12"/>
        <v>✓</v>
      </c>
      <c r="B801" s="67">
        <v>46226</v>
      </c>
      <c r="C801" s="23">
        <f>'Jul 23'!$D$31</f>
        <v>0</v>
      </c>
      <c r="D801" s="23">
        <f>'Jul 23'!$B$31</f>
        <v>0</v>
      </c>
      <c r="E801" s="64">
        <f>'Jul 23'!$E$31</f>
        <v>0</v>
      </c>
      <c r="F801" s="23">
        <f>'Jul 23'!$A$31</f>
        <v>0</v>
      </c>
      <c r="G801" s="64">
        <f>'Jul 23'!$F$31</f>
        <v>0</v>
      </c>
      <c r="H801" s="64">
        <f>'Jul 23'!$G$31</f>
        <v>0</v>
      </c>
      <c r="I801" s="64" t="str">
        <f>'Jul 23'!$M$31</f>
        <v/>
      </c>
      <c r="J801" s="25" t="str">
        <f>'Jul 23'!$S$31</f>
        <v/>
      </c>
      <c r="K801" s="23">
        <f>'Jul 23'!$AG$31</f>
        <v>0</v>
      </c>
      <c r="L801" s="23">
        <f>'Jul 23'!$N$31</f>
        <v>0</v>
      </c>
    </row>
    <row r="802" spans="1:12" x14ac:dyDescent="0.25">
      <c r="A802" s="66" t="str">
        <f t="shared" si="12"/>
        <v>✓</v>
      </c>
      <c r="B802" s="67">
        <v>46226</v>
      </c>
      <c r="C802" s="23">
        <f>'Jul 23'!$D$32</f>
        <v>0</v>
      </c>
      <c r="D802" s="23">
        <f>'Jul 23'!$B$32</f>
        <v>0</v>
      </c>
      <c r="E802" s="64">
        <f>'Jul 23'!$E$32</f>
        <v>0</v>
      </c>
      <c r="F802" s="23">
        <f>'Jul 23'!$A$32</f>
        <v>0</v>
      </c>
      <c r="G802" s="64">
        <f>'Jul 23'!$F$32</f>
        <v>0</v>
      </c>
      <c r="H802" s="64">
        <f>'Jul 23'!$G$32</f>
        <v>0</v>
      </c>
      <c r="I802" s="64" t="str">
        <f>'Jul 23'!$M$32</f>
        <v/>
      </c>
      <c r="J802" s="25" t="str">
        <f>'Jul 23'!$S$32</f>
        <v/>
      </c>
      <c r="K802" s="23">
        <f>'Jul 23'!$AG$32</f>
        <v>0</v>
      </c>
      <c r="L802" s="23">
        <f>'Jul 23'!$N$32</f>
        <v>0</v>
      </c>
    </row>
    <row r="803" spans="1:12" x14ac:dyDescent="0.25">
      <c r="A803" s="66" t="str">
        <f t="shared" si="12"/>
        <v>✓</v>
      </c>
      <c r="B803" s="67">
        <v>46226</v>
      </c>
      <c r="C803" s="23">
        <f>'Jul 23'!$D$33</f>
        <v>0</v>
      </c>
      <c r="D803" s="23">
        <f>'Jul 23'!$B$33</f>
        <v>0</v>
      </c>
      <c r="E803" s="64">
        <f>'Jul 23'!$E$33</f>
        <v>0</v>
      </c>
      <c r="F803" s="23">
        <f>'Jul 23'!$A$33</f>
        <v>0</v>
      </c>
      <c r="G803" s="64">
        <f>'Jul 23'!$F$33</f>
        <v>0</v>
      </c>
      <c r="H803" s="64">
        <f>'Jul 23'!$G$33</f>
        <v>0</v>
      </c>
      <c r="I803" s="64" t="str">
        <f>'Jul 23'!$M$33</f>
        <v/>
      </c>
      <c r="J803" s="25" t="str">
        <f>'Jul 23'!$S$33</f>
        <v/>
      </c>
      <c r="K803" s="23">
        <f>'Jul 23'!$AG$33</f>
        <v>0</v>
      </c>
      <c r="L803" s="23">
        <f>'Jul 23'!$N$33</f>
        <v>0</v>
      </c>
    </row>
    <row r="804" spans="1:12" x14ac:dyDescent="0.25">
      <c r="A804" s="66" t="str">
        <f t="shared" si="12"/>
        <v>✓</v>
      </c>
      <c r="B804" s="67">
        <v>46226</v>
      </c>
      <c r="C804" s="23">
        <f>'Jul 23'!$D$34</f>
        <v>0</v>
      </c>
      <c r="D804" s="23">
        <f>'Jul 23'!$B$34</f>
        <v>0</v>
      </c>
      <c r="E804" s="64">
        <f>'Jul 23'!$E$34</f>
        <v>0</v>
      </c>
      <c r="F804" s="23">
        <f>'Jul 23'!$A$34</f>
        <v>0</v>
      </c>
      <c r="G804" s="64">
        <f>'Jul 23'!$F$34</f>
        <v>0</v>
      </c>
      <c r="H804" s="64">
        <f>'Jul 23'!$G$34</f>
        <v>0</v>
      </c>
      <c r="I804" s="64" t="str">
        <f>'Jul 23'!$M$34</f>
        <v/>
      </c>
      <c r="J804" s="25" t="str">
        <f>'Jul 23'!$S$34</f>
        <v/>
      </c>
      <c r="K804" s="23">
        <f>'Jul 23'!$AG$34</f>
        <v>0</v>
      </c>
      <c r="L804" s="23">
        <f>'Jul 23'!$N$34</f>
        <v>0</v>
      </c>
    </row>
    <row r="805" spans="1:12" x14ac:dyDescent="0.25">
      <c r="A805" s="66" t="str">
        <f t="shared" si="12"/>
        <v>✓</v>
      </c>
      <c r="B805" s="67">
        <v>46226</v>
      </c>
      <c r="C805" s="23">
        <f>'Jul 23'!$D$35</f>
        <v>0</v>
      </c>
      <c r="D805" s="23">
        <f>'Jul 23'!$B$35</f>
        <v>0</v>
      </c>
      <c r="E805" s="64">
        <f>'Jul 23'!$E$35</f>
        <v>0</v>
      </c>
      <c r="F805" s="23">
        <f>'Jul 23'!$A$35</f>
        <v>0</v>
      </c>
      <c r="G805" s="64">
        <f>'Jul 23'!$F$35</f>
        <v>0</v>
      </c>
      <c r="H805" s="64">
        <f>'Jul 23'!$G$35</f>
        <v>0</v>
      </c>
      <c r="I805" s="64" t="str">
        <f>'Jul 23'!$M$35</f>
        <v/>
      </c>
      <c r="J805" s="25" t="str">
        <f>'Jul 23'!$S$35</f>
        <v/>
      </c>
      <c r="K805" s="23">
        <f>'Jul 23'!$AG$35</f>
        <v>0</v>
      </c>
      <c r="L805" s="23">
        <f>'Jul 23'!$N$35</f>
        <v>0</v>
      </c>
    </row>
    <row r="806" spans="1:12" x14ac:dyDescent="0.25">
      <c r="A806" s="66" t="str">
        <f t="shared" si="12"/>
        <v>✓</v>
      </c>
      <c r="B806" s="67">
        <v>46226</v>
      </c>
      <c r="C806" s="23">
        <f>'Jul 23'!$D$36</f>
        <v>0</v>
      </c>
      <c r="D806" s="23">
        <f>'Jul 23'!$B$36</f>
        <v>0</v>
      </c>
      <c r="E806" s="64">
        <f>'Jul 23'!$E$36</f>
        <v>0</v>
      </c>
      <c r="F806" s="23">
        <f>'Jul 23'!$A$36</f>
        <v>0</v>
      </c>
      <c r="G806" s="64">
        <f>'Jul 23'!$F$36</f>
        <v>0</v>
      </c>
      <c r="H806" s="64">
        <f>'Jul 23'!$G$36</f>
        <v>0</v>
      </c>
      <c r="I806" s="64" t="str">
        <f>'Jul 23'!$M$36</f>
        <v/>
      </c>
      <c r="J806" s="25" t="str">
        <f>'Jul 23'!$S$36</f>
        <v/>
      </c>
      <c r="K806" s="23">
        <f>'Jul 23'!$AG$36</f>
        <v>0</v>
      </c>
      <c r="L806" s="23">
        <f>'Jul 23'!$N$36</f>
        <v>0</v>
      </c>
    </row>
    <row r="807" spans="1:12" x14ac:dyDescent="0.25">
      <c r="A807" s="66" t="str">
        <f t="shared" si="12"/>
        <v>✓</v>
      </c>
      <c r="B807" s="67">
        <v>46226</v>
      </c>
      <c r="C807" s="23">
        <f>'Jul 23'!$D$37</f>
        <v>0</v>
      </c>
      <c r="D807" s="23">
        <f>'Jul 23'!$B$37</f>
        <v>0</v>
      </c>
      <c r="E807" s="64">
        <f>'Jul 23'!$E$37</f>
        <v>0</v>
      </c>
      <c r="F807" s="23">
        <f>'Jul 23'!$A$37</f>
        <v>0</v>
      </c>
      <c r="G807" s="64">
        <f>'Jul 23'!$F$37</f>
        <v>0</v>
      </c>
      <c r="H807" s="64">
        <f>'Jul 23'!$G$37</f>
        <v>0</v>
      </c>
      <c r="I807" s="64" t="str">
        <f>'Jul 23'!$M$37</f>
        <v/>
      </c>
      <c r="J807" s="25" t="str">
        <f>'Jul 23'!$S$37</f>
        <v/>
      </c>
      <c r="K807" s="23">
        <f>'Jul 23'!$AG$37</f>
        <v>0</v>
      </c>
      <c r="L807" s="23">
        <f>'Jul 23'!$N$37</f>
        <v>0</v>
      </c>
    </row>
    <row r="808" spans="1:12" x14ac:dyDescent="0.25">
      <c r="A808" s="66" t="str">
        <f t="shared" si="12"/>
        <v>✓</v>
      </c>
      <c r="B808" s="67">
        <v>46226</v>
      </c>
      <c r="C808" s="23">
        <f>'Jul 23'!$D$38</f>
        <v>0</v>
      </c>
      <c r="D808" s="23">
        <f>'Jul 23'!$B$38</f>
        <v>0</v>
      </c>
      <c r="E808" s="64">
        <f>'Jul 23'!$E$38</f>
        <v>0</v>
      </c>
      <c r="F808" s="23">
        <f>'Jul 23'!$A$38</f>
        <v>0</v>
      </c>
      <c r="G808" s="64">
        <f>'Jul 23'!$F$38</f>
        <v>0</v>
      </c>
      <c r="H808" s="64">
        <f>'Jul 23'!$G$38</f>
        <v>0</v>
      </c>
      <c r="I808" s="64" t="str">
        <f>'Jul 23'!$M$38</f>
        <v/>
      </c>
      <c r="J808" s="25" t="str">
        <f>'Jul 23'!$S$38</f>
        <v/>
      </c>
      <c r="K808" s="23">
        <f>'Jul 23'!$AG$38</f>
        <v>0</v>
      </c>
      <c r="L808" s="23">
        <f>'Jul 23'!$N$38</f>
        <v>0</v>
      </c>
    </row>
    <row r="809" spans="1:12" x14ac:dyDescent="0.25">
      <c r="A809" s="66" t="str">
        <f t="shared" si="12"/>
        <v>✓</v>
      </c>
      <c r="B809" s="67">
        <v>46226</v>
      </c>
      <c r="C809" s="23">
        <f>'Jul 23'!$D$39</f>
        <v>0</v>
      </c>
      <c r="D809" s="23">
        <f>'Jul 23'!$B$39</f>
        <v>0</v>
      </c>
      <c r="E809" s="64">
        <f>'Jul 23'!$E$39</f>
        <v>0</v>
      </c>
      <c r="F809" s="23">
        <f>'Jul 23'!$A$39</f>
        <v>0</v>
      </c>
      <c r="G809" s="64">
        <f>'Jul 23'!$F$39</f>
        <v>0</v>
      </c>
      <c r="H809" s="64">
        <f>'Jul 23'!$G$39</f>
        <v>0</v>
      </c>
      <c r="I809" s="64" t="str">
        <f>'Jul 23'!$M$39</f>
        <v/>
      </c>
      <c r="J809" s="25" t="str">
        <f>'Jul 23'!$S$39</f>
        <v/>
      </c>
      <c r="K809" s="23">
        <f>'Jul 23'!$AG$39</f>
        <v>0</v>
      </c>
      <c r="L809" s="23">
        <f>'Jul 23'!$N$39</f>
        <v>0</v>
      </c>
    </row>
    <row r="810" spans="1:12" x14ac:dyDescent="0.25">
      <c r="A810" s="66" t="str">
        <f t="shared" si="12"/>
        <v>✓</v>
      </c>
      <c r="B810" s="67">
        <v>46226</v>
      </c>
      <c r="C810" s="23">
        <f>'Jul 23'!$D$40</f>
        <v>0</v>
      </c>
      <c r="D810" s="23">
        <f>'Jul 23'!$B$40</f>
        <v>0</v>
      </c>
      <c r="E810" s="64">
        <f>'Jul 23'!$E$40</f>
        <v>0</v>
      </c>
      <c r="F810" s="23">
        <f>'Jul 23'!$A$40</f>
        <v>0</v>
      </c>
      <c r="G810" s="64">
        <f>'Jul 23'!$F$40</f>
        <v>0</v>
      </c>
      <c r="H810" s="64">
        <f>'Jul 23'!$G$40</f>
        <v>0</v>
      </c>
      <c r="I810" s="64" t="str">
        <f>'Jul 23'!$M$40</f>
        <v/>
      </c>
      <c r="J810" s="25" t="str">
        <f>'Jul 23'!$S$40</f>
        <v/>
      </c>
      <c r="K810" s="23">
        <f>'Jul 23'!$AG$40</f>
        <v>0</v>
      </c>
      <c r="L810" s="23">
        <f>'Jul 23'!$N$40</f>
        <v>0</v>
      </c>
    </row>
    <row r="811" spans="1:12" x14ac:dyDescent="0.25">
      <c r="A811" s="66" t="str">
        <f t="shared" si="12"/>
        <v>✓</v>
      </c>
      <c r="B811" s="67">
        <v>46226</v>
      </c>
      <c r="C811" s="23">
        <f>'Jul 23'!$D$41</f>
        <v>0</v>
      </c>
      <c r="D811" s="23">
        <f>'Jul 23'!$B$41</f>
        <v>0</v>
      </c>
      <c r="E811" s="64">
        <f>'Jul 23'!$E$41</f>
        <v>0</v>
      </c>
      <c r="F811" s="23">
        <f>'Jul 23'!$A$41</f>
        <v>0</v>
      </c>
      <c r="G811" s="64">
        <f>'Jul 23'!$F$41</f>
        <v>0</v>
      </c>
      <c r="H811" s="64">
        <f>'Jul 23'!$G$41</f>
        <v>0</v>
      </c>
      <c r="I811" s="64" t="str">
        <f>'Jul 23'!$M$41</f>
        <v/>
      </c>
      <c r="J811" s="25" t="str">
        <f>'Jul 23'!$S$41</f>
        <v/>
      </c>
      <c r="K811" s="23">
        <f>'Jul 23'!$AG$41</f>
        <v>0</v>
      </c>
      <c r="L811" s="23">
        <f>'Jul 23'!$N$41</f>
        <v>0</v>
      </c>
    </row>
    <row r="812" spans="1:12" x14ac:dyDescent="0.25">
      <c r="A812" s="66" t="str">
        <f t="shared" si="12"/>
        <v>✓</v>
      </c>
      <c r="B812" s="67">
        <v>46226</v>
      </c>
      <c r="C812" s="23">
        <f>'Jul 23'!$D$42</f>
        <v>0</v>
      </c>
      <c r="D812" s="23">
        <f>'Jul 23'!$B$42</f>
        <v>0</v>
      </c>
      <c r="E812" s="64">
        <f>'Jul 23'!$E$42</f>
        <v>0</v>
      </c>
      <c r="F812" s="23">
        <f>'Jul 23'!$A$42</f>
        <v>0</v>
      </c>
      <c r="G812" s="64">
        <f>'Jul 23'!$F$42</f>
        <v>0</v>
      </c>
      <c r="H812" s="64">
        <f>'Jul 23'!$G$42</f>
        <v>0</v>
      </c>
      <c r="I812" s="64" t="str">
        <f>'Jul 23'!$M$42</f>
        <v/>
      </c>
      <c r="J812" s="25" t="str">
        <f>'Jul 23'!$S$42</f>
        <v/>
      </c>
      <c r="K812" s="23">
        <f>'Jul 23'!$AG$42</f>
        <v>0</v>
      </c>
      <c r="L812" s="23">
        <f>'Jul 23'!$N$42</f>
        <v>0</v>
      </c>
    </row>
    <row r="813" spans="1:12" x14ac:dyDescent="0.25">
      <c r="A813" s="66" t="str">
        <f t="shared" si="12"/>
        <v>✓</v>
      </c>
      <c r="B813" s="67">
        <v>46227</v>
      </c>
      <c r="C813" s="23">
        <f>'Jul 24'!$D$8</f>
        <v>0</v>
      </c>
      <c r="D813" s="23">
        <f>'Jul 24'!$B$8</f>
        <v>0</v>
      </c>
      <c r="E813" s="64">
        <f>'Jul 24'!$E$8</f>
        <v>0</v>
      </c>
      <c r="F813" s="23">
        <f>'Jul 24'!$A$8</f>
        <v>0</v>
      </c>
      <c r="G813" s="64">
        <f>'Jul 24'!$F$8</f>
        <v>0</v>
      </c>
      <c r="H813" s="64">
        <f>'Jul 24'!$G$8</f>
        <v>0</v>
      </c>
      <c r="I813" s="64" t="str">
        <f>'Jul 24'!$M$8</f>
        <v/>
      </c>
      <c r="J813" s="25" t="str">
        <f>'Jul 24'!$S$8</f>
        <v/>
      </c>
      <c r="K813" s="23">
        <f>'Jul 24'!$AG$8</f>
        <v>0</v>
      </c>
      <c r="L813" s="23">
        <f>'Jul 24'!$N$8</f>
        <v>0</v>
      </c>
    </row>
    <row r="814" spans="1:12" x14ac:dyDescent="0.25">
      <c r="A814" s="66" t="str">
        <f t="shared" si="12"/>
        <v>✓</v>
      </c>
      <c r="B814" s="67">
        <v>46227</v>
      </c>
      <c r="C814" s="23">
        <f>'Jul 24'!$D$9</f>
        <v>0</v>
      </c>
      <c r="D814" s="23">
        <f>'Jul 24'!$B$9</f>
        <v>0</v>
      </c>
      <c r="E814" s="64">
        <f>'Jul 24'!$E$9</f>
        <v>0</v>
      </c>
      <c r="F814" s="23">
        <f>'Jul 24'!$A$9</f>
        <v>0</v>
      </c>
      <c r="G814" s="64">
        <f>'Jul 24'!$F$9</f>
        <v>0</v>
      </c>
      <c r="H814" s="64">
        <f>'Jul 24'!$G$9</f>
        <v>0</v>
      </c>
      <c r="I814" s="64" t="str">
        <f>'Jul 24'!$M$9</f>
        <v/>
      </c>
      <c r="J814" s="25" t="str">
        <f>'Jul 24'!$S$9</f>
        <v/>
      </c>
      <c r="K814" s="23">
        <f>'Jul 24'!$AG$9</f>
        <v>0</v>
      </c>
      <c r="L814" s="23">
        <f>'Jul 24'!$N$9</f>
        <v>0</v>
      </c>
    </row>
    <row r="815" spans="1:12" x14ac:dyDescent="0.25">
      <c r="A815" s="66" t="str">
        <f t="shared" si="12"/>
        <v>✓</v>
      </c>
      <c r="B815" s="67">
        <v>46227</v>
      </c>
      <c r="C815" s="23">
        <f>'Jul 24'!$D$10</f>
        <v>0</v>
      </c>
      <c r="D815" s="23">
        <f>'Jul 24'!$B$10</f>
        <v>0</v>
      </c>
      <c r="E815" s="64">
        <f>'Jul 24'!$E$10</f>
        <v>0</v>
      </c>
      <c r="F815" s="23">
        <f>'Jul 24'!$A$10</f>
        <v>0</v>
      </c>
      <c r="G815" s="64">
        <f>'Jul 24'!$F$10</f>
        <v>0</v>
      </c>
      <c r="H815" s="64">
        <f>'Jul 24'!$G$10</f>
        <v>0</v>
      </c>
      <c r="I815" s="64" t="str">
        <f>'Jul 24'!$M$10</f>
        <v/>
      </c>
      <c r="J815" s="25" t="str">
        <f>'Jul 24'!$S$10</f>
        <v/>
      </c>
      <c r="K815" s="23">
        <f>'Jul 24'!$AG$10</f>
        <v>0</v>
      </c>
      <c r="L815" s="23">
        <f>'Jul 24'!$N$10</f>
        <v>0</v>
      </c>
    </row>
    <row r="816" spans="1:12" x14ac:dyDescent="0.25">
      <c r="A816" s="66" t="str">
        <f t="shared" si="12"/>
        <v>✓</v>
      </c>
      <c r="B816" s="67">
        <v>46227</v>
      </c>
      <c r="C816" s="23">
        <f>'Jul 24'!$D$11</f>
        <v>0</v>
      </c>
      <c r="D816" s="23">
        <f>'Jul 24'!$B$11</f>
        <v>0</v>
      </c>
      <c r="E816" s="64">
        <f>'Jul 24'!$E$11</f>
        <v>0</v>
      </c>
      <c r="F816" s="23">
        <f>'Jul 24'!$A$11</f>
        <v>0</v>
      </c>
      <c r="G816" s="64">
        <f>'Jul 24'!$F$11</f>
        <v>0</v>
      </c>
      <c r="H816" s="64">
        <f>'Jul 24'!$G$11</f>
        <v>0</v>
      </c>
      <c r="I816" s="64" t="str">
        <f>'Jul 24'!$M$11</f>
        <v/>
      </c>
      <c r="J816" s="25" t="str">
        <f>'Jul 24'!$S$11</f>
        <v/>
      </c>
      <c r="K816" s="23">
        <f>'Jul 24'!$AG$11</f>
        <v>0</v>
      </c>
      <c r="L816" s="23">
        <f>'Jul 24'!$N$11</f>
        <v>0</v>
      </c>
    </row>
    <row r="817" spans="1:12" x14ac:dyDescent="0.25">
      <c r="A817" s="66" t="str">
        <f t="shared" si="12"/>
        <v>✓</v>
      </c>
      <c r="B817" s="67">
        <v>46227</v>
      </c>
      <c r="C817" s="23">
        <f>'Jul 24'!$D$12</f>
        <v>0</v>
      </c>
      <c r="D817" s="23">
        <f>'Jul 24'!$B$12</f>
        <v>0</v>
      </c>
      <c r="E817" s="64">
        <f>'Jul 24'!$E$12</f>
        <v>0</v>
      </c>
      <c r="F817" s="23">
        <f>'Jul 24'!$A$12</f>
        <v>0</v>
      </c>
      <c r="G817" s="64">
        <f>'Jul 24'!$F$12</f>
        <v>0</v>
      </c>
      <c r="H817" s="64">
        <f>'Jul 24'!$G$12</f>
        <v>0</v>
      </c>
      <c r="I817" s="64" t="str">
        <f>'Jul 24'!$M$12</f>
        <v/>
      </c>
      <c r="J817" s="25" t="str">
        <f>'Jul 24'!$S$12</f>
        <v/>
      </c>
      <c r="K817" s="23">
        <f>'Jul 24'!$AG$12</f>
        <v>0</v>
      </c>
      <c r="L817" s="23">
        <f>'Jul 24'!$N$12</f>
        <v>0</v>
      </c>
    </row>
    <row r="818" spans="1:12" x14ac:dyDescent="0.25">
      <c r="A818" s="66" t="str">
        <f t="shared" si="12"/>
        <v>✓</v>
      </c>
      <c r="B818" s="67">
        <v>46227</v>
      </c>
      <c r="C818" s="23">
        <f>'Jul 24'!$D$13</f>
        <v>0</v>
      </c>
      <c r="D818" s="23">
        <f>'Jul 24'!$B$13</f>
        <v>0</v>
      </c>
      <c r="E818" s="64">
        <f>'Jul 24'!$E$13</f>
        <v>0</v>
      </c>
      <c r="F818" s="23">
        <f>'Jul 24'!$A$13</f>
        <v>0</v>
      </c>
      <c r="G818" s="64">
        <f>'Jul 24'!$F$13</f>
        <v>0</v>
      </c>
      <c r="H818" s="64">
        <f>'Jul 24'!$G$13</f>
        <v>0</v>
      </c>
      <c r="I818" s="64" t="str">
        <f>'Jul 24'!$M$13</f>
        <v/>
      </c>
      <c r="J818" s="25" t="str">
        <f>'Jul 24'!$S$13</f>
        <v/>
      </c>
      <c r="K818" s="23">
        <f>'Jul 24'!$AG$13</f>
        <v>0</v>
      </c>
      <c r="L818" s="23">
        <f>'Jul 24'!$N$13</f>
        <v>0</v>
      </c>
    </row>
    <row r="819" spans="1:12" x14ac:dyDescent="0.25">
      <c r="A819" s="66" t="str">
        <f t="shared" si="12"/>
        <v>✓</v>
      </c>
      <c r="B819" s="67">
        <v>46227</v>
      </c>
      <c r="C819" s="23">
        <f>'Jul 24'!$D$14</f>
        <v>0</v>
      </c>
      <c r="D819" s="23">
        <f>'Jul 24'!$B$14</f>
        <v>0</v>
      </c>
      <c r="E819" s="64">
        <f>'Jul 24'!$E$14</f>
        <v>0</v>
      </c>
      <c r="F819" s="23">
        <f>'Jul 24'!$A$14</f>
        <v>0</v>
      </c>
      <c r="G819" s="64">
        <f>'Jul 24'!$F$14</f>
        <v>0</v>
      </c>
      <c r="H819" s="64">
        <f>'Jul 24'!$G$14</f>
        <v>0</v>
      </c>
      <c r="I819" s="64" t="str">
        <f>'Jul 24'!$M$14</f>
        <v/>
      </c>
      <c r="J819" s="25" t="str">
        <f>'Jul 24'!$S$14</f>
        <v/>
      </c>
      <c r="K819" s="23">
        <f>'Jul 24'!$AG$14</f>
        <v>0</v>
      </c>
      <c r="L819" s="23">
        <f>'Jul 24'!$N$14</f>
        <v>0</v>
      </c>
    </row>
    <row r="820" spans="1:12" x14ac:dyDescent="0.25">
      <c r="A820" s="66" t="str">
        <f t="shared" si="12"/>
        <v>✓</v>
      </c>
      <c r="B820" s="67">
        <v>46227</v>
      </c>
      <c r="C820" s="23">
        <f>'Jul 24'!$D$15</f>
        <v>0</v>
      </c>
      <c r="D820" s="23">
        <f>'Jul 24'!$B$15</f>
        <v>0</v>
      </c>
      <c r="E820" s="64">
        <f>'Jul 24'!$E$15</f>
        <v>0</v>
      </c>
      <c r="F820" s="23">
        <f>'Jul 24'!$A$15</f>
        <v>0</v>
      </c>
      <c r="G820" s="64">
        <f>'Jul 24'!$F$15</f>
        <v>0</v>
      </c>
      <c r="H820" s="64">
        <f>'Jul 24'!$G$15</f>
        <v>0</v>
      </c>
      <c r="I820" s="64" t="str">
        <f>'Jul 24'!$M$15</f>
        <v/>
      </c>
      <c r="J820" s="25" t="str">
        <f>'Jul 24'!$S$15</f>
        <v/>
      </c>
      <c r="K820" s="23">
        <f>'Jul 24'!$AG$15</f>
        <v>0</v>
      </c>
      <c r="L820" s="23">
        <f>'Jul 24'!$N$15</f>
        <v>0</v>
      </c>
    </row>
    <row r="821" spans="1:12" x14ac:dyDescent="0.25">
      <c r="A821" s="66" t="str">
        <f t="shared" si="12"/>
        <v>✓</v>
      </c>
      <c r="B821" s="67">
        <v>46227</v>
      </c>
      <c r="C821" s="23">
        <f>'Jul 24'!$D$16</f>
        <v>0</v>
      </c>
      <c r="D821" s="23">
        <f>'Jul 24'!$B$16</f>
        <v>0</v>
      </c>
      <c r="E821" s="64">
        <f>'Jul 24'!$E$16</f>
        <v>0</v>
      </c>
      <c r="F821" s="23">
        <f>'Jul 24'!$A$16</f>
        <v>0</v>
      </c>
      <c r="G821" s="64">
        <f>'Jul 24'!$F$16</f>
        <v>0</v>
      </c>
      <c r="H821" s="64">
        <f>'Jul 24'!$G$16</f>
        <v>0</v>
      </c>
      <c r="I821" s="64" t="str">
        <f>'Jul 24'!$M$16</f>
        <v/>
      </c>
      <c r="J821" s="25" t="str">
        <f>'Jul 24'!$S$16</f>
        <v/>
      </c>
      <c r="K821" s="23">
        <f>'Jul 24'!$AG$16</f>
        <v>0</v>
      </c>
      <c r="L821" s="23">
        <f>'Jul 24'!$N$16</f>
        <v>0</v>
      </c>
    </row>
    <row r="822" spans="1:12" x14ac:dyDescent="0.25">
      <c r="A822" s="66" t="str">
        <f t="shared" si="12"/>
        <v>✓</v>
      </c>
      <c r="B822" s="67">
        <v>46227</v>
      </c>
      <c r="C822" s="23">
        <f>'Jul 24'!$D$17</f>
        <v>0</v>
      </c>
      <c r="D822" s="23">
        <f>'Jul 24'!$B$17</f>
        <v>0</v>
      </c>
      <c r="E822" s="64">
        <f>'Jul 24'!$E$17</f>
        <v>0</v>
      </c>
      <c r="F822" s="23">
        <f>'Jul 24'!$A$17</f>
        <v>0</v>
      </c>
      <c r="G822" s="64">
        <f>'Jul 24'!$F$17</f>
        <v>0</v>
      </c>
      <c r="H822" s="64">
        <f>'Jul 24'!$G$17</f>
        <v>0</v>
      </c>
      <c r="I822" s="64" t="str">
        <f>'Jul 24'!$M$17</f>
        <v/>
      </c>
      <c r="J822" s="25" t="str">
        <f>'Jul 24'!$S$17</f>
        <v/>
      </c>
      <c r="K822" s="23">
        <f>'Jul 24'!$AG$17</f>
        <v>0</v>
      </c>
      <c r="L822" s="23">
        <f>'Jul 24'!$N$17</f>
        <v>0</v>
      </c>
    </row>
    <row r="823" spans="1:12" x14ac:dyDescent="0.25">
      <c r="A823" s="66" t="str">
        <f t="shared" si="12"/>
        <v>✓</v>
      </c>
      <c r="B823" s="67">
        <v>46227</v>
      </c>
      <c r="C823" s="23">
        <f>'Jul 24'!$D$18</f>
        <v>0</v>
      </c>
      <c r="D823" s="23">
        <f>'Jul 24'!$B$18</f>
        <v>0</v>
      </c>
      <c r="E823" s="64">
        <f>'Jul 24'!$E$18</f>
        <v>0</v>
      </c>
      <c r="F823" s="23">
        <f>'Jul 24'!$A$18</f>
        <v>0</v>
      </c>
      <c r="G823" s="64">
        <f>'Jul 24'!$F$18</f>
        <v>0</v>
      </c>
      <c r="H823" s="64">
        <f>'Jul 24'!$G$18</f>
        <v>0</v>
      </c>
      <c r="I823" s="64" t="str">
        <f>'Jul 24'!$M$18</f>
        <v/>
      </c>
      <c r="J823" s="25" t="str">
        <f>'Jul 24'!$S$18</f>
        <v/>
      </c>
      <c r="K823" s="23">
        <f>'Jul 24'!$AG$18</f>
        <v>0</v>
      </c>
      <c r="L823" s="23">
        <f>'Jul 24'!$N$18</f>
        <v>0</v>
      </c>
    </row>
    <row r="824" spans="1:12" x14ac:dyDescent="0.25">
      <c r="A824" s="66" t="str">
        <f t="shared" si="12"/>
        <v>✓</v>
      </c>
      <c r="B824" s="67">
        <v>46227</v>
      </c>
      <c r="C824" s="23">
        <f>'Jul 24'!$D$19</f>
        <v>0</v>
      </c>
      <c r="D824" s="23">
        <f>'Jul 24'!$B$19</f>
        <v>0</v>
      </c>
      <c r="E824" s="64">
        <f>'Jul 24'!$E$19</f>
        <v>0</v>
      </c>
      <c r="F824" s="23">
        <f>'Jul 24'!$A$19</f>
        <v>0</v>
      </c>
      <c r="G824" s="64">
        <f>'Jul 24'!$F$19</f>
        <v>0</v>
      </c>
      <c r="H824" s="64">
        <f>'Jul 24'!$G$19</f>
        <v>0</v>
      </c>
      <c r="I824" s="64" t="str">
        <f>'Jul 24'!$M$19</f>
        <v/>
      </c>
      <c r="J824" s="25" t="str">
        <f>'Jul 24'!$S$19</f>
        <v/>
      </c>
      <c r="K824" s="23">
        <f>'Jul 24'!$AG$19</f>
        <v>0</v>
      </c>
      <c r="L824" s="23">
        <f>'Jul 24'!$N$19</f>
        <v>0</v>
      </c>
    </row>
    <row r="825" spans="1:12" x14ac:dyDescent="0.25">
      <c r="A825" s="66" t="str">
        <f t="shared" si="12"/>
        <v>✓</v>
      </c>
      <c r="B825" s="67">
        <v>46227</v>
      </c>
      <c r="C825" s="23">
        <f>'Jul 24'!$D$20</f>
        <v>0</v>
      </c>
      <c r="D825" s="23">
        <f>'Jul 24'!$B$20</f>
        <v>0</v>
      </c>
      <c r="E825" s="64">
        <f>'Jul 24'!$E$20</f>
        <v>0</v>
      </c>
      <c r="F825" s="23">
        <f>'Jul 24'!$A$20</f>
        <v>0</v>
      </c>
      <c r="G825" s="64">
        <f>'Jul 24'!$F$20</f>
        <v>0</v>
      </c>
      <c r="H825" s="64">
        <f>'Jul 24'!$G$20</f>
        <v>0</v>
      </c>
      <c r="I825" s="64" t="str">
        <f>'Jul 24'!$M$20</f>
        <v/>
      </c>
      <c r="J825" s="25" t="str">
        <f>'Jul 24'!$S$20</f>
        <v/>
      </c>
      <c r="K825" s="23">
        <f>'Jul 24'!$AG$20</f>
        <v>0</v>
      </c>
      <c r="L825" s="23">
        <f>'Jul 24'!$N$20</f>
        <v>0</v>
      </c>
    </row>
    <row r="826" spans="1:12" x14ac:dyDescent="0.25">
      <c r="A826" s="66" t="str">
        <f t="shared" si="12"/>
        <v>✓</v>
      </c>
      <c r="B826" s="67">
        <v>46227</v>
      </c>
      <c r="C826" s="23">
        <f>'Jul 24'!$D$21</f>
        <v>0</v>
      </c>
      <c r="D826" s="23">
        <f>'Jul 24'!$B$21</f>
        <v>0</v>
      </c>
      <c r="E826" s="64">
        <f>'Jul 24'!$E$21</f>
        <v>0</v>
      </c>
      <c r="F826" s="23">
        <f>'Jul 24'!$A$21</f>
        <v>0</v>
      </c>
      <c r="G826" s="64">
        <f>'Jul 24'!$F$21</f>
        <v>0</v>
      </c>
      <c r="H826" s="64">
        <f>'Jul 24'!$G$21</f>
        <v>0</v>
      </c>
      <c r="I826" s="64" t="str">
        <f>'Jul 24'!$M$21</f>
        <v/>
      </c>
      <c r="J826" s="25" t="str">
        <f>'Jul 24'!$S$21</f>
        <v/>
      </c>
      <c r="K826" s="23">
        <f>'Jul 24'!$AG$21</f>
        <v>0</v>
      </c>
      <c r="L826" s="23">
        <f>'Jul 24'!$N$21</f>
        <v>0</v>
      </c>
    </row>
    <row r="827" spans="1:12" x14ac:dyDescent="0.25">
      <c r="A827" s="66" t="str">
        <f t="shared" si="12"/>
        <v>✓</v>
      </c>
      <c r="B827" s="67">
        <v>46227</v>
      </c>
      <c r="C827" s="23">
        <f>'Jul 24'!$D$22</f>
        <v>0</v>
      </c>
      <c r="D827" s="23">
        <f>'Jul 24'!$B$22</f>
        <v>0</v>
      </c>
      <c r="E827" s="64">
        <f>'Jul 24'!$E$22</f>
        <v>0</v>
      </c>
      <c r="F827" s="23">
        <f>'Jul 24'!$A$22</f>
        <v>0</v>
      </c>
      <c r="G827" s="64">
        <f>'Jul 24'!$F$22</f>
        <v>0</v>
      </c>
      <c r="H827" s="64">
        <f>'Jul 24'!$G$22</f>
        <v>0</v>
      </c>
      <c r="I827" s="64" t="str">
        <f>'Jul 24'!$M$22</f>
        <v/>
      </c>
      <c r="J827" s="25" t="str">
        <f>'Jul 24'!$S$22</f>
        <v/>
      </c>
      <c r="K827" s="23">
        <f>'Jul 24'!$AG$22</f>
        <v>0</v>
      </c>
      <c r="L827" s="23">
        <f>'Jul 24'!$N$22</f>
        <v>0</v>
      </c>
    </row>
    <row r="828" spans="1:12" x14ac:dyDescent="0.25">
      <c r="A828" s="66" t="str">
        <f t="shared" si="12"/>
        <v>✓</v>
      </c>
      <c r="B828" s="67">
        <v>46227</v>
      </c>
      <c r="C828" s="23">
        <f>'Jul 24'!$D$23</f>
        <v>0</v>
      </c>
      <c r="D828" s="23">
        <f>'Jul 24'!$B$23</f>
        <v>0</v>
      </c>
      <c r="E828" s="64">
        <f>'Jul 24'!$E$23</f>
        <v>0</v>
      </c>
      <c r="F828" s="23">
        <f>'Jul 24'!$A$23</f>
        <v>0</v>
      </c>
      <c r="G828" s="64">
        <f>'Jul 24'!$F$23</f>
        <v>0</v>
      </c>
      <c r="H828" s="64">
        <f>'Jul 24'!$G$23</f>
        <v>0</v>
      </c>
      <c r="I828" s="64" t="str">
        <f>'Jul 24'!$M$23</f>
        <v/>
      </c>
      <c r="J828" s="25" t="str">
        <f>'Jul 24'!$S$23</f>
        <v/>
      </c>
      <c r="K828" s="23">
        <f>'Jul 24'!$AG$23</f>
        <v>0</v>
      </c>
      <c r="L828" s="23">
        <f>'Jul 24'!$N$23</f>
        <v>0</v>
      </c>
    </row>
    <row r="829" spans="1:12" x14ac:dyDescent="0.25">
      <c r="A829" s="66" t="str">
        <f t="shared" si="12"/>
        <v>✓</v>
      </c>
      <c r="B829" s="67">
        <v>46227</v>
      </c>
      <c r="C829" s="23">
        <f>'Jul 24'!$D$24</f>
        <v>0</v>
      </c>
      <c r="D829" s="23">
        <f>'Jul 24'!$B$24</f>
        <v>0</v>
      </c>
      <c r="E829" s="64">
        <f>'Jul 24'!$E$24</f>
        <v>0</v>
      </c>
      <c r="F829" s="23">
        <f>'Jul 24'!$A$24</f>
        <v>0</v>
      </c>
      <c r="G829" s="64">
        <f>'Jul 24'!$F$24</f>
        <v>0</v>
      </c>
      <c r="H829" s="64">
        <f>'Jul 24'!$G$24</f>
        <v>0</v>
      </c>
      <c r="I829" s="64" t="str">
        <f>'Jul 24'!$M$24</f>
        <v/>
      </c>
      <c r="J829" s="25" t="str">
        <f>'Jul 24'!$S$24</f>
        <v/>
      </c>
      <c r="K829" s="23">
        <f>'Jul 24'!$AG$24</f>
        <v>0</v>
      </c>
      <c r="L829" s="23">
        <f>'Jul 24'!$N$24</f>
        <v>0</v>
      </c>
    </row>
    <row r="830" spans="1:12" x14ac:dyDescent="0.25">
      <c r="A830" s="66" t="str">
        <f t="shared" si="12"/>
        <v>✓</v>
      </c>
      <c r="B830" s="67">
        <v>46227</v>
      </c>
      <c r="C830" s="23">
        <f>'Jul 24'!$D$25</f>
        <v>0</v>
      </c>
      <c r="D830" s="23">
        <f>'Jul 24'!$B$25</f>
        <v>0</v>
      </c>
      <c r="E830" s="64">
        <f>'Jul 24'!$E$25</f>
        <v>0</v>
      </c>
      <c r="F830" s="23">
        <f>'Jul 24'!$A$25</f>
        <v>0</v>
      </c>
      <c r="G830" s="64">
        <f>'Jul 24'!$F$25</f>
        <v>0</v>
      </c>
      <c r="H830" s="64">
        <f>'Jul 24'!$G$25</f>
        <v>0</v>
      </c>
      <c r="I830" s="64" t="str">
        <f>'Jul 24'!$M$25</f>
        <v/>
      </c>
      <c r="J830" s="25" t="str">
        <f>'Jul 24'!$S$25</f>
        <v/>
      </c>
      <c r="K830" s="23">
        <f>'Jul 24'!$AG$25</f>
        <v>0</v>
      </c>
      <c r="L830" s="23">
        <f>'Jul 24'!$N$25</f>
        <v>0</v>
      </c>
    </row>
    <row r="831" spans="1:12" x14ac:dyDescent="0.25">
      <c r="A831" s="66" t="str">
        <f t="shared" si="12"/>
        <v>✓</v>
      </c>
      <c r="B831" s="67">
        <v>46227</v>
      </c>
      <c r="C831" s="23">
        <f>'Jul 24'!$D$26</f>
        <v>0</v>
      </c>
      <c r="D831" s="23">
        <f>'Jul 24'!$B$26</f>
        <v>0</v>
      </c>
      <c r="E831" s="64">
        <f>'Jul 24'!$E$26</f>
        <v>0</v>
      </c>
      <c r="F831" s="23">
        <f>'Jul 24'!$A$26</f>
        <v>0</v>
      </c>
      <c r="G831" s="64">
        <f>'Jul 24'!$F$26</f>
        <v>0</v>
      </c>
      <c r="H831" s="64">
        <f>'Jul 24'!$G$26</f>
        <v>0</v>
      </c>
      <c r="I831" s="64" t="str">
        <f>'Jul 24'!$M$26</f>
        <v/>
      </c>
      <c r="J831" s="25" t="str">
        <f>'Jul 24'!$S$26</f>
        <v/>
      </c>
      <c r="K831" s="23">
        <f>'Jul 24'!$AG$26</f>
        <v>0</v>
      </c>
      <c r="L831" s="23">
        <f>'Jul 24'!$N$26</f>
        <v>0</v>
      </c>
    </row>
    <row r="832" spans="1:12" x14ac:dyDescent="0.25">
      <c r="A832" s="66" t="str">
        <f t="shared" si="12"/>
        <v>✓</v>
      </c>
      <c r="B832" s="67">
        <v>46227</v>
      </c>
      <c r="C832" s="23">
        <f>'Jul 24'!$D$27</f>
        <v>0</v>
      </c>
      <c r="D832" s="23">
        <f>'Jul 24'!$B$27</f>
        <v>0</v>
      </c>
      <c r="E832" s="64">
        <f>'Jul 24'!$E$27</f>
        <v>0</v>
      </c>
      <c r="F832" s="23">
        <f>'Jul 24'!$A$27</f>
        <v>0</v>
      </c>
      <c r="G832" s="64">
        <f>'Jul 24'!$F$27</f>
        <v>0</v>
      </c>
      <c r="H832" s="64">
        <f>'Jul 24'!$G$27</f>
        <v>0</v>
      </c>
      <c r="I832" s="64" t="str">
        <f>'Jul 24'!$M$27</f>
        <v/>
      </c>
      <c r="J832" s="25" t="str">
        <f>'Jul 24'!$S$27</f>
        <v/>
      </c>
      <c r="K832" s="23">
        <f>'Jul 24'!$AG$27</f>
        <v>0</v>
      </c>
      <c r="L832" s="23">
        <f>'Jul 24'!$N$27</f>
        <v>0</v>
      </c>
    </row>
    <row r="833" spans="1:12" x14ac:dyDescent="0.25">
      <c r="A833" s="66" t="str">
        <f t="shared" si="12"/>
        <v>✓</v>
      </c>
      <c r="B833" s="67">
        <v>46227</v>
      </c>
      <c r="C833" s="23">
        <f>'Jul 24'!$D$28</f>
        <v>0</v>
      </c>
      <c r="D833" s="23">
        <f>'Jul 24'!$B$28</f>
        <v>0</v>
      </c>
      <c r="E833" s="64">
        <f>'Jul 24'!$E$28</f>
        <v>0</v>
      </c>
      <c r="F833" s="23">
        <f>'Jul 24'!$A$28</f>
        <v>0</v>
      </c>
      <c r="G833" s="64">
        <f>'Jul 24'!$F$28</f>
        <v>0</v>
      </c>
      <c r="H833" s="64">
        <f>'Jul 24'!$G$28</f>
        <v>0</v>
      </c>
      <c r="I833" s="64" t="str">
        <f>'Jul 24'!$M$28</f>
        <v/>
      </c>
      <c r="J833" s="25" t="str">
        <f>'Jul 24'!$S$28</f>
        <v/>
      </c>
      <c r="K833" s="23">
        <f>'Jul 24'!$AG$28</f>
        <v>0</v>
      </c>
      <c r="L833" s="23">
        <f>'Jul 24'!$N$28</f>
        <v>0</v>
      </c>
    </row>
    <row r="834" spans="1:12" x14ac:dyDescent="0.25">
      <c r="A834" s="66" t="str">
        <f t="shared" si="12"/>
        <v>✓</v>
      </c>
      <c r="B834" s="67">
        <v>46227</v>
      </c>
      <c r="C834" s="23">
        <f>'Jul 24'!$D$29</f>
        <v>0</v>
      </c>
      <c r="D834" s="23">
        <f>'Jul 24'!$B$29</f>
        <v>0</v>
      </c>
      <c r="E834" s="64">
        <f>'Jul 24'!$E$29</f>
        <v>0</v>
      </c>
      <c r="F834" s="23">
        <f>'Jul 24'!$A$29</f>
        <v>0</v>
      </c>
      <c r="G834" s="64">
        <f>'Jul 24'!$F$29</f>
        <v>0</v>
      </c>
      <c r="H834" s="64">
        <f>'Jul 24'!$G$29</f>
        <v>0</v>
      </c>
      <c r="I834" s="64" t="str">
        <f>'Jul 24'!$M$29</f>
        <v/>
      </c>
      <c r="J834" s="25" t="str">
        <f>'Jul 24'!$S$29</f>
        <v/>
      </c>
      <c r="K834" s="23">
        <f>'Jul 24'!$AG$29</f>
        <v>0</v>
      </c>
      <c r="L834" s="23">
        <f>'Jul 24'!$N$29</f>
        <v>0</v>
      </c>
    </row>
    <row r="835" spans="1:12" x14ac:dyDescent="0.25">
      <c r="A835" s="66" t="str">
        <f t="shared" si="12"/>
        <v>✓</v>
      </c>
      <c r="B835" s="67">
        <v>46227</v>
      </c>
      <c r="C835" s="23">
        <f>'Jul 24'!$D$30</f>
        <v>0</v>
      </c>
      <c r="D835" s="23">
        <f>'Jul 24'!$B$30</f>
        <v>0</v>
      </c>
      <c r="E835" s="64">
        <f>'Jul 24'!$E$30</f>
        <v>0</v>
      </c>
      <c r="F835" s="23">
        <f>'Jul 24'!$A$30</f>
        <v>0</v>
      </c>
      <c r="G835" s="64">
        <f>'Jul 24'!$F$30</f>
        <v>0</v>
      </c>
      <c r="H835" s="64">
        <f>'Jul 24'!$G$30</f>
        <v>0</v>
      </c>
      <c r="I835" s="64" t="str">
        <f>'Jul 24'!$M$30</f>
        <v/>
      </c>
      <c r="J835" s="25" t="str">
        <f>'Jul 24'!$S$30</f>
        <v/>
      </c>
      <c r="K835" s="23">
        <f>'Jul 24'!$AG$30</f>
        <v>0</v>
      </c>
      <c r="L835" s="23">
        <f>'Jul 24'!$N$30</f>
        <v>0</v>
      </c>
    </row>
    <row r="836" spans="1:12" x14ac:dyDescent="0.25">
      <c r="A836" s="66" t="str">
        <f t="shared" si="12"/>
        <v>✓</v>
      </c>
      <c r="B836" s="67">
        <v>46227</v>
      </c>
      <c r="C836" s="23">
        <f>'Jul 24'!$D$31</f>
        <v>0</v>
      </c>
      <c r="D836" s="23">
        <f>'Jul 24'!$B$31</f>
        <v>0</v>
      </c>
      <c r="E836" s="64">
        <f>'Jul 24'!$E$31</f>
        <v>0</v>
      </c>
      <c r="F836" s="23">
        <f>'Jul 24'!$A$31</f>
        <v>0</v>
      </c>
      <c r="G836" s="64">
        <f>'Jul 24'!$F$31</f>
        <v>0</v>
      </c>
      <c r="H836" s="64">
        <f>'Jul 24'!$G$31</f>
        <v>0</v>
      </c>
      <c r="I836" s="64" t="str">
        <f>'Jul 24'!$M$31</f>
        <v/>
      </c>
      <c r="J836" s="25" t="str">
        <f>'Jul 24'!$S$31</f>
        <v/>
      </c>
      <c r="K836" s="23">
        <f>'Jul 24'!$AG$31</f>
        <v>0</v>
      </c>
      <c r="L836" s="23">
        <f>'Jul 24'!$N$31</f>
        <v>0</v>
      </c>
    </row>
    <row r="837" spans="1:12" x14ac:dyDescent="0.25">
      <c r="A837" s="66" t="str">
        <f t="shared" si="12"/>
        <v>✓</v>
      </c>
      <c r="B837" s="67">
        <v>46227</v>
      </c>
      <c r="C837" s="23">
        <f>'Jul 24'!$D$32</f>
        <v>0</v>
      </c>
      <c r="D837" s="23">
        <f>'Jul 24'!$B$32</f>
        <v>0</v>
      </c>
      <c r="E837" s="64">
        <f>'Jul 24'!$E$32</f>
        <v>0</v>
      </c>
      <c r="F837" s="23">
        <f>'Jul 24'!$A$32</f>
        <v>0</v>
      </c>
      <c r="G837" s="64">
        <f>'Jul 24'!$F$32</f>
        <v>0</v>
      </c>
      <c r="H837" s="64">
        <f>'Jul 24'!$G$32</f>
        <v>0</v>
      </c>
      <c r="I837" s="64" t="str">
        <f>'Jul 24'!$M$32</f>
        <v/>
      </c>
      <c r="J837" s="25" t="str">
        <f>'Jul 24'!$S$32</f>
        <v/>
      </c>
      <c r="K837" s="23">
        <f>'Jul 24'!$AG$32</f>
        <v>0</v>
      </c>
      <c r="L837" s="23">
        <f>'Jul 24'!$N$32</f>
        <v>0</v>
      </c>
    </row>
    <row r="838" spans="1:12" x14ac:dyDescent="0.25">
      <c r="A838" s="66" t="str">
        <f t="shared" si="12"/>
        <v>✓</v>
      </c>
      <c r="B838" s="67">
        <v>46227</v>
      </c>
      <c r="C838" s="23">
        <f>'Jul 24'!$D$33</f>
        <v>0</v>
      </c>
      <c r="D838" s="23">
        <f>'Jul 24'!$B$33</f>
        <v>0</v>
      </c>
      <c r="E838" s="64">
        <f>'Jul 24'!$E$33</f>
        <v>0</v>
      </c>
      <c r="F838" s="23">
        <f>'Jul 24'!$A$33</f>
        <v>0</v>
      </c>
      <c r="G838" s="64">
        <f>'Jul 24'!$F$33</f>
        <v>0</v>
      </c>
      <c r="H838" s="64">
        <f>'Jul 24'!$G$33</f>
        <v>0</v>
      </c>
      <c r="I838" s="64" t="str">
        <f>'Jul 24'!$M$33</f>
        <v/>
      </c>
      <c r="J838" s="25" t="str">
        <f>'Jul 24'!$S$33</f>
        <v/>
      </c>
      <c r="K838" s="23">
        <f>'Jul 24'!$AG$33</f>
        <v>0</v>
      </c>
      <c r="L838" s="23">
        <f>'Jul 24'!$N$33</f>
        <v>0</v>
      </c>
    </row>
    <row r="839" spans="1:12" x14ac:dyDescent="0.25">
      <c r="A839" s="66" t="str">
        <f t="shared" si="12"/>
        <v>✓</v>
      </c>
      <c r="B839" s="67">
        <v>46227</v>
      </c>
      <c r="C839" s="23">
        <f>'Jul 24'!$D$34</f>
        <v>0</v>
      </c>
      <c r="D839" s="23">
        <f>'Jul 24'!$B$34</f>
        <v>0</v>
      </c>
      <c r="E839" s="64">
        <f>'Jul 24'!$E$34</f>
        <v>0</v>
      </c>
      <c r="F839" s="23">
        <f>'Jul 24'!$A$34</f>
        <v>0</v>
      </c>
      <c r="G839" s="64">
        <f>'Jul 24'!$F$34</f>
        <v>0</v>
      </c>
      <c r="H839" s="64">
        <f>'Jul 24'!$G$34</f>
        <v>0</v>
      </c>
      <c r="I839" s="64" t="str">
        <f>'Jul 24'!$M$34</f>
        <v/>
      </c>
      <c r="J839" s="25" t="str">
        <f>'Jul 24'!$S$34</f>
        <v/>
      </c>
      <c r="K839" s="23">
        <f>'Jul 24'!$AG$34</f>
        <v>0</v>
      </c>
      <c r="L839" s="23">
        <f>'Jul 24'!$N$34</f>
        <v>0</v>
      </c>
    </row>
    <row r="840" spans="1:12" x14ac:dyDescent="0.25">
      <c r="A840" s="66" t="str">
        <f t="shared" ref="A840:A903" si="13">IF(C840="","",IF(AND(OR($B$5="",G840=$B$5,H840=$B$5),OR($D$5="",F840=$D$5),OR($E$5="",K840=$E$5),OR($G$5="",L840=$G$5),OR($H$5="",N(J840)&gt;=$H$5),OR($I$5="",ISNUMBER(SEARCH($I$5,C840&amp;" "&amp;D840&amp;" "&amp;E840&amp;" "&amp;I840)))),"✓",""))</f>
        <v>✓</v>
      </c>
      <c r="B840" s="67">
        <v>46227</v>
      </c>
      <c r="C840" s="23">
        <f>'Jul 24'!$D$35</f>
        <v>0</v>
      </c>
      <c r="D840" s="23">
        <f>'Jul 24'!$B$35</f>
        <v>0</v>
      </c>
      <c r="E840" s="64">
        <f>'Jul 24'!$E$35</f>
        <v>0</v>
      </c>
      <c r="F840" s="23">
        <f>'Jul 24'!$A$35</f>
        <v>0</v>
      </c>
      <c r="G840" s="64">
        <f>'Jul 24'!$F$35</f>
        <v>0</v>
      </c>
      <c r="H840" s="64">
        <f>'Jul 24'!$G$35</f>
        <v>0</v>
      </c>
      <c r="I840" s="64" t="str">
        <f>'Jul 24'!$M$35</f>
        <v/>
      </c>
      <c r="J840" s="25" t="str">
        <f>'Jul 24'!$S$35</f>
        <v/>
      </c>
      <c r="K840" s="23">
        <f>'Jul 24'!$AG$35</f>
        <v>0</v>
      </c>
      <c r="L840" s="23">
        <f>'Jul 24'!$N$35</f>
        <v>0</v>
      </c>
    </row>
    <row r="841" spans="1:12" x14ac:dyDescent="0.25">
      <c r="A841" s="66" t="str">
        <f t="shared" si="13"/>
        <v>✓</v>
      </c>
      <c r="B841" s="67">
        <v>46227</v>
      </c>
      <c r="C841" s="23">
        <f>'Jul 24'!$D$36</f>
        <v>0</v>
      </c>
      <c r="D841" s="23">
        <f>'Jul 24'!$B$36</f>
        <v>0</v>
      </c>
      <c r="E841" s="64">
        <f>'Jul 24'!$E$36</f>
        <v>0</v>
      </c>
      <c r="F841" s="23">
        <f>'Jul 24'!$A$36</f>
        <v>0</v>
      </c>
      <c r="G841" s="64">
        <f>'Jul 24'!$F$36</f>
        <v>0</v>
      </c>
      <c r="H841" s="64">
        <f>'Jul 24'!$G$36</f>
        <v>0</v>
      </c>
      <c r="I841" s="64" t="str">
        <f>'Jul 24'!$M$36</f>
        <v/>
      </c>
      <c r="J841" s="25" t="str">
        <f>'Jul 24'!$S$36</f>
        <v/>
      </c>
      <c r="K841" s="23">
        <f>'Jul 24'!$AG$36</f>
        <v>0</v>
      </c>
      <c r="L841" s="23">
        <f>'Jul 24'!$N$36</f>
        <v>0</v>
      </c>
    </row>
    <row r="842" spans="1:12" x14ac:dyDescent="0.25">
      <c r="A842" s="66" t="str">
        <f t="shared" si="13"/>
        <v>✓</v>
      </c>
      <c r="B842" s="67">
        <v>46227</v>
      </c>
      <c r="C842" s="23">
        <f>'Jul 24'!$D$37</f>
        <v>0</v>
      </c>
      <c r="D842" s="23">
        <f>'Jul 24'!$B$37</f>
        <v>0</v>
      </c>
      <c r="E842" s="64">
        <f>'Jul 24'!$E$37</f>
        <v>0</v>
      </c>
      <c r="F842" s="23">
        <f>'Jul 24'!$A$37</f>
        <v>0</v>
      </c>
      <c r="G842" s="64">
        <f>'Jul 24'!$F$37</f>
        <v>0</v>
      </c>
      <c r="H842" s="64">
        <f>'Jul 24'!$G$37</f>
        <v>0</v>
      </c>
      <c r="I842" s="64" t="str">
        <f>'Jul 24'!$M$37</f>
        <v/>
      </c>
      <c r="J842" s="25" t="str">
        <f>'Jul 24'!$S$37</f>
        <v/>
      </c>
      <c r="K842" s="23">
        <f>'Jul 24'!$AG$37</f>
        <v>0</v>
      </c>
      <c r="L842" s="23">
        <f>'Jul 24'!$N$37</f>
        <v>0</v>
      </c>
    </row>
    <row r="843" spans="1:12" x14ac:dyDescent="0.25">
      <c r="A843" s="66" t="str">
        <f t="shared" si="13"/>
        <v>✓</v>
      </c>
      <c r="B843" s="67">
        <v>46227</v>
      </c>
      <c r="C843" s="23">
        <f>'Jul 24'!$D$38</f>
        <v>0</v>
      </c>
      <c r="D843" s="23">
        <f>'Jul 24'!$B$38</f>
        <v>0</v>
      </c>
      <c r="E843" s="64">
        <f>'Jul 24'!$E$38</f>
        <v>0</v>
      </c>
      <c r="F843" s="23">
        <f>'Jul 24'!$A$38</f>
        <v>0</v>
      </c>
      <c r="G843" s="64">
        <f>'Jul 24'!$F$38</f>
        <v>0</v>
      </c>
      <c r="H843" s="64">
        <f>'Jul 24'!$G$38</f>
        <v>0</v>
      </c>
      <c r="I843" s="64" t="str">
        <f>'Jul 24'!$M$38</f>
        <v/>
      </c>
      <c r="J843" s="25" t="str">
        <f>'Jul 24'!$S$38</f>
        <v/>
      </c>
      <c r="K843" s="23">
        <f>'Jul 24'!$AG$38</f>
        <v>0</v>
      </c>
      <c r="L843" s="23">
        <f>'Jul 24'!$N$38</f>
        <v>0</v>
      </c>
    </row>
    <row r="844" spans="1:12" x14ac:dyDescent="0.25">
      <c r="A844" s="66" t="str">
        <f t="shared" si="13"/>
        <v>✓</v>
      </c>
      <c r="B844" s="67">
        <v>46227</v>
      </c>
      <c r="C844" s="23">
        <f>'Jul 24'!$D$39</f>
        <v>0</v>
      </c>
      <c r="D844" s="23">
        <f>'Jul 24'!$B$39</f>
        <v>0</v>
      </c>
      <c r="E844" s="64">
        <f>'Jul 24'!$E$39</f>
        <v>0</v>
      </c>
      <c r="F844" s="23">
        <f>'Jul 24'!$A$39</f>
        <v>0</v>
      </c>
      <c r="G844" s="64">
        <f>'Jul 24'!$F$39</f>
        <v>0</v>
      </c>
      <c r="H844" s="64">
        <f>'Jul 24'!$G$39</f>
        <v>0</v>
      </c>
      <c r="I844" s="64" t="str">
        <f>'Jul 24'!$M$39</f>
        <v/>
      </c>
      <c r="J844" s="25" t="str">
        <f>'Jul 24'!$S$39</f>
        <v/>
      </c>
      <c r="K844" s="23">
        <f>'Jul 24'!$AG$39</f>
        <v>0</v>
      </c>
      <c r="L844" s="23">
        <f>'Jul 24'!$N$39</f>
        <v>0</v>
      </c>
    </row>
    <row r="845" spans="1:12" x14ac:dyDescent="0.25">
      <c r="A845" s="66" t="str">
        <f t="shared" si="13"/>
        <v>✓</v>
      </c>
      <c r="B845" s="67">
        <v>46227</v>
      </c>
      <c r="C845" s="23">
        <f>'Jul 24'!$D$40</f>
        <v>0</v>
      </c>
      <c r="D845" s="23">
        <f>'Jul 24'!$B$40</f>
        <v>0</v>
      </c>
      <c r="E845" s="64">
        <f>'Jul 24'!$E$40</f>
        <v>0</v>
      </c>
      <c r="F845" s="23">
        <f>'Jul 24'!$A$40</f>
        <v>0</v>
      </c>
      <c r="G845" s="64">
        <f>'Jul 24'!$F$40</f>
        <v>0</v>
      </c>
      <c r="H845" s="64">
        <f>'Jul 24'!$G$40</f>
        <v>0</v>
      </c>
      <c r="I845" s="64" t="str">
        <f>'Jul 24'!$M$40</f>
        <v/>
      </c>
      <c r="J845" s="25" t="str">
        <f>'Jul 24'!$S$40</f>
        <v/>
      </c>
      <c r="K845" s="23">
        <f>'Jul 24'!$AG$40</f>
        <v>0</v>
      </c>
      <c r="L845" s="23">
        <f>'Jul 24'!$N$40</f>
        <v>0</v>
      </c>
    </row>
    <row r="846" spans="1:12" x14ac:dyDescent="0.25">
      <c r="A846" s="66" t="str">
        <f t="shared" si="13"/>
        <v>✓</v>
      </c>
      <c r="B846" s="67">
        <v>46227</v>
      </c>
      <c r="C846" s="23">
        <f>'Jul 24'!$D$41</f>
        <v>0</v>
      </c>
      <c r="D846" s="23">
        <f>'Jul 24'!$B$41</f>
        <v>0</v>
      </c>
      <c r="E846" s="64">
        <f>'Jul 24'!$E$41</f>
        <v>0</v>
      </c>
      <c r="F846" s="23">
        <f>'Jul 24'!$A$41</f>
        <v>0</v>
      </c>
      <c r="G846" s="64">
        <f>'Jul 24'!$F$41</f>
        <v>0</v>
      </c>
      <c r="H846" s="64">
        <f>'Jul 24'!$G$41</f>
        <v>0</v>
      </c>
      <c r="I846" s="64" t="str">
        <f>'Jul 24'!$M$41</f>
        <v/>
      </c>
      <c r="J846" s="25" t="str">
        <f>'Jul 24'!$S$41</f>
        <v/>
      </c>
      <c r="K846" s="23">
        <f>'Jul 24'!$AG$41</f>
        <v>0</v>
      </c>
      <c r="L846" s="23">
        <f>'Jul 24'!$N$41</f>
        <v>0</v>
      </c>
    </row>
    <row r="847" spans="1:12" x14ac:dyDescent="0.25">
      <c r="A847" s="66" t="str">
        <f t="shared" si="13"/>
        <v>✓</v>
      </c>
      <c r="B847" s="67">
        <v>46227</v>
      </c>
      <c r="C847" s="23">
        <f>'Jul 24'!$D$42</f>
        <v>0</v>
      </c>
      <c r="D847" s="23">
        <f>'Jul 24'!$B$42</f>
        <v>0</v>
      </c>
      <c r="E847" s="64">
        <f>'Jul 24'!$E$42</f>
        <v>0</v>
      </c>
      <c r="F847" s="23">
        <f>'Jul 24'!$A$42</f>
        <v>0</v>
      </c>
      <c r="G847" s="64">
        <f>'Jul 24'!$F$42</f>
        <v>0</v>
      </c>
      <c r="H847" s="64">
        <f>'Jul 24'!$G$42</f>
        <v>0</v>
      </c>
      <c r="I847" s="64" t="str">
        <f>'Jul 24'!$M$42</f>
        <v/>
      </c>
      <c r="J847" s="25" t="str">
        <f>'Jul 24'!$S$42</f>
        <v/>
      </c>
      <c r="K847" s="23">
        <f>'Jul 24'!$AG$42</f>
        <v>0</v>
      </c>
      <c r="L847" s="23">
        <f>'Jul 24'!$N$42</f>
        <v>0</v>
      </c>
    </row>
    <row r="848" spans="1:12" x14ac:dyDescent="0.25">
      <c r="A848" s="66" t="str">
        <f t="shared" si="13"/>
        <v>✓</v>
      </c>
      <c r="B848" s="67">
        <v>46228</v>
      </c>
      <c r="C848" s="23">
        <f>'Jul 25'!$D$8</f>
        <v>0</v>
      </c>
      <c r="D848" s="23">
        <f>'Jul 25'!$B$8</f>
        <v>0</v>
      </c>
      <c r="E848" s="64">
        <f>'Jul 25'!$E$8</f>
        <v>0</v>
      </c>
      <c r="F848" s="23">
        <f>'Jul 25'!$A$8</f>
        <v>0</v>
      </c>
      <c r="G848" s="64">
        <f>'Jul 25'!$F$8</f>
        <v>0</v>
      </c>
      <c r="H848" s="64">
        <f>'Jul 25'!$G$8</f>
        <v>0</v>
      </c>
      <c r="I848" s="64" t="str">
        <f>'Jul 25'!$M$8</f>
        <v/>
      </c>
      <c r="J848" s="25" t="str">
        <f>'Jul 25'!$S$8</f>
        <v/>
      </c>
      <c r="K848" s="23">
        <f>'Jul 25'!$AG$8</f>
        <v>0</v>
      </c>
      <c r="L848" s="23">
        <f>'Jul 25'!$N$8</f>
        <v>0</v>
      </c>
    </row>
    <row r="849" spans="1:12" x14ac:dyDescent="0.25">
      <c r="A849" s="66" t="str">
        <f t="shared" si="13"/>
        <v>✓</v>
      </c>
      <c r="B849" s="67">
        <v>46228</v>
      </c>
      <c r="C849" s="23">
        <f>'Jul 25'!$D$9</f>
        <v>0</v>
      </c>
      <c r="D849" s="23">
        <f>'Jul 25'!$B$9</f>
        <v>0</v>
      </c>
      <c r="E849" s="64">
        <f>'Jul 25'!$E$9</f>
        <v>0</v>
      </c>
      <c r="F849" s="23">
        <f>'Jul 25'!$A$9</f>
        <v>0</v>
      </c>
      <c r="G849" s="64">
        <f>'Jul 25'!$F$9</f>
        <v>0</v>
      </c>
      <c r="H849" s="64">
        <f>'Jul 25'!$G$9</f>
        <v>0</v>
      </c>
      <c r="I849" s="64" t="str">
        <f>'Jul 25'!$M$9</f>
        <v/>
      </c>
      <c r="J849" s="25" t="str">
        <f>'Jul 25'!$S$9</f>
        <v/>
      </c>
      <c r="K849" s="23">
        <f>'Jul 25'!$AG$9</f>
        <v>0</v>
      </c>
      <c r="L849" s="23">
        <f>'Jul 25'!$N$9</f>
        <v>0</v>
      </c>
    </row>
    <row r="850" spans="1:12" x14ac:dyDescent="0.25">
      <c r="A850" s="66" t="str">
        <f t="shared" si="13"/>
        <v>✓</v>
      </c>
      <c r="B850" s="67">
        <v>46228</v>
      </c>
      <c r="C850" s="23">
        <f>'Jul 25'!$D$10</f>
        <v>0</v>
      </c>
      <c r="D850" s="23">
        <f>'Jul 25'!$B$10</f>
        <v>0</v>
      </c>
      <c r="E850" s="64">
        <f>'Jul 25'!$E$10</f>
        <v>0</v>
      </c>
      <c r="F850" s="23">
        <f>'Jul 25'!$A$10</f>
        <v>0</v>
      </c>
      <c r="G850" s="64">
        <f>'Jul 25'!$F$10</f>
        <v>0</v>
      </c>
      <c r="H850" s="64">
        <f>'Jul 25'!$G$10</f>
        <v>0</v>
      </c>
      <c r="I850" s="64" t="str">
        <f>'Jul 25'!$M$10</f>
        <v/>
      </c>
      <c r="J850" s="25" t="str">
        <f>'Jul 25'!$S$10</f>
        <v/>
      </c>
      <c r="K850" s="23">
        <f>'Jul 25'!$AG$10</f>
        <v>0</v>
      </c>
      <c r="L850" s="23">
        <f>'Jul 25'!$N$10</f>
        <v>0</v>
      </c>
    </row>
    <row r="851" spans="1:12" x14ac:dyDescent="0.25">
      <c r="A851" s="66" t="str">
        <f t="shared" si="13"/>
        <v>✓</v>
      </c>
      <c r="B851" s="67">
        <v>46228</v>
      </c>
      <c r="C851" s="23">
        <f>'Jul 25'!$D$11</f>
        <v>0</v>
      </c>
      <c r="D851" s="23">
        <f>'Jul 25'!$B$11</f>
        <v>0</v>
      </c>
      <c r="E851" s="64">
        <f>'Jul 25'!$E$11</f>
        <v>0</v>
      </c>
      <c r="F851" s="23">
        <f>'Jul 25'!$A$11</f>
        <v>0</v>
      </c>
      <c r="G851" s="64">
        <f>'Jul 25'!$F$11</f>
        <v>0</v>
      </c>
      <c r="H851" s="64">
        <f>'Jul 25'!$G$11</f>
        <v>0</v>
      </c>
      <c r="I851" s="64" t="str">
        <f>'Jul 25'!$M$11</f>
        <v/>
      </c>
      <c r="J851" s="25" t="str">
        <f>'Jul 25'!$S$11</f>
        <v/>
      </c>
      <c r="K851" s="23">
        <f>'Jul 25'!$AG$11</f>
        <v>0</v>
      </c>
      <c r="L851" s="23">
        <f>'Jul 25'!$N$11</f>
        <v>0</v>
      </c>
    </row>
    <row r="852" spans="1:12" x14ac:dyDescent="0.25">
      <c r="A852" s="66" t="str">
        <f t="shared" si="13"/>
        <v>✓</v>
      </c>
      <c r="B852" s="67">
        <v>46228</v>
      </c>
      <c r="C852" s="23">
        <f>'Jul 25'!$D$12</f>
        <v>0</v>
      </c>
      <c r="D852" s="23">
        <f>'Jul 25'!$B$12</f>
        <v>0</v>
      </c>
      <c r="E852" s="64">
        <f>'Jul 25'!$E$12</f>
        <v>0</v>
      </c>
      <c r="F852" s="23">
        <f>'Jul 25'!$A$12</f>
        <v>0</v>
      </c>
      <c r="G852" s="64">
        <f>'Jul 25'!$F$12</f>
        <v>0</v>
      </c>
      <c r="H852" s="64">
        <f>'Jul 25'!$G$12</f>
        <v>0</v>
      </c>
      <c r="I852" s="64" t="str">
        <f>'Jul 25'!$M$12</f>
        <v/>
      </c>
      <c r="J852" s="25" t="str">
        <f>'Jul 25'!$S$12</f>
        <v/>
      </c>
      <c r="K852" s="23">
        <f>'Jul 25'!$AG$12</f>
        <v>0</v>
      </c>
      <c r="L852" s="23">
        <f>'Jul 25'!$N$12</f>
        <v>0</v>
      </c>
    </row>
    <row r="853" spans="1:12" x14ac:dyDescent="0.25">
      <c r="A853" s="66" t="str">
        <f t="shared" si="13"/>
        <v>✓</v>
      </c>
      <c r="B853" s="67">
        <v>46228</v>
      </c>
      <c r="C853" s="23">
        <f>'Jul 25'!$D$13</f>
        <v>0</v>
      </c>
      <c r="D853" s="23">
        <f>'Jul 25'!$B$13</f>
        <v>0</v>
      </c>
      <c r="E853" s="64">
        <f>'Jul 25'!$E$13</f>
        <v>0</v>
      </c>
      <c r="F853" s="23">
        <f>'Jul 25'!$A$13</f>
        <v>0</v>
      </c>
      <c r="G853" s="64">
        <f>'Jul 25'!$F$13</f>
        <v>0</v>
      </c>
      <c r="H853" s="64">
        <f>'Jul 25'!$G$13</f>
        <v>0</v>
      </c>
      <c r="I853" s="64" t="str">
        <f>'Jul 25'!$M$13</f>
        <v/>
      </c>
      <c r="J853" s="25" t="str">
        <f>'Jul 25'!$S$13</f>
        <v/>
      </c>
      <c r="K853" s="23">
        <f>'Jul 25'!$AG$13</f>
        <v>0</v>
      </c>
      <c r="L853" s="23">
        <f>'Jul 25'!$N$13</f>
        <v>0</v>
      </c>
    </row>
    <row r="854" spans="1:12" x14ac:dyDescent="0.25">
      <c r="A854" s="66" t="str">
        <f t="shared" si="13"/>
        <v>✓</v>
      </c>
      <c r="B854" s="67">
        <v>46228</v>
      </c>
      <c r="C854" s="23">
        <f>'Jul 25'!$D$14</f>
        <v>0</v>
      </c>
      <c r="D854" s="23">
        <f>'Jul 25'!$B$14</f>
        <v>0</v>
      </c>
      <c r="E854" s="64">
        <f>'Jul 25'!$E$14</f>
        <v>0</v>
      </c>
      <c r="F854" s="23">
        <f>'Jul 25'!$A$14</f>
        <v>0</v>
      </c>
      <c r="G854" s="64">
        <f>'Jul 25'!$F$14</f>
        <v>0</v>
      </c>
      <c r="H854" s="64">
        <f>'Jul 25'!$G$14</f>
        <v>0</v>
      </c>
      <c r="I854" s="64" t="str">
        <f>'Jul 25'!$M$14</f>
        <v/>
      </c>
      <c r="J854" s="25" t="str">
        <f>'Jul 25'!$S$14</f>
        <v/>
      </c>
      <c r="K854" s="23">
        <f>'Jul 25'!$AG$14</f>
        <v>0</v>
      </c>
      <c r="L854" s="23">
        <f>'Jul 25'!$N$14</f>
        <v>0</v>
      </c>
    </row>
    <row r="855" spans="1:12" x14ac:dyDescent="0.25">
      <c r="A855" s="66" t="str">
        <f t="shared" si="13"/>
        <v>✓</v>
      </c>
      <c r="B855" s="67">
        <v>46228</v>
      </c>
      <c r="C855" s="23">
        <f>'Jul 25'!$D$15</f>
        <v>0</v>
      </c>
      <c r="D855" s="23">
        <f>'Jul 25'!$B$15</f>
        <v>0</v>
      </c>
      <c r="E855" s="64">
        <f>'Jul 25'!$E$15</f>
        <v>0</v>
      </c>
      <c r="F855" s="23">
        <f>'Jul 25'!$A$15</f>
        <v>0</v>
      </c>
      <c r="G855" s="64">
        <f>'Jul 25'!$F$15</f>
        <v>0</v>
      </c>
      <c r="H855" s="64">
        <f>'Jul 25'!$G$15</f>
        <v>0</v>
      </c>
      <c r="I855" s="64" t="str">
        <f>'Jul 25'!$M$15</f>
        <v/>
      </c>
      <c r="J855" s="25" t="str">
        <f>'Jul 25'!$S$15</f>
        <v/>
      </c>
      <c r="K855" s="23">
        <f>'Jul 25'!$AG$15</f>
        <v>0</v>
      </c>
      <c r="L855" s="23">
        <f>'Jul 25'!$N$15</f>
        <v>0</v>
      </c>
    </row>
    <row r="856" spans="1:12" x14ac:dyDescent="0.25">
      <c r="A856" s="66" t="str">
        <f t="shared" si="13"/>
        <v>✓</v>
      </c>
      <c r="B856" s="67">
        <v>46228</v>
      </c>
      <c r="C856" s="23">
        <f>'Jul 25'!$D$16</f>
        <v>0</v>
      </c>
      <c r="D856" s="23">
        <f>'Jul 25'!$B$16</f>
        <v>0</v>
      </c>
      <c r="E856" s="64">
        <f>'Jul 25'!$E$16</f>
        <v>0</v>
      </c>
      <c r="F856" s="23">
        <f>'Jul 25'!$A$16</f>
        <v>0</v>
      </c>
      <c r="G856" s="64">
        <f>'Jul 25'!$F$16</f>
        <v>0</v>
      </c>
      <c r="H856" s="64">
        <f>'Jul 25'!$G$16</f>
        <v>0</v>
      </c>
      <c r="I856" s="64" t="str">
        <f>'Jul 25'!$M$16</f>
        <v/>
      </c>
      <c r="J856" s="25" t="str">
        <f>'Jul 25'!$S$16</f>
        <v/>
      </c>
      <c r="K856" s="23">
        <f>'Jul 25'!$AG$16</f>
        <v>0</v>
      </c>
      <c r="L856" s="23">
        <f>'Jul 25'!$N$16</f>
        <v>0</v>
      </c>
    </row>
    <row r="857" spans="1:12" x14ac:dyDescent="0.25">
      <c r="A857" s="66" t="str">
        <f t="shared" si="13"/>
        <v>✓</v>
      </c>
      <c r="B857" s="67">
        <v>46228</v>
      </c>
      <c r="C857" s="23">
        <f>'Jul 25'!$D$17</f>
        <v>0</v>
      </c>
      <c r="D857" s="23">
        <f>'Jul 25'!$B$17</f>
        <v>0</v>
      </c>
      <c r="E857" s="64">
        <f>'Jul 25'!$E$17</f>
        <v>0</v>
      </c>
      <c r="F857" s="23">
        <f>'Jul 25'!$A$17</f>
        <v>0</v>
      </c>
      <c r="G857" s="64">
        <f>'Jul 25'!$F$17</f>
        <v>0</v>
      </c>
      <c r="H857" s="64">
        <f>'Jul 25'!$G$17</f>
        <v>0</v>
      </c>
      <c r="I857" s="64" t="str">
        <f>'Jul 25'!$M$17</f>
        <v/>
      </c>
      <c r="J857" s="25" t="str">
        <f>'Jul 25'!$S$17</f>
        <v/>
      </c>
      <c r="K857" s="23">
        <f>'Jul 25'!$AG$17</f>
        <v>0</v>
      </c>
      <c r="L857" s="23">
        <f>'Jul 25'!$N$17</f>
        <v>0</v>
      </c>
    </row>
    <row r="858" spans="1:12" x14ac:dyDescent="0.25">
      <c r="A858" s="66" t="str">
        <f t="shared" si="13"/>
        <v>✓</v>
      </c>
      <c r="B858" s="67">
        <v>46228</v>
      </c>
      <c r="C858" s="23">
        <f>'Jul 25'!$D$18</f>
        <v>0</v>
      </c>
      <c r="D858" s="23">
        <f>'Jul 25'!$B$18</f>
        <v>0</v>
      </c>
      <c r="E858" s="64">
        <f>'Jul 25'!$E$18</f>
        <v>0</v>
      </c>
      <c r="F858" s="23">
        <f>'Jul 25'!$A$18</f>
        <v>0</v>
      </c>
      <c r="G858" s="64">
        <f>'Jul 25'!$F$18</f>
        <v>0</v>
      </c>
      <c r="H858" s="64">
        <f>'Jul 25'!$G$18</f>
        <v>0</v>
      </c>
      <c r="I858" s="64" t="str">
        <f>'Jul 25'!$M$18</f>
        <v/>
      </c>
      <c r="J858" s="25" t="str">
        <f>'Jul 25'!$S$18</f>
        <v/>
      </c>
      <c r="K858" s="23">
        <f>'Jul 25'!$AG$18</f>
        <v>0</v>
      </c>
      <c r="L858" s="23">
        <f>'Jul 25'!$N$18</f>
        <v>0</v>
      </c>
    </row>
    <row r="859" spans="1:12" x14ac:dyDescent="0.25">
      <c r="A859" s="66" t="str">
        <f t="shared" si="13"/>
        <v>✓</v>
      </c>
      <c r="B859" s="67">
        <v>46228</v>
      </c>
      <c r="C859" s="23">
        <f>'Jul 25'!$D$19</f>
        <v>0</v>
      </c>
      <c r="D859" s="23">
        <f>'Jul 25'!$B$19</f>
        <v>0</v>
      </c>
      <c r="E859" s="64">
        <f>'Jul 25'!$E$19</f>
        <v>0</v>
      </c>
      <c r="F859" s="23">
        <f>'Jul 25'!$A$19</f>
        <v>0</v>
      </c>
      <c r="G859" s="64">
        <f>'Jul 25'!$F$19</f>
        <v>0</v>
      </c>
      <c r="H859" s="64">
        <f>'Jul 25'!$G$19</f>
        <v>0</v>
      </c>
      <c r="I859" s="64" t="str">
        <f>'Jul 25'!$M$19</f>
        <v/>
      </c>
      <c r="J859" s="25" t="str">
        <f>'Jul 25'!$S$19</f>
        <v/>
      </c>
      <c r="K859" s="23">
        <f>'Jul 25'!$AG$19</f>
        <v>0</v>
      </c>
      <c r="L859" s="23">
        <f>'Jul 25'!$N$19</f>
        <v>0</v>
      </c>
    </row>
    <row r="860" spans="1:12" x14ac:dyDescent="0.25">
      <c r="A860" s="66" t="str">
        <f t="shared" si="13"/>
        <v>✓</v>
      </c>
      <c r="B860" s="67">
        <v>46228</v>
      </c>
      <c r="C860" s="23">
        <f>'Jul 25'!$D$20</f>
        <v>0</v>
      </c>
      <c r="D860" s="23">
        <f>'Jul 25'!$B$20</f>
        <v>0</v>
      </c>
      <c r="E860" s="64">
        <f>'Jul 25'!$E$20</f>
        <v>0</v>
      </c>
      <c r="F860" s="23">
        <f>'Jul 25'!$A$20</f>
        <v>0</v>
      </c>
      <c r="G860" s="64">
        <f>'Jul 25'!$F$20</f>
        <v>0</v>
      </c>
      <c r="H860" s="64">
        <f>'Jul 25'!$G$20</f>
        <v>0</v>
      </c>
      <c r="I860" s="64" t="str">
        <f>'Jul 25'!$M$20</f>
        <v/>
      </c>
      <c r="J860" s="25" t="str">
        <f>'Jul 25'!$S$20</f>
        <v/>
      </c>
      <c r="K860" s="23">
        <f>'Jul 25'!$AG$20</f>
        <v>0</v>
      </c>
      <c r="L860" s="23">
        <f>'Jul 25'!$N$20</f>
        <v>0</v>
      </c>
    </row>
    <row r="861" spans="1:12" x14ac:dyDescent="0.25">
      <c r="A861" s="66" t="str">
        <f t="shared" si="13"/>
        <v>✓</v>
      </c>
      <c r="B861" s="67">
        <v>46228</v>
      </c>
      <c r="C861" s="23">
        <f>'Jul 25'!$D$21</f>
        <v>0</v>
      </c>
      <c r="D861" s="23">
        <f>'Jul 25'!$B$21</f>
        <v>0</v>
      </c>
      <c r="E861" s="64">
        <f>'Jul 25'!$E$21</f>
        <v>0</v>
      </c>
      <c r="F861" s="23">
        <f>'Jul 25'!$A$21</f>
        <v>0</v>
      </c>
      <c r="G861" s="64">
        <f>'Jul 25'!$F$21</f>
        <v>0</v>
      </c>
      <c r="H861" s="64">
        <f>'Jul 25'!$G$21</f>
        <v>0</v>
      </c>
      <c r="I861" s="64" t="str">
        <f>'Jul 25'!$M$21</f>
        <v/>
      </c>
      <c r="J861" s="25" t="str">
        <f>'Jul 25'!$S$21</f>
        <v/>
      </c>
      <c r="K861" s="23">
        <f>'Jul 25'!$AG$21</f>
        <v>0</v>
      </c>
      <c r="L861" s="23">
        <f>'Jul 25'!$N$21</f>
        <v>0</v>
      </c>
    </row>
    <row r="862" spans="1:12" x14ac:dyDescent="0.25">
      <c r="A862" s="66" t="str">
        <f t="shared" si="13"/>
        <v>✓</v>
      </c>
      <c r="B862" s="67">
        <v>46228</v>
      </c>
      <c r="C862" s="23">
        <f>'Jul 25'!$D$22</f>
        <v>0</v>
      </c>
      <c r="D862" s="23">
        <f>'Jul 25'!$B$22</f>
        <v>0</v>
      </c>
      <c r="E862" s="64">
        <f>'Jul 25'!$E$22</f>
        <v>0</v>
      </c>
      <c r="F862" s="23">
        <f>'Jul 25'!$A$22</f>
        <v>0</v>
      </c>
      <c r="G862" s="64">
        <f>'Jul 25'!$F$22</f>
        <v>0</v>
      </c>
      <c r="H862" s="64">
        <f>'Jul 25'!$G$22</f>
        <v>0</v>
      </c>
      <c r="I862" s="64" t="str">
        <f>'Jul 25'!$M$22</f>
        <v/>
      </c>
      <c r="J862" s="25" t="str">
        <f>'Jul 25'!$S$22</f>
        <v/>
      </c>
      <c r="K862" s="23">
        <f>'Jul 25'!$AG$22</f>
        <v>0</v>
      </c>
      <c r="L862" s="23">
        <f>'Jul 25'!$N$22</f>
        <v>0</v>
      </c>
    </row>
    <row r="863" spans="1:12" x14ac:dyDescent="0.25">
      <c r="A863" s="66" t="str">
        <f t="shared" si="13"/>
        <v>✓</v>
      </c>
      <c r="B863" s="67">
        <v>46228</v>
      </c>
      <c r="C863" s="23">
        <f>'Jul 25'!$D$23</f>
        <v>0</v>
      </c>
      <c r="D863" s="23">
        <f>'Jul 25'!$B$23</f>
        <v>0</v>
      </c>
      <c r="E863" s="64">
        <f>'Jul 25'!$E$23</f>
        <v>0</v>
      </c>
      <c r="F863" s="23">
        <f>'Jul 25'!$A$23</f>
        <v>0</v>
      </c>
      <c r="G863" s="64">
        <f>'Jul 25'!$F$23</f>
        <v>0</v>
      </c>
      <c r="H863" s="64">
        <f>'Jul 25'!$G$23</f>
        <v>0</v>
      </c>
      <c r="I863" s="64" t="str">
        <f>'Jul 25'!$M$23</f>
        <v/>
      </c>
      <c r="J863" s="25" t="str">
        <f>'Jul 25'!$S$23</f>
        <v/>
      </c>
      <c r="K863" s="23">
        <f>'Jul 25'!$AG$23</f>
        <v>0</v>
      </c>
      <c r="L863" s="23">
        <f>'Jul 25'!$N$23</f>
        <v>0</v>
      </c>
    </row>
    <row r="864" spans="1:12" x14ac:dyDescent="0.25">
      <c r="A864" s="66" t="str">
        <f t="shared" si="13"/>
        <v>✓</v>
      </c>
      <c r="B864" s="67">
        <v>46228</v>
      </c>
      <c r="C864" s="23">
        <f>'Jul 25'!$D$24</f>
        <v>0</v>
      </c>
      <c r="D864" s="23">
        <f>'Jul 25'!$B$24</f>
        <v>0</v>
      </c>
      <c r="E864" s="64">
        <f>'Jul 25'!$E$24</f>
        <v>0</v>
      </c>
      <c r="F864" s="23">
        <f>'Jul 25'!$A$24</f>
        <v>0</v>
      </c>
      <c r="G864" s="64">
        <f>'Jul 25'!$F$24</f>
        <v>0</v>
      </c>
      <c r="H864" s="64">
        <f>'Jul 25'!$G$24</f>
        <v>0</v>
      </c>
      <c r="I864" s="64" t="str">
        <f>'Jul 25'!$M$24</f>
        <v/>
      </c>
      <c r="J864" s="25" t="str">
        <f>'Jul 25'!$S$24</f>
        <v/>
      </c>
      <c r="K864" s="23">
        <f>'Jul 25'!$AG$24</f>
        <v>0</v>
      </c>
      <c r="L864" s="23">
        <f>'Jul 25'!$N$24</f>
        <v>0</v>
      </c>
    </row>
    <row r="865" spans="1:12" x14ac:dyDescent="0.25">
      <c r="A865" s="66" t="str">
        <f t="shared" si="13"/>
        <v>✓</v>
      </c>
      <c r="B865" s="67">
        <v>46228</v>
      </c>
      <c r="C865" s="23">
        <f>'Jul 25'!$D$25</f>
        <v>0</v>
      </c>
      <c r="D865" s="23">
        <f>'Jul 25'!$B$25</f>
        <v>0</v>
      </c>
      <c r="E865" s="64">
        <f>'Jul 25'!$E$25</f>
        <v>0</v>
      </c>
      <c r="F865" s="23">
        <f>'Jul 25'!$A$25</f>
        <v>0</v>
      </c>
      <c r="G865" s="64">
        <f>'Jul 25'!$F$25</f>
        <v>0</v>
      </c>
      <c r="H865" s="64">
        <f>'Jul 25'!$G$25</f>
        <v>0</v>
      </c>
      <c r="I865" s="64" t="str">
        <f>'Jul 25'!$M$25</f>
        <v/>
      </c>
      <c r="J865" s="25" t="str">
        <f>'Jul 25'!$S$25</f>
        <v/>
      </c>
      <c r="K865" s="23">
        <f>'Jul 25'!$AG$25</f>
        <v>0</v>
      </c>
      <c r="L865" s="23">
        <f>'Jul 25'!$N$25</f>
        <v>0</v>
      </c>
    </row>
    <row r="866" spans="1:12" x14ac:dyDescent="0.25">
      <c r="A866" s="66" t="str">
        <f t="shared" si="13"/>
        <v>✓</v>
      </c>
      <c r="B866" s="67">
        <v>46228</v>
      </c>
      <c r="C866" s="23">
        <f>'Jul 25'!$D$26</f>
        <v>0</v>
      </c>
      <c r="D866" s="23">
        <f>'Jul 25'!$B$26</f>
        <v>0</v>
      </c>
      <c r="E866" s="64">
        <f>'Jul 25'!$E$26</f>
        <v>0</v>
      </c>
      <c r="F866" s="23">
        <f>'Jul 25'!$A$26</f>
        <v>0</v>
      </c>
      <c r="G866" s="64">
        <f>'Jul 25'!$F$26</f>
        <v>0</v>
      </c>
      <c r="H866" s="64">
        <f>'Jul 25'!$G$26</f>
        <v>0</v>
      </c>
      <c r="I866" s="64" t="str">
        <f>'Jul 25'!$M$26</f>
        <v/>
      </c>
      <c r="J866" s="25" t="str">
        <f>'Jul 25'!$S$26</f>
        <v/>
      </c>
      <c r="K866" s="23">
        <f>'Jul 25'!$AG$26</f>
        <v>0</v>
      </c>
      <c r="L866" s="23">
        <f>'Jul 25'!$N$26</f>
        <v>0</v>
      </c>
    </row>
    <row r="867" spans="1:12" x14ac:dyDescent="0.25">
      <c r="A867" s="66" t="str">
        <f t="shared" si="13"/>
        <v>✓</v>
      </c>
      <c r="B867" s="67">
        <v>46228</v>
      </c>
      <c r="C867" s="23">
        <f>'Jul 25'!$D$27</f>
        <v>0</v>
      </c>
      <c r="D867" s="23">
        <f>'Jul 25'!$B$27</f>
        <v>0</v>
      </c>
      <c r="E867" s="64">
        <f>'Jul 25'!$E$27</f>
        <v>0</v>
      </c>
      <c r="F867" s="23">
        <f>'Jul 25'!$A$27</f>
        <v>0</v>
      </c>
      <c r="G867" s="64">
        <f>'Jul 25'!$F$27</f>
        <v>0</v>
      </c>
      <c r="H867" s="64">
        <f>'Jul 25'!$G$27</f>
        <v>0</v>
      </c>
      <c r="I867" s="64" t="str">
        <f>'Jul 25'!$M$27</f>
        <v/>
      </c>
      <c r="J867" s="25" t="str">
        <f>'Jul 25'!$S$27</f>
        <v/>
      </c>
      <c r="K867" s="23">
        <f>'Jul 25'!$AG$27</f>
        <v>0</v>
      </c>
      <c r="L867" s="23">
        <f>'Jul 25'!$N$27</f>
        <v>0</v>
      </c>
    </row>
    <row r="868" spans="1:12" x14ac:dyDescent="0.25">
      <c r="A868" s="66" t="str">
        <f t="shared" si="13"/>
        <v>✓</v>
      </c>
      <c r="B868" s="67">
        <v>46228</v>
      </c>
      <c r="C868" s="23">
        <f>'Jul 25'!$D$28</f>
        <v>0</v>
      </c>
      <c r="D868" s="23">
        <f>'Jul 25'!$B$28</f>
        <v>0</v>
      </c>
      <c r="E868" s="64">
        <f>'Jul 25'!$E$28</f>
        <v>0</v>
      </c>
      <c r="F868" s="23">
        <f>'Jul 25'!$A$28</f>
        <v>0</v>
      </c>
      <c r="G868" s="64">
        <f>'Jul 25'!$F$28</f>
        <v>0</v>
      </c>
      <c r="H868" s="64">
        <f>'Jul 25'!$G$28</f>
        <v>0</v>
      </c>
      <c r="I868" s="64" t="str">
        <f>'Jul 25'!$M$28</f>
        <v/>
      </c>
      <c r="J868" s="25" t="str">
        <f>'Jul 25'!$S$28</f>
        <v/>
      </c>
      <c r="K868" s="23">
        <f>'Jul 25'!$AG$28</f>
        <v>0</v>
      </c>
      <c r="L868" s="23">
        <f>'Jul 25'!$N$28</f>
        <v>0</v>
      </c>
    </row>
    <row r="869" spans="1:12" x14ac:dyDescent="0.25">
      <c r="A869" s="66" t="str">
        <f t="shared" si="13"/>
        <v>✓</v>
      </c>
      <c r="B869" s="67">
        <v>46228</v>
      </c>
      <c r="C869" s="23">
        <f>'Jul 25'!$D$29</f>
        <v>0</v>
      </c>
      <c r="D869" s="23">
        <f>'Jul 25'!$B$29</f>
        <v>0</v>
      </c>
      <c r="E869" s="64">
        <f>'Jul 25'!$E$29</f>
        <v>0</v>
      </c>
      <c r="F869" s="23">
        <f>'Jul 25'!$A$29</f>
        <v>0</v>
      </c>
      <c r="G869" s="64">
        <f>'Jul 25'!$F$29</f>
        <v>0</v>
      </c>
      <c r="H869" s="64">
        <f>'Jul 25'!$G$29</f>
        <v>0</v>
      </c>
      <c r="I869" s="64" t="str">
        <f>'Jul 25'!$M$29</f>
        <v/>
      </c>
      <c r="J869" s="25" t="str">
        <f>'Jul 25'!$S$29</f>
        <v/>
      </c>
      <c r="K869" s="23">
        <f>'Jul 25'!$AG$29</f>
        <v>0</v>
      </c>
      <c r="L869" s="23">
        <f>'Jul 25'!$N$29</f>
        <v>0</v>
      </c>
    </row>
    <row r="870" spans="1:12" x14ac:dyDescent="0.25">
      <c r="A870" s="66" t="str">
        <f t="shared" si="13"/>
        <v>✓</v>
      </c>
      <c r="B870" s="67">
        <v>46228</v>
      </c>
      <c r="C870" s="23">
        <f>'Jul 25'!$D$30</f>
        <v>0</v>
      </c>
      <c r="D870" s="23">
        <f>'Jul 25'!$B$30</f>
        <v>0</v>
      </c>
      <c r="E870" s="64">
        <f>'Jul 25'!$E$30</f>
        <v>0</v>
      </c>
      <c r="F870" s="23">
        <f>'Jul 25'!$A$30</f>
        <v>0</v>
      </c>
      <c r="G870" s="64">
        <f>'Jul 25'!$F$30</f>
        <v>0</v>
      </c>
      <c r="H870" s="64">
        <f>'Jul 25'!$G$30</f>
        <v>0</v>
      </c>
      <c r="I870" s="64" t="str">
        <f>'Jul 25'!$M$30</f>
        <v/>
      </c>
      <c r="J870" s="25" t="str">
        <f>'Jul 25'!$S$30</f>
        <v/>
      </c>
      <c r="K870" s="23">
        <f>'Jul 25'!$AG$30</f>
        <v>0</v>
      </c>
      <c r="L870" s="23">
        <f>'Jul 25'!$N$30</f>
        <v>0</v>
      </c>
    </row>
    <row r="871" spans="1:12" x14ac:dyDescent="0.25">
      <c r="A871" s="66" t="str">
        <f t="shared" si="13"/>
        <v>✓</v>
      </c>
      <c r="B871" s="67">
        <v>46228</v>
      </c>
      <c r="C871" s="23">
        <f>'Jul 25'!$D$31</f>
        <v>0</v>
      </c>
      <c r="D871" s="23">
        <f>'Jul 25'!$B$31</f>
        <v>0</v>
      </c>
      <c r="E871" s="64">
        <f>'Jul 25'!$E$31</f>
        <v>0</v>
      </c>
      <c r="F871" s="23">
        <f>'Jul 25'!$A$31</f>
        <v>0</v>
      </c>
      <c r="G871" s="64">
        <f>'Jul 25'!$F$31</f>
        <v>0</v>
      </c>
      <c r="H871" s="64">
        <f>'Jul 25'!$G$31</f>
        <v>0</v>
      </c>
      <c r="I871" s="64" t="str">
        <f>'Jul 25'!$M$31</f>
        <v/>
      </c>
      <c r="J871" s="25" t="str">
        <f>'Jul 25'!$S$31</f>
        <v/>
      </c>
      <c r="K871" s="23">
        <f>'Jul 25'!$AG$31</f>
        <v>0</v>
      </c>
      <c r="L871" s="23">
        <f>'Jul 25'!$N$31</f>
        <v>0</v>
      </c>
    </row>
    <row r="872" spans="1:12" x14ac:dyDescent="0.25">
      <c r="A872" s="66" t="str">
        <f t="shared" si="13"/>
        <v>✓</v>
      </c>
      <c r="B872" s="67">
        <v>46228</v>
      </c>
      <c r="C872" s="23">
        <f>'Jul 25'!$D$32</f>
        <v>0</v>
      </c>
      <c r="D872" s="23">
        <f>'Jul 25'!$B$32</f>
        <v>0</v>
      </c>
      <c r="E872" s="64">
        <f>'Jul 25'!$E$32</f>
        <v>0</v>
      </c>
      <c r="F872" s="23">
        <f>'Jul 25'!$A$32</f>
        <v>0</v>
      </c>
      <c r="G872" s="64">
        <f>'Jul 25'!$F$32</f>
        <v>0</v>
      </c>
      <c r="H872" s="64">
        <f>'Jul 25'!$G$32</f>
        <v>0</v>
      </c>
      <c r="I872" s="64" t="str">
        <f>'Jul 25'!$M$32</f>
        <v/>
      </c>
      <c r="J872" s="25" t="str">
        <f>'Jul 25'!$S$32</f>
        <v/>
      </c>
      <c r="K872" s="23">
        <f>'Jul 25'!$AG$32</f>
        <v>0</v>
      </c>
      <c r="L872" s="23">
        <f>'Jul 25'!$N$32</f>
        <v>0</v>
      </c>
    </row>
    <row r="873" spans="1:12" x14ac:dyDescent="0.25">
      <c r="A873" s="66" t="str">
        <f t="shared" si="13"/>
        <v>✓</v>
      </c>
      <c r="B873" s="67">
        <v>46228</v>
      </c>
      <c r="C873" s="23">
        <f>'Jul 25'!$D$33</f>
        <v>0</v>
      </c>
      <c r="D873" s="23">
        <f>'Jul 25'!$B$33</f>
        <v>0</v>
      </c>
      <c r="E873" s="64">
        <f>'Jul 25'!$E$33</f>
        <v>0</v>
      </c>
      <c r="F873" s="23">
        <f>'Jul 25'!$A$33</f>
        <v>0</v>
      </c>
      <c r="G873" s="64">
        <f>'Jul 25'!$F$33</f>
        <v>0</v>
      </c>
      <c r="H873" s="64">
        <f>'Jul 25'!$G$33</f>
        <v>0</v>
      </c>
      <c r="I873" s="64" t="str">
        <f>'Jul 25'!$M$33</f>
        <v/>
      </c>
      <c r="J873" s="25" t="str">
        <f>'Jul 25'!$S$33</f>
        <v/>
      </c>
      <c r="K873" s="23">
        <f>'Jul 25'!$AG$33</f>
        <v>0</v>
      </c>
      <c r="L873" s="23">
        <f>'Jul 25'!$N$33</f>
        <v>0</v>
      </c>
    </row>
    <row r="874" spans="1:12" x14ac:dyDescent="0.25">
      <c r="A874" s="66" t="str">
        <f t="shared" si="13"/>
        <v>✓</v>
      </c>
      <c r="B874" s="67">
        <v>46228</v>
      </c>
      <c r="C874" s="23">
        <f>'Jul 25'!$D$34</f>
        <v>0</v>
      </c>
      <c r="D874" s="23">
        <f>'Jul 25'!$B$34</f>
        <v>0</v>
      </c>
      <c r="E874" s="64">
        <f>'Jul 25'!$E$34</f>
        <v>0</v>
      </c>
      <c r="F874" s="23">
        <f>'Jul 25'!$A$34</f>
        <v>0</v>
      </c>
      <c r="G874" s="64">
        <f>'Jul 25'!$F$34</f>
        <v>0</v>
      </c>
      <c r="H874" s="64">
        <f>'Jul 25'!$G$34</f>
        <v>0</v>
      </c>
      <c r="I874" s="64" t="str">
        <f>'Jul 25'!$M$34</f>
        <v/>
      </c>
      <c r="J874" s="25" t="str">
        <f>'Jul 25'!$S$34</f>
        <v/>
      </c>
      <c r="K874" s="23">
        <f>'Jul 25'!$AG$34</f>
        <v>0</v>
      </c>
      <c r="L874" s="23">
        <f>'Jul 25'!$N$34</f>
        <v>0</v>
      </c>
    </row>
    <row r="875" spans="1:12" x14ac:dyDescent="0.25">
      <c r="A875" s="66" t="str">
        <f t="shared" si="13"/>
        <v>✓</v>
      </c>
      <c r="B875" s="67">
        <v>46228</v>
      </c>
      <c r="C875" s="23">
        <f>'Jul 25'!$D$35</f>
        <v>0</v>
      </c>
      <c r="D875" s="23">
        <f>'Jul 25'!$B$35</f>
        <v>0</v>
      </c>
      <c r="E875" s="64">
        <f>'Jul 25'!$E$35</f>
        <v>0</v>
      </c>
      <c r="F875" s="23">
        <f>'Jul 25'!$A$35</f>
        <v>0</v>
      </c>
      <c r="G875" s="64">
        <f>'Jul 25'!$F$35</f>
        <v>0</v>
      </c>
      <c r="H875" s="64">
        <f>'Jul 25'!$G$35</f>
        <v>0</v>
      </c>
      <c r="I875" s="64" t="str">
        <f>'Jul 25'!$M$35</f>
        <v/>
      </c>
      <c r="J875" s="25" t="str">
        <f>'Jul 25'!$S$35</f>
        <v/>
      </c>
      <c r="K875" s="23">
        <f>'Jul 25'!$AG$35</f>
        <v>0</v>
      </c>
      <c r="L875" s="23">
        <f>'Jul 25'!$N$35</f>
        <v>0</v>
      </c>
    </row>
    <row r="876" spans="1:12" x14ac:dyDescent="0.25">
      <c r="A876" s="66" t="str">
        <f t="shared" si="13"/>
        <v>✓</v>
      </c>
      <c r="B876" s="67">
        <v>46228</v>
      </c>
      <c r="C876" s="23">
        <f>'Jul 25'!$D$36</f>
        <v>0</v>
      </c>
      <c r="D876" s="23">
        <f>'Jul 25'!$B$36</f>
        <v>0</v>
      </c>
      <c r="E876" s="64">
        <f>'Jul 25'!$E$36</f>
        <v>0</v>
      </c>
      <c r="F876" s="23">
        <f>'Jul 25'!$A$36</f>
        <v>0</v>
      </c>
      <c r="G876" s="64">
        <f>'Jul 25'!$F$36</f>
        <v>0</v>
      </c>
      <c r="H876" s="64">
        <f>'Jul 25'!$G$36</f>
        <v>0</v>
      </c>
      <c r="I876" s="64" t="str">
        <f>'Jul 25'!$M$36</f>
        <v/>
      </c>
      <c r="J876" s="25" t="str">
        <f>'Jul 25'!$S$36</f>
        <v/>
      </c>
      <c r="K876" s="23">
        <f>'Jul 25'!$AG$36</f>
        <v>0</v>
      </c>
      <c r="L876" s="23">
        <f>'Jul 25'!$N$36</f>
        <v>0</v>
      </c>
    </row>
    <row r="877" spans="1:12" x14ac:dyDescent="0.25">
      <c r="A877" s="66" t="str">
        <f t="shared" si="13"/>
        <v>✓</v>
      </c>
      <c r="B877" s="67">
        <v>46228</v>
      </c>
      <c r="C877" s="23">
        <f>'Jul 25'!$D$37</f>
        <v>0</v>
      </c>
      <c r="D877" s="23">
        <f>'Jul 25'!$B$37</f>
        <v>0</v>
      </c>
      <c r="E877" s="64">
        <f>'Jul 25'!$E$37</f>
        <v>0</v>
      </c>
      <c r="F877" s="23">
        <f>'Jul 25'!$A$37</f>
        <v>0</v>
      </c>
      <c r="G877" s="64">
        <f>'Jul 25'!$F$37</f>
        <v>0</v>
      </c>
      <c r="H877" s="64">
        <f>'Jul 25'!$G$37</f>
        <v>0</v>
      </c>
      <c r="I877" s="64" t="str">
        <f>'Jul 25'!$M$37</f>
        <v/>
      </c>
      <c r="J877" s="25" t="str">
        <f>'Jul 25'!$S$37</f>
        <v/>
      </c>
      <c r="K877" s="23">
        <f>'Jul 25'!$AG$37</f>
        <v>0</v>
      </c>
      <c r="L877" s="23">
        <f>'Jul 25'!$N$37</f>
        <v>0</v>
      </c>
    </row>
    <row r="878" spans="1:12" x14ac:dyDescent="0.25">
      <c r="A878" s="66" t="str">
        <f t="shared" si="13"/>
        <v>✓</v>
      </c>
      <c r="B878" s="67">
        <v>46228</v>
      </c>
      <c r="C878" s="23">
        <f>'Jul 25'!$D$38</f>
        <v>0</v>
      </c>
      <c r="D878" s="23">
        <f>'Jul 25'!$B$38</f>
        <v>0</v>
      </c>
      <c r="E878" s="64">
        <f>'Jul 25'!$E$38</f>
        <v>0</v>
      </c>
      <c r="F878" s="23">
        <f>'Jul 25'!$A$38</f>
        <v>0</v>
      </c>
      <c r="G878" s="64">
        <f>'Jul 25'!$F$38</f>
        <v>0</v>
      </c>
      <c r="H878" s="64">
        <f>'Jul 25'!$G$38</f>
        <v>0</v>
      </c>
      <c r="I878" s="64" t="str">
        <f>'Jul 25'!$M$38</f>
        <v/>
      </c>
      <c r="J878" s="25" t="str">
        <f>'Jul 25'!$S$38</f>
        <v/>
      </c>
      <c r="K878" s="23">
        <f>'Jul 25'!$AG$38</f>
        <v>0</v>
      </c>
      <c r="L878" s="23">
        <f>'Jul 25'!$N$38</f>
        <v>0</v>
      </c>
    </row>
    <row r="879" spans="1:12" x14ac:dyDescent="0.25">
      <c r="A879" s="66" t="str">
        <f t="shared" si="13"/>
        <v>✓</v>
      </c>
      <c r="B879" s="67">
        <v>46228</v>
      </c>
      <c r="C879" s="23">
        <f>'Jul 25'!$D$39</f>
        <v>0</v>
      </c>
      <c r="D879" s="23">
        <f>'Jul 25'!$B$39</f>
        <v>0</v>
      </c>
      <c r="E879" s="64">
        <f>'Jul 25'!$E$39</f>
        <v>0</v>
      </c>
      <c r="F879" s="23">
        <f>'Jul 25'!$A$39</f>
        <v>0</v>
      </c>
      <c r="G879" s="64">
        <f>'Jul 25'!$F$39</f>
        <v>0</v>
      </c>
      <c r="H879" s="64">
        <f>'Jul 25'!$G$39</f>
        <v>0</v>
      </c>
      <c r="I879" s="64" t="str">
        <f>'Jul 25'!$M$39</f>
        <v/>
      </c>
      <c r="J879" s="25" t="str">
        <f>'Jul 25'!$S$39</f>
        <v/>
      </c>
      <c r="K879" s="23">
        <f>'Jul 25'!$AG$39</f>
        <v>0</v>
      </c>
      <c r="L879" s="23">
        <f>'Jul 25'!$N$39</f>
        <v>0</v>
      </c>
    </row>
    <row r="880" spans="1:12" x14ac:dyDescent="0.25">
      <c r="A880" s="66" t="str">
        <f t="shared" si="13"/>
        <v>✓</v>
      </c>
      <c r="B880" s="67">
        <v>46228</v>
      </c>
      <c r="C880" s="23">
        <f>'Jul 25'!$D$40</f>
        <v>0</v>
      </c>
      <c r="D880" s="23">
        <f>'Jul 25'!$B$40</f>
        <v>0</v>
      </c>
      <c r="E880" s="64">
        <f>'Jul 25'!$E$40</f>
        <v>0</v>
      </c>
      <c r="F880" s="23">
        <f>'Jul 25'!$A$40</f>
        <v>0</v>
      </c>
      <c r="G880" s="64">
        <f>'Jul 25'!$F$40</f>
        <v>0</v>
      </c>
      <c r="H880" s="64">
        <f>'Jul 25'!$G$40</f>
        <v>0</v>
      </c>
      <c r="I880" s="64" t="str">
        <f>'Jul 25'!$M$40</f>
        <v/>
      </c>
      <c r="J880" s="25" t="str">
        <f>'Jul 25'!$S$40</f>
        <v/>
      </c>
      <c r="K880" s="23">
        <f>'Jul 25'!$AG$40</f>
        <v>0</v>
      </c>
      <c r="L880" s="23">
        <f>'Jul 25'!$N$40</f>
        <v>0</v>
      </c>
    </row>
    <row r="881" spans="1:12" x14ac:dyDescent="0.25">
      <c r="A881" s="66" t="str">
        <f t="shared" si="13"/>
        <v>✓</v>
      </c>
      <c r="B881" s="67">
        <v>46228</v>
      </c>
      <c r="C881" s="23">
        <f>'Jul 25'!$D$41</f>
        <v>0</v>
      </c>
      <c r="D881" s="23">
        <f>'Jul 25'!$B$41</f>
        <v>0</v>
      </c>
      <c r="E881" s="64">
        <f>'Jul 25'!$E$41</f>
        <v>0</v>
      </c>
      <c r="F881" s="23">
        <f>'Jul 25'!$A$41</f>
        <v>0</v>
      </c>
      <c r="G881" s="64">
        <f>'Jul 25'!$F$41</f>
        <v>0</v>
      </c>
      <c r="H881" s="64">
        <f>'Jul 25'!$G$41</f>
        <v>0</v>
      </c>
      <c r="I881" s="64" t="str">
        <f>'Jul 25'!$M$41</f>
        <v/>
      </c>
      <c r="J881" s="25" t="str">
        <f>'Jul 25'!$S$41</f>
        <v/>
      </c>
      <c r="K881" s="23">
        <f>'Jul 25'!$AG$41</f>
        <v>0</v>
      </c>
      <c r="L881" s="23">
        <f>'Jul 25'!$N$41</f>
        <v>0</v>
      </c>
    </row>
    <row r="882" spans="1:12" x14ac:dyDescent="0.25">
      <c r="A882" s="66" t="str">
        <f t="shared" si="13"/>
        <v>✓</v>
      </c>
      <c r="B882" s="67">
        <v>46228</v>
      </c>
      <c r="C882" s="23">
        <f>'Jul 25'!$D$42</f>
        <v>0</v>
      </c>
      <c r="D882" s="23">
        <f>'Jul 25'!$B$42</f>
        <v>0</v>
      </c>
      <c r="E882" s="64">
        <f>'Jul 25'!$E$42</f>
        <v>0</v>
      </c>
      <c r="F882" s="23">
        <f>'Jul 25'!$A$42</f>
        <v>0</v>
      </c>
      <c r="G882" s="64">
        <f>'Jul 25'!$F$42</f>
        <v>0</v>
      </c>
      <c r="H882" s="64">
        <f>'Jul 25'!$G$42</f>
        <v>0</v>
      </c>
      <c r="I882" s="64" t="str">
        <f>'Jul 25'!$M$42</f>
        <v/>
      </c>
      <c r="J882" s="25" t="str">
        <f>'Jul 25'!$S$42</f>
        <v/>
      </c>
      <c r="K882" s="23">
        <f>'Jul 25'!$AG$42</f>
        <v>0</v>
      </c>
      <c r="L882" s="23">
        <f>'Jul 25'!$N$42</f>
        <v>0</v>
      </c>
    </row>
    <row r="883" spans="1:12" x14ac:dyDescent="0.25">
      <c r="A883" s="66" t="str">
        <f t="shared" si="13"/>
        <v>✓</v>
      </c>
      <c r="B883" s="67">
        <v>46229</v>
      </c>
      <c r="C883" s="23">
        <f>'Jul 26'!$D$8</f>
        <v>0</v>
      </c>
      <c r="D883" s="23">
        <f>'Jul 26'!$B$8</f>
        <v>0</v>
      </c>
      <c r="E883" s="64">
        <f>'Jul 26'!$E$8</f>
        <v>0</v>
      </c>
      <c r="F883" s="23">
        <f>'Jul 26'!$A$8</f>
        <v>0</v>
      </c>
      <c r="G883" s="64">
        <f>'Jul 26'!$F$8</f>
        <v>0</v>
      </c>
      <c r="H883" s="64">
        <f>'Jul 26'!$G$8</f>
        <v>0</v>
      </c>
      <c r="I883" s="64" t="str">
        <f>'Jul 26'!$M$8</f>
        <v/>
      </c>
      <c r="J883" s="25" t="str">
        <f>'Jul 26'!$S$8</f>
        <v/>
      </c>
      <c r="K883" s="23">
        <f>'Jul 26'!$AG$8</f>
        <v>0</v>
      </c>
      <c r="L883" s="23">
        <f>'Jul 26'!$N$8</f>
        <v>0</v>
      </c>
    </row>
    <row r="884" spans="1:12" x14ac:dyDescent="0.25">
      <c r="A884" s="66" t="str">
        <f t="shared" si="13"/>
        <v>✓</v>
      </c>
      <c r="B884" s="67">
        <v>46229</v>
      </c>
      <c r="C884" s="23">
        <f>'Jul 26'!$D$9</f>
        <v>0</v>
      </c>
      <c r="D884" s="23">
        <f>'Jul 26'!$B$9</f>
        <v>0</v>
      </c>
      <c r="E884" s="64">
        <f>'Jul 26'!$E$9</f>
        <v>0</v>
      </c>
      <c r="F884" s="23">
        <f>'Jul 26'!$A$9</f>
        <v>0</v>
      </c>
      <c r="G884" s="64">
        <f>'Jul 26'!$F$9</f>
        <v>0</v>
      </c>
      <c r="H884" s="64">
        <f>'Jul 26'!$G$9</f>
        <v>0</v>
      </c>
      <c r="I884" s="64" t="str">
        <f>'Jul 26'!$M$9</f>
        <v/>
      </c>
      <c r="J884" s="25" t="str">
        <f>'Jul 26'!$S$9</f>
        <v/>
      </c>
      <c r="K884" s="23">
        <f>'Jul 26'!$AG$9</f>
        <v>0</v>
      </c>
      <c r="L884" s="23">
        <f>'Jul 26'!$N$9</f>
        <v>0</v>
      </c>
    </row>
    <row r="885" spans="1:12" x14ac:dyDescent="0.25">
      <c r="A885" s="66" t="str">
        <f t="shared" si="13"/>
        <v>✓</v>
      </c>
      <c r="B885" s="67">
        <v>46229</v>
      </c>
      <c r="C885" s="23">
        <f>'Jul 26'!$D$10</f>
        <v>0</v>
      </c>
      <c r="D885" s="23">
        <f>'Jul 26'!$B$10</f>
        <v>0</v>
      </c>
      <c r="E885" s="64">
        <f>'Jul 26'!$E$10</f>
        <v>0</v>
      </c>
      <c r="F885" s="23">
        <f>'Jul 26'!$A$10</f>
        <v>0</v>
      </c>
      <c r="G885" s="64">
        <f>'Jul 26'!$F$10</f>
        <v>0</v>
      </c>
      <c r="H885" s="64">
        <f>'Jul 26'!$G$10</f>
        <v>0</v>
      </c>
      <c r="I885" s="64" t="str">
        <f>'Jul 26'!$M$10</f>
        <v/>
      </c>
      <c r="J885" s="25" t="str">
        <f>'Jul 26'!$S$10</f>
        <v/>
      </c>
      <c r="K885" s="23">
        <f>'Jul 26'!$AG$10</f>
        <v>0</v>
      </c>
      <c r="L885" s="23">
        <f>'Jul 26'!$N$10</f>
        <v>0</v>
      </c>
    </row>
    <row r="886" spans="1:12" x14ac:dyDescent="0.25">
      <c r="A886" s="66" t="str">
        <f t="shared" si="13"/>
        <v>✓</v>
      </c>
      <c r="B886" s="67">
        <v>46229</v>
      </c>
      <c r="C886" s="23">
        <f>'Jul 26'!$D$11</f>
        <v>0</v>
      </c>
      <c r="D886" s="23">
        <f>'Jul 26'!$B$11</f>
        <v>0</v>
      </c>
      <c r="E886" s="64">
        <f>'Jul 26'!$E$11</f>
        <v>0</v>
      </c>
      <c r="F886" s="23">
        <f>'Jul 26'!$A$11</f>
        <v>0</v>
      </c>
      <c r="G886" s="64">
        <f>'Jul 26'!$F$11</f>
        <v>0</v>
      </c>
      <c r="H886" s="64">
        <f>'Jul 26'!$G$11</f>
        <v>0</v>
      </c>
      <c r="I886" s="64" t="str">
        <f>'Jul 26'!$M$11</f>
        <v/>
      </c>
      <c r="J886" s="25" t="str">
        <f>'Jul 26'!$S$11</f>
        <v/>
      </c>
      <c r="K886" s="23">
        <f>'Jul 26'!$AG$11</f>
        <v>0</v>
      </c>
      <c r="L886" s="23">
        <f>'Jul 26'!$N$11</f>
        <v>0</v>
      </c>
    </row>
    <row r="887" spans="1:12" x14ac:dyDescent="0.25">
      <c r="A887" s="66" t="str">
        <f t="shared" si="13"/>
        <v>✓</v>
      </c>
      <c r="B887" s="67">
        <v>46229</v>
      </c>
      <c r="C887" s="23">
        <f>'Jul 26'!$D$12</f>
        <v>0</v>
      </c>
      <c r="D887" s="23">
        <f>'Jul 26'!$B$12</f>
        <v>0</v>
      </c>
      <c r="E887" s="64">
        <f>'Jul 26'!$E$12</f>
        <v>0</v>
      </c>
      <c r="F887" s="23">
        <f>'Jul 26'!$A$12</f>
        <v>0</v>
      </c>
      <c r="G887" s="64">
        <f>'Jul 26'!$F$12</f>
        <v>0</v>
      </c>
      <c r="H887" s="64">
        <f>'Jul 26'!$G$12</f>
        <v>0</v>
      </c>
      <c r="I887" s="64" t="str">
        <f>'Jul 26'!$M$12</f>
        <v/>
      </c>
      <c r="J887" s="25" t="str">
        <f>'Jul 26'!$S$12</f>
        <v/>
      </c>
      <c r="K887" s="23">
        <f>'Jul 26'!$AG$12</f>
        <v>0</v>
      </c>
      <c r="L887" s="23">
        <f>'Jul 26'!$N$12</f>
        <v>0</v>
      </c>
    </row>
    <row r="888" spans="1:12" x14ac:dyDescent="0.25">
      <c r="A888" s="66" t="str">
        <f t="shared" si="13"/>
        <v>✓</v>
      </c>
      <c r="B888" s="67">
        <v>46229</v>
      </c>
      <c r="C888" s="23">
        <f>'Jul 26'!$D$13</f>
        <v>0</v>
      </c>
      <c r="D888" s="23">
        <f>'Jul 26'!$B$13</f>
        <v>0</v>
      </c>
      <c r="E888" s="64">
        <f>'Jul 26'!$E$13</f>
        <v>0</v>
      </c>
      <c r="F888" s="23">
        <f>'Jul 26'!$A$13</f>
        <v>0</v>
      </c>
      <c r="G888" s="64">
        <f>'Jul 26'!$F$13</f>
        <v>0</v>
      </c>
      <c r="H888" s="64">
        <f>'Jul 26'!$G$13</f>
        <v>0</v>
      </c>
      <c r="I888" s="64" t="str">
        <f>'Jul 26'!$M$13</f>
        <v/>
      </c>
      <c r="J888" s="25" t="str">
        <f>'Jul 26'!$S$13</f>
        <v/>
      </c>
      <c r="K888" s="23">
        <f>'Jul 26'!$AG$13</f>
        <v>0</v>
      </c>
      <c r="L888" s="23">
        <f>'Jul 26'!$N$13</f>
        <v>0</v>
      </c>
    </row>
    <row r="889" spans="1:12" x14ac:dyDescent="0.25">
      <c r="A889" s="66" t="str">
        <f t="shared" si="13"/>
        <v>✓</v>
      </c>
      <c r="B889" s="67">
        <v>46229</v>
      </c>
      <c r="C889" s="23">
        <f>'Jul 26'!$D$14</f>
        <v>0</v>
      </c>
      <c r="D889" s="23">
        <f>'Jul 26'!$B$14</f>
        <v>0</v>
      </c>
      <c r="E889" s="64">
        <f>'Jul 26'!$E$14</f>
        <v>0</v>
      </c>
      <c r="F889" s="23">
        <f>'Jul 26'!$A$14</f>
        <v>0</v>
      </c>
      <c r="G889" s="64">
        <f>'Jul 26'!$F$14</f>
        <v>0</v>
      </c>
      <c r="H889" s="64">
        <f>'Jul 26'!$G$14</f>
        <v>0</v>
      </c>
      <c r="I889" s="64" t="str">
        <f>'Jul 26'!$M$14</f>
        <v/>
      </c>
      <c r="J889" s="25" t="str">
        <f>'Jul 26'!$S$14</f>
        <v/>
      </c>
      <c r="K889" s="23">
        <f>'Jul 26'!$AG$14</f>
        <v>0</v>
      </c>
      <c r="L889" s="23">
        <f>'Jul 26'!$N$14</f>
        <v>0</v>
      </c>
    </row>
    <row r="890" spans="1:12" x14ac:dyDescent="0.25">
      <c r="A890" s="66" t="str">
        <f t="shared" si="13"/>
        <v>✓</v>
      </c>
      <c r="B890" s="67">
        <v>46229</v>
      </c>
      <c r="C890" s="23">
        <f>'Jul 26'!$D$15</f>
        <v>0</v>
      </c>
      <c r="D890" s="23">
        <f>'Jul 26'!$B$15</f>
        <v>0</v>
      </c>
      <c r="E890" s="64">
        <f>'Jul 26'!$E$15</f>
        <v>0</v>
      </c>
      <c r="F890" s="23">
        <f>'Jul 26'!$A$15</f>
        <v>0</v>
      </c>
      <c r="G890" s="64">
        <f>'Jul 26'!$F$15</f>
        <v>0</v>
      </c>
      <c r="H890" s="64">
        <f>'Jul 26'!$G$15</f>
        <v>0</v>
      </c>
      <c r="I890" s="64" t="str">
        <f>'Jul 26'!$M$15</f>
        <v/>
      </c>
      <c r="J890" s="25" t="str">
        <f>'Jul 26'!$S$15</f>
        <v/>
      </c>
      <c r="K890" s="23">
        <f>'Jul 26'!$AG$15</f>
        <v>0</v>
      </c>
      <c r="L890" s="23">
        <f>'Jul 26'!$N$15</f>
        <v>0</v>
      </c>
    </row>
    <row r="891" spans="1:12" x14ac:dyDescent="0.25">
      <c r="A891" s="66" t="str">
        <f t="shared" si="13"/>
        <v>✓</v>
      </c>
      <c r="B891" s="67">
        <v>46229</v>
      </c>
      <c r="C891" s="23">
        <f>'Jul 26'!$D$16</f>
        <v>0</v>
      </c>
      <c r="D891" s="23">
        <f>'Jul 26'!$B$16</f>
        <v>0</v>
      </c>
      <c r="E891" s="64">
        <f>'Jul 26'!$E$16</f>
        <v>0</v>
      </c>
      <c r="F891" s="23">
        <f>'Jul 26'!$A$16</f>
        <v>0</v>
      </c>
      <c r="G891" s="64">
        <f>'Jul 26'!$F$16</f>
        <v>0</v>
      </c>
      <c r="H891" s="64">
        <f>'Jul 26'!$G$16</f>
        <v>0</v>
      </c>
      <c r="I891" s="64" t="str">
        <f>'Jul 26'!$M$16</f>
        <v/>
      </c>
      <c r="J891" s="25" t="str">
        <f>'Jul 26'!$S$16</f>
        <v/>
      </c>
      <c r="K891" s="23">
        <f>'Jul 26'!$AG$16</f>
        <v>0</v>
      </c>
      <c r="L891" s="23">
        <f>'Jul 26'!$N$16</f>
        <v>0</v>
      </c>
    </row>
    <row r="892" spans="1:12" x14ac:dyDescent="0.25">
      <c r="A892" s="66" t="str">
        <f t="shared" si="13"/>
        <v>✓</v>
      </c>
      <c r="B892" s="67">
        <v>46229</v>
      </c>
      <c r="C892" s="23">
        <f>'Jul 26'!$D$17</f>
        <v>0</v>
      </c>
      <c r="D892" s="23">
        <f>'Jul 26'!$B$17</f>
        <v>0</v>
      </c>
      <c r="E892" s="64">
        <f>'Jul 26'!$E$17</f>
        <v>0</v>
      </c>
      <c r="F892" s="23">
        <f>'Jul 26'!$A$17</f>
        <v>0</v>
      </c>
      <c r="G892" s="64">
        <f>'Jul 26'!$F$17</f>
        <v>0</v>
      </c>
      <c r="H892" s="64">
        <f>'Jul 26'!$G$17</f>
        <v>0</v>
      </c>
      <c r="I892" s="64" t="str">
        <f>'Jul 26'!$M$17</f>
        <v/>
      </c>
      <c r="J892" s="25" t="str">
        <f>'Jul 26'!$S$17</f>
        <v/>
      </c>
      <c r="K892" s="23">
        <f>'Jul 26'!$AG$17</f>
        <v>0</v>
      </c>
      <c r="L892" s="23">
        <f>'Jul 26'!$N$17</f>
        <v>0</v>
      </c>
    </row>
    <row r="893" spans="1:12" x14ac:dyDescent="0.25">
      <c r="A893" s="66" t="str">
        <f t="shared" si="13"/>
        <v>✓</v>
      </c>
      <c r="B893" s="67">
        <v>46229</v>
      </c>
      <c r="C893" s="23">
        <f>'Jul 26'!$D$18</f>
        <v>0</v>
      </c>
      <c r="D893" s="23">
        <f>'Jul 26'!$B$18</f>
        <v>0</v>
      </c>
      <c r="E893" s="64">
        <f>'Jul 26'!$E$18</f>
        <v>0</v>
      </c>
      <c r="F893" s="23">
        <f>'Jul 26'!$A$18</f>
        <v>0</v>
      </c>
      <c r="G893" s="64">
        <f>'Jul 26'!$F$18</f>
        <v>0</v>
      </c>
      <c r="H893" s="64">
        <f>'Jul 26'!$G$18</f>
        <v>0</v>
      </c>
      <c r="I893" s="64" t="str">
        <f>'Jul 26'!$M$18</f>
        <v/>
      </c>
      <c r="J893" s="25" t="str">
        <f>'Jul 26'!$S$18</f>
        <v/>
      </c>
      <c r="K893" s="23">
        <f>'Jul 26'!$AG$18</f>
        <v>0</v>
      </c>
      <c r="L893" s="23">
        <f>'Jul 26'!$N$18</f>
        <v>0</v>
      </c>
    </row>
    <row r="894" spans="1:12" x14ac:dyDescent="0.25">
      <c r="A894" s="66" t="str">
        <f t="shared" si="13"/>
        <v>✓</v>
      </c>
      <c r="B894" s="67">
        <v>46229</v>
      </c>
      <c r="C894" s="23">
        <f>'Jul 26'!$D$19</f>
        <v>0</v>
      </c>
      <c r="D894" s="23">
        <f>'Jul 26'!$B$19</f>
        <v>0</v>
      </c>
      <c r="E894" s="64">
        <f>'Jul 26'!$E$19</f>
        <v>0</v>
      </c>
      <c r="F894" s="23">
        <f>'Jul 26'!$A$19</f>
        <v>0</v>
      </c>
      <c r="G894" s="64">
        <f>'Jul 26'!$F$19</f>
        <v>0</v>
      </c>
      <c r="H894" s="64">
        <f>'Jul 26'!$G$19</f>
        <v>0</v>
      </c>
      <c r="I894" s="64" t="str">
        <f>'Jul 26'!$M$19</f>
        <v/>
      </c>
      <c r="J894" s="25" t="str">
        <f>'Jul 26'!$S$19</f>
        <v/>
      </c>
      <c r="K894" s="23">
        <f>'Jul 26'!$AG$19</f>
        <v>0</v>
      </c>
      <c r="L894" s="23">
        <f>'Jul 26'!$N$19</f>
        <v>0</v>
      </c>
    </row>
    <row r="895" spans="1:12" x14ac:dyDescent="0.25">
      <c r="A895" s="66" t="str">
        <f t="shared" si="13"/>
        <v>✓</v>
      </c>
      <c r="B895" s="67">
        <v>46229</v>
      </c>
      <c r="C895" s="23">
        <f>'Jul 26'!$D$20</f>
        <v>0</v>
      </c>
      <c r="D895" s="23">
        <f>'Jul 26'!$B$20</f>
        <v>0</v>
      </c>
      <c r="E895" s="64">
        <f>'Jul 26'!$E$20</f>
        <v>0</v>
      </c>
      <c r="F895" s="23">
        <f>'Jul 26'!$A$20</f>
        <v>0</v>
      </c>
      <c r="G895" s="64">
        <f>'Jul 26'!$F$20</f>
        <v>0</v>
      </c>
      <c r="H895" s="64">
        <f>'Jul 26'!$G$20</f>
        <v>0</v>
      </c>
      <c r="I895" s="64" t="str">
        <f>'Jul 26'!$M$20</f>
        <v/>
      </c>
      <c r="J895" s="25" t="str">
        <f>'Jul 26'!$S$20</f>
        <v/>
      </c>
      <c r="K895" s="23">
        <f>'Jul 26'!$AG$20</f>
        <v>0</v>
      </c>
      <c r="L895" s="23">
        <f>'Jul 26'!$N$20</f>
        <v>0</v>
      </c>
    </row>
    <row r="896" spans="1:12" x14ac:dyDescent="0.25">
      <c r="A896" s="66" t="str">
        <f t="shared" si="13"/>
        <v>✓</v>
      </c>
      <c r="B896" s="67">
        <v>46229</v>
      </c>
      <c r="C896" s="23">
        <f>'Jul 26'!$D$21</f>
        <v>0</v>
      </c>
      <c r="D896" s="23">
        <f>'Jul 26'!$B$21</f>
        <v>0</v>
      </c>
      <c r="E896" s="64">
        <f>'Jul 26'!$E$21</f>
        <v>0</v>
      </c>
      <c r="F896" s="23">
        <f>'Jul 26'!$A$21</f>
        <v>0</v>
      </c>
      <c r="G896" s="64">
        <f>'Jul 26'!$F$21</f>
        <v>0</v>
      </c>
      <c r="H896" s="64">
        <f>'Jul 26'!$G$21</f>
        <v>0</v>
      </c>
      <c r="I896" s="64" t="str">
        <f>'Jul 26'!$M$21</f>
        <v/>
      </c>
      <c r="J896" s="25" t="str">
        <f>'Jul 26'!$S$21</f>
        <v/>
      </c>
      <c r="K896" s="23">
        <f>'Jul 26'!$AG$21</f>
        <v>0</v>
      </c>
      <c r="L896" s="23">
        <f>'Jul 26'!$N$21</f>
        <v>0</v>
      </c>
    </row>
    <row r="897" spans="1:12" x14ac:dyDescent="0.25">
      <c r="A897" s="66" t="str">
        <f t="shared" si="13"/>
        <v>✓</v>
      </c>
      <c r="B897" s="67">
        <v>46229</v>
      </c>
      <c r="C897" s="23">
        <f>'Jul 26'!$D$22</f>
        <v>0</v>
      </c>
      <c r="D897" s="23">
        <f>'Jul 26'!$B$22</f>
        <v>0</v>
      </c>
      <c r="E897" s="64">
        <f>'Jul 26'!$E$22</f>
        <v>0</v>
      </c>
      <c r="F897" s="23">
        <f>'Jul 26'!$A$22</f>
        <v>0</v>
      </c>
      <c r="G897" s="64">
        <f>'Jul 26'!$F$22</f>
        <v>0</v>
      </c>
      <c r="H897" s="64">
        <f>'Jul 26'!$G$22</f>
        <v>0</v>
      </c>
      <c r="I897" s="64" t="str">
        <f>'Jul 26'!$M$22</f>
        <v/>
      </c>
      <c r="J897" s="25" t="str">
        <f>'Jul 26'!$S$22</f>
        <v/>
      </c>
      <c r="K897" s="23">
        <f>'Jul 26'!$AG$22</f>
        <v>0</v>
      </c>
      <c r="L897" s="23">
        <f>'Jul 26'!$N$22</f>
        <v>0</v>
      </c>
    </row>
    <row r="898" spans="1:12" x14ac:dyDescent="0.25">
      <c r="A898" s="66" t="str">
        <f t="shared" si="13"/>
        <v>✓</v>
      </c>
      <c r="B898" s="67">
        <v>46229</v>
      </c>
      <c r="C898" s="23">
        <f>'Jul 26'!$D$23</f>
        <v>0</v>
      </c>
      <c r="D898" s="23">
        <f>'Jul 26'!$B$23</f>
        <v>0</v>
      </c>
      <c r="E898" s="64">
        <f>'Jul 26'!$E$23</f>
        <v>0</v>
      </c>
      <c r="F898" s="23">
        <f>'Jul 26'!$A$23</f>
        <v>0</v>
      </c>
      <c r="G898" s="64">
        <f>'Jul 26'!$F$23</f>
        <v>0</v>
      </c>
      <c r="H898" s="64">
        <f>'Jul 26'!$G$23</f>
        <v>0</v>
      </c>
      <c r="I898" s="64" t="str">
        <f>'Jul 26'!$M$23</f>
        <v/>
      </c>
      <c r="J898" s="25" t="str">
        <f>'Jul 26'!$S$23</f>
        <v/>
      </c>
      <c r="K898" s="23">
        <f>'Jul 26'!$AG$23</f>
        <v>0</v>
      </c>
      <c r="L898" s="23">
        <f>'Jul 26'!$N$23</f>
        <v>0</v>
      </c>
    </row>
    <row r="899" spans="1:12" x14ac:dyDescent="0.25">
      <c r="A899" s="66" t="str">
        <f t="shared" si="13"/>
        <v>✓</v>
      </c>
      <c r="B899" s="67">
        <v>46229</v>
      </c>
      <c r="C899" s="23">
        <f>'Jul 26'!$D$24</f>
        <v>0</v>
      </c>
      <c r="D899" s="23">
        <f>'Jul 26'!$B$24</f>
        <v>0</v>
      </c>
      <c r="E899" s="64">
        <f>'Jul 26'!$E$24</f>
        <v>0</v>
      </c>
      <c r="F899" s="23">
        <f>'Jul 26'!$A$24</f>
        <v>0</v>
      </c>
      <c r="G899" s="64">
        <f>'Jul 26'!$F$24</f>
        <v>0</v>
      </c>
      <c r="H899" s="64">
        <f>'Jul 26'!$G$24</f>
        <v>0</v>
      </c>
      <c r="I899" s="64" t="str">
        <f>'Jul 26'!$M$24</f>
        <v/>
      </c>
      <c r="J899" s="25" t="str">
        <f>'Jul 26'!$S$24</f>
        <v/>
      </c>
      <c r="K899" s="23">
        <f>'Jul 26'!$AG$24</f>
        <v>0</v>
      </c>
      <c r="L899" s="23">
        <f>'Jul 26'!$N$24</f>
        <v>0</v>
      </c>
    </row>
    <row r="900" spans="1:12" x14ac:dyDescent="0.25">
      <c r="A900" s="66" t="str">
        <f t="shared" si="13"/>
        <v>✓</v>
      </c>
      <c r="B900" s="67">
        <v>46229</v>
      </c>
      <c r="C900" s="23">
        <f>'Jul 26'!$D$25</f>
        <v>0</v>
      </c>
      <c r="D900" s="23">
        <f>'Jul 26'!$B$25</f>
        <v>0</v>
      </c>
      <c r="E900" s="64">
        <f>'Jul 26'!$E$25</f>
        <v>0</v>
      </c>
      <c r="F900" s="23">
        <f>'Jul 26'!$A$25</f>
        <v>0</v>
      </c>
      <c r="G900" s="64">
        <f>'Jul 26'!$F$25</f>
        <v>0</v>
      </c>
      <c r="H900" s="64">
        <f>'Jul 26'!$G$25</f>
        <v>0</v>
      </c>
      <c r="I900" s="64" t="str">
        <f>'Jul 26'!$M$25</f>
        <v/>
      </c>
      <c r="J900" s="25" t="str">
        <f>'Jul 26'!$S$25</f>
        <v/>
      </c>
      <c r="K900" s="23">
        <f>'Jul 26'!$AG$25</f>
        <v>0</v>
      </c>
      <c r="L900" s="23">
        <f>'Jul 26'!$N$25</f>
        <v>0</v>
      </c>
    </row>
    <row r="901" spans="1:12" x14ac:dyDescent="0.25">
      <c r="A901" s="66" t="str">
        <f t="shared" si="13"/>
        <v>✓</v>
      </c>
      <c r="B901" s="67">
        <v>46229</v>
      </c>
      <c r="C901" s="23">
        <f>'Jul 26'!$D$26</f>
        <v>0</v>
      </c>
      <c r="D901" s="23">
        <f>'Jul 26'!$B$26</f>
        <v>0</v>
      </c>
      <c r="E901" s="64">
        <f>'Jul 26'!$E$26</f>
        <v>0</v>
      </c>
      <c r="F901" s="23">
        <f>'Jul 26'!$A$26</f>
        <v>0</v>
      </c>
      <c r="G901" s="64">
        <f>'Jul 26'!$F$26</f>
        <v>0</v>
      </c>
      <c r="H901" s="64">
        <f>'Jul 26'!$G$26</f>
        <v>0</v>
      </c>
      <c r="I901" s="64" t="str">
        <f>'Jul 26'!$M$26</f>
        <v/>
      </c>
      <c r="J901" s="25" t="str">
        <f>'Jul 26'!$S$26</f>
        <v/>
      </c>
      <c r="K901" s="23">
        <f>'Jul 26'!$AG$26</f>
        <v>0</v>
      </c>
      <c r="L901" s="23">
        <f>'Jul 26'!$N$26</f>
        <v>0</v>
      </c>
    </row>
    <row r="902" spans="1:12" x14ac:dyDescent="0.25">
      <c r="A902" s="66" t="str">
        <f t="shared" si="13"/>
        <v>✓</v>
      </c>
      <c r="B902" s="67">
        <v>46229</v>
      </c>
      <c r="C902" s="23">
        <f>'Jul 26'!$D$27</f>
        <v>0</v>
      </c>
      <c r="D902" s="23">
        <f>'Jul 26'!$B$27</f>
        <v>0</v>
      </c>
      <c r="E902" s="64">
        <f>'Jul 26'!$E$27</f>
        <v>0</v>
      </c>
      <c r="F902" s="23">
        <f>'Jul 26'!$A$27</f>
        <v>0</v>
      </c>
      <c r="G902" s="64">
        <f>'Jul 26'!$F$27</f>
        <v>0</v>
      </c>
      <c r="H902" s="64">
        <f>'Jul 26'!$G$27</f>
        <v>0</v>
      </c>
      <c r="I902" s="64" t="str">
        <f>'Jul 26'!$M$27</f>
        <v/>
      </c>
      <c r="J902" s="25" t="str">
        <f>'Jul 26'!$S$27</f>
        <v/>
      </c>
      <c r="K902" s="23">
        <f>'Jul 26'!$AG$27</f>
        <v>0</v>
      </c>
      <c r="L902" s="23">
        <f>'Jul 26'!$N$27</f>
        <v>0</v>
      </c>
    </row>
    <row r="903" spans="1:12" x14ac:dyDescent="0.25">
      <c r="A903" s="66" t="str">
        <f t="shared" si="13"/>
        <v>✓</v>
      </c>
      <c r="B903" s="67">
        <v>46229</v>
      </c>
      <c r="C903" s="23">
        <f>'Jul 26'!$D$28</f>
        <v>0</v>
      </c>
      <c r="D903" s="23">
        <f>'Jul 26'!$B$28</f>
        <v>0</v>
      </c>
      <c r="E903" s="64">
        <f>'Jul 26'!$E$28</f>
        <v>0</v>
      </c>
      <c r="F903" s="23">
        <f>'Jul 26'!$A$28</f>
        <v>0</v>
      </c>
      <c r="G903" s="64">
        <f>'Jul 26'!$F$28</f>
        <v>0</v>
      </c>
      <c r="H903" s="64">
        <f>'Jul 26'!$G$28</f>
        <v>0</v>
      </c>
      <c r="I903" s="64" t="str">
        <f>'Jul 26'!$M$28</f>
        <v/>
      </c>
      <c r="J903" s="25" t="str">
        <f>'Jul 26'!$S$28</f>
        <v/>
      </c>
      <c r="K903" s="23">
        <f>'Jul 26'!$AG$28</f>
        <v>0</v>
      </c>
      <c r="L903" s="23">
        <f>'Jul 26'!$N$28</f>
        <v>0</v>
      </c>
    </row>
    <row r="904" spans="1:12" x14ac:dyDescent="0.25">
      <c r="A904" s="66" t="str">
        <f t="shared" ref="A904:A967" si="14">IF(C904="","",IF(AND(OR($B$5="",G904=$B$5,H904=$B$5),OR($D$5="",F904=$D$5),OR($E$5="",K904=$E$5),OR($G$5="",L904=$G$5),OR($H$5="",N(J904)&gt;=$H$5),OR($I$5="",ISNUMBER(SEARCH($I$5,C904&amp;" "&amp;D904&amp;" "&amp;E904&amp;" "&amp;I904)))),"✓",""))</f>
        <v>✓</v>
      </c>
      <c r="B904" s="67">
        <v>46229</v>
      </c>
      <c r="C904" s="23">
        <f>'Jul 26'!$D$29</f>
        <v>0</v>
      </c>
      <c r="D904" s="23">
        <f>'Jul 26'!$B$29</f>
        <v>0</v>
      </c>
      <c r="E904" s="64">
        <f>'Jul 26'!$E$29</f>
        <v>0</v>
      </c>
      <c r="F904" s="23">
        <f>'Jul 26'!$A$29</f>
        <v>0</v>
      </c>
      <c r="G904" s="64">
        <f>'Jul 26'!$F$29</f>
        <v>0</v>
      </c>
      <c r="H904" s="64">
        <f>'Jul 26'!$G$29</f>
        <v>0</v>
      </c>
      <c r="I904" s="64" t="str">
        <f>'Jul 26'!$M$29</f>
        <v/>
      </c>
      <c r="J904" s="25" t="str">
        <f>'Jul 26'!$S$29</f>
        <v/>
      </c>
      <c r="K904" s="23">
        <f>'Jul 26'!$AG$29</f>
        <v>0</v>
      </c>
      <c r="L904" s="23">
        <f>'Jul 26'!$N$29</f>
        <v>0</v>
      </c>
    </row>
    <row r="905" spans="1:12" x14ac:dyDescent="0.25">
      <c r="A905" s="66" t="str">
        <f t="shared" si="14"/>
        <v>✓</v>
      </c>
      <c r="B905" s="67">
        <v>46229</v>
      </c>
      <c r="C905" s="23">
        <f>'Jul 26'!$D$30</f>
        <v>0</v>
      </c>
      <c r="D905" s="23">
        <f>'Jul 26'!$B$30</f>
        <v>0</v>
      </c>
      <c r="E905" s="64">
        <f>'Jul 26'!$E$30</f>
        <v>0</v>
      </c>
      <c r="F905" s="23">
        <f>'Jul 26'!$A$30</f>
        <v>0</v>
      </c>
      <c r="G905" s="64">
        <f>'Jul 26'!$F$30</f>
        <v>0</v>
      </c>
      <c r="H905" s="64">
        <f>'Jul 26'!$G$30</f>
        <v>0</v>
      </c>
      <c r="I905" s="64" t="str">
        <f>'Jul 26'!$M$30</f>
        <v/>
      </c>
      <c r="J905" s="25" t="str">
        <f>'Jul 26'!$S$30</f>
        <v/>
      </c>
      <c r="K905" s="23">
        <f>'Jul 26'!$AG$30</f>
        <v>0</v>
      </c>
      <c r="L905" s="23">
        <f>'Jul 26'!$N$30</f>
        <v>0</v>
      </c>
    </row>
    <row r="906" spans="1:12" x14ac:dyDescent="0.25">
      <c r="A906" s="66" t="str">
        <f t="shared" si="14"/>
        <v>✓</v>
      </c>
      <c r="B906" s="67">
        <v>46229</v>
      </c>
      <c r="C906" s="23">
        <f>'Jul 26'!$D$31</f>
        <v>0</v>
      </c>
      <c r="D906" s="23">
        <f>'Jul 26'!$B$31</f>
        <v>0</v>
      </c>
      <c r="E906" s="64">
        <f>'Jul 26'!$E$31</f>
        <v>0</v>
      </c>
      <c r="F906" s="23">
        <f>'Jul 26'!$A$31</f>
        <v>0</v>
      </c>
      <c r="G906" s="64">
        <f>'Jul 26'!$F$31</f>
        <v>0</v>
      </c>
      <c r="H906" s="64">
        <f>'Jul 26'!$G$31</f>
        <v>0</v>
      </c>
      <c r="I906" s="64" t="str">
        <f>'Jul 26'!$M$31</f>
        <v/>
      </c>
      <c r="J906" s="25" t="str">
        <f>'Jul 26'!$S$31</f>
        <v/>
      </c>
      <c r="K906" s="23">
        <f>'Jul 26'!$AG$31</f>
        <v>0</v>
      </c>
      <c r="L906" s="23">
        <f>'Jul 26'!$N$31</f>
        <v>0</v>
      </c>
    </row>
    <row r="907" spans="1:12" x14ac:dyDescent="0.25">
      <c r="A907" s="66" t="str">
        <f t="shared" si="14"/>
        <v>✓</v>
      </c>
      <c r="B907" s="67">
        <v>46229</v>
      </c>
      <c r="C907" s="23">
        <f>'Jul 26'!$D$32</f>
        <v>0</v>
      </c>
      <c r="D907" s="23">
        <f>'Jul 26'!$B$32</f>
        <v>0</v>
      </c>
      <c r="E907" s="64">
        <f>'Jul 26'!$E$32</f>
        <v>0</v>
      </c>
      <c r="F907" s="23">
        <f>'Jul 26'!$A$32</f>
        <v>0</v>
      </c>
      <c r="G907" s="64">
        <f>'Jul 26'!$F$32</f>
        <v>0</v>
      </c>
      <c r="H907" s="64">
        <f>'Jul 26'!$G$32</f>
        <v>0</v>
      </c>
      <c r="I907" s="64" t="str">
        <f>'Jul 26'!$M$32</f>
        <v/>
      </c>
      <c r="J907" s="25" t="str">
        <f>'Jul 26'!$S$32</f>
        <v/>
      </c>
      <c r="K907" s="23">
        <f>'Jul 26'!$AG$32</f>
        <v>0</v>
      </c>
      <c r="L907" s="23">
        <f>'Jul 26'!$N$32</f>
        <v>0</v>
      </c>
    </row>
    <row r="908" spans="1:12" x14ac:dyDescent="0.25">
      <c r="A908" s="66" t="str">
        <f t="shared" si="14"/>
        <v>✓</v>
      </c>
      <c r="B908" s="67">
        <v>46229</v>
      </c>
      <c r="C908" s="23">
        <f>'Jul 26'!$D$33</f>
        <v>0</v>
      </c>
      <c r="D908" s="23">
        <f>'Jul 26'!$B$33</f>
        <v>0</v>
      </c>
      <c r="E908" s="64">
        <f>'Jul 26'!$E$33</f>
        <v>0</v>
      </c>
      <c r="F908" s="23">
        <f>'Jul 26'!$A$33</f>
        <v>0</v>
      </c>
      <c r="G908" s="64">
        <f>'Jul 26'!$F$33</f>
        <v>0</v>
      </c>
      <c r="H908" s="64">
        <f>'Jul 26'!$G$33</f>
        <v>0</v>
      </c>
      <c r="I908" s="64" t="str">
        <f>'Jul 26'!$M$33</f>
        <v/>
      </c>
      <c r="J908" s="25" t="str">
        <f>'Jul 26'!$S$33</f>
        <v/>
      </c>
      <c r="K908" s="23">
        <f>'Jul 26'!$AG$33</f>
        <v>0</v>
      </c>
      <c r="L908" s="23">
        <f>'Jul 26'!$N$33</f>
        <v>0</v>
      </c>
    </row>
    <row r="909" spans="1:12" x14ac:dyDescent="0.25">
      <c r="A909" s="66" t="str">
        <f t="shared" si="14"/>
        <v>✓</v>
      </c>
      <c r="B909" s="67">
        <v>46229</v>
      </c>
      <c r="C909" s="23">
        <f>'Jul 26'!$D$34</f>
        <v>0</v>
      </c>
      <c r="D909" s="23">
        <f>'Jul 26'!$B$34</f>
        <v>0</v>
      </c>
      <c r="E909" s="64">
        <f>'Jul 26'!$E$34</f>
        <v>0</v>
      </c>
      <c r="F909" s="23">
        <f>'Jul 26'!$A$34</f>
        <v>0</v>
      </c>
      <c r="G909" s="64">
        <f>'Jul 26'!$F$34</f>
        <v>0</v>
      </c>
      <c r="H909" s="64">
        <f>'Jul 26'!$G$34</f>
        <v>0</v>
      </c>
      <c r="I909" s="64" t="str">
        <f>'Jul 26'!$M$34</f>
        <v/>
      </c>
      <c r="J909" s="25" t="str">
        <f>'Jul 26'!$S$34</f>
        <v/>
      </c>
      <c r="K909" s="23">
        <f>'Jul 26'!$AG$34</f>
        <v>0</v>
      </c>
      <c r="L909" s="23">
        <f>'Jul 26'!$N$34</f>
        <v>0</v>
      </c>
    </row>
    <row r="910" spans="1:12" x14ac:dyDescent="0.25">
      <c r="A910" s="66" t="str">
        <f t="shared" si="14"/>
        <v>✓</v>
      </c>
      <c r="B910" s="67">
        <v>46229</v>
      </c>
      <c r="C910" s="23">
        <f>'Jul 26'!$D$35</f>
        <v>0</v>
      </c>
      <c r="D910" s="23">
        <f>'Jul 26'!$B$35</f>
        <v>0</v>
      </c>
      <c r="E910" s="64">
        <f>'Jul 26'!$E$35</f>
        <v>0</v>
      </c>
      <c r="F910" s="23">
        <f>'Jul 26'!$A$35</f>
        <v>0</v>
      </c>
      <c r="G910" s="64">
        <f>'Jul 26'!$F$35</f>
        <v>0</v>
      </c>
      <c r="H910" s="64">
        <f>'Jul 26'!$G$35</f>
        <v>0</v>
      </c>
      <c r="I910" s="64" t="str">
        <f>'Jul 26'!$M$35</f>
        <v/>
      </c>
      <c r="J910" s="25" t="str">
        <f>'Jul 26'!$S$35</f>
        <v/>
      </c>
      <c r="K910" s="23">
        <f>'Jul 26'!$AG$35</f>
        <v>0</v>
      </c>
      <c r="L910" s="23">
        <f>'Jul 26'!$N$35</f>
        <v>0</v>
      </c>
    </row>
    <row r="911" spans="1:12" x14ac:dyDescent="0.25">
      <c r="A911" s="66" t="str">
        <f t="shared" si="14"/>
        <v>✓</v>
      </c>
      <c r="B911" s="67">
        <v>46229</v>
      </c>
      <c r="C911" s="23">
        <f>'Jul 26'!$D$36</f>
        <v>0</v>
      </c>
      <c r="D911" s="23">
        <f>'Jul 26'!$B$36</f>
        <v>0</v>
      </c>
      <c r="E911" s="64">
        <f>'Jul 26'!$E$36</f>
        <v>0</v>
      </c>
      <c r="F911" s="23">
        <f>'Jul 26'!$A$36</f>
        <v>0</v>
      </c>
      <c r="G911" s="64">
        <f>'Jul 26'!$F$36</f>
        <v>0</v>
      </c>
      <c r="H911" s="64">
        <f>'Jul 26'!$G$36</f>
        <v>0</v>
      </c>
      <c r="I911" s="64" t="str">
        <f>'Jul 26'!$M$36</f>
        <v/>
      </c>
      <c r="J911" s="25" t="str">
        <f>'Jul 26'!$S$36</f>
        <v/>
      </c>
      <c r="K911" s="23">
        <f>'Jul 26'!$AG$36</f>
        <v>0</v>
      </c>
      <c r="L911" s="23">
        <f>'Jul 26'!$N$36</f>
        <v>0</v>
      </c>
    </row>
    <row r="912" spans="1:12" x14ac:dyDescent="0.25">
      <c r="A912" s="66" t="str">
        <f t="shared" si="14"/>
        <v>✓</v>
      </c>
      <c r="B912" s="67">
        <v>46229</v>
      </c>
      <c r="C912" s="23">
        <f>'Jul 26'!$D$37</f>
        <v>0</v>
      </c>
      <c r="D912" s="23">
        <f>'Jul 26'!$B$37</f>
        <v>0</v>
      </c>
      <c r="E912" s="64">
        <f>'Jul 26'!$E$37</f>
        <v>0</v>
      </c>
      <c r="F912" s="23">
        <f>'Jul 26'!$A$37</f>
        <v>0</v>
      </c>
      <c r="G912" s="64">
        <f>'Jul 26'!$F$37</f>
        <v>0</v>
      </c>
      <c r="H912" s="64">
        <f>'Jul 26'!$G$37</f>
        <v>0</v>
      </c>
      <c r="I912" s="64" t="str">
        <f>'Jul 26'!$M$37</f>
        <v/>
      </c>
      <c r="J912" s="25" t="str">
        <f>'Jul 26'!$S$37</f>
        <v/>
      </c>
      <c r="K912" s="23">
        <f>'Jul 26'!$AG$37</f>
        <v>0</v>
      </c>
      <c r="L912" s="23">
        <f>'Jul 26'!$N$37</f>
        <v>0</v>
      </c>
    </row>
    <row r="913" spans="1:12" x14ac:dyDescent="0.25">
      <c r="A913" s="66" t="str">
        <f t="shared" si="14"/>
        <v>✓</v>
      </c>
      <c r="B913" s="67">
        <v>46229</v>
      </c>
      <c r="C913" s="23">
        <f>'Jul 26'!$D$38</f>
        <v>0</v>
      </c>
      <c r="D913" s="23">
        <f>'Jul 26'!$B$38</f>
        <v>0</v>
      </c>
      <c r="E913" s="64">
        <f>'Jul 26'!$E$38</f>
        <v>0</v>
      </c>
      <c r="F913" s="23">
        <f>'Jul 26'!$A$38</f>
        <v>0</v>
      </c>
      <c r="G913" s="64">
        <f>'Jul 26'!$F$38</f>
        <v>0</v>
      </c>
      <c r="H913" s="64">
        <f>'Jul 26'!$G$38</f>
        <v>0</v>
      </c>
      <c r="I913" s="64" t="str">
        <f>'Jul 26'!$M$38</f>
        <v/>
      </c>
      <c r="J913" s="25" t="str">
        <f>'Jul 26'!$S$38</f>
        <v/>
      </c>
      <c r="K913" s="23">
        <f>'Jul 26'!$AG$38</f>
        <v>0</v>
      </c>
      <c r="L913" s="23">
        <f>'Jul 26'!$N$38</f>
        <v>0</v>
      </c>
    </row>
    <row r="914" spans="1:12" x14ac:dyDescent="0.25">
      <c r="A914" s="66" t="str">
        <f t="shared" si="14"/>
        <v>✓</v>
      </c>
      <c r="B914" s="67">
        <v>46229</v>
      </c>
      <c r="C914" s="23">
        <f>'Jul 26'!$D$39</f>
        <v>0</v>
      </c>
      <c r="D914" s="23">
        <f>'Jul 26'!$B$39</f>
        <v>0</v>
      </c>
      <c r="E914" s="64">
        <f>'Jul 26'!$E$39</f>
        <v>0</v>
      </c>
      <c r="F914" s="23">
        <f>'Jul 26'!$A$39</f>
        <v>0</v>
      </c>
      <c r="G914" s="64">
        <f>'Jul 26'!$F$39</f>
        <v>0</v>
      </c>
      <c r="H914" s="64">
        <f>'Jul 26'!$G$39</f>
        <v>0</v>
      </c>
      <c r="I914" s="64" t="str">
        <f>'Jul 26'!$M$39</f>
        <v/>
      </c>
      <c r="J914" s="25" t="str">
        <f>'Jul 26'!$S$39</f>
        <v/>
      </c>
      <c r="K914" s="23">
        <f>'Jul 26'!$AG$39</f>
        <v>0</v>
      </c>
      <c r="L914" s="23">
        <f>'Jul 26'!$N$39</f>
        <v>0</v>
      </c>
    </row>
    <row r="915" spans="1:12" x14ac:dyDescent="0.25">
      <c r="A915" s="66" t="str">
        <f t="shared" si="14"/>
        <v>✓</v>
      </c>
      <c r="B915" s="67">
        <v>46229</v>
      </c>
      <c r="C915" s="23">
        <f>'Jul 26'!$D$40</f>
        <v>0</v>
      </c>
      <c r="D915" s="23">
        <f>'Jul 26'!$B$40</f>
        <v>0</v>
      </c>
      <c r="E915" s="64">
        <f>'Jul 26'!$E$40</f>
        <v>0</v>
      </c>
      <c r="F915" s="23">
        <f>'Jul 26'!$A$40</f>
        <v>0</v>
      </c>
      <c r="G915" s="64">
        <f>'Jul 26'!$F$40</f>
        <v>0</v>
      </c>
      <c r="H915" s="64">
        <f>'Jul 26'!$G$40</f>
        <v>0</v>
      </c>
      <c r="I915" s="64" t="str">
        <f>'Jul 26'!$M$40</f>
        <v/>
      </c>
      <c r="J915" s="25" t="str">
        <f>'Jul 26'!$S$40</f>
        <v/>
      </c>
      <c r="K915" s="23">
        <f>'Jul 26'!$AG$40</f>
        <v>0</v>
      </c>
      <c r="L915" s="23">
        <f>'Jul 26'!$N$40</f>
        <v>0</v>
      </c>
    </row>
    <row r="916" spans="1:12" x14ac:dyDescent="0.25">
      <c r="A916" s="66" t="str">
        <f t="shared" si="14"/>
        <v>✓</v>
      </c>
      <c r="B916" s="67">
        <v>46229</v>
      </c>
      <c r="C916" s="23">
        <f>'Jul 26'!$D$41</f>
        <v>0</v>
      </c>
      <c r="D916" s="23">
        <f>'Jul 26'!$B$41</f>
        <v>0</v>
      </c>
      <c r="E916" s="64">
        <f>'Jul 26'!$E$41</f>
        <v>0</v>
      </c>
      <c r="F916" s="23">
        <f>'Jul 26'!$A$41</f>
        <v>0</v>
      </c>
      <c r="G916" s="64">
        <f>'Jul 26'!$F$41</f>
        <v>0</v>
      </c>
      <c r="H916" s="64">
        <f>'Jul 26'!$G$41</f>
        <v>0</v>
      </c>
      <c r="I916" s="64" t="str">
        <f>'Jul 26'!$M$41</f>
        <v/>
      </c>
      <c r="J916" s="25" t="str">
        <f>'Jul 26'!$S$41</f>
        <v/>
      </c>
      <c r="K916" s="23">
        <f>'Jul 26'!$AG$41</f>
        <v>0</v>
      </c>
      <c r="L916" s="23">
        <f>'Jul 26'!$N$41</f>
        <v>0</v>
      </c>
    </row>
    <row r="917" spans="1:12" x14ac:dyDescent="0.25">
      <c r="A917" s="66" t="str">
        <f t="shared" si="14"/>
        <v>✓</v>
      </c>
      <c r="B917" s="67">
        <v>46229</v>
      </c>
      <c r="C917" s="23">
        <f>'Jul 26'!$D$42</f>
        <v>0</v>
      </c>
      <c r="D917" s="23">
        <f>'Jul 26'!$B$42</f>
        <v>0</v>
      </c>
      <c r="E917" s="64">
        <f>'Jul 26'!$E$42</f>
        <v>0</v>
      </c>
      <c r="F917" s="23">
        <f>'Jul 26'!$A$42</f>
        <v>0</v>
      </c>
      <c r="G917" s="64">
        <f>'Jul 26'!$F$42</f>
        <v>0</v>
      </c>
      <c r="H917" s="64">
        <f>'Jul 26'!$G$42</f>
        <v>0</v>
      </c>
      <c r="I917" s="64" t="str">
        <f>'Jul 26'!$M$42</f>
        <v/>
      </c>
      <c r="J917" s="25" t="str">
        <f>'Jul 26'!$S$42</f>
        <v/>
      </c>
      <c r="K917" s="23">
        <f>'Jul 26'!$AG$42</f>
        <v>0</v>
      </c>
      <c r="L917" s="23">
        <f>'Jul 26'!$N$42</f>
        <v>0</v>
      </c>
    </row>
    <row r="918" spans="1:12" x14ac:dyDescent="0.25">
      <c r="A918" s="66" t="str">
        <f t="shared" si="14"/>
        <v>✓</v>
      </c>
      <c r="B918" s="67">
        <v>46230</v>
      </c>
      <c r="C918" s="23">
        <f>'Jul 27'!$D$8</f>
        <v>0</v>
      </c>
      <c r="D918" s="23">
        <f>'Jul 27'!$B$8</f>
        <v>0</v>
      </c>
      <c r="E918" s="64">
        <f>'Jul 27'!$E$8</f>
        <v>0</v>
      </c>
      <c r="F918" s="23">
        <f>'Jul 27'!$A$8</f>
        <v>0</v>
      </c>
      <c r="G918" s="64">
        <f>'Jul 27'!$F$8</f>
        <v>0</v>
      </c>
      <c r="H918" s="64">
        <f>'Jul 27'!$G$8</f>
        <v>0</v>
      </c>
      <c r="I918" s="64" t="str">
        <f>'Jul 27'!$M$8</f>
        <v/>
      </c>
      <c r="J918" s="25" t="str">
        <f>'Jul 27'!$S$8</f>
        <v/>
      </c>
      <c r="K918" s="23">
        <f>'Jul 27'!$AG$8</f>
        <v>0</v>
      </c>
      <c r="L918" s="23">
        <f>'Jul 27'!$N$8</f>
        <v>0</v>
      </c>
    </row>
    <row r="919" spans="1:12" x14ac:dyDescent="0.25">
      <c r="A919" s="66" t="str">
        <f t="shared" si="14"/>
        <v>✓</v>
      </c>
      <c r="B919" s="67">
        <v>46230</v>
      </c>
      <c r="C919" s="23">
        <f>'Jul 27'!$D$9</f>
        <v>0</v>
      </c>
      <c r="D919" s="23">
        <f>'Jul 27'!$B$9</f>
        <v>0</v>
      </c>
      <c r="E919" s="64">
        <f>'Jul 27'!$E$9</f>
        <v>0</v>
      </c>
      <c r="F919" s="23">
        <f>'Jul 27'!$A$9</f>
        <v>0</v>
      </c>
      <c r="G919" s="64">
        <f>'Jul 27'!$F$9</f>
        <v>0</v>
      </c>
      <c r="H919" s="64">
        <f>'Jul 27'!$G$9</f>
        <v>0</v>
      </c>
      <c r="I919" s="64" t="str">
        <f>'Jul 27'!$M$9</f>
        <v/>
      </c>
      <c r="J919" s="25" t="str">
        <f>'Jul 27'!$S$9</f>
        <v/>
      </c>
      <c r="K919" s="23">
        <f>'Jul 27'!$AG$9</f>
        <v>0</v>
      </c>
      <c r="L919" s="23">
        <f>'Jul 27'!$N$9</f>
        <v>0</v>
      </c>
    </row>
    <row r="920" spans="1:12" x14ac:dyDescent="0.25">
      <c r="A920" s="66" t="str">
        <f t="shared" si="14"/>
        <v>✓</v>
      </c>
      <c r="B920" s="67">
        <v>46230</v>
      </c>
      <c r="C920" s="23">
        <f>'Jul 27'!$D$10</f>
        <v>0</v>
      </c>
      <c r="D920" s="23">
        <f>'Jul 27'!$B$10</f>
        <v>0</v>
      </c>
      <c r="E920" s="64">
        <f>'Jul 27'!$E$10</f>
        <v>0</v>
      </c>
      <c r="F920" s="23">
        <f>'Jul 27'!$A$10</f>
        <v>0</v>
      </c>
      <c r="G920" s="64">
        <f>'Jul 27'!$F$10</f>
        <v>0</v>
      </c>
      <c r="H920" s="64">
        <f>'Jul 27'!$G$10</f>
        <v>0</v>
      </c>
      <c r="I920" s="64" t="str">
        <f>'Jul 27'!$M$10</f>
        <v/>
      </c>
      <c r="J920" s="25" t="str">
        <f>'Jul 27'!$S$10</f>
        <v/>
      </c>
      <c r="K920" s="23">
        <f>'Jul 27'!$AG$10</f>
        <v>0</v>
      </c>
      <c r="L920" s="23">
        <f>'Jul 27'!$N$10</f>
        <v>0</v>
      </c>
    </row>
    <row r="921" spans="1:12" x14ac:dyDescent="0.25">
      <c r="A921" s="66" t="str">
        <f t="shared" si="14"/>
        <v>✓</v>
      </c>
      <c r="B921" s="67">
        <v>46230</v>
      </c>
      <c r="C921" s="23">
        <f>'Jul 27'!$D$11</f>
        <v>0</v>
      </c>
      <c r="D921" s="23">
        <f>'Jul 27'!$B$11</f>
        <v>0</v>
      </c>
      <c r="E921" s="64">
        <f>'Jul 27'!$E$11</f>
        <v>0</v>
      </c>
      <c r="F921" s="23">
        <f>'Jul 27'!$A$11</f>
        <v>0</v>
      </c>
      <c r="G921" s="64">
        <f>'Jul 27'!$F$11</f>
        <v>0</v>
      </c>
      <c r="H921" s="64">
        <f>'Jul 27'!$G$11</f>
        <v>0</v>
      </c>
      <c r="I921" s="64" t="str">
        <f>'Jul 27'!$M$11</f>
        <v/>
      </c>
      <c r="J921" s="25" t="str">
        <f>'Jul 27'!$S$11</f>
        <v/>
      </c>
      <c r="K921" s="23">
        <f>'Jul 27'!$AG$11</f>
        <v>0</v>
      </c>
      <c r="L921" s="23">
        <f>'Jul 27'!$N$11</f>
        <v>0</v>
      </c>
    </row>
    <row r="922" spans="1:12" x14ac:dyDescent="0.25">
      <c r="A922" s="66" t="str">
        <f t="shared" si="14"/>
        <v>✓</v>
      </c>
      <c r="B922" s="67">
        <v>46230</v>
      </c>
      <c r="C922" s="23">
        <f>'Jul 27'!$D$12</f>
        <v>0</v>
      </c>
      <c r="D922" s="23">
        <f>'Jul 27'!$B$12</f>
        <v>0</v>
      </c>
      <c r="E922" s="64">
        <f>'Jul 27'!$E$12</f>
        <v>0</v>
      </c>
      <c r="F922" s="23">
        <f>'Jul 27'!$A$12</f>
        <v>0</v>
      </c>
      <c r="G922" s="64">
        <f>'Jul 27'!$F$12</f>
        <v>0</v>
      </c>
      <c r="H922" s="64">
        <f>'Jul 27'!$G$12</f>
        <v>0</v>
      </c>
      <c r="I922" s="64" t="str">
        <f>'Jul 27'!$M$12</f>
        <v/>
      </c>
      <c r="J922" s="25" t="str">
        <f>'Jul 27'!$S$12</f>
        <v/>
      </c>
      <c r="K922" s="23">
        <f>'Jul 27'!$AG$12</f>
        <v>0</v>
      </c>
      <c r="L922" s="23">
        <f>'Jul 27'!$N$12</f>
        <v>0</v>
      </c>
    </row>
    <row r="923" spans="1:12" x14ac:dyDescent="0.25">
      <c r="A923" s="66" t="str">
        <f t="shared" si="14"/>
        <v>✓</v>
      </c>
      <c r="B923" s="67">
        <v>46230</v>
      </c>
      <c r="C923" s="23">
        <f>'Jul 27'!$D$13</f>
        <v>0</v>
      </c>
      <c r="D923" s="23">
        <f>'Jul 27'!$B$13</f>
        <v>0</v>
      </c>
      <c r="E923" s="64">
        <f>'Jul 27'!$E$13</f>
        <v>0</v>
      </c>
      <c r="F923" s="23">
        <f>'Jul 27'!$A$13</f>
        <v>0</v>
      </c>
      <c r="G923" s="64">
        <f>'Jul 27'!$F$13</f>
        <v>0</v>
      </c>
      <c r="H923" s="64">
        <f>'Jul 27'!$G$13</f>
        <v>0</v>
      </c>
      <c r="I923" s="64" t="str">
        <f>'Jul 27'!$M$13</f>
        <v/>
      </c>
      <c r="J923" s="25" t="str">
        <f>'Jul 27'!$S$13</f>
        <v/>
      </c>
      <c r="K923" s="23">
        <f>'Jul 27'!$AG$13</f>
        <v>0</v>
      </c>
      <c r="L923" s="23">
        <f>'Jul 27'!$N$13</f>
        <v>0</v>
      </c>
    </row>
    <row r="924" spans="1:12" x14ac:dyDescent="0.25">
      <c r="A924" s="66" t="str">
        <f t="shared" si="14"/>
        <v>✓</v>
      </c>
      <c r="B924" s="67">
        <v>46230</v>
      </c>
      <c r="C924" s="23">
        <f>'Jul 27'!$D$14</f>
        <v>0</v>
      </c>
      <c r="D924" s="23">
        <f>'Jul 27'!$B$14</f>
        <v>0</v>
      </c>
      <c r="E924" s="64">
        <f>'Jul 27'!$E$14</f>
        <v>0</v>
      </c>
      <c r="F924" s="23">
        <f>'Jul 27'!$A$14</f>
        <v>0</v>
      </c>
      <c r="G924" s="64">
        <f>'Jul 27'!$F$14</f>
        <v>0</v>
      </c>
      <c r="H924" s="64">
        <f>'Jul 27'!$G$14</f>
        <v>0</v>
      </c>
      <c r="I924" s="64" t="str">
        <f>'Jul 27'!$M$14</f>
        <v/>
      </c>
      <c r="J924" s="25" t="str">
        <f>'Jul 27'!$S$14</f>
        <v/>
      </c>
      <c r="K924" s="23">
        <f>'Jul 27'!$AG$14</f>
        <v>0</v>
      </c>
      <c r="L924" s="23">
        <f>'Jul 27'!$N$14</f>
        <v>0</v>
      </c>
    </row>
    <row r="925" spans="1:12" x14ac:dyDescent="0.25">
      <c r="A925" s="66" t="str">
        <f t="shared" si="14"/>
        <v>✓</v>
      </c>
      <c r="B925" s="67">
        <v>46230</v>
      </c>
      <c r="C925" s="23">
        <f>'Jul 27'!$D$15</f>
        <v>0</v>
      </c>
      <c r="D925" s="23">
        <f>'Jul 27'!$B$15</f>
        <v>0</v>
      </c>
      <c r="E925" s="64">
        <f>'Jul 27'!$E$15</f>
        <v>0</v>
      </c>
      <c r="F925" s="23">
        <f>'Jul 27'!$A$15</f>
        <v>0</v>
      </c>
      <c r="G925" s="64">
        <f>'Jul 27'!$F$15</f>
        <v>0</v>
      </c>
      <c r="H925" s="64">
        <f>'Jul 27'!$G$15</f>
        <v>0</v>
      </c>
      <c r="I925" s="64" t="str">
        <f>'Jul 27'!$M$15</f>
        <v/>
      </c>
      <c r="J925" s="25" t="str">
        <f>'Jul 27'!$S$15</f>
        <v/>
      </c>
      <c r="K925" s="23">
        <f>'Jul 27'!$AG$15</f>
        <v>0</v>
      </c>
      <c r="L925" s="23">
        <f>'Jul 27'!$N$15</f>
        <v>0</v>
      </c>
    </row>
    <row r="926" spans="1:12" x14ac:dyDescent="0.25">
      <c r="A926" s="66" t="str">
        <f t="shared" si="14"/>
        <v>✓</v>
      </c>
      <c r="B926" s="67">
        <v>46230</v>
      </c>
      <c r="C926" s="23">
        <f>'Jul 27'!$D$16</f>
        <v>0</v>
      </c>
      <c r="D926" s="23">
        <f>'Jul 27'!$B$16</f>
        <v>0</v>
      </c>
      <c r="E926" s="64">
        <f>'Jul 27'!$E$16</f>
        <v>0</v>
      </c>
      <c r="F926" s="23">
        <f>'Jul 27'!$A$16</f>
        <v>0</v>
      </c>
      <c r="G926" s="64">
        <f>'Jul 27'!$F$16</f>
        <v>0</v>
      </c>
      <c r="H926" s="64">
        <f>'Jul 27'!$G$16</f>
        <v>0</v>
      </c>
      <c r="I926" s="64" t="str">
        <f>'Jul 27'!$M$16</f>
        <v/>
      </c>
      <c r="J926" s="25" t="str">
        <f>'Jul 27'!$S$16</f>
        <v/>
      </c>
      <c r="K926" s="23">
        <f>'Jul 27'!$AG$16</f>
        <v>0</v>
      </c>
      <c r="L926" s="23">
        <f>'Jul 27'!$N$16</f>
        <v>0</v>
      </c>
    </row>
    <row r="927" spans="1:12" x14ac:dyDescent="0.25">
      <c r="A927" s="66" t="str">
        <f t="shared" si="14"/>
        <v>✓</v>
      </c>
      <c r="B927" s="67">
        <v>46230</v>
      </c>
      <c r="C927" s="23">
        <f>'Jul 27'!$D$17</f>
        <v>0</v>
      </c>
      <c r="D927" s="23">
        <f>'Jul 27'!$B$17</f>
        <v>0</v>
      </c>
      <c r="E927" s="64">
        <f>'Jul 27'!$E$17</f>
        <v>0</v>
      </c>
      <c r="F927" s="23">
        <f>'Jul 27'!$A$17</f>
        <v>0</v>
      </c>
      <c r="G927" s="64">
        <f>'Jul 27'!$F$17</f>
        <v>0</v>
      </c>
      <c r="H927" s="64">
        <f>'Jul 27'!$G$17</f>
        <v>0</v>
      </c>
      <c r="I927" s="64" t="str">
        <f>'Jul 27'!$M$17</f>
        <v/>
      </c>
      <c r="J927" s="25" t="str">
        <f>'Jul 27'!$S$17</f>
        <v/>
      </c>
      <c r="K927" s="23">
        <f>'Jul 27'!$AG$17</f>
        <v>0</v>
      </c>
      <c r="L927" s="23">
        <f>'Jul 27'!$N$17</f>
        <v>0</v>
      </c>
    </row>
    <row r="928" spans="1:12" x14ac:dyDescent="0.25">
      <c r="A928" s="66" t="str">
        <f t="shared" si="14"/>
        <v>✓</v>
      </c>
      <c r="B928" s="67">
        <v>46230</v>
      </c>
      <c r="C928" s="23">
        <f>'Jul 27'!$D$18</f>
        <v>0</v>
      </c>
      <c r="D928" s="23">
        <f>'Jul 27'!$B$18</f>
        <v>0</v>
      </c>
      <c r="E928" s="64">
        <f>'Jul 27'!$E$18</f>
        <v>0</v>
      </c>
      <c r="F928" s="23">
        <f>'Jul 27'!$A$18</f>
        <v>0</v>
      </c>
      <c r="G928" s="64">
        <f>'Jul 27'!$F$18</f>
        <v>0</v>
      </c>
      <c r="H928" s="64">
        <f>'Jul 27'!$G$18</f>
        <v>0</v>
      </c>
      <c r="I928" s="64" t="str">
        <f>'Jul 27'!$M$18</f>
        <v/>
      </c>
      <c r="J928" s="25" t="str">
        <f>'Jul 27'!$S$18</f>
        <v/>
      </c>
      <c r="K928" s="23">
        <f>'Jul 27'!$AG$18</f>
        <v>0</v>
      </c>
      <c r="L928" s="23">
        <f>'Jul 27'!$N$18</f>
        <v>0</v>
      </c>
    </row>
    <row r="929" spans="1:12" x14ac:dyDescent="0.25">
      <c r="A929" s="66" t="str">
        <f t="shared" si="14"/>
        <v>✓</v>
      </c>
      <c r="B929" s="67">
        <v>46230</v>
      </c>
      <c r="C929" s="23">
        <f>'Jul 27'!$D$19</f>
        <v>0</v>
      </c>
      <c r="D929" s="23">
        <f>'Jul 27'!$B$19</f>
        <v>0</v>
      </c>
      <c r="E929" s="64">
        <f>'Jul 27'!$E$19</f>
        <v>0</v>
      </c>
      <c r="F929" s="23">
        <f>'Jul 27'!$A$19</f>
        <v>0</v>
      </c>
      <c r="G929" s="64">
        <f>'Jul 27'!$F$19</f>
        <v>0</v>
      </c>
      <c r="H929" s="64">
        <f>'Jul 27'!$G$19</f>
        <v>0</v>
      </c>
      <c r="I929" s="64" t="str">
        <f>'Jul 27'!$M$19</f>
        <v/>
      </c>
      <c r="J929" s="25" t="str">
        <f>'Jul 27'!$S$19</f>
        <v/>
      </c>
      <c r="K929" s="23">
        <f>'Jul 27'!$AG$19</f>
        <v>0</v>
      </c>
      <c r="L929" s="23">
        <f>'Jul 27'!$N$19</f>
        <v>0</v>
      </c>
    </row>
    <row r="930" spans="1:12" x14ac:dyDescent="0.25">
      <c r="A930" s="66" t="str">
        <f t="shared" si="14"/>
        <v>✓</v>
      </c>
      <c r="B930" s="67">
        <v>46230</v>
      </c>
      <c r="C930" s="23">
        <f>'Jul 27'!$D$20</f>
        <v>0</v>
      </c>
      <c r="D930" s="23">
        <f>'Jul 27'!$B$20</f>
        <v>0</v>
      </c>
      <c r="E930" s="64">
        <f>'Jul 27'!$E$20</f>
        <v>0</v>
      </c>
      <c r="F930" s="23">
        <f>'Jul 27'!$A$20</f>
        <v>0</v>
      </c>
      <c r="G930" s="64">
        <f>'Jul 27'!$F$20</f>
        <v>0</v>
      </c>
      <c r="H930" s="64">
        <f>'Jul 27'!$G$20</f>
        <v>0</v>
      </c>
      <c r="I930" s="64" t="str">
        <f>'Jul 27'!$M$20</f>
        <v/>
      </c>
      <c r="J930" s="25" t="str">
        <f>'Jul 27'!$S$20</f>
        <v/>
      </c>
      <c r="K930" s="23">
        <f>'Jul 27'!$AG$20</f>
        <v>0</v>
      </c>
      <c r="L930" s="23">
        <f>'Jul 27'!$N$20</f>
        <v>0</v>
      </c>
    </row>
    <row r="931" spans="1:12" x14ac:dyDescent="0.25">
      <c r="A931" s="66" t="str">
        <f t="shared" si="14"/>
        <v>✓</v>
      </c>
      <c r="B931" s="67">
        <v>46230</v>
      </c>
      <c r="C931" s="23">
        <f>'Jul 27'!$D$21</f>
        <v>0</v>
      </c>
      <c r="D931" s="23">
        <f>'Jul 27'!$B$21</f>
        <v>0</v>
      </c>
      <c r="E931" s="64">
        <f>'Jul 27'!$E$21</f>
        <v>0</v>
      </c>
      <c r="F931" s="23">
        <f>'Jul 27'!$A$21</f>
        <v>0</v>
      </c>
      <c r="G931" s="64">
        <f>'Jul 27'!$F$21</f>
        <v>0</v>
      </c>
      <c r="H931" s="64">
        <f>'Jul 27'!$G$21</f>
        <v>0</v>
      </c>
      <c r="I931" s="64" t="str">
        <f>'Jul 27'!$M$21</f>
        <v/>
      </c>
      <c r="J931" s="25" t="str">
        <f>'Jul 27'!$S$21</f>
        <v/>
      </c>
      <c r="K931" s="23">
        <f>'Jul 27'!$AG$21</f>
        <v>0</v>
      </c>
      <c r="L931" s="23">
        <f>'Jul 27'!$N$21</f>
        <v>0</v>
      </c>
    </row>
    <row r="932" spans="1:12" x14ac:dyDescent="0.25">
      <c r="A932" s="66" t="str">
        <f t="shared" si="14"/>
        <v>✓</v>
      </c>
      <c r="B932" s="67">
        <v>46230</v>
      </c>
      <c r="C932" s="23">
        <f>'Jul 27'!$D$22</f>
        <v>0</v>
      </c>
      <c r="D932" s="23">
        <f>'Jul 27'!$B$22</f>
        <v>0</v>
      </c>
      <c r="E932" s="64">
        <f>'Jul 27'!$E$22</f>
        <v>0</v>
      </c>
      <c r="F932" s="23">
        <f>'Jul 27'!$A$22</f>
        <v>0</v>
      </c>
      <c r="G932" s="64">
        <f>'Jul 27'!$F$22</f>
        <v>0</v>
      </c>
      <c r="H932" s="64">
        <f>'Jul 27'!$G$22</f>
        <v>0</v>
      </c>
      <c r="I932" s="64" t="str">
        <f>'Jul 27'!$M$22</f>
        <v/>
      </c>
      <c r="J932" s="25" t="str">
        <f>'Jul 27'!$S$22</f>
        <v/>
      </c>
      <c r="K932" s="23">
        <f>'Jul 27'!$AG$22</f>
        <v>0</v>
      </c>
      <c r="L932" s="23">
        <f>'Jul 27'!$N$22</f>
        <v>0</v>
      </c>
    </row>
    <row r="933" spans="1:12" x14ac:dyDescent="0.25">
      <c r="A933" s="66" t="str">
        <f t="shared" si="14"/>
        <v>✓</v>
      </c>
      <c r="B933" s="67">
        <v>46230</v>
      </c>
      <c r="C933" s="23">
        <f>'Jul 27'!$D$23</f>
        <v>0</v>
      </c>
      <c r="D933" s="23">
        <f>'Jul 27'!$B$23</f>
        <v>0</v>
      </c>
      <c r="E933" s="64">
        <f>'Jul 27'!$E$23</f>
        <v>0</v>
      </c>
      <c r="F933" s="23">
        <f>'Jul 27'!$A$23</f>
        <v>0</v>
      </c>
      <c r="G933" s="64">
        <f>'Jul 27'!$F$23</f>
        <v>0</v>
      </c>
      <c r="H933" s="64">
        <f>'Jul 27'!$G$23</f>
        <v>0</v>
      </c>
      <c r="I933" s="64" t="str">
        <f>'Jul 27'!$M$23</f>
        <v/>
      </c>
      <c r="J933" s="25" t="str">
        <f>'Jul 27'!$S$23</f>
        <v/>
      </c>
      <c r="K933" s="23">
        <f>'Jul 27'!$AG$23</f>
        <v>0</v>
      </c>
      <c r="L933" s="23">
        <f>'Jul 27'!$N$23</f>
        <v>0</v>
      </c>
    </row>
    <row r="934" spans="1:12" x14ac:dyDescent="0.25">
      <c r="A934" s="66" t="str">
        <f t="shared" si="14"/>
        <v>✓</v>
      </c>
      <c r="B934" s="67">
        <v>46230</v>
      </c>
      <c r="C934" s="23">
        <f>'Jul 27'!$D$24</f>
        <v>0</v>
      </c>
      <c r="D934" s="23">
        <f>'Jul 27'!$B$24</f>
        <v>0</v>
      </c>
      <c r="E934" s="64">
        <f>'Jul 27'!$E$24</f>
        <v>0</v>
      </c>
      <c r="F934" s="23">
        <f>'Jul 27'!$A$24</f>
        <v>0</v>
      </c>
      <c r="G934" s="64">
        <f>'Jul 27'!$F$24</f>
        <v>0</v>
      </c>
      <c r="H934" s="64">
        <f>'Jul 27'!$G$24</f>
        <v>0</v>
      </c>
      <c r="I934" s="64" t="str">
        <f>'Jul 27'!$M$24</f>
        <v/>
      </c>
      <c r="J934" s="25" t="str">
        <f>'Jul 27'!$S$24</f>
        <v/>
      </c>
      <c r="K934" s="23">
        <f>'Jul 27'!$AG$24</f>
        <v>0</v>
      </c>
      <c r="L934" s="23">
        <f>'Jul 27'!$N$24</f>
        <v>0</v>
      </c>
    </row>
    <row r="935" spans="1:12" x14ac:dyDescent="0.25">
      <c r="A935" s="66" t="str">
        <f t="shared" si="14"/>
        <v>✓</v>
      </c>
      <c r="B935" s="67">
        <v>46230</v>
      </c>
      <c r="C935" s="23">
        <f>'Jul 27'!$D$25</f>
        <v>0</v>
      </c>
      <c r="D935" s="23">
        <f>'Jul 27'!$B$25</f>
        <v>0</v>
      </c>
      <c r="E935" s="64">
        <f>'Jul 27'!$E$25</f>
        <v>0</v>
      </c>
      <c r="F935" s="23">
        <f>'Jul 27'!$A$25</f>
        <v>0</v>
      </c>
      <c r="G935" s="64">
        <f>'Jul 27'!$F$25</f>
        <v>0</v>
      </c>
      <c r="H935" s="64">
        <f>'Jul 27'!$G$25</f>
        <v>0</v>
      </c>
      <c r="I935" s="64" t="str">
        <f>'Jul 27'!$M$25</f>
        <v/>
      </c>
      <c r="J935" s="25" t="str">
        <f>'Jul 27'!$S$25</f>
        <v/>
      </c>
      <c r="K935" s="23">
        <f>'Jul 27'!$AG$25</f>
        <v>0</v>
      </c>
      <c r="L935" s="23">
        <f>'Jul 27'!$N$25</f>
        <v>0</v>
      </c>
    </row>
    <row r="936" spans="1:12" x14ac:dyDescent="0.25">
      <c r="A936" s="66" t="str">
        <f t="shared" si="14"/>
        <v>✓</v>
      </c>
      <c r="B936" s="67">
        <v>46230</v>
      </c>
      <c r="C936" s="23">
        <f>'Jul 27'!$D$26</f>
        <v>0</v>
      </c>
      <c r="D936" s="23">
        <f>'Jul 27'!$B$26</f>
        <v>0</v>
      </c>
      <c r="E936" s="64">
        <f>'Jul 27'!$E$26</f>
        <v>0</v>
      </c>
      <c r="F936" s="23">
        <f>'Jul 27'!$A$26</f>
        <v>0</v>
      </c>
      <c r="G936" s="64">
        <f>'Jul 27'!$F$26</f>
        <v>0</v>
      </c>
      <c r="H936" s="64">
        <f>'Jul 27'!$G$26</f>
        <v>0</v>
      </c>
      <c r="I936" s="64" t="str">
        <f>'Jul 27'!$M$26</f>
        <v/>
      </c>
      <c r="J936" s="25" t="str">
        <f>'Jul 27'!$S$26</f>
        <v/>
      </c>
      <c r="K936" s="23">
        <f>'Jul 27'!$AG$26</f>
        <v>0</v>
      </c>
      <c r="L936" s="23">
        <f>'Jul 27'!$N$26</f>
        <v>0</v>
      </c>
    </row>
    <row r="937" spans="1:12" x14ac:dyDescent="0.25">
      <c r="A937" s="66" t="str">
        <f t="shared" si="14"/>
        <v>✓</v>
      </c>
      <c r="B937" s="67">
        <v>46230</v>
      </c>
      <c r="C937" s="23">
        <f>'Jul 27'!$D$27</f>
        <v>0</v>
      </c>
      <c r="D937" s="23">
        <f>'Jul 27'!$B$27</f>
        <v>0</v>
      </c>
      <c r="E937" s="64">
        <f>'Jul 27'!$E$27</f>
        <v>0</v>
      </c>
      <c r="F937" s="23">
        <f>'Jul 27'!$A$27</f>
        <v>0</v>
      </c>
      <c r="G937" s="64">
        <f>'Jul 27'!$F$27</f>
        <v>0</v>
      </c>
      <c r="H937" s="64">
        <f>'Jul 27'!$G$27</f>
        <v>0</v>
      </c>
      <c r="I937" s="64" t="str">
        <f>'Jul 27'!$M$27</f>
        <v/>
      </c>
      <c r="J937" s="25" t="str">
        <f>'Jul 27'!$S$27</f>
        <v/>
      </c>
      <c r="K937" s="23">
        <f>'Jul 27'!$AG$27</f>
        <v>0</v>
      </c>
      <c r="L937" s="23">
        <f>'Jul 27'!$N$27</f>
        <v>0</v>
      </c>
    </row>
    <row r="938" spans="1:12" x14ac:dyDescent="0.25">
      <c r="A938" s="66" t="str">
        <f t="shared" si="14"/>
        <v>✓</v>
      </c>
      <c r="B938" s="67">
        <v>46230</v>
      </c>
      <c r="C938" s="23">
        <f>'Jul 27'!$D$28</f>
        <v>0</v>
      </c>
      <c r="D938" s="23">
        <f>'Jul 27'!$B$28</f>
        <v>0</v>
      </c>
      <c r="E938" s="64">
        <f>'Jul 27'!$E$28</f>
        <v>0</v>
      </c>
      <c r="F938" s="23">
        <f>'Jul 27'!$A$28</f>
        <v>0</v>
      </c>
      <c r="G938" s="64">
        <f>'Jul 27'!$F$28</f>
        <v>0</v>
      </c>
      <c r="H938" s="64">
        <f>'Jul 27'!$G$28</f>
        <v>0</v>
      </c>
      <c r="I938" s="64" t="str">
        <f>'Jul 27'!$M$28</f>
        <v/>
      </c>
      <c r="J938" s="25" t="str">
        <f>'Jul 27'!$S$28</f>
        <v/>
      </c>
      <c r="K938" s="23">
        <f>'Jul 27'!$AG$28</f>
        <v>0</v>
      </c>
      <c r="L938" s="23">
        <f>'Jul 27'!$N$28</f>
        <v>0</v>
      </c>
    </row>
    <row r="939" spans="1:12" x14ac:dyDescent="0.25">
      <c r="A939" s="66" t="str">
        <f t="shared" si="14"/>
        <v>✓</v>
      </c>
      <c r="B939" s="67">
        <v>46230</v>
      </c>
      <c r="C939" s="23">
        <f>'Jul 27'!$D$29</f>
        <v>0</v>
      </c>
      <c r="D939" s="23">
        <f>'Jul 27'!$B$29</f>
        <v>0</v>
      </c>
      <c r="E939" s="64">
        <f>'Jul 27'!$E$29</f>
        <v>0</v>
      </c>
      <c r="F939" s="23">
        <f>'Jul 27'!$A$29</f>
        <v>0</v>
      </c>
      <c r="G939" s="64">
        <f>'Jul 27'!$F$29</f>
        <v>0</v>
      </c>
      <c r="H939" s="64">
        <f>'Jul 27'!$G$29</f>
        <v>0</v>
      </c>
      <c r="I939" s="64" t="str">
        <f>'Jul 27'!$M$29</f>
        <v/>
      </c>
      <c r="J939" s="25" t="str">
        <f>'Jul 27'!$S$29</f>
        <v/>
      </c>
      <c r="K939" s="23">
        <f>'Jul 27'!$AG$29</f>
        <v>0</v>
      </c>
      <c r="L939" s="23">
        <f>'Jul 27'!$N$29</f>
        <v>0</v>
      </c>
    </row>
    <row r="940" spans="1:12" x14ac:dyDescent="0.25">
      <c r="A940" s="66" t="str">
        <f t="shared" si="14"/>
        <v>✓</v>
      </c>
      <c r="B940" s="67">
        <v>46230</v>
      </c>
      <c r="C940" s="23">
        <f>'Jul 27'!$D$30</f>
        <v>0</v>
      </c>
      <c r="D940" s="23">
        <f>'Jul 27'!$B$30</f>
        <v>0</v>
      </c>
      <c r="E940" s="64">
        <f>'Jul 27'!$E$30</f>
        <v>0</v>
      </c>
      <c r="F940" s="23">
        <f>'Jul 27'!$A$30</f>
        <v>0</v>
      </c>
      <c r="G940" s="64">
        <f>'Jul 27'!$F$30</f>
        <v>0</v>
      </c>
      <c r="H940" s="64">
        <f>'Jul 27'!$G$30</f>
        <v>0</v>
      </c>
      <c r="I940" s="64" t="str">
        <f>'Jul 27'!$M$30</f>
        <v/>
      </c>
      <c r="J940" s="25" t="str">
        <f>'Jul 27'!$S$30</f>
        <v/>
      </c>
      <c r="K940" s="23">
        <f>'Jul 27'!$AG$30</f>
        <v>0</v>
      </c>
      <c r="L940" s="23">
        <f>'Jul 27'!$N$30</f>
        <v>0</v>
      </c>
    </row>
    <row r="941" spans="1:12" x14ac:dyDescent="0.25">
      <c r="A941" s="66" t="str">
        <f t="shared" si="14"/>
        <v>✓</v>
      </c>
      <c r="B941" s="67">
        <v>46230</v>
      </c>
      <c r="C941" s="23">
        <f>'Jul 27'!$D$31</f>
        <v>0</v>
      </c>
      <c r="D941" s="23">
        <f>'Jul 27'!$B$31</f>
        <v>0</v>
      </c>
      <c r="E941" s="64">
        <f>'Jul 27'!$E$31</f>
        <v>0</v>
      </c>
      <c r="F941" s="23">
        <f>'Jul 27'!$A$31</f>
        <v>0</v>
      </c>
      <c r="G941" s="64">
        <f>'Jul 27'!$F$31</f>
        <v>0</v>
      </c>
      <c r="H941" s="64">
        <f>'Jul 27'!$G$31</f>
        <v>0</v>
      </c>
      <c r="I941" s="64" t="str">
        <f>'Jul 27'!$M$31</f>
        <v/>
      </c>
      <c r="J941" s="25" t="str">
        <f>'Jul 27'!$S$31</f>
        <v/>
      </c>
      <c r="K941" s="23">
        <f>'Jul 27'!$AG$31</f>
        <v>0</v>
      </c>
      <c r="L941" s="23">
        <f>'Jul 27'!$N$31</f>
        <v>0</v>
      </c>
    </row>
    <row r="942" spans="1:12" x14ac:dyDescent="0.25">
      <c r="A942" s="66" t="str">
        <f t="shared" si="14"/>
        <v>✓</v>
      </c>
      <c r="B942" s="67">
        <v>46230</v>
      </c>
      <c r="C942" s="23">
        <f>'Jul 27'!$D$32</f>
        <v>0</v>
      </c>
      <c r="D942" s="23">
        <f>'Jul 27'!$B$32</f>
        <v>0</v>
      </c>
      <c r="E942" s="64">
        <f>'Jul 27'!$E$32</f>
        <v>0</v>
      </c>
      <c r="F942" s="23">
        <f>'Jul 27'!$A$32</f>
        <v>0</v>
      </c>
      <c r="G942" s="64">
        <f>'Jul 27'!$F$32</f>
        <v>0</v>
      </c>
      <c r="H942" s="64">
        <f>'Jul 27'!$G$32</f>
        <v>0</v>
      </c>
      <c r="I942" s="64" t="str">
        <f>'Jul 27'!$M$32</f>
        <v/>
      </c>
      <c r="J942" s="25" t="str">
        <f>'Jul 27'!$S$32</f>
        <v/>
      </c>
      <c r="K942" s="23">
        <f>'Jul 27'!$AG$32</f>
        <v>0</v>
      </c>
      <c r="L942" s="23">
        <f>'Jul 27'!$N$32</f>
        <v>0</v>
      </c>
    </row>
    <row r="943" spans="1:12" x14ac:dyDescent="0.25">
      <c r="A943" s="66" t="str">
        <f t="shared" si="14"/>
        <v>✓</v>
      </c>
      <c r="B943" s="67">
        <v>46230</v>
      </c>
      <c r="C943" s="23">
        <f>'Jul 27'!$D$33</f>
        <v>0</v>
      </c>
      <c r="D943" s="23">
        <f>'Jul 27'!$B$33</f>
        <v>0</v>
      </c>
      <c r="E943" s="64">
        <f>'Jul 27'!$E$33</f>
        <v>0</v>
      </c>
      <c r="F943" s="23">
        <f>'Jul 27'!$A$33</f>
        <v>0</v>
      </c>
      <c r="G943" s="64">
        <f>'Jul 27'!$F$33</f>
        <v>0</v>
      </c>
      <c r="H943" s="64">
        <f>'Jul 27'!$G$33</f>
        <v>0</v>
      </c>
      <c r="I943" s="64" t="str">
        <f>'Jul 27'!$M$33</f>
        <v/>
      </c>
      <c r="J943" s="25" t="str">
        <f>'Jul 27'!$S$33</f>
        <v/>
      </c>
      <c r="K943" s="23">
        <f>'Jul 27'!$AG$33</f>
        <v>0</v>
      </c>
      <c r="L943" s="23">
        <f>'Jul 27'!$N$33</f>
        <v>0</v>
      </c>
    </row>
    <row r="944" spans="1:12" x14ac:dyDescent="0.25">
      <c r="A944" s="66" t="str">
        <f t="shared" si="14"/>
        <v>✓</v>
      </c>
      <c r="B944" s="67">
        <v>46230</v>
      </c>
      <c r="C944" s="23">
        <f>'Jul 27'!$D$34</f>
        <v>0</v>
      </c>
      <c r="D944" s="23">
        <f>'Jul 27'!$B$34</f>
        <v>0</v>
      </c>
      <c r="E944" s="64">
        <f>'Jul 27'!$E$34</f>
        <v>0</v>
      </c>
      <c r="F944" s="23">
        <f>'Jul 27'!$A$34</f>
        <v>0</v>
      </c>
      <c r="G944" s="64">
        <f>'Jul 27'!$F$34</f>
        <v>0</v>
      </c>
      <c r="H944" s="64">
        <f>'Jul 27'!$G$34</f>
        <v>0</v>
      </c>
      <c r="I944" s="64" t="str">
        <f>'Jul 27'!$M$34</f>
        <v/>
      </c>
      <c r="J944" s="25" t="str">
        <f>'Jul 27'!$S$34</f>
        <v/>
      </c>
      <c r="K944" s="23">
        <f>'Jul 27'!$AG$34</f>
        <v>0</v>
      </c>
      <c r="L944" s="23">
        <f>'Jul 27'!$N$34</f>
        <v>0</v>
      </c>
    </row>
    <row r="945" spans="1:12" x14ac:dyDescent="0.25">
      <c r="A945" s="66" t="str">
        <f t="shared" si="14"/>
        <v>✓</v>
      </c>
      <c r="B945" s="67">
        <v>46230</v>
      </c>
      <c r="C945" s="23">
        <f>'Jul 27'!$D$35</f>
        <v>0</v>
      </c>
      <c r="D945" s="23">
        <f>'Jul 27'!$B$35</f>
        <v>0</v>
      </c>
      <c r="E945" s="64">
        <f>'Jul 27'!$E$35</f>
        <v>0</v>
      </c>
      <c r="F945" s="23">
        <f>'Jul 27'!$A$35</f>
        <v>0</v>
      </c>
      <c r="G945" s="64">
        <f>'Jul 27'!$F$35</f>
        <v>0</v>
      </c>
      <c r="H945" s="64">
        <f>'Jul 27'!$G$35</f>
        <v>0</v>
      </c>
      <c r="I945" s="64" t="str">
        <f>'Jul 27'!$M$35</f>
        <v/>
      </c>
      <c r="J945" s="25" t="str">
        <f>'Jul 27'!$S$35</f>
        <v/>
      </c>
      <c r="K945" s="23">
        <f>'Jul 27'!$AG$35</f>
        <v>0</v>
      </c>
      <c r="L945" s="23">
        <f>'Jul 27'!$N$35</f>
        <v>0</v>
      </c>
    </row>
    <row r="946" spans="1:12" x14ac:dyDescent="0.25">
      <c r="A946" s="66" t="str">
        <f t="shared" si="14"/>
        <v>✓</v>
      </c>
      <c r="B946" s="67">
        <v>46230</v>
      </c>
      <c r="C946" s="23">
        <f>'Jul 27'!$D$36</f>
        <v>0</v>
      </c>
      <c r="D946" s="23">
        <f>'Jul 27'!$B$36</f>
        <v>0</v>
      </c>
      <c r="E946" s="64">
        <f>'Jul 27'!$E$36</f>
        <v>0</v>
      </c>
      <c r="F946" s="23">
        <f>'Jul 27'!$A$36</f>
        <v>0</v>
      </c>
      <c r="G946" s="64">
        <f>'Jul 27'!$F$36</f>
        <v>0</v>
      </c>
      <c r="H946" s="64">
        <f>'Jul 27'!$G$36</f>
        <v>0</v>
      </c>
      <c r="I946" s="64" t="str">
        <f>'Jul 27'!$M$36</f>
        <v/>
      </c>
      <c r="J946" s="25" t="str">
        <f>'Jul 27'!$S$36</f>
        <v/>
      </c>
      <c r="K946" s="23">
        <f>'Jul 27'!$AG$36</f>
        <v>0</v>
      </c>
      <c r="L946" s="23">
        <f>'Jul 27'!$N$36</f>
        <v>0</v>
      </c>
    </row>
    <row r="947" spans="1:12" x14ac:dyDescent="0.25">
      <c r="A947" s="66" t="str">
        <f t="shared" si="14"/>
        <v>✓</v>
      </c>
      <c r="B947" s="67">
        <v>46230</v>
      </c>
      <c r="C947" s="23">
        <f>'Jul 27'!$D$37</f>
        <v>0</v>
      </c>
      <c r="D947" s="23">
        <f>'Jul 27'!$B$37</f>
        <v>0</v>
      </c>
      <c r="E947" s="64">
        <f>'Jul 27'!$E$37</f>
        <v>0</v>
      </c>
      <c r="F947" s="23">
        <f>'Jul 27'!$A$37</f>
        <v>0</v>
      </c>
      <c r="G947" s="64">
        <f>'Jul 27'!$F$37</f>
        <v>0</v>
      </c>
      <c r="H947" s="64">
        <f>'Jul 27'!$G$37</f>
        <v>0</v>
      </c>
      <c r="I947" s="64" t="str">
        <f>'Jul 27'!$M$37</f>
        <v/>
      </c>
      <c r="J947" s="25" t="str">
        <f>'Jul 27'!$S$37</f>
        <v/>
      </c>
      <c r="K947" s="23">
        <f>'Jul 27'!$AG$37</f>
        <v>0</v>
      </c>
      <c r="L947" s="23">
        <f>'Jul 27'!$N$37</f>
        <v>0</v>
      </c>
    </row>
    <row r="948" spans="1:12" x14ac:dyDescent="0.25">
      <c r="A948" s="66" t="str">
        <f t="shared" si="14"/>
        <v>✓</v>
      </c>
      <c r="B948" s="67">
        <v>46230</v>
      </c>
      <c r="C948" s="23">
        <f>'Jul 27'!$D$38</f>
        <v>0</v>
      </c>
      <c r="D948" s="23">
        <f>'Jul 27'!$B$38</f>
        <v>0</v>
      </c>
      <c r="E948" s="64">
        <f>'Jul 27'!$E$38</f>
        <v>0</v>
      </c>
      <c r="F948" s="23">
        <f>'Jul 27'!$A$38</f>
        <v>0</v>
      </c>
      <c r="G948" s="64">
        <f>'Jul 27'!$F$38</f>
        <v>0</v>
      </c>
      <c r="H948" s="64">
        <f>'Jul 27'!$G$38</f>
        <v>0</v>
      </c>
      <c r="I948" s="64" t="str">
        <f>'Jul 27'!$M$38</f>
        <v/>
      </c>
      <c r="J948" s="25" t="str">
        <f>'Jul 27'!$S$38</f>
        <v/>
      </c>
      <c r="K948" s="23">
        <f>'Jul 27'!$AG$38</f>
        <v>0</v>
      </c>
      <c r="L948" s="23">
        <f>'Jul 27'!$N$38</f>
        <v>0</v>
      </c>
    </row>
    <row r="949" spans="1:12" x14ac:dyDescent="0.25">
      <c r="A949" s="66" t="str">
        <f t="shared" si="14"/>
        <v>✓</v>
      </c>
      <c r="B949" s="67">
        <v>46230</v>
      </c>
      <c r="C949" s="23">
        <f>'Jul 27'!$D$39</f>
        <v>0</v>
      </c>
      <c r="D949" s="23">
        <f>'Jul 27'!$B$39</f>
        <v>0</v>
      </c>
      <c r="E949" s="64">
        <f>'Jul 27'!$E$39</f>
        <v>0</v>
      </c>
      <c r="F949" s="23">
        <f>'Jul 27'!$A$39</f>
        <v>0</v>
      </c>
      <c r="G949" s="64">
        <f>'Jul 27'!$F$39</f>
        <v>0</v>
      </c>
      <c r="H949" s="64">
        <f>'Jul 27'!$G$39</f>
        <v>0</v>
      </c>
      <c r="I949" s="64" t="str">
        <f>'Jul 27'!$M$39</f>
        <v/>
      </c>
      <c r="J949" s="25" t="str">
        <f>'Jul 27'!$S$39</f>
        <v/>
      </c>
      <c r="K949" s="23">
        <f>'Jul 27'!$AG$39</f>
        <v>0</v>
      </c>
      <c r="L949" s="23">
        <f>'Jul 27'!$N$39</f>
        <v>0</v>
      </c>
    </row>
    <row r="950" spans="1:12" x14ac:dyDescent="0.25">
      <c r="A950" s="66" t="str">
        <f t="shared" si="14"/>
        <v>✓</v>
      </c>
      <c r="B950" s="67">
        <v>46230</v>
      </c>
      <c r="C950" s="23">
        <f>'Jul 27'!$D$40</f>
        <v>0</v>
      </c>
      <c r="D950" s="23">
        <f>'Jul 27'!$B$40</f>
        <v>0</v>
      </c>
      <c r="E950" s="64">
        <f>'Jul 27'!$E$40</f>
        <v>0</v>
      </c>
      <c r="F950" s="23">
        <f>'Jul 27'!$A$40</f>
        <v>0</v>
      </c>
      <c r="G950" s="64">
        <f>'Jul 27'!$F$40</f>
        <v>0</v>
      </c>
      <c r="H950" s="64">
        <f>'Jul 27'!$G$40</f>
        <v>0</v>
      </c>
      <c r="I950" s="64" t="str">
        <f>'Jul 27'!$M$40</f>
        <v/>
      </c>
      <c r="J950" s="25" t="str">
        <f>'Jul 27'!$S$40</f>
        <v/>
      </c>
      <c r="K950" s="23">
        <f>'Jul 27'!$AG$40</f>
        <v>0</v>
      </c>
      <c r="L950" s="23">
        <f>'Jul 27'!$N$40</f>
        <v>0</v>
      </c>
    </row>
    <row r="951" spans="1:12" x14ac:dyDescent="0.25">
      <c r="A951" s="66" t="str">
        <f t="shared" si="14"/>
        <v>✓</v>
      </c>
      <c r="B951" s="67">
        <v>46230</v>
      </c>
      <c r="C951" s="23">
        <f>'Jul 27'!$D$41</f>
        <v>0</v>
      </c>
      <c r="D951" s="23">
        <f>'Jul 27'!$B$41</f>
        <v>0</v>
      </c>
      <c r="E951" s="64">
        <f>'Jul 27'!$E$41</f>
        <v>0</v>
      </c>
      <c r="F951" s="23">
        <f>'Jul 27'!$A$41</f>
        <v>0</v>
      </c>
      <c r="G951" s="64">
        <f>'Jul 27'!$F$41</f>
        <v>0</v>
      </c>
      <c r="H951" s="64">
        <f>'Jul 27'!$G$41</f>
        <v>0</v>
      </c>
      <c r="I951" s="64" t="str">
        <f>'Jul 27'!$M$41</f>
        <v/>
      </c>
      <c r="J951" s="25" t="str">
        <f>'Jul 27'!$S$41</f>
        <v/>
      </c>
      <c r="K951" s="23">
        <f>'Jul 27'!$AG$41</f>
        <v>0</v>
      </c>
      <c r="L951" s="23">
        <f>'Jul 27'!$N$41</f>
        <v>0</v>
      </c>
    </row>
    <row r="952" spans="1:12" x14ac:dyDescent="0.25">
      <c r="A952" s="66" t="str">
        <f t="shared" si="14"/>
        <v>✓</v>
      </c>
      <c r="B952" s="67">
        <v>46230</v>
      </c>
      <c r="C952" s="23">
        <f>'Jul 27'!$D$42</f>
        <v>0</v>
      </c>
      <c r="D952" s="23">
        <f>'Jul 27'!$B$42</f>
        <v>0</v>
      </c>
      <c r="E952" s="64">
        <f>'Jul 27'!$E$42</f>
        <v>0</v>
      </c>
      <c r="F952" s="23">
        <f>'Jul 27'!$A$42</f>
        <v>0</v>
      </c>
      <c r="G952" s="64">
        <f>'Jul 27'!$F$42</f>
        <v>0</v>
      </c>
      <c r="H952" s="64">
        <f>'Jul 27'!$G$42</f>
        <v>0</v>
      </c>
      <c r="I952" s="64" t="str">
        <f>'Jul 27'!$M$42</f>
        <v/>
      </c>
      <c r="J952" s="25" t="str">
        <f>'Jul 27'!$S$42</f>
        <v/>
      </c>
      <c r="K952" s="23">
        <f>'Jul 27'!$AG$42</f>
        <v>0</v>
      </c>
      <c r="L952" s="23">
        <f>'Jul 27'!$N$42</f>
        <v>0</v>
      </c>
    </row>
    <row r="953" spans="1:12" x14ac:dyDescent="0.25">
      <c r="A953" s="66" t="str">
        <f t="shared" si="14"/>
        <v>✓</v>
      </c>
      <c r="B953" s="67">
        <v>46231</v>
      </c>
      <c r="C953" s="23">
        <f>'Jul 28'!$D$8</f>
        <v>0</v>
      </c>
      <c r="D953" s="23">
        <f>'Jul 28'!$B$8</f>
        <v>0</v>
      </c>
      <c r="E953" s="64">
        <f>'Jul 28'!$E$8</f>
        <v>0</v>
      </c>
      <c r="F953" s="23">
        <f>'Jul 28'!$A$8</f>
        <v>0</v>
      </c>
      <c r="G953" s="64">
        <f>'Jul 28'!$F$8</f>
        <v>0</v>
      </c>
      <c r="H953" s="64">
        <f>'Jul 28'!$G$8</f>
        <v>0</v>
      </c>
      <c r="I953" s="64" t="str">
        <f>'Jul 28'!$M$8</f>
        <v/>
      </c>
      <c r="J953" s="25" t="str">
        <f>'Jul 28'!$S$8</f>
        <v/>
      </c>
      <c r="K953" s="23">
        <f>'Jul 28'!$AG$8</f>
        <v>0</v>
      </c>
      <c r="L953" s="23">
        <f>'Jul 28'!$N$8</f>
        <v>0</v>
      </c>
    </row>
    <row r="954" spans="1:12" x14ac:dyDescent="0.25">
      <c r="A954" s="66" t="str">
        <f t="shared" si="14"/>
        <v>✓</v>
      </c>
      <c r="B954" s="67">
        <v>46231</v>
      </c>
      <c r="C954" s="23">
        <f>'Jul 28'!$D$9</f>
        <v>0</v>
      </c>
      <c r="D954" s="23">
        <f>'Jul 28'!$B$9</f>
        <v>0</v>
      </c>
      <c r="E954" s="64">
        <f>'Jul 28'!$E$9</f>
        <v>0</v>
      </c>
      <c r="F954" s="23">
        <f>'Jul 28'!$A$9</f>
        <v>0</v>
      </c>
      <c r="G954" s="64">
        <f>'Jul 28'!$F$9</f>
        <v>0</v>
      </c>
      <c r="H954" s="64">
        <f>'Jul 28'!$G$9</f>
        <v>0</v>
      </c>
      <c r="I954" s="64" t="str">
        <f>'Jul 28'!$M$9</f>
        <v/>
      </c>
      <c r="J954" s="25" t="str">
        <f>'Jul 28'!$S$9</f>
        <v/>
      </c>
      <c r="K954" s="23">
        <f>'Jul 28'!$AG$9</f>
        <v>0</v>
      </c>
      <c r="L954" s="23">
        <f>'Jul 28'!$N$9</f>
        <v>0</v>
      </c>
    </row>
    <row r="955" spans="1:12" x14ac:dyDescent="0.25">
      <c r="A955" s="66" t="str">
        <f t="shared" si="14"/>
        <v>✓</v>
      </c>
      <c r="B955" s="67">
        <v>46231</v>
      </c>
      <c r="C955" s="23">
        <f>'Jul 28'!$D$10</f>
        <v>0</v>
      </c>
      <c r="D955" s="23">
        <f>'Jul 28'!$B$10</f>
        <v>0</v>
      </c>
      <c r="E955" s="64">
        <f>'Jul 28'!$E$10</f>
        <v>0</v>
      </c>
      <c r="F955" s="23">
        <f>'Jul 28'!$A$10</f>
        <v>0</v>
      </c>
      <c r="G955" s="64">
        <f>'Jul 28'!$F$10</f>
        <v>0</v>
      </c>
      <c r="H955" s="64">
        <f>'Jul 28'!$G$10</f>
        <v>0</v>
      </c>
      <c r="I955" s="64" t="str">
        <f>'Jul 28'!$M$10</f>
        <v/>
      </c>
      <c r="J955" s="25" t="str">
        <f>'Jul 28'!$S$10</f>
        <v/>
      </c>
      <c r="K955" s="23">
        <f>'Jul 28'!$AG$10</f>
        <v>0</v>
      </c>
      <c r="L955" s="23">
        <f>'Jul 28'!$N$10</f>
        <v>0</v>
      </c>
    </row>
    <row r="956" spans="1:12" x14ac:dyDescent="0.25">
      <c r="A956" s="66" t="str">
        <f t="shared" si="14"/>
        <v>✓</v>
      </c>
      <c r="B956" s="67">
        <v>46231</v>
      </c>
      <c r="C956" s="23">
        <f>'Jul 28'!$D$11</f>
        <v>0</v>
      </c>
      <c r="D956" s="23">
        <f>'Jul 28'!$B$11</f>
        <v>0</v>
      </c>
      <c r="E956" s="64">
        <f>'Jul 28'!$E$11</f>
        <v>0</v>
      </c>
      <c r="F956" s="23">
        <f>'Jul 28'!$A$11</f>
        <v>0</v>
      </c>
      <c r="G956" s="64">
        <f>'Jul 28'!$F$11</f>
        <v>0</v>
      </c>
      <c r="H956" s="64">
        <f>'Jul 28'!$G$11</f>
        <v>0</v>
      </c>
      <c r="I956" s="64" t="str">
        <f>'Jul 28'!$M$11</f>
        <v/>
      </c>
      <c r="J956" s="25" t="str">
        <f>'Jul 28'!$S$11</f>
        <v/>
      </c>
      <c r="K956" s="23">
        <f>'Jul 28'!$AG$11</f>
        <v>0</v>
      </c>
      <c r="L956" s="23">
        <f>'Jul 28'!$N$11</f>
        <v>0</v>
      </c>
    </row>
    <row r="957" spans="1:12" x14ac:dyDescent="0.25">
      <c r="A957" s="66" t="str">
        <f t="shared" si="14"/>
        <v>✓</v>
      </c>
      <c r="B957" s="67">
        <v>46231</v>
      </c>
      <c r="C957" s="23">
        <f>'Jul 28'!$D$12</f>
        <v>0</v>
      </c>
      <c r="D957" s="23">
        <f>'Jul 28'!$B$12</f>
        <v>0</v>
      </c>
      <c r="E957" s="64">
        <f>'Jul 28'!$E$12</f>
        <v>0</v>
      </c>
      <c r="F957" s="23">
        <f>'Jul 28'!$A$12</f>
        <v>0</v>
      </c>
      <c r="G957" s="64">
        <f>'Jul 28'!$F$12</f>
        <v>0</v>
      </c>
      <c r="H957" s="64">
        <f>'Jul 28'!$G$12</f>
        <v>0</v>
      </c>
      <c r="I957" s="64" t="str">
        <f>'Jul 28'!$M$12</f>
        <v/>
      </c>
      <c r="J957" s="25" t="str">
        <f>'Jul 28'!$S$12</f>
        <v/>
      </c>
      <c r="K957" s="23">
        <f>'Jul 28'!$AG$12</f>
        <v>0</v>
      </c>
      <c r="L957" s="23">
        <f>'Jul 28'!$N$12</f>
        <v>0</v>
      </c>
    </row>
    <row r="958" spans="1:12" x14ac:dyDescent="0.25">
      <c r="A958" s="66" t="str">
        <f t="shared" si="14"/>
        <v>✓</v>
      </c>
      <c r="B958" s="67">
        <v>46231</v>
      </c>
      <c r="C958" s="23">
        <f>'Jul 28'!$D$13</f>
        <v>0</v>
      </c>
      <c r="D958" s="23">
        <f>'Jul 28'!$B$13</f>
        <v>0</v>
      </c>
      <c r="E958" s="64">
        <f>'Jul 28'!$E$13</f>
        <v>0</v>
      </c>
      <c r="F958" s="23">
        <f>'Jul 28'!$A$13</f>
        <v>0</v>
      </c>
      <c r="G958" s="64">
        <f>'Jul 28'!$F$13</f>
        <v>0</v>
      </c>
      <c r="H958" s="64">
        <f>'Jul 28'!$G$13</f>
        <v>0</v>
      </c>
      <c r="I958" s="64" t="str">
        <f>'Jul 28'!$M$13</f>
        <v/>
      </c>
      <c r="J958" s="25" t="str">
        <f>'Jul 28'!$S$13</f>
        <v/>
      </c>
      <c r="K958" s="23">
        <f>'Jul 28'!$AG$13</f>
        <v>0</v>
      </c>
      <c r="L958" s="23">
        <f>'Jul 28'!$N$13</f>
        <v>0</v>
      </c>
    </row>
    <row r="959" spans="1:12" x14ac:dyDescent="0.25">
      <c r="A959" s="66" t="str">
        <f t="shared" si="14"/>
        <v>✓</v>
      </c>
      <c r="B959" s="67">
        <v>46231</v>
      </c>
      <c r="C959" s="23">
        <f>'Jul 28'!$D$14</f>
        <v>0</v>
      </c>
      <c r="D959" s="23">
        <f>'Jul 28'!$B$14</f>
        <v>0</v>
      </c>
      <c r="E959" s="64">
        <f>'Jul 28'!$E$14</f>
        <v>0</v>
      </c>
      <c r="F959" s="23">
        <f>'Jul 28'!$A$14</f>
        <v>0</v>
      </c>
      <c r="G959" s="64">
        <f>'Jul 28'!$F$14</f>
        <v>0</v>
      </c>
      <c r="H959" s="64">
        <f>'Jul 28'!$G$14</f>
        <v>0</v>
      </c>
      <c r="I959" s="64" t="str">
        <f>'Jul 28'!$M$14</f>
        <v/>
      </c>
      <c r="J959" s="25" t="str">
        <f>'Jul 28'!$S$14</f>
        <v/>
      </c>
      <c r="K959" s="23">
        <f>'Jul 28'!$AG$14</f>
        <v>0</v>
      </c>
      <c r="L959" s="23">
        <f>'Jul 28'!$N$14</f>
        <v>0</v>
      </c>
    </row>
    <row r="960" spans="1:12" x14ac:dyDescent="0.25">
      <c r="A960" s="66" t="str">
        <f t="shared" si="14"/>
        <v>✓</v>
      </c>
      <c r="B960" s="67">
        <v>46231</v>
      </c>
      <c r="C960" s="23">
        <f>'Jul 28'!$D$15</f>
        <v>0</v>
      </c>
      <c r="D960" s="23">
        <f>'Jul 28'!$B$15</f>
        <v>0</v>
      </c>
      <c r="E960" s="64">
        <f>'Jul 28'!$E$15</f>
        <v>0</v>
      </c>
      <c r="F960" s="23">
        <f>'Jul 28'!$A$15</f>
        <v>0</v>
      </c>
      <c r="G960" s="64">
        <f>'Jul 28'!$F$15</f>
        <v>0</v>
      </c>
      <c r="H960" s="64">
        <f>'Jul 28'!$G$15</f>
        <v>0</v>
      </c>
      <c r="I960" s="64" t="str">
        <f>'Jul 28'!$M$15</f>
        <v/>
      </c>
      <c r="J960" s="25" t="str">
        <f>'Jul 28'!$S$15</f>
        <v/>
      </c>
      <c r="K960" s="23">
        <f>'Jul 28'!$AG$15</f>
        <v>0</v>
      </c>
      <c r="L960" s="23">
        <f>'Jul 28'!$N$15</f>
        <v>0</v>
      </c>
    </row>
    <row r="961" spans="1:12" x14ac:dyDescent="0.25">
      <c r="A961" s="66" t="str">
        <f t="shared" si="14"/>
        <v>✓</v>
      </c>
      <c r="B961" s="67">
        <v>46231</v>
      </c>
      <c r="C961" s="23">
        <f>'Jul 28'!$D$16</f>
        <v>0</v>
      </c>
      <c r="D961" s="23">
        <f>'Jul 28'!$B$16</f>
        <v>0</v>
      </c>
      <c r="E961" s="64">
        <f>'Jul 28'!$E$16</f>
        <v>0</v>
      </c>
      <c r="F961" s="23">
        <f>'Jul 28'!$A$16</f>
        <v>0</v>
      </c>
      <c r="G961" s="64">
        <f>'Jul 28'!$F$16</f>
        <v>0</v>
      </c>
      <c r="H961" s="64">
        <f>'Jul 28'!$G$16</f>
        <v>0</v>
      </c>
      <c r="I961" s="64" t="str">
        <f>'Jul 28'!$M$16</f>
        <v/>
      </c>
      <c r="J961" s="25" t="str">
        <f>'Jul 28'!$S$16</f>
        <v/>
      </c>
      <c r="K961" s="23">
        <f>'Jul 28'!$AG$16</f>
        <v>0</v>
      </c>
      <c r="L961" s="23">
        <f>'Jul 28'!$N$16</f>
        <v>0</v>
      </c>
    </row>
    <row r="962" spans="1:12" x14ac:dyDescent="0.25">
      <c r="A962" s="66" t="str">
        <f t="shared" si="14"/>
        <v>✓</v>
      </c>
      <c r="B962" s="67">
        <v>46231</v>
      </c>
      <c r="C962" s="23">
        <f>'Jul 28'!$D$17</f>
        <v>0</v>
      </c>
      <c r="D962" s="23">
        <f>'Jul 28'!$B$17</f>
        <v>0</v>
      </c>
      <c r="E962" s="64">
        <f>'Jul 28'!$E$17</f>
        <v>0</v>
      </c>
      <c r="F962" s="23">
        <f>'Jul 28'!$A$17</f>
        <v>0</v>
      </c>
      <c r="G962" s="64">
        <f>'Jul 28'!$F$17</f>
        <v>0</v>
      </c>
      <c r="H962" s="64">
        <f>'Jul 28'!$G$17</f>
        <v>0</v>
      </c>
      <c r="I962" s="64" t="str">
        <f>'Jul 28'!$M$17</f>
        <v/>
      </c>
      <c r="J962" s="25" t="str">
        <f>'Jul 28'!$S$17</f>
        <v/>
      </c>
      <c r="K962" s="23">
        <f>'Jul 28'!$AG$17</f>
        <v>0</v>
      </c>
      <c r="L962" s="23">
        <f>'Jul 28'!$N$17</f>
        <v>0</v>
      </c>
    </row>
    <row r="963" spans="1:12" x14ac:dyDescent="0.25">
      <c r="A963" s="66" t="str">
        <f t="shared" si="14"/>
        <v>✓</v>
      </c>
      <c r="B963" s="67">
        <v>46231</v>
      </c>
      <c r="C963" s="23">
        <f>'Jul 28'!$D$18</f>
        <v>0</v>
      </c>
      <c r="D963" s="23">
        <f>'Jul 28'!$B$18</f>
        <v>0</v>
      </c>
      <c r="E963" s="64">
        <f>'Jul 28'!$E$18</f>
        <v>0</v>
      </c>
      <c r="F963" s="23">
        <f>'Jul 28'!$A$18</f>
        <v>0</v>
      </c>
      <c r="G963" s="64">
        <f>'Jul 28'!$F$18</f>
        <v>0</v>
      </c>
      <c r="H963" s="64">
        <f>'Jul 28'!$G$18</f>
        <v>0</v>
      </c>
      <c r="I963" s="64" t="str">
        <f>'Jul 28'!$M$18</f>
        <v/>
      </c>
      <c r="J963" s="25" t="str">
        <f>'Jul 28'!$S$18</f>
        <v/>
      </c>
      <c r="K963" s="23">
        <f>'Jul 28'!$AG$18</f>
        <v>0</v>
      </c>
      <c r="L963" s="23">
        <f>'Jul 28'!$N$18</f>
        <v>0</v>
      </c>
    </row>
    <row r="964" spans="1:12" x14ac:dyDescent="0.25">
      <c r="A964" s="66" t="str">
        <f t="shared" si="14"/>
        <v>✓</v>
      </c>
      <c r="B964" s="67">
        <v>46231</v>
      </c>
      <c r="C964" s="23">
        <f>'Jul 28'!$D$19</f>
        <v>0</v>
      </c>
      <c r="D964" s="23">
        <f>'Jul 28'!$B$19</f>
        <v>0</v>
      </c>
      <c r="E964" s="64">
        <f>'Jul 28'!$E$19</f>
        <v>0</v>
      </c>
      <c r="F964" s="23">
        <f>'Jul 28'!$A$19</f>
        <v>0</v>
      </c>
      <c r="G964" s="64">
        <f>'Jul 28'!$F$19</f>
        <v>0</v>
      </c>
      <c r="H964" s="64">
        <f>'Jul 28'!$G$19</f>
        <v>0</v>
      </c>
      <c r="I964" s="64" t="str">
        <f>'Jul 28'!$M$19</f>
        <v/>
      </c>
      <c r="J964" s="25" t="str">
        <f>'Jul 28'!$S$19</f>
        <v/>
      </c>
      <c r="K964" s="23">
        <f>'Jul 28'!$AG$19</f>
        <v>0</v>
      </c>
      <c r="L964" s="23">
        <f>'Jul 28'!$N$19</f>
        <v>0</v>
      </c>
    </row>
    <row r="965" spans="1:12" x14ac:dyDescent="0.25">
      <c r="A965" s="66" t="str">
        <f t="shared" si="14"/>
        <v>✓</v>
      </c>
      <c r="B965" s="67">
        <v>46231</v>
      </c>
      <c r="C965" s="23">
        <f>'Jul 28'!$D$20</f>
        <v>0</v>
      </c>
      <c r="D965" s="23">
        <f>'Jul 28'!$B$20</f>
        <v>0</v>
      </c>
      <c r="E965" s="64">
        <f>'Jul 28'!$E$20</f>
        <v>0</v>
      </c>
      <c r="F965" s="23">
        <f>'Jul 28'!$A$20</f>
        <v>0</v>
      </c>
      <c r="G965" s="64">
        <f>'Jul 28'!$F$20</f>
        <v>0</v>
      </c>
      <c r="H965" s="64">
        <f>'Jul 28'!$G$20</f>
        <v>0</v>
      </c>
      <c r="I965" s="64" t="str">
        <f>'Jul 28'!$M$20</f>
        <v/>
      </c>
      <c r="J965" s="25" t="str">
        <f>'Jul 28'!$S$20</f>
        <v/>
      </c>
      <c r="K965" s="23">
        <f>'Jul 28'!$AG$20</f>
        <v>0</v>
      </c>
      <c r="L965" s="23">
        <f>'Jul 28'!$N$20</f>
        <v>0</v>
      </c>
    </row>
    <row r="966" spans="1:12" x14ac:dyDescent="0.25">
      <c r="A966" s="66" t="str">
        <f t="shared" si="14"/>
        <v>✓</v>
      </c>
      <c r="B966" s="67">
        <v>46231</v>
      </c>
      <c r="C966" s="23">
        <f>'Jul 28'!$D$21</f>
        <v>0</v>
      </c>
      <c r="D966" s="23">
        <f>'Jul 28'!$B$21</f>
        <v>0</v>
      </c>
      <c r="E966" s="64">
        <f>'Jul 28'!$E$21</f>
        <v>0</v>
      </c>
      <c r="F966" s="23">
        <f>'Jul 28'!$A$21</f>
        <v>0</v>
      </c>
      <c r="G966" s="64">
        <f>'Jul 28'!$F$21</f>
        <v>0</v>
      </c>
      <c r="H966" s="64">
        <f>'Jul 28'!$G$21</f>
        <v>0</v>
      </c>
      <c r="I966" s="64" t="str">
        <f>'Jul 28'!$M$21</f>
        <v/>
      </c>
      <c r="J966" s="25" t="str">
        <f>'Jul 28'!$S$21</f>
        <v/>
      </c>
      <c r="K966" s="23">
        <f>'Jul 28'!$AG$21</f>
        <v>0</v>
      </c>
      <c r="L966" s="23">
        <f>'Jul 28'!$N$21</f>
        <v>0</v>
      </c>
    </row>
    <row r="967" spans="1:12" x14ac:dyDescent="0.25">
      <c r="A967" s="66" t="str">
        <f t="shared" si="14"/>
        <v>✓</v>
      </c>
      <c r="B967" s="67">
        <v>46231</v>
      </c>
      <c r="C967" s="23">
        <f>'Jul 28'!$D$22</f>
        <v>0</v>
      </c>
      <c r="D967" s="23">
        <f>'Jul 28'!$B$22</f>
        <v>0</v>
      </c>
      <c r="E967" s="64">
        <f>'Jul 28'!$E$22</f>
        <v>0</v>
      </c>
      <c r="F967" s="23">
        <f>'Jul 28'!$A$22</f>
        <v>0</v>
      </c>
      <c r="G967" s="64">
        <f>'Jul 28'!$F$22</f>
        <v>0</v>
      </c>
      <c r="H967" s="64">
        <f>'Jul 28'!$G$22</f>
        <v>0</v>
      </c>
      <c r="I967" s="64" t="str">
        <f>'Jul 28'!$M$22</f>
        <v/>
      </c>
      <c r="J967" s="25" t="str">
        <f>'Jul 28'!$S$22</f>
        <v/>
      </c>
      <c r="K967" s="23">
        <f>'Jul 28'!$AG$22</f>
        <v>0</v>
      </c>
      <c r="L967" s="23">
        <f>'Jul 28'!$N$22</f>
        <v>0</v>
      </c>
    </row>
    <row r="968" spans="1:12" x14ac:dyDescent="0.25">
      <c r="A968" s="66" t="str">
        <f t="shared" ref="A968:A1031" si="15">IF(C968="","",IF(AND(OR($B$5="",G968=$B$5,H968=$B$5),OR($D$5="",F968=$D$5),OR($E$5="",K968=$E$5),OR($G$5="",L968=$G$5),OR($H$5="",N(J968)&gt;=$H$5),OR($I$5="",ISNUMBER(SEARCH($I$5,C968&amp;" "&amp;D968&amp;" "&amp;E968&amp;" "&amp;I968)))),"✓",""))</f>
        <v>✓</v>
      </c>
      <c r="B968" s="67">
        <v>46231</v>
      </c>
      <c r="C968" s="23">
        <f>'Jul 28'!$D$23</f>
        <v>0</v>
      </c>
      <c r="D968" s="23">
        <f>'Jul 28'!$B$23</f>
        <v>0</v>
      </c>
      <c r="E968" s="64">
        <f>'Jul 28'!$E$23</f>
        <v>0</v>
      </c>
      <c r="F968" s="23">
        <f>'Jul 28'!$A$23</f>
        <v>0</v>
      </c>
      <c r="G968" s="64">
        <f>'Jul 28'!$F$23</f>
        <v>0</v>
      </c>
      <c r="H968" s="64">
        <f>'Jul 28'!$G$23</f>
        <v>0</v>
      </c>
      <c r="I968" s="64" t="str">
        <f>'Jul 28'!$M$23</f>
        <v/>
      </c>
      <c r="J968" s="25" t="str">
        <f>'Jul 28'!$S$23</f>
        <v/>
      </c>
      <c r="K968" s="23">
        <f>'Jul 28'!$AG$23</f>
        <v>0</v>
      </c>
      <c r="L968" s="23">
        <f>'Jul 28'!$N$23</f>
        <v>0</v>
      </c>
    </row>
    <row r="969" spans="1:12" x14ac:dyDescent="0.25">
      <c r="A969" s="66" t="str">
        <f t="shared" si="15"/>
        <v>✓</v>
      </c>
      <c r="B969" s="67">
        <v>46231</v>
      </c>
      <c r="C969" s="23">
        <f>'Jul 28'!$D$24</f>
        <v>0</v>
      </c>
      <c r="D969" s="23">
        <f>'Jul 28'!$B$24</f>
        <v>0</v>
      </c>
      <c r="E969" s="64">
        <f>'Jul 28'!$E$24</f>
        <v>0</v>
      </c>
      <c r="F969" s="23">
        <f>'Jul 28'!$A$24</f>
        <v>0</v>
      </c>
      <c r="G969" s="64">
        <f>'Jul 28'!$F$24</f>
        <v>0</v>
      </c>
      <c r="H969" s="64">
        <f>'Jul 28'!$G$24</f>
        <v>0</v>
      </c>
      <c r="I969" s="64" t="str">
        <f>'Jul 28'!$M$24</f>
        <v/>
      </c>
      <c r="J969" s="25" t="str">
        <f>'Jul 28'!$S$24</f>
        <v/>
      </c>
      <c r="K969" s="23">
        <f>'Jul 28'!$AG$24</f>
        <v>0</v>
      </c>
      <c r="L969" s="23">
        <f>'Jul 28'!$N$24</f>
        <v>0</v>
      </c>
    </row>
    <row r="970" spans="1:12" x14ac:dyDescent="0.25">
      <c r="A970" s="66" t="str">
        <f t="shared" si="15"/>
        <v>✓</v>
      </c>
      <c r="B970" s="67">
        <v>46231</v>
      </c>
      <c r="C970" s="23">
        <f>'Jul 28'!$D$25</f>
        <v>0</v>
      </c>
      <c r="D970" s="23">
        <f>'Jul 28'!$B$25</f>
        <v>0</v>
      </c>
      <c r="E970" s="64">
        <f>'Jul 28'!$E$25</f>
        <v>0</v>
      </c>
      <c r="F970" s="23">
        <f>'Jul 28'!$A$25</f>
        <v>0</v>
      </c>
      <c r="G970" s="64">
        <f>'Jul 28'!$F$25</f>
        <v>0</v>
      </c>
      <c r="H970" s="64">
        <f>'Jul 28'!$G$25</f>
        <v>0</v>
      </c>
      <c r="I970" s="64" t="str">
        <f>'Jul 28'!$M$25</f>
        <v/>
      </c>
      <c r="J970" s="25" t="str">
        <f>'Jul 28'!$S$25</f>
        <v/>
      </c>
      <c r="K970" s="23">
        <f>'Jul 28'!$AG$25</f>
        <v>0</v>
      </c>
      <c r="L970" s="23">
        <f>'Jul 28'!$N$25</f>
        <v>0</v>
      </c>
    </row>
    <row r="971" spans="1:12" x14ac:dyDescent="0.25">
      <c r="A971" s="66" t="str">
        <f t="shared" si="15"/>
        <v>✓</v>
      </c>
      <c r="B971" s="67">
        <v>46231</v>
      </c>
      <c r="C971" s="23">
        <f>'Jul 28'!$D$26</f>
        <v>0</v>
      </c>
      <c r="D971" s="23">
        <f>'Jul 28'!$B$26</f>
        <v>0</v>
      </c>
      <c r="E971" s="64">
        <f>'Jul 28'!$E$26</f>
        <v>0</v>
      </c>
      <c r="F971" s="23">
        <f>'Jul 28'!$A$26</f>
        <v>0</v>
      </c>
      <c r="G971" s="64">
        <f>'Jul 28'!$F$26</f>
        <v>0</v>
      </c>
      <c r="H971" s="64">
        <f>'Jul 28'!$G$26</f>
        <v>0</v>
      </c>
      <c r="I971" s="64" t="str">
        <f>'Jul 28'!$M$26</f>
        <v/>
      </c>
      <c r="J971" s="25" t="str">
        <f>'Jul 28'!$S$26</f>
        <v/>
      </c>
      <c r="K971" s="23">
        <f>'Jul 28'!$AG$26</f>
        <v>0</v>
      </c>
      <c r="L971" s="23">
        <f>'Jul 28'!$N$26</f>
        <v>0</v>
      </c>
    </row>
    <row r="972" spans="1:12" x14ac:dyDescent="0.25">
      <c r="A972" s="66" t="str">
        <f t="shared" si="15"/>
        <v>✓</v>
      </c>
      <c r="B972" s="67">
        <v>46231</v>
      </c>
      <c r="C972" s="23">
        <f>'Jul 28'!$D$27</f>
        <v>0</v>
      </c>
      <c r="D972" s="23">
        <f>'Jul 28'!$B$27</f>
        <v>0</v>
      </c>
      <c r="E972" s="64">
        <f>'Jul 28'!$E$27</f>
        <v>0</v>
      </c>
      <c r="F972" s="23">
        <f>'Jul 28'!$A$27</f>
        <v>0</v>
      </c>
      <c r="G972" s="64">
        <f>'Jul 28'!$F$27</f>
        <v>0</v>
      </c>
      <c r="H972" s="64">
        <f>'Jul 28'!$G$27</f>
        <v>0</v>
      </c>
      <c r="I972" s="64" t="str">
        <f>'Jul 28'!$M$27</f>
        <v/>
      </c>
      <c r="J972" s="25" t="str">
        <f>'Jul 28'!$S$27</f>
        <v/>
      </c>
      <c r="K972" s="23">
        <f>'Jul 28'!$AG$27</f>
        <v>0</v>
      </c>
      <c r="L972" s="23">
        <f>'Jul 28'!$N$27</f>
        <v>0</v>
      </c>
    </row>
    <row r="973" spans="1:12" x14ac:dyDescent="0.25">
      <c r="A973" s="66" t="str">
        <f t="shared" si="15"/>
        <v>✓</v>
      </c>
      <c r="B973" s="67">
        <v>46231</v>
      </c>
      <c r="C973" s="23">
        <f>'Jul 28'!$D$28</f>
        <v>0</v>
      </c>
      <c r="D973" s="23">
        <f>'Jul 28'!$B$28</f>
        <v>0</v>
      </c>
      <c r="E973" s="64">
        <f>'Jul 28'!$E$28</f>
        <v>0</v>
      </c>
      <c r="F973" s="23">
        <f>'Jul 28'!$A$28</f>
        <v>0</v>
      </c>
      <c r="G973" s="64">
        <f>'Jul 28'!$F$28</f>
        <v>0</v>
      </c>
      <c r="H973" s="64">
        <f>'Jul 28'!$G$28</f>
        <v>0</v>
      </c>
      <c r="I973" s="64" t="str">
        <f>'Jul 28'!$M$28</f>
        <v/>
      </c>
      <c r="J973" s="25" t="str">
        <f>'Jul 28'!$S$28</f>
        <v/>
      </c>
      <c r="K973" s="23">
        <f>'Jul 28'!$AG$28</f>
        <v>0</v>
      </c>
      <c r="L973" s="23">
        <f>'Jul 28'!$N$28</f>
        <v>0</v>
      </c>
    </row>
    <row r="974" spans="1:12" x14ac:dyDescent="0.25">
      <c r="A974" s="66" t="str">
        <f t="shared" si="15"/>
        <v>✓</v>
      </c>
      <c r="B974" s="67">
        <v>46231</v>
      </c>
      <c r="C974" s="23">
        <f>'Jul 28'!$D$29</f>
        <v>0</v>
      </c>
      <c r="D974" s="23">
        <f>'Jul 28'!$B$29</f>
        <v>0</v>
      </c>
      <c r="E974" s="64">
        <f>'Jul 28'!$E$29</f>
        <v>0</v>
      </c>
      <c r="F974" s="23">
        <f>'Jul 28'!$A$29</f>
        <v>0</v>
      </c>
      <c r="G974" s="64">
        <f>'Jul 28'!$F$29</f>
        <v>0</v>
      </c>
      <c r="H974" s="64">
        <f>'Jul 28'!$G$29</f>
        <v>0</v>
      </c>
      <c r="I974" s="64" t="str">
        <f>'Jul 28'!$M$29</f>
        <v/>
      </c>
      <c r="J974" s="25" t="str">
        <f>'Jul 28'!$S$29</f>
        <v/>
      </c>
      <c r="K974" s="23">
        <f>'Jul 28'!$AG$29</f>
        <v>0</v>
      </c>
      <c r="L974" s="23">
        <f>'Jul 28'!$N$29</f>
        <v>0</v>
      </c>
    </row>
    <row r="975" spans="1:12" x14ac:dyDescent="0.25">
      <c r="A975" s="66" t="str">
        <f t="shared" si="15"/>
        <v>✓</v>
      </c>
      <c r="B975" s="67">
        <v>46231</v>
      </c>
      <c r="C975" s="23">
        <f>'Jul 28'!$D$30</f>
        <v>0</v>
      </c>
      <c r="D975" s="23">
        <f>'Jul 28'!$B$30</f>
        <v>0</v>
      </c>
      <c r="E975" s="64">
        <f>'Jul 28'!$E$30</f>
        <v>0</v>
      </c>
      <c r="F975" s="23">
        <f>'Jul 28'!$A$30</f>
        <v>0</v>
      </c>
      <c r="G975" s="64">
        <f>'Jul 28'!$F$30</f>
        <v>0</v>
      </c>
      <c r="H975" s="64">
        <f>'Jul 28'!$G$30</f>
        <v>0</v>
      </c>
      <c r="I975" s="64" t="str">
        <f>'Jul 28'!$M$30</f>
        <v/>
      </c>
      <c r="J975" s="25" t="str">
        <f>'Jul 28'!$S$30</f>
        <v/>
      </c>
      <c r="K975" s="23">
        <f>'Jul 28'!$AG$30</f>
        <v>0</v>
      </c>
      <c r="L975" s="23">
        <f>'Jul 28'!$N$30</f>
        <v>0</v>
      </c>
    </row>
    <row r="976" spans="1:12" x14ac:dyDescent="0.25">
      <c r="A976" s="66" t="str">
        <f t="shared" si="15"/>
        <v>✓</v>
      </c>
      <c r="B976" s="67">
        <v>46231</v>
      </c>
      <c r="C976" s="23">
        <f>'Jul 28'!$D$31</f>
        <v>0</v>
      </c>
      <c r="D976" s="23">
        <f>'Jul 28'!$B$31</f>
        <v>0</v>
      </c>
      <c r="E976" s="64">
        <f>'Jul 28'!$E$31</f>
        <v>0</v>
      </c>
      <c r="F976" s="23">
        <f>'Jul 28'!$A$31</f>
        <v>0</v>
      </c>
      <c r="G976" s="64">
        <f>'Jul 28'!$F$31</f>
        <v>0</v>
      </c>
      <c r="H976" s="64">
        <f>'Jul 28'!$G$31</f>
        <v>0</v>
      </c>
      <c r="I976" s="64" t="str">
        <f>'Jul 28'!$M$31</f>
        <v/>
      </c>
      <c r="J976" s="25" t="str">
        <f>'Jul 28'!$S$31</f>
        <v/>
      </c>
      <c r="K976" s="23">
        <f>'Jul 28'!$AG$31</f>
        <v>0</v>
      </c>
      <c r="L976" s="23">
        <f>'Jul 28'!$N$31</f>
        <v>0</v>
      </c>
    </row>
    <row r="977" spans="1:12" x14ac:dyDescent="0.25">
      <c r="A977" s="66" t="str">
        <f t="shared" si="15"/>
        <v>✓</v>
      </c>
      <c r="B977" s="67">
        <v>46231</v>
      </c>
      <c r="C977" s="23">
        <f>'Jul 28'!$D$32</f>
        <v>0</v>
      </c>
      <c r="D977" s="23">
        <f>'Jul 28'!$B$32</f>
        <v>0</v>
      </c>
      <c r="E977" s="64">
        <f>'Jul 28'!$E$32</f>
        <v>0</v>
      </c>
      <c r="F977" s="23">
        <f>'Jul 28'!$A$32</f>
        <v>0</v>
      </c>
      <c r="G977" s="64">
        <f>'Jul 28'!$F$32</f>
        <v>0</v>
      </c>
      <c r="H977" s="64">
        <f>'Jul 28'!$G$32</f>
        <v>0</v>
      </c>
      <c r="I977" s="64" t="str">
        <f>'Jul 28'!$M$32</f>
        <v/>
      </c>
      <c r="J977" s="25" t="str">
        <f>'Jul 28'!$S$32</f>
        <v/>
      </c>
      <c r="K977" s="23">
        <f>'Jul 28'!$AG$32</f>
        <v>0</v>
      </c>
      <c r="L977" s="23">
        <f>'Jul 28'!$N$32</f>
        <v>0</v>
      </c>
    </row>
    <row r="978" spans="1:12" x14ac:dyDescent="0.25">
      <c r="A978" s="66" t="str">
        <f t="shared" si="15"/>
        <v>✓</v>
      </c>
      <c r="B978" s="67">
        <v>46231</v>
      </c>
      <c r="C978" s="23">
        <f>'Jul 28'!$D$33</f>
        <v>0</v>
      </c>
      <c r="D978" s="23">
        <f>'Jul 28'!$B$33</f>
        <v>0</v>
      </c>
      <c r="E978" s="64">
        <f>'Jul 28'!$E$33</f>
        <v>0</v>
      </c>
      <c r="F978" s="23">
        <f>'Jul 28'!$A$33</f>
        <v>0</v>
      </c>
      <c r="G978" s="64">
        <f>'Jul 28'!$F$33</f>
        <v>0</v>
      </c>
      <c r="H978" s="64">
        <f>'Jul 28'!$G$33</f>
        <v>0</v>
      </c>
      <c r="I978" s="64" t="str">
        <f>'Jul 28'!$M$33</f>
        <v/>
      </c>
      <c r="J978" s="25" t="str">
        <f>'Jul 28'!$S$33</f>
        <v/>
      </c>
      <c r="K978" s="23">
        <f>'Jul 28'!$AG$33</f>
        <v>0</v>
      </c>
      <c r="L978" s="23">
        <f>'Jul 28'!$N$33</f>
        <v>0</v>
      </c>
    </row>
    <row r="979" spans="1:12" x14ac:dyDescent="0.25">
      <c r="A979" s="66" t="str">
        <f t="shared" si="15"/>
        <v>✓</v>
      </c>
      <c r="B979" s="67">
        <v>46231</v>
      </c>
      <c r="C979" s="23">
        <f>'Jul 28'!$D$34</f>
        <v>0</v>
      </c>
      <c r="D979" s="23">
        <f>'Jul 28'!$B$34</f>
        <v>0</v>
      </c>
      <c r="E979" s="64">
        <f>'Jul 28'!$E$34</f>
        <v>0</v>
      </c>
      <c r="F979" s="23">
        <f>'Jul 28'!$A$34</f>
        <v>0</v>
      </c>
      <c r="G979" s="64">
        <f>'Jul 28'!$F$34</f>
        <v>0</v>
      </c>
      <c r="H979" s="64">
        <f>'Jul 28'!$G$34</f>
        <v>0</v>
      </c>
      <c r="I979" s="64" t="str">
        <f>'Jul 28'!$M$34</f>
        <v/>
      </c>
      <c r="J979" s="25" t="str">
        <f>'Jul 28'!$S$34</f>
        <v/>
      </c>
      <c r="K979" s="23">
        <f>'Jul 28'!$AG$34</f>
        <v>0</v>
      </c>
      <c r="L979" s="23">
        <f>'Jul 28'!$N$34</f>
        <v>0</v>
      </c>
    </row>
    <row r="980" spans="1:12" x14ac:dyDescent="0.25">
      <c r="A980" s="66" t="str">
        <f t="shared" si="15"/>
        <v>✓</v>
      </c>
      <c r="B980" s="67">
        <v>46231</v>
      </c>
      <c r="C980" s="23">
        <f>'Jul 28'!$D$35</f>
        <v>0</v>
      </c>
      <c r="D980" s="23">
        <f>'Jul 28'!$B$35</f>
        <v>0</v>
      </c>
      <c r="E980" s="64">
        <f>'Jul 28'!$E$35</f>
        <v>0</v>
      </c>
      <c r="F980" s="23">
        <f>'Jul 28'!$A$35</f>
        <v>0</v>
      </c>
      <c r="G980" s="64">
        <f>'Jul 28'!$F$35</f>
        <v>0</v>
      </c>
      <c r="H980" s="64">
        <f>'Jul 28'!$G$35</f>
        <v>0</v>
      </c>
      <c r="I980" s="64" t="str">
        <f>'Jul 28'!$M$35</f>
        <v/>
      </c>
      <c r="J980" s="25" t="str">
        <f>'Jul 28'!$S$35</f>
        <v/>
      </c>
      <c r="K980" s="23">
        <f>'Jul 28'!$AG$35</f>
        <v>0</v>
      </c>
      <c r="L980" s="23">
        <f>'Jul 28'!$N$35</f>
        <v>0</v>
      </c>
    </row>
    <row r="981" spans="1:12" x14ac:dyDescent="0.25">
      <c r="A981" s="66" t="str">
        <f t="shared" si="15"/>
        <v>✓</v>
      </c>
      <c r="B981" s="67">
        <v>46231</v>
      </c>
      <c r="C981" s="23">
        <f>'Jul 28'!$D$36</f>
        <v>0</v>
      </c>
      <c r="D981" s="23">
        <f>'Jul 28'!$B$36</f>
        <v>0</v>
      </c>
      <c r="E981" s="64">
        <f>'Jul 28'!$E$36</f>
        <v>0</v>
      </c>
      <c r="F981" s="23">
        <f>'Jul 28'!$A$36</f>
        <v>0</v>
      </c>
      <c r="G981" s="64">
        <f>'Jul 28'!$F$36</f>
        <v>0</v>
      </c>
      <c r="H981" s="64">
        <f>'Jul 28'!$G$36</f>
        <v>0</v>
      </c>
      <c r="I981" s="64" t="str">
        <f>'Jul 28'!$M$36</f>
        <v/>
      </c>
      <c r="J981" s="25" t="str">
        <f>'Jul 28'!$S$36</f>
        <v/>
      </c>
      <c r="K981" s="23">
        <f>'Jul 28'!$AG$36</f>
        <v>0</v>
      </c>
      <c r="L981" s="23">
        <f>'Jul 28'!$N$36</f>
        <v>0</v>
      </c>
    </row>
    <row r="982" spans="1:12" x14ac:dyDescent="0.25">
      <c r="A982" s="66" t="str">
        <f t="shared" si="15"/>
        <v>✓</v>
      </c>
      <c r="B982" s="67">
        <v>46231</v>
      </c>
      <c r="C982" s="23">
        <f>'Jul 28'!$D$37</f>
        <v>0</v>
      </c>
      <c r="D982" s="23">
        <f>'Jul 28'!$B$37</f>
        <v>0</v>
      </c>
      <c r="E982" s="64">
        <f>'Jul 28'!$E$37</f>
        <v>0</v>
      </c>
      <c r="F982" s="23">
        <f>'Jul 28'!$A$37</f>
        <v>0</v>
      </c>
      <c r="G982" s="64">
        <f>'Jul 28'!$F$37</f>
        <v>0</v>
      </c>
      <c r="H982" s="64">
        <f>'Jul 28'!$G$37</f>
        <v>0</v>
      </c>
      <c r="I982" s="64" t="str">
        <f>'Jul 28'!$M$37</f>
        <v/>
      </c>
      <c r="J982" s="25" t="str">
        <f>'Jul 28'!$S$37</f>
        <v/>
      </c>
      <c r="K982" s="23">
        <f>'Jul 28'!$AG$37</f>
        <v>0</v>
      </c>
      <c r="L982" s="23">
        <f>'Jul 28'!$N$37</f>
        <v>0</v>
      </c>
    </row>
    <row r="983" spans="1:12" x14ac:dyDescent="0.25">
      <c r="A983" s="66" t="str">
        <f t="shared" si="15"/>
        <v>✓</v>
      </c>
      <c r="B983" s="67">
        <v>46231</v>
      </c>
      <c r="C983" s="23">
        <f>'Jul 28'!$D$38</f>
        <v>0</v>
      </c>
      <c r="D983" s="23">
        <f>'Jul 28'!$B$38</f>
        <v>0</v>
      </c>
      <c r="E983" s="64">
        <f>'Jul 28'!$E$38</f>
        <v>0</v>
      </c>
      <c r="F983" s="23">
        <f>'Jul 28'!$A$38</f>
        <v>0</v>
      </c>
      <c r="G983" s="64">
        <f>'Jul 28'!$F$38</f>
        <v>0</v>
      </c>
      <c r="H983" s="64">
        <f>'Jul 28'!$G$38</f>
        <v>0</v>
      </c>
      <c r="I983" s="64" t="str">
        <f>'Jul 28'!$M$38</f>
        <v/>
      </c>
      <c r="J983" s="25" t="str">
        <f>'Jul 28'!$S$38</f>
        <v/>
      </c>
      <c r="K983" s="23">
        <f>'Jul 28'!$AG$38</f>
        <v>0</v>
      </c>
      <c r="L983" s="23">
        <f>'Jul 28'!$N$38</f>
        <v>0</v>
      </c>
    </row>
    <row r="984" spans="1:12" x14ac:dyDescent="0.25">
      <c r="A984" s="66" t="str">
        <f t="shared" si="15"/>
        <v>✓</v>
      </c>
      <c r="B984" s="67">
        <v>46231</v>
      </c>
      <c r="C984" s="23">
        <f>'Jul 28'!$D$39</f>
        <v>0</v>
      </c>
      <c r="D984" s="23">
        <f>'Jul 28'!$B$39</f>
        <v>0</v>
      </c>
      <c r="E984" s="64">
        <f>'Jul 28'!$E$39</f>
        <v>0</v>
      </c>
      <c r="F984" s="23">
        <f>'Jul 28'!$A$39</f>
        <v>0</v>
      </c>
      <c r="G984" s="64">
        <f>'Jul 28'!$F$39</f>
        <v>0</v>
      </c>
      <c r="H984" s="64">
        <f>'Jul 28'!$G$39</f>
        <v>0</v>
      </c>
      <c r="I984" s="64" t="str">
        <f>'Jul 28'!$M$39</f>
        <v/>
      </c>
      <c r="J984" s="25" t="str">
        <f>'Jul 28'!$S$39</f>
        <v/>
      </c>
      <c r="K984" s="23">
        <f>'Jul 28'!$AG$39</f>
        <v>0</v>
      </c>
      <c r="L984" s="23">
        <f>'Jul 28'!$N$39</f>
        <v>0</v>
      </c>
    </row>
    <row r="985" spans="1:12" x14ac:dyDescent="0.25">
      <c r="A985" s="66" t="str">
        <f t="shared" si="15"/>
        <v>✓</v>
      </c>
      <c r="B985" s="67">
        <v>46231</v>
      </c>
      <c r="C985" s="23">
        <f>'Jul 28'!$D$40</f>
        <v>0</v>
      </c>
      <c r="D985" s="23">
        <f>'Jul 28'!$B$40</f>
        <v>0</v>
      </c>
      <c r="E985" s="64">
        <f>'Jul 28'!$E$40</f>
        <v>0</v>
      </c>
      <c r="F985" s="23">
        <f>'Jul 28'!$A$40</f>
        <v>0</v>
      </c>
      <c r="G985" s="64">
        <f>'Jul 28'!$F$40</f>
        <v>0</v>
      </c>
      <c r="H985" s="64">
        <f>'Jul 28'!$G$40</f>
        <v>0</v>
      </c>
      <c r="I985" s="64" t="str">
        <f>'Jul 28'!$M$40</f>
        <v/>
      </c>
      <c r="J985" s="25" t="str">
        <f>'Jul 28'!$S$40</f>
        <v/>
      </c>
      <c r="K985" s="23">
        <f>'Jul 28'!$AG$40</f>
        <v>0</v>
      </c>
      <c r="L985" s="23">
        <f>'Jul 28'!$N$40</f>
        <v>0</v>
      </c>
    </row>
    <row r="986" spans="1:12" x14ac:dyDescent="0.25">
      <c r="A986" s="66" t="str">
        <f t="shared" si="15"/>
        <v>✓</v>
      </c>
      <c r="B986" s="67">
        <v>46231</v>
      </c>
      <c r="C986" s="23">
        <f>'Jul 28'!$D$41</f>
        <v>0</v>
      </c>
      <c r="D986" s="23">
        <f>'Jul 28'!$B$41</f>
        <v>0</v>
      </c>
      <c r="E986" s="64">
        <f>'Jul 28'!$E$41</f>
        <v>0</v>
      </c>
      <c r="F986" s="23">
        <f>'Jul 28'!$A$41</f>
        <v>0</v>
      </c>
      <c r="G986" s="64">
        <f>'Jul 28'!$F$41</f>
        <v>0</v>
      </c>
      <c r="H986" s="64">
        <f>'Jul 28'!$G$41</f>
        <v>0</v>
      </c>
      <c r="I986" s="64" t="str">
        <f>'Jul 28'!$M$41</f>
        <v/>
      </c>
      <c r="J986" s="25" t="str">
        <f>'Jul 28'!$S$41</f>
        <v/>
      </c>
      <c r="K986" s="23">
        <f>'Jul 28'!$AG$41</f>
        <v>0</v>
      </c>
      <c r="L986" s="23">
        <f>'Jul 28'!$N$41</f>
        <v>0</v>
      </c>
    </row>
    <row r="987" spans="1:12" x14ac:dyDescent="0.25">
      <c r="A987" s="66" t="str">
        <f t="shared" si="15"/>
        <v>✓</v>
      </c>
      <c r="B987" s="67">
        <v>46231</v>
      </c>
      <c r="C987" s="23">
        <f>'Jul 28'!$D$42</f>
        <v>0</v>
      </c>
      <c r="D987" s="23">
        <f>'Jul 28'!$B$42</f>
        <v>0</v>
      </c>
      <c r="E987" s="64">
        <f>'Jul 28'!$E$42</f>
        <v>0</v>
      </c>
      <c r="F987" s="23">
        <f>'Jul 28'!$A$42</f>
        <v>0</v>
      </c>
      <c r="G987" s="64">
        <f>'Jul 28'!$F$42</f>
        <v>0</v>
      </c>
      <c r="H987" s="64">
        <f>'Jul 28'!$G$42</f>
        <v>0</v>
      </c>
      <c r="I987" s="64" t="str">
        <f>'Jul 28'!$M$42</f>
        <v/>
      </c>
      <c r="J987" s="25" t="str">
        <f>'Jul 28'!$S$42</f>
        <v/>
      </c>
      <c r="K987" s="23">
        <f>'Jul 28'!$AG$42</f>
        <v>0</v>
      </c>
      <c r="L987" s="23">
        <f>'Jul 28'!$N$42</f>
        <v>0</v>
      </c>
    </row>
    <row r="988" spans="1:12" x14ac:dyDescent="0.25">
      <c r="A988" s="66" t="str">
        <f t="shared" si="15"/>
        <v>✓</v>
      </c>
      <c r="B988" s="67">
        <v>46232</v>
      </c>
      <c r="C988" s="23">
        <f>'Jul 29'!$D$8</f>
        <v>0</v>
      </c>
      <c r="D988" s="23">
        <f>'Jul 29'!$B$8</f>
        <v>0</v>
      </c>
      <c r="E988" s="64">
        <f>'Jul 29'!$E$8</f>
        <v>0</v>
      </c>
      <c r="F988" s="23">
        <f>'Jul 29'!$A$8</f>
        <v>0</v>
      </c>
      <c r="G988" s="64">
        <f>'Jul 29'!$F$8</f>
        <v>0</v>
      </c>
      <c r="H988" s="64">
        <f>'Jul 29'!$G$8</f>
        <v>0</v>
      </c>
      <c r="I988" s="64" t="str">
        <f>'Jul 29'!$M$8</f>
        <v/>
      </c>
      <c r="J988" s="25" t="str">
        <f>'Jul 29'!$S$8</f>
        <v/>
      </c>
      <c r="K988" s="23">
        <f>'Jul 29'!$AG$8</f>
        <v>0</v>
      </c>
      <c r="L988" s="23">
        <f>'Jul 29'!$N$8</f>
        <v>0</v>
      </c>
    </row>
    <row r="989" spans="1:12" x14ac:dyDescent="0.25">
      <c r="A989" s="66" t="str">
        <f t="shared" si="15"/>
        <v>✓</v>
      </c>
      <c r="B989" s="67">
        <v>46232</v>
      </c>
      <c r="C989" s="23">
        <f>'Jul 29'!$D$9</f>
        <v>0</v>
      </c>
      <c r="D989" s="23">
        <f>'Jul 29'!$B$9</f>
        <v>0</v>
      </c>
      <c r="E989" s="64">
        <f>'Jul 29'!$E$9</f>
        <v>0</v>
      </c>
      <c r="F989" s="23">
        <f>'Jul 29'!$A$9</f>
        <v>0</v>
      </c>
      <c r="G989" s="64">
        <f>'Jul 29'!$F$9</f>
        <v>0</v>
      </c>
      <c r="H989" s="64">
        <f>'Jul 29'!$G$9</f>
        <v>0</v>
      </c>
      <c r="I989" s="64" t="str">
        <f>'Jul 29'!$M$9</f>
        <v/>
      </c>
      <c r="J989" s="25" t="str">
        <f>'Jul 29'!$S$9</f>
        <v/>
      </c>
      <c r="K989" s="23">
        <f>'Jul 29'!$AG$9</f>
        <v>0</v>
      </c>
      <c r="L989" s="23">
        <f>'Jul 29'!$N$9</f>
        <v>0</v>
      </c>
    </row>
    <row r="990" spans="1:12" x14ac:dyDescent="0.25">
      <c r="A990" s="66" t="str">
        <f t="shared" si="15"/>
        <v>✓</v>
      </c>
      <c r="B990" s="67">
        <v>46232</v>
      </c>
      <c r="C990" s="23">
        <f>'Jul 29'!$D$10</f>
        <v>0</v>
      </c>
      <c r="D990" s="23">
        <f>'Jul 29'!$B$10</f>
        <v>0</v>
      </c>
      <c r="E990" s="64">
        <f>'Jul 29'!$E$10</f>
        <v>0</v>
      </c>
      <c r="F990" s="23">
        <f>'Jul 29'!$A$10</f>
        <v>0</v>
      </c>
      <c r="G990" s="64">
        <f>'Jul 29'!$F$10</f>
        <v>0</v>
      </c>
      <c r="H990" s="64">
        <f>'Jul 29'!$G$10</f>
        <v>0</v>
      </c>
      <c r="I990" s="64" t="str">
        <f>'Jul 29'!$M$10</f>
        <v/>
      </c>
      <c r="J990" s="25" t="str">
        <f>'Jul 29'!$S$10</f>
        <v/>
      </c>
      <c r="K990" s="23">
        <f>'Jul 29'!$AG$10</f>
        <v>0</v>
      </c>
      <c r="L990" s="23">
        <f>'Jul 29'!$N$10</f>
        <v>0</v>
      </c>
    </row>
    <row r="991" spans="1:12" x14ac:dyDescent="0.25">
      <c r="A991" s="66" t="str">
        <f t="shared" si="15"/>
        <v>✓</v>
      </c>
      <c r="B991" s="67">
        <v>46232</v>
      </c>
      <c r="C991" s="23">
        <f>'Jul 29'!$D$11</f>
        <v>0</v>
      </c>
      <c r="D991" s="23">
        <f>'Jul 29'!$B$11</f>
        <v>0</v>
      </c>
      <c r="E991" s="64">
        <f>'Jul 29'!$E$11</f>
        <v>0</v>
      </c>
      <c r="F991" s="23">
        <f>'Jul 29'!$A$11</f>
        <v>0</v>
      </c>
      <c r="G991" s="64">
        <f>'Jul 29'!$F$11</f>
        <v>0</v>
      </c>
      <c r="H991" s="64">
        <f>'Jul 29'!$G$11</f>
        <v>0</v>
      </c>
      <c r="I991" s="64" t="str">
        <f>'Jul 29'!$M$11</f>
        <v/>
      </c>
      <c r="J991" s="25" t="str">
        <f>'Jul 29'!$S$11</f>
        <v/>
      </c>
      <c r="K991" s="23">
        <f>'Jul 29'!$AG$11</f>
        <v>0</v>
      </c>
      <c r="L991" s="23">
        <f>'Jul 29'!$N$11</f>
        <v>0</v>
      </c>
    </row>
    <row r="992" spans="1:12" x14ac:dyDescent="0.25">
      <c r="A992" s="66" t="str">
        <f t="shared" si="15"/>
        <v>✓</v>
      </c>
      <c r="B992" s="67">
        <v>46232</v>
      </c>
      <c r="C992" s="23">
        <f>'Jul 29'!$D$12</f>
        <v>0</v>
      </c>
      <c r="D992" s="23">
        <f>'Jul 29'!$B$12</f>
        <v>0</v>
      </c>
      <c r="E992" s="64">
        <f>'Jul 29'!$E$12</f>
        <v>0</v>
      </c>
      <c r="F992" s="23">
        <f>'Jul 29'!$A$12</f>
        <v>0</v>
      </c>
      <c r="G992" s="64">
        <f>'Jul 29'!$F$12</f>
        <v>0</v>
      </c>
      <c r="H992" s="64">
        <f>'Jul 29'!$G$12</f>
        <v>0</v>
      </c>
      <c r="I992" s="64" t="str">
        <f>'Jul 29'!$M$12</f>
        <v/>
      </c>
      <c r="J992" s="25" t="str">
        <f>'Jul 29'!$S$12</f>
        <v/>
      </c>
      <c r="K992" s="23">
        <f>'Jul 29'!$AG$12</f>
        <v>0</v>
      </c>
      <c r="L992" s="23">
        <f>'Jul 29'!$N$12</f>
        <v>0</v>
      </c>
    </row>
    <row r="993" spans="1:12" x14ac:dyDescent="0.25">
      <c r="A993" s="66" t="str">
        <f t="shared" si="15"/>
        <v>✓</v>
      </c>
      <c r="B993" s="67">
        <v>46232</v>
      </c>
      <c r="C993" s="23">
        <f>'Jul 29'!$D$13</f>
        <v>0</v>
      </c>
      <c r="D993" s="23">
        <f>'Jul 29'!$B$13</f>
        <v>0</v>
      </c>
      <c r="E993" s="64">
        <f>'Jul 29'!$E$13</f>
        <v>0</v>
      </c>
      <c r="F993" s="23">
        <f>'Jul 29'!$A$13</f>
        <v>0</v>
      </c>
      <c r="G993" s="64">
        <f>'Jul 29'!$F$13</f>
        <v>0</v>
      </c>
      <c r="H993" s="64">
        <f>'Jul 29'!$G$13</f>
        <v>0</v>
      </c>
      <c r="I993" s="64" t="str">
        <f>'Jul 29'!$M$13</f>
        <v/>
      </c>
      <c r="J993" s="25" t="str">
        <f>'Jul 29'!$S$13</f>
        <v/>
      </c>
      <c r="K993" s="23">
        <f>'Jul 29'!$AG$13</f>
        <v>0</v>
      </c>
      <c r="L993" s="23">
        <f>'Jul 29'!$N$13</f>
        <v>0</v>
      </c>
    </row>
    <row r="994" spans="1:12" x14ac:dyDescent="0.25">
      <c r="A994" s="66" t="str">
        <f t="shared" si="15"/>
        <v>✓</v>
      </c>
      <c r="B994" s="67">
        <v>46232</v>
      </c>
      <c r="C994" s="23">
        <f>'Jul 29'!$D$14</f>
        <v>0</v>
      </c>
      <c r="D994" s="23">
        <f>'Jul 29'!$B$14</f>
        <v>0</v>
      </c>
      <c r="E994" s="64">
        <f>'Jul 29'!$E$14</f>
        <v>0</v>
      </c>
      <c r="F994" s="23">
        <f>'Jul 29'!$A$14</f>
        <v>0</v>
      </c>
      <c r="G994" s="64">
        <f>'Jul 29'!$F$14</f>
        <v>0</v>
      </c>
      <c r="H994" s="64">
        <f>'Jul 29'!$G$14</f>
        <v>0</v>
      </c>
      <c r="I994" s="64" t="str">
        <f>'Jul 29'!$M$14</f>
        <v/>
      </c>
      <c r="J994" s="25" t="str">
        <f>'Jul 29'!$S$14</f>
        <v/>
      </c>
      <c r="K994" s="23">
        <f>'Jul 29'!$AG$14</f>
        <v>0</v>
      </c>
      <c r="L994" s="23">
        <f>'Jul 29'!$N$14</f>
        <v>0</v>
      </c>
    </row>
    <row r="995" spans="1:12" x14ac:dyDescent="0.25">
      <c r="A995" s="66" t="str">
        <f t="shared" si="15"/>
        <v>✓</v>
      </c>
      <c r="B995" s="67">
        <v>46232</v>
      </c>
      <c r="C995" s="23">
        <f>'Jul 29'!$D$15</f>
        <v>0</v>
      </c>
      <c r="D995" s="23">
        <f>'Jul 29'!$B$15</f>
        <v>0</v>
      </c>
      <c r="E995" s="64">
        <f>'Jul 29'!$E$15</f>
        <v>0</v>
      </c>
      <c r="F995" s="23">
        <f>'Jul 29'!$A$15</f>
        <v>0</v>
      </c>
      <c r="G995" s="64">
        <f>'Jul 29'!$F$15</f>
        <v>0</v>
      </c>
      <c r="H995" s="64">
        <f>'Jul 29'!$G$15</f>
        <v>0</v>
      </c>
      <c r="I995" s="64" t="str">
        <f>'Jul 29'!$M$15</f>
        <v/>
      </c>
      <c r="J995" s="25" t="str">
        <f>'Jul 29'!$S$15</f>
        <v/>
      </c>
      <c r="K995" s="23">
        <f>'Jul 29'!$AG$15</f>
        <v>0</v>
      </c>
      <c r="L995" s="23">
        <f>'Jul 29'!$N$15</f>
        <v>0</v>
      </c>
    </row>
    <row r="996" spans="1:12" x14ac:dyDescent="0.25">
      <c r="A996" s="66" t="str">
        <f t="shared" si="15"/>
        <v>✓</v>
      </c>
      <c r="B996" s="67">
        <v>46232</v>
      </c>
      <c r="C996" s="23">
        <f>'Jul 29'!$D$16</f>
        <v>0</v>
      </c>
      <c r="D996" s="23">
        <f>'Jul 29'!$B$16</f>
        <v>0</v>
      </c>
      <c r="E996" s="64">
        <f>'Jul 29'!$E$16</f>
        <v>0</v>
      </c>
      <c r="F996" s="23">
        <f>'Jul 29'!$A$16</f>
        <v>0</v>
      </c>
      <c r="G996" s="64">
        <f>'Jul 29'!$F$16</f>
        <v>0</v>
      </c>
      <c r="H996" s="64">
        <f>'Jul 29'!$G$16</f>
        <v>0</v>
      </c>
      <c r="I996" s="64" t="str">
        <f>'Jul 29'!$M$16</f>
        <v/>
      </c>
      <c r="J996" s="25" t="str">
        <f>'Jul 29'!$S$16</f>
        <v/>
      </c>
      <c r="K996" s="23">
        <f>'Jul 29'!$AG$16</f>
        <v>0</v>
      </c>
      <c r="L996" s="23">
        <f>'Jul 29'!$N$16</f>
        <v>0</v>
      </c>
    </row>
    <row r="997" spans="1:12" x14ac:dyDescent="0.25">
      <c r="A997" s="66" t="str">
        <f t="shared" si="15"/>
        <v>✓</v>
      </c>
      <c r="B997" s="67">
        <v>46232</v>
      </c>
      <c r="C997" s="23">
        <f>'Jul 29'!$D$17</f>
        <v>0</v>
      </c>
      <c r="D997" s="23">
        <f>'Jul 29'!$B$17</f>
        <v>0</v>
      </c>
      <c r="E997" s="64">
        <f>'Jul 29'!$E$17</f>
        <v>0</v>
      </c>
      <c r="F997" s="23">
        <f>'Jul 29'!$A$17</f>
        <v>0</v>
      </c>
      <c r="G997" s="64">
        <f>'Jul 29'!$F$17</f>
        <v>0</v>
      </c>
      <c r="H997" s="64">
        <f>'Jul 29'!$G$17</f>
        <v>0</v>
      </c>
      <c r="I997" s="64" t="str">
        <f>'Jul 29'!$M$17</f>
        <v/>
      </c>
      <c r="J997" s="25" t="str">
        <f>'Jul 29'!$S$17</f>
        <v/>
      </c>
      <c r="K997" s="23">
        <f>'Jul 29'!$AG$17</f>
        <v>0</v>
      </c>
      <c r="L997" s="23">
        <f>'Jul 29'!$N$17</f>
        <v>0</v>
      </c>
    </row>
    <row r="998" spans="1:12" x14ac:dyDescent="0.25">
      <c r="A998" s="66" t="str">
        <f t="shared" si="15"/>
        <v>✓</v>
      </c>
      <c r="B998" s="67">
        <v>46232</v>
      </c>
      <c r="C998" s="23">
        <f>'Jul 29'!$D$18</f>
        <v>0</v>
      </c>
      <c r="D998" s="23">
        <f>'Jul 29'!$B$18</f>
        <v>0</v>
      </c>
      <c r="E998" s="64">
        <f>'Jul 29'!$E$18</f>
        <v>0</v>
      </c>
      <c r="F998" s="23">
        <f>'Jul 29'!$A$18</f>
        <v>0</v>
      </c>
      <c r="G998" s="64">
        <f>'Jul 29'!$F$18</f>
        <v>0</v>
      </c>
      <c r="H998" s="64">
        <f>'Jul 29'!$G$18</f>
        <v>0</v>
      </c>
      <c r="I998" s="64" t="str">
        <f>'Jul 29'!$M$18</f>
        <v/>
      </c>
      <c r="J998" s="25" t="str">
        <f>'Jul 29'!$S$18</f>
        <v/>
      </c>
      <c r="K998" s="23">
        <f>'Jul 29'!$AG$18</f>
        <v>0</v>
      </c>
      <c r="L998" s="23">
        <f>'Jul 29'!$N$18</f>
        <v>0</v>
      </c>
    </row>
    <row r="999" spans="1:12" x14ac:dyDescent="0.25">
      <c r="A999" s="66" t="str">
        <f t="shared" si="15"/>
        <v>✓</v>
      </c>
      <c r="B999" s="67">
        <v>46232</v>
      </c>
      <c r="C999" s="23">
        <f>'Jul 29'!$D$19</f>
        <v>0</v>
      </c>
      <c r="D999" s="23">
        <f>'Jul 29'!$B$19</f>
        <v>0</v>
      </c>
      <c r="E999" s="64">
        <f>'Jul 29'!$E$19</f>
        <v>0</v>
      </c>
      <c r="F999" s="23">
        <f>'Jul 29'!$A$19</f>
        <v>0</v>
      </c>
      <c r="G999" s="64">
        <f>'Jul 29'!$F$19</f>
        <v>0</v>
      </c>
      <c r="H999" s="64">
        <f>'Jul 29'!$G$19</f>
        <v>0</v>
      </c>
      <c r="I999" s="64" t="str">
        <f>'Jul 29'!$M$19</f>
        <v/>
      </c>
      <c r="J999" s="25" t="str">
        <f>'Jul 29'!$S$19</f>
        <v/>
      </c>
      <c r="K999" s="23">
        <f>'Jul 29'!$AG$19</f>
        <v>0</v>
      </c>
      <c r="L999" s="23">
        <f>'Jul 29'!$N$19</f>
        <v>0</v>
      </c>
    </row>
    <row r="1000" spans="1:12" x14ac:dyDescent="0.25">
      <c r="A1000" s="66" t="str">
        <f t="shared" si="15"/>
        <v>✓</v>
      </c>
      <c r="B1000" s="67">
        <v>46232</v>
      </c>
      <c r="C1000" s="23">
        <f>'Jul 29'!$D$20</f>
        <v>0</v>
      </c>
      <c r="D1000" s="23">
        <f>'Jul 29'!$B$20</f>
        <v>0</v>
      </c>
      <c r="E1000" s="64">
        <f>'Jul 29'!$E$20</f>
        <v>0</v>
      </c>
      <c r="F1000" s="23">
        <f>'Jul 29'!$A$20</f>
        <v>0</v>
      </c>
      <c r="G1000" s="64">
        <f>'Jul 29'!$F$20</f>
        <v>0</v>
      </c>
      <c r="H1000" s="64">
        <f>'Jul 29'!$G$20</f>
        <v>0</v>
      </c>
      <c r="I1000" s="64" t="str">
        <f>'Jul 29'!$M$20</f>
        <v/>
      </c>
      <c r="J1000" s="25" t="str">
        <f>'Jul 29'!$S$20</f>
        <v/>
      </c>
      <c r="K1000" s="23">
        <f>'Jul 29'!$AG$20</f>
        <v>0</v>
      </c>
      <c r="L1000" s="23">
        <f>'Jul 29'!$N$20</f>
        <v>0</v>
      </c>
    </row>
    <row r="1001" spans="1:12" x14ac:dyDescent="0.25">
      <c r="A1001" s="66" t="str">
        <f t="shared" si="15"/>
        <v>✓</v>
      </c>
      <c r="B1001" s="67">
        <v>46232</v>
      </c>
      <c r="C1001" s="23">
        <f>'Jul 29'!$D$21</f>
        <v>0</v>
      </c>
      <c r="D1001" s="23">
        <f>'Jul 29'!$B$21</f>
        <v>0</v>
      </c>
      <c r="E1001" s="64">
        <f>'Jul 29'!$E$21</f>
        <v>0</v>
      </c>
      <c r="F1001" s="23">
        <f>'Jul 29'!$A$21</f>
        <v>0</v>
      </c>
      <c r="G1001" s="64">
        <f>'Jul 29'!$F$21</f>
        <v>0</v>
      </c>
      <c r="H1001" s="64">
        <f>'Jul 29'!$G$21</f>
        <v>0</v>
      </c>
      <c r="I1001" s="64" t="str">
        <f>'Jul 29'!$M$21</f>
        <v/>
      </c>
      <c r="J1001" s="25" t="str">
        <f>'Jul 29'!$S$21</f>
        <v/>
      </c>
      <c r="K1001" s="23">
        <f>'Jul 29'!$AG$21</f>
        <v>0</v>
      </c>
      <c r="L1001" s="23">
        <f>'Jul 29'!$N$21</f>
        <v>0</v>
      </c>
    </row>
    <row r="1002" spans="1:12" x14ac:dyDescent="0.25">
      <c r="A1002" s="66" t="str">
        <f t="shared" si="15"/>
        <v>✓</v>
      </c>
      <c r="B1002" s="67">
        <v>46232</v>
      </c>
      <c r="C1002" s="23">
        <f>'Jul 29'!$D$22</f>
        <v>0</v>
      </c>
      <c r="D1002" s="23">
        <f>'Jul 29'!$B$22</f>
        <v>0</v>
      </c>
      <c r="E1002" s="64">
        <f>'Jul 29'!$E$22</f>
        <v>0</v>
      </c>
      <c r="F1002" s="23">
        <f>'Jul 29'!$A$22</f>
        <v>0</v>
      </c>
      <c r="G1002" s="64">
        <f>'Jul 29'!$F$22</f>
        <v>0</v>
      </c>
      <c r="H1002" s="64">
        <f>'Jul 29'!$G$22</f>
        <v>0</v>
      </c>
      <c r="I1002" s="64" t="str">
        <f>'Jul 29'!$M$22</f>
        <v/>
      </c>
      <c r="J1002" s="25" t="str">
        <f>'Jul 29'!$S$22</f>
        <v/>
      </c>
      <c r="K1002" s="23">
        <f>'Jul 29'!$AG$22</f>
        <v>0</v>
      </c>
      <c r="L1002" s="23">
        <f>'Jul 29'!$N$22</f>
        <v>0</v>
      </c>
    </row>
    <row r="1003" spans="1:12" x14ac:dyDescent="0.25">
      <c r="A1003" s="66" t="str">
        <f t="shared" si="15"/>
        <v>✓</v>
      </c>
      <c r="B1003" s="67">
        <v>46232</v>
      </c>
      <c r="C1003" s="23">
        <f>'Jul 29'!$D$23</f>
        <v>0</v>
      </c>
      <c r="D1003" s="23">
        <f>'Jul 29'!$B$23</f>
        <v>0</v>
      </c>
      <c r="E1003" s="64">
        <f>'Jul 29'!$E$23</f>
        <v>0</v>
      </c>
      <c r="F1003" s="23">
        <f>'Jul 29'!$A$23</f>
        <v>0</v>
      </c>
      <c r="G1003" s="64">
        <f>'Jul 29'!$F$23</f>
        <v>0</v>
      </c>
      <c r="H1003" s="64">
        <f>'Jul 29'!$G$23</f>
        <v>0</v>
      </c>
      <c r="I1003" s="64" t="str">
        <f>'Jul 29'!$M$23</f>
        <v/>
      </c>
      <c r="J1003" s="25" t="str">
        <f>'Jul 29'!$S$23</f>
        <v/>
      </c>
      <c r="K1003" s="23">
        <f>'Jul 29'!$AG$23</f>
        <v>0</v>
      </c>
      <c r="L1003" s="23">
        <f>'Jul 29'!$N$23</f>
        <v>0</v>
      </c>
    </row>
    <row r="1004" spans="1:12" x14ac:dyDescent="0.25">
      <c r="A1004" s="66" t="str">
        <f t="shared" si="15"/>
        <v>✓</v>
      </c>
      <c r="B1004" s="67">
        <v>46232</v>
      </c>
      <c r="C1004" s="23">
        <f>'Jul 29'!$D$24</f>
        <v>0</v>
      </c>
      <c r="D1004" s="23">
        <f>'Jul 29'!$B$24</f>
        <v>0</v>
      </c>
      <c r="E1004" s="64">
        <f>'Jul 29'!$E$24</f>
        <v>0</v>
      </c>
      <c r="F1004" s="23">
        <f>'Jul 29'!$A$24</f>
        <v>0</v>
      </c>
      <c r="G1004" s="64">
        <f>'Jul 29'!$F$24</f>
        <v>0</v>
      </c>
      <c r="H1004" s="64">
        <f>'Jul 29'!$G$24</f>
        <v>0</v>
      </c>
      <c r="I1004" s="64" t="str">
        <f>'Jul 29'!$M$24</f>
        <v/>
      </c>
      <c r="J1004" s="25" t="str">
        <f>'Jul 29'!$S$24</f>
        <v/>
      </c>
      <c r="K1004" s="23">
        <f>'Jul 29'!$AG$24</f>
        <v>0</v>
      </c>
      <c r="L1004" s="23">
        <f>'Jul 29'!$N$24</f>
        <v>0</v>
      </c>
    </row>
    <row r="1005" spans="1:12" x14ac:dyDescent="0.25">
      <c r="A1005" s="66" t="str">
        <f t="shared" si="15"/>
        <v>✓</v>
      </c>
      <c r="B1005" s="67">
        <v>46232</v>
      </c>
      <c r="C1005" s="23">
        <f>'Jul 29'!$D$25</f>
        <v>0</v>
      </c>
      <c r="D1005" s="23">
        <f>'Jul 29'!$B$25</f>
        <v>0</v>
      </c>
      <c r="E1005" s="64">
        <f>'Jul 29'!$E$25</f>
        <v>0</v>
      </c>
      <c r="F1005" s="23">
        <f>'Jul 29'!$A$25</f>
        <v>0</v>
      </c>
      <c r="G1005" s="64">
        <f>'Jul 29'!$F$25</f>
        <v>0</v>
      </c>
      <c r="H1005" s="64">
        <f>'Jul 29'!$G$25</f>
        <v>0</v>
      </c>
      <c r="I1005" s="64" t="str">
        <f>'Jul 29'!$M$25</f>
        <v/>
      </c>
      <c r="J1005" s="25" t="str">
        <f>'Jul 29'!$S$25</f>
        <v/>
      </c>
      <c r="K1005" s="23">
        <f>'Jul 29'!$AG$25</f>
        <v>0</v>
      </c>
      <c r="L1005" s="23">
        <f>'Jul 29'!$N$25</f>
        <v>0</v>
      </c>
    </row>
    <row r="1006" spans="1:12" x14ac:dyDescent="0.25">
      <c r="A1006" s="66" t="str">
        <f t="shared" si="15"/>
        <v>✓</v>
      </c>
      <c r="B1006" s="67">
        <v>46232</v>
      </c>
      <c r="C1006" s="23">
        <f>'Jul 29'!$D$26</f>
        <v>0</v>
      </c>
      <c r="D1006" s="23">
        <f>'Jul 29'!$B$26</f>
        <v>0</v>
      </c>
      <c r="E1006" s="64">
        <f>'Jul 29'!$E$26</f>
        <v>0</v>
      </c>
      <c r="F1006" s="23">
        <f>'Jul 29'!$A$26</f>
        <v>0</v>
      </c>
      <c r="G1006" s="64">
        <f>'Jul 29'!$F$26</f>
        <v>0</v>
      </c>
      <c r="H1006" s="64">
        <f>'Jul 29'!$G$26</f>
        <v>0</v>
      </c>
      <c r="I1006" s="64" t="str">
        <f>'Jul 29'!$M$26</f>
        <v/>
      </c>
      <c r="J1006" s="25" t="str">
        <f>'Jul 29'!$S$26</f>
        <v/>
      </c>
      <c r="K1006" s="23">
        <f>'Jul 29'!$AG$26</f>
        <v>0</v>
      </c>
      <c r="L1006" s="23">
        <f>'Jul 29'!$N$26</f>
        <v>0</v>
      </c>
    </row>
    <row r="1007" spans="1:12" x14ac:dyDescent="0.25">
      <c r="A1007" s="66" t="str">
        <f t="shared" si="15"/>
        <v>✓</v>
      </c>
      <c r="B1007" s="67">
        <v>46232</v>
      </c>
      <c r="C1007" s="23">
        <f>'Jul 29'!$D$27</f>
        <v>0</v>
      </c>
      <c r="D1007" s="23">
        <f>'Jul 29'!$B$27</f>
        <v>0</v>
      </c>
      <c r="E1007" s="64">
        <f>'Jul 29'!$E$27</f>
        <v>0</v>
      </c>
      <c r="F1007" s="23">
        <f>'Jul 29'!$A$27</f>
        <v>0</v>
      </c>
      <c r="G1007" s="64">
        <f>'Jul 29'!$F$27</f>
        <v>0</v>
      </c>
      <c r="H1007" s="64">
        <f>'Jul 29'!$G$27</f>
        <v>0</v>
      </c>
      <c r="I1007" s="64" t="str">
        <f>'Jul 29'!$M$27</f>
        <v/>
      </c>
      <c r="J1007" s="25" t="str">
        <f>'Jul 29'!$S$27</f>
        <v/>
      </c>
      <c r="K1007" s="23">
        <f>'Jul 29'!$AG$27</f>
        <v>0</v>
      </c>
      <c r="L1007" s="23">
        <f>'Jul 29'!$N$27</f>
        <v>0</v>
      </c>
    </row>
    <row r="1008" spans="1:12" x14ac:dyDescent="0.25">
      <c r="A1008" s="66" t="str">
        <f t="shared" si="15"/>
        <v>✓</v>
      </c>
      <c r="B1008" s="67">
        <v>46232</v>
      </c>
      <c r="C1008" s="23">
        <f>'Jul 29'!$D$28</f>
        <v>0</v>
      </c>
      <c r="D1008" s="23">
        <f>'Jul 29'!$B$28</f>
        <v>0</v>
      </c>
      <c r="E1008" s="64">
        <f>'Jul 29'!$E$28</f>
        <v>0</v>
      </c>
      <c r="F1008" s="23">
        <f>'Jul 29'!$A$28</f>
        <v>0</v>
      </c>
      <c r="G1008" s="64">
        <f>'Jul 29'!$F$28</f>
        <v>0</v>
      </c>
      <c r="H1008" s="64">
        <f>'Jul 29'!$G$28</f>
        <v>0</v>
      </c>
      <c r="I1008" s="64" t="str">
        <f>'Jul 29'!$M$28</f>
        <v/>
      </c>
      <c r="J1008" s="25" t="str">
        <f>'Jul 29'!$S$28</f>
        <v/>
      </c>
      <c r="K1008" s="23">
        <f>'Jul 29'!$AG$28</f>
        <v>0</v>
      </c>
      <c r="L1008" s="23">
        <f>'Jul 29'!$N$28</f>
        <v>0</v>
      </c>
    </row>
    <row r="1009" spans="1:12" x14ac:dyDescent="0.25">
      <c r="A1009" s="66" t="str">
        <f t="shared" si="15"/>
        <v>✓</v>
      </c>
      <c r="B1009" s="67">
        <v>46232</v>
      </c>
      <c r="C1009" s="23">
        <f>'Jul 29'!$D$29</f>
        <v>0</v>
      </c>
      <c r="D1009" s="23">
        <f>'Jul 29'!$B$29</f>
        <v>0</v>
      </c>
      <c r="E1009" s="64">
        <f>'Jul 29'!$E$29</f>
        <v>0</v>
      </c>
      <c r="F1009" s="23">
        <f>'Jul 29'!$A$29</f>
        <v>0</v>
      </c>
      <c r="G1009" s="64">
        <f>'Jul 29'!$F$29</f>
        <v>0</v>
      </c>
      <c r="H1009" s="64">
        <f>'Jul 29'!$G$29</f>
        <v>0</v>
      </c>
      <c r="I1009" s="64" t="str">
        <f>'Jul 29'!$M$29</f>
        <v/>
      </c>
      <c r="J1009" s="25" t="str">
        <f>'Jul 29'!$S$29</f>
        <v/>
      </c>
      <c r="K1009" s="23">
        <f>'Jul 29'!$AG$29</f>
        <v>0</v>
      </c>
      <c r="L1009" s="23">
        <f>'Jul 29'!$N$29</f>
        <v>0</v>
      </c>
    </row>
    <row r="1010" spans="1:12" x14ac:dyDescent="0.25">
      <c r="A1010" s="66" t="str">
        <f t="shared" si="15"/>
        <v>✓</v>
      </c>
      <c r="B1010" s="67">
        <v>46232</v>
      </c>
      <c r="C1010" s="23">
        <f>'Jul 29'!$D$30</f>
        <v>0</v>
      </c>
      <c r="D1010" s="23">
        <f>'Jul 29'!$B$30</f>
        <v>0</v>
      </c>
      <c r="E1010" s="64">
        <f>'Jul 29'!$E$30</f>
        <v>0</v>
      </c>
      <c r="F1010" s="23">
        <f>'Jul 29'!$A$30</f>
        <v>0</v>
      </c>
      <c r="G1010" s="64">
        <f>'Jul 29'!$F$30</f>
        <v>0</v>
      </c>
      <c r="H1010" s="64">
        <f>'Jul 29'!$G$30</f>
        <v>0</v>
      </c>
      <c r="I1010" s="64" t="str">
        <f>'Jul 29'!$M$30</f>
        <v/>
      </c>
      <c r="J1010" s="25" t="str">
        <f>'Jul 29'!$S$30</f>
        <v/>
      </c>
      <c r="K1010" s="23">
        <f>'Jul 29'!$AG$30</f>
        <v>0</v>
      </c>
      <c r="L1010" s="23">
        <f>'Jul 29'!$N$30</f>
        <v>0</v>
      </c>
    </row>
    <row r="1011" spans="1:12" x14ac:dyDescent="0.25">
      <c r="A1011" s="66" t="str">
        <f t="shared" si="15"/>
        <v>✓</v>
      </c>
      <c r="B1011" s="67">
        <v>46232</v>
      </c>
      <c r="C1011" s="23">
        <f>'Jul 29'!$D$31</f>
        <v>0</v>
      </c>
      <c r="D1011" s="23">
        <f>'Jul 29'!$B$31</f>
        <v>0</v>
      </c>
      <c r="E1011" s="64">
        <f>'Jul 29'!$E$31</f>
        <v>0</v>
      </c>
      <c r="F1011" s="23">
        <f>'Jul 29'!$A$31</f>
        <v>0</v>
      </c>
      <c r="G1011" s="64">
        <f>'Jul 29'!$F$31</f>
        <v>0</v>
      </c>
      <c r="H1011" s="64">
        <f>'Jul 29'!$G$31</f>
        <v>0</v>
      </c>
      <c r="I1011" s="64" t="str">
        <f>'Jul 29'!$M$31</f>
        <v/>
      </c>
      <c r="J1011" s="25" t="str">
        <f>'Jul 29'!$S$31</f>
        <v/>
      </c>
      <c r="K1011" s="23">
        <f>'Jul 29'!$AG$31</f>
        <v>0</v>
      </c>
      <c r="L1011" s="23">
        <f>'Jul 29'!$N$31</f>
        <v>0</v>
      </c>
    </row>
    <row r="1012" spans="1:12" x14ac:dyDescent="0.25">
      <c r="A1012" s="66" t="str">
        <f t="shared" si="15"/>
        <v>✓</v>
      </c>
      <c r="B1012" s="67">
        <v>46232</v>
      </c>
      <c r="C1012" s="23">
        <f>'Jul 29'!$D$32</f>
        <v>0</v>
      </c>
      <c r="D1012" s="23">
        <f>'Jul 29'!$B$32</f>
        <v>0</v>
      </c>
      <c r="E1012" s="64">
        <f>'Jul 29'!$E$32</f>
        <v>0</v>
      </c>
      <c r="F1012" s="23">
        <f>'Jul 29'!$A$32</f>
        <v>0</v>
      </c>
      <c r="G1012" s="64">
        <f>'Jul 29'!$F$32</f>
        <v>0</v>
      </c>
      <c r="H1012" s="64">
        <f>'Jul 29'!$G$32</f>
        <v>0</v>
      </c>
      <c r="I1012" s="64" t="str">
        <f>'Jul 29'!$M$32</f>
        <v/>
      </c>
      <c r="J1012" s="25" t="str">
        <f>'Jul 29'!$S$32</f>
        <v/>
      </c>
      <c r="K1012" s="23">
        <f>'Jul 29'!$AG$32</f>
        <v>0</v>
      </c>
      <c r="L1012" s="23">
        <f>'Jul 29'!$N$32</f>
        <v>0</v>
      </c>
    </row>
    <row r="1013" spans="1:12" x14ac:dyDescent="0.25">
      <c r="A1013" s="66" t="str">
        <f t="shared" si="15"/>
        <v>✓</v>
      </c>
      <c r="B1013" s="67">
        <v>46232</v>
      </c>
      <c r="C1013" s="23">
        <f>'Jul 29'!$D$33</f>
        <v>0</v>
      </c>
      <c r="D1013" s="23">
        <f>'Jul 29'!$B$33</f>
        <v>0</v>
      </c>
      <c r="E1013" s="64">
        <f>'Jul 29'!$E$33</f>
        <v>0</v>
      </c>
      <c r="F1013" s="23">
        <f>'Jul 29'!$A$33</f>
        <v>0</v>
      </c>
      <c r="G1013" s="64">
        <f>'Jul 29'!$F$33</f>
        <v>0</v>
      </c>
      <c r="H1013" s="64">
        <f>'Jul 29'!$G$33</f>
        <v>0</v>
      </c>
      <c r="I1013" s="64" t="str">
        <f>'Jul 29'!$M$33</f>
        <v/>
      </c>
      <c r="J1013" s="25" t="str">
        <f>'Jul 29'!$S$33</f>
        <v/>
      </c>
      <c r="K1013" s="23">
        <f>'Jul 29'!$AG$33</f>
        <v>0</v>
      </c>
      <c r="L1013" s="23">
        <f>'Jul 29'!$N$33</f>
        <v>0</v>
      </c>
    </row>
    <row r="1014" spans="1:12" x14ac:dyDescent="0.25">
      <c r="A1014" s="66" t="str">
        <f t="shared" si="15"/>
        <v>✓</v>
      </c>
      <c r="B1014" s="67">
        <v>46232</v>
      </c>
      <c r="C1014" s="23">
        <f>'Jul 29'!$D$34</f>
        <v>0</v>
      </c>
      <c r="D1014" s="23">
        <f>'Jul 29'!$B$34</f>
        <v>0</v>
      </c>
      <c r="E1014" s="64">
        <f>'Jul 29'!$E$34</f>
        <v>0</v>
      </c>
      <c r="F1014" s="23">
        <f>'Jul 29'!$A$34</f>
        <v>0</v>
      </c>
      <c r="G1014" s="64">
        <f>'Jul 29'!$F$34</f>
        <v>0</v>
      </c>
      <c r="H1014" s="64">
        <f>'Jul 29'!$G$34</f>
        <v>0</v>
      </c>
      <c r="I1014" s="64" t="str">
        <f>'Jul 29'!$M$34</f>
        <v/>
      </c>
      <c r="J1014" s="25" t="str">
        <f>'Jul 29'!$S$34</f>
        <v/>
      </c>
      <c r="K1014" s="23">
        <f>'Jul 29'!$AG$34</f>
        <v>0</v>
      </c>
      <c r="L1014" s="23">
        <f>'Jul 29'!$N$34</f>
        <v>0</v>
      </c>
    </row>
    <row r="1015" spans="1:12" x14ac:dyDescent="0.25">
      <c r="A1015" s="66" t="str">
        <f t="shared" si="15"/>
        <v>✓</v>
      </c>
      <c r="B1015" s="67">
        <v>46232</v>
      </c>
      <c r="C1015" s="23">
        <f>'Jul 29'!$D$35</f>
        <v>0</v>
      </c>
      <c r="D1015" s="23">
        <f>'Jul 29'!$B$35</f>
        <v>0</v>
      </c>
      <c r="E1015" s="64">
        <f>'Jul 29'!$E$35</f>
        <v>0</v>
      </c>
      <c r="F1015" s="23">
        <f>'Jul 29'!$A$35</f>
        <v>0</v>
      </c>
      <c r="G1015" s="64">
        <f>'Jul 29'!$F$35</f>
        <v>0</v>
      </c>
      <c r="H1015" s="64">
        <f>'Jul 29'!$G$35</f>
        <v>0</v>
      </c>
      <c r="I1015" s="64" t="str">
        <f>'Jul 29'!$M$35</f>
        <v/>
      </c>
      <c r="J1015" s="25" t="str">
        <f>'Jul 29'!$S$35</f>
        <v/>
      </c>
      <c r="K1015" s="23">
        <f>'Jul 29'!$AG$35</f>
        <v>0</v>
      </c>
      <c r="L1015" s="23">
        <f>'Jul 29'!$N$35</f>
        <v>0</v>
      </c>
    </row>
    <row r="1016" spans="1:12" x14ac:dyDescent="0.25">
      <c r="A1016" s="66" t="str">
        <f t="shared" si="15"/>
        <v>✓</v>
      </c>
      <c r="B1016" s="67">
        <v>46232</v>
      </c>
      <c r="C1016" s="23">
        <f>'Jul 29'!$D$36</f>
        <v>0</v>
      </c>
      <c r="D1016" s="23">
        <f>'Jul 29'!$B$36</f>
        <v>0</v>
      </c>
      <c r="E1016" s="64">
        <f>'Jul 29'!$E$36</f>
        <v>0</v>
      </c>
      <c r="F1016" s="23">
        <f>'Jul 29'!$A$36</f>
        <v>0</v>
      </c>
      <c r="G1016" s="64">
        <f>'Jul 29'!$F$36</f>
        <v>0</v>
      </c>
      <c r="H1016" s="64">
        <f>'Jul 29'!$G$36</f>
        <v>0</v>
      </c>
      <c r="I1016" s="64" t="str">
        <f>'Jul 29'!$M$36</f>
        <v/>
      </c>
      <c r="J1016" s="25" t="str">
        <f>'Jul 29'!$S$36</f>
        <v/>
      </c>
      <c r="K1016" s="23">
        <f>'Jul 29'!$AG$36</f>
        <v>0</v>
      </c>
      <c r="L1016" s="23">
        <f>'Jul 29'!$N$36</f>
        <v>0</v>
      </c>
    </row>
    <row r="1017" spans="1:12" x14ac:dyDescent="0.25">
      <c r="A1017" s="66" t="str">
        <f t="shared" si="15"/>
        <v>✓</v>
      </c>
      <c r="B1017" s="67">
        <v>46232</v>
      </c>
      <c r="C1017" s="23">
        <f>'Jul 29'!$D$37</f>
        <v>0</v>
      </c>
      <c r="D1017" s="23">
        <f>'Jul 29'!$B$37</f>
        <v>0</v>
      </c>
      <c r="E1017" s="64">
        <f>'Jul 29'!$E$37</f>
        <v>0</v>
      </c>
      <c r="F1017" s="23">
        <f>'Jul 29'!$A$37</f>
        <v>0</v>
      </c>
      <c r="G1017" s="64">
        <f>'Jul 29'!$F$37</f>
        <v>0</v>
      </c>
      <c r="H1017" s="64">
        <f>'Jul 29'!$G$37</f>
        <v>0</v>
      </c>
      <c r="I1017" s="64" t="str">
        <f>'Jul 29'!$M$37</f>
        <v/>
      </c>
      <c r="J1017" s="25" t="str">
        <f>'Jul 29'!$S$37</f>
        <v/>
      </c>
      <c r="K1017" s="23">
        <f>'Jul 29'!$AG$37</f>
        <v>0</v>
      </c>
      <c r="L1017" s="23">
        <f>'Jul 29'!$N$37</f>
        <v>0</v>
      </c>
    </row>
    <row r="1018" spans="1:12" x14ac:dyDescent="0.25">
      <c r="A1018" s="66" t="str">
        <f t="shared" si="15"/>
        <v>✓</v>
      </c>
      <c r="B1018" s="67">
        <v>46232</v>
      </c>
      <c r="C1018" s="23">
        <f>'Jul 29'!$D$38</f>
        <v>0</v>
      </c>
      <c r="D1018" s="23">
        <f>'Jul 29'!$B$38</f>
        <v>0</v>
      </c>
      <c r="E1018" s="64">
        <f>'Jul 29'!$E$38</f>
        <v>0</v>
      </c>
      <c r="F1018" s="23">
        <f>'Jul 29'!$A$38</f>
        <v>0</v>
      </c>
      <c r="G1018" s="64">
        <f>'Jul 29'!$F$38</f>
        <v>0</v>
      </c>
      <c r="H1018" s="64">
        <f>'Jul 29'!$G$38</f>
        <v>0</v>
      </c>
      <c r="I1018" s="64" t="str">
        <f>'Jul 29'!$M$38</f>
        <v/>
      </c>
      <c r="J1018" s="25" t="str">
        <f>'Jul 29'!$S$38</f>
        <v/>
      </c>
      <c r="K1018" s="23">
        <f>'Jul 29'!$AG$38</f>
        <v>0</v>
      </c>
      <c r="L1018" s="23">
        <f>'Jul 29'!$N$38</f>
        <v>0</v>
      </c>
    </row>
    <row r="1019" spans="1:12" x14ac:dyDescent="0.25">
      <c r="A1019" s="66" t="str">
        <f t="shared" si="15"/>
        <v>✓</v>
      </c>
      <c r="B1019" s="67">
        <v>46232</v>
      </c>
      <c r="C1019" s="23">
        <f>'Jul 29'!$D$39</f>
        <v>0</v>
      </c>
      <c r="D1019" s="23">
        <f>'Jul 29'!$B$39</f>
        <v>0</v>
      </c>
      <c r="E1019" s="64">
        <f>'Jul 29'!$E$39</f>
        <v>0</v>
      </c>
      <c r="F1019" s="23">
        <f>'Jul 29'!$A$39</f>
        <v>0</v>
      </c>
      <c r="G1019" s="64">
        <f>'Jul 29'!$F$39</f>
        <v>0</v>
      </c>
      <c r="H1019" s="64">
        <f>'Jul 29'!$G$39</f>
        <v>0</v>
      </c>
      <c r="I1019" s="64" t="str">
        <f>'Jul 29'!$M$39</f>
        <v/>
      </c>
      <c r="J1019" s="25" t="str">
        <f>'Jul 29'!$S$39</f>
        <v/>
      </c>
      <c r="K1019" s="23">
        <f>'Jul 29'!$AG$39</f>
        <v>0</v>
      </c>
      <c r="L1019" s="23">
        <f>'Jul 29'!$N$39</f>
        <v>0</v>
      </c>
    </row>
    <row r="1020" spans="1:12" x14ac:dyDescent="0.25">
      <c r="A1020" s="66" t="str">
        <f t="shared" si="15"/>
        <v>✓</v>
      </c>
      <c r="B1020" s="67">
        <v>46232</v>
      </c>
      <c r="C1020" s="23">
        <f>'Jul 29'!$D$40</f>
        <v>0</v>
      </c>
      <c r="D1020" s="23">
        <f>'Jul 29'!$B$40</f>
        <v>0</v>
      </c>
      <c r="E1020" s="64">
        <f>'Jul 29'!$E$40</f>
        <v>0</v>
      </c>
      <c r="F1020" s="23">
        <f>'Jul 29'!$A$40</f>
        <v>0</v>
      </c>
      <c r="G1020" s="64">
        <f>'Jul 29'!$F$40</f>
        <v>0</v>
      </c>
      <c r="H1020" s="64">
        <f>'Jul 29'!$G$40</f>
        <v>0</v>
      </c>
      <c r="I1020" s="64" t="str">
        <f>'Jul 29'!$M$40</f>
        <v/>
      </c>
      <c r="J1020" s="25" t="str">
        <f>'Jul 29'!$S$40</f>
        <v/>
      </c>
      <c r="K1020" s="23">
        <f>'Jul 29'!$AG$40</f>
        <v>0</v>
      </c>
      <c r="L1020" s="23">
        <f>'Jul 29'!$N$40</f>
        <v>0</v>
      </c>
    </row>
    <row r="1021" spans="1:12" x14ac:dyDescent="0.25">
      <c r="A1021" s="66" t="str">
        <f t="shared" si="15"/>
        <v>✓</v>
      </c>
      <c r="B1021" s="67">
        <v>46232</v>
      </c>
      <c r="C1021" s="23">
        <f>'Jul 29'!$D$41</f>
        <v>0</v>
      </c>
      <c r="D1021" s="23">
        <f>'Jul 29'!$B$41</f>
        <v>0</v>
      </c>
      <c r="E1021" s="64">
        <f>'Jul 29'!$E$41</f>
        <v>0</v>
      </c>
      <c r="F1021" s="23">
        <f>'Jul 29'!$A$41</f>
        <v>0</v>
      </c>
      <c r="G1021" s="64">
        <f>'Jul 29'!$F$41</f>
        <v>0</v>
      </c>
      <c r="H1021" s="64">
        <f>'Jul 29'!$G$41</f>
        <v>0</v>
      </c>
      <c r="I1021" s="64" t="str">
        <f>'Jul 29'!$M$41</f>
        <v/>
      </c>
      <c r="J1021" s="25" t="str">
        <f>'Jul 29'!$S$41</f>
        <v/>
      </c>
      <c r="K1021" s="23">
        <f>'Jul 29'!$AG$41</f>
        <v>0</v>
      </c>
      <c r="L1021" s="23">
        <f>'Jul 29'!$N$41</f>
        <v>0</v>
      </c>
    </row>
    <row r="1022" spans="1:12" x14ac:dyDescent="0.25">
      <c r="A1022" s="66" t="str">
        <f t="shared" si="15"/>
        <v>✓</v>
      </c>
      <c r="B1022" s="67">
        <v>46232</v>
      </c>
      <c r="C1022" s="23">
        <f>'Jul 29'!$D$42</f>
        <v>0</v>
      </c>
      <c r="D1022" s="23">
        <f>'Jul 29'!$B$42</f>
        <v>0</v>
      </c>
      <c r="E1022" s="64">
        <f>'Jul 29'!$E$42</f>
        <v>0</v>
      </c>
      <c r="F1022" s="23">
        <f>'Jul 29'!$A$42</f>
        <v>0</v>
      </c>
      <c r="G1022" s="64">
        <f>'Jul 29'!$F$42</f>
        <v>0</v>
      </c>
      <c r="H1022" s="64">
        <f>'Jul 29'!$G$42</f>
        <v>0</v>
      </c>
      <c r="I1022" s="64" t="str">
        <f>'Jul 29'!$M$42</f>
        <v/>
      </c>
      <c r="J1022" s="25" t="str">
        <f>'Jul 29'!$S$42</f>
        <v/>
      </c>
      <c r="K1022" s="23">
        <f>'Jul 29'!$AG$42</f>
        <v>0</v>
      </c>
      <c r="L1022" s="23">
        <f>'Jul 29'!$N$42</f>
        <v>0</v>
      </c>
    </row>
    <row r="1023" spans="1:12" x14ac:dyDescent="0.25">
      <c r="A1023" s="66" t="str">
        <f t="shared" si="15"/>
        <v>✓</v>
      </c>
      <c r="B1023" s="67">
        <v>46233</v>
      </c>
      <c r="C1023" s="23">
        <f>'Jul 30'!$D$8</f>
        <v>0</v>
      </c>
      <c r="D1023" s="23">
        <f>'Jul 30'!$B$8</f>
        <v>0</v>
      </c>
      <c r="E1023" s="64">
        <f>'Jul 30'!$E$8</f>
        <v>0</v>
      </c>
      <c r="F1023" s="23">
        <f>'Jul 30'!$A$8</f>
        <v>0</v>
      </c>
      <c r="G1023" s="64">
        <f>'Jul 30'!$F$8</f>
        <v>0</v>
      </c>
      <c r="H1023" s="64">
        <f>'Jul 30'!$G$8</f>
        <v>0</v>
      </c>
      <c r="I1023" s="64" t="str">
        <f>'Jul 30'!$M$8</f>
        <v/>
      </c>
      <c r="J1023" s="25" t="str">
        <f>'Jul 30'!$S$8</f>
        <v/>
      </c>
      <c r="K1023" s="23">
        <f>'Jul 30'!$AG$8</f>
        <v>0</v>
      </c>
      <c r="L1023" s="23">
        <f>'Jul 30'!$N$8</f>
        <v>0</v>
      </c>
    </row>
    <row r="1024" spans="1:12" x14ac:dyDescent="0.25">
      <c r="A1024" s="66" t="str">
        <f t="shared" si="15"/>
        <v>✓</v>
      </c>
      <c r="B1024" s="67">
        <v>46233</v>
      </c>
      <c r="C1024" s="23">
        <f>'Jul 30'!$D$9</f>
        <v>0</v>
      </c>
      <c r="D1024" s="23">
        <f>'Jul 30'!$B$9</f>
        <v>0</v>
      </c>
      <c r="E1024" s="64">
        <f>'Jul 30'!$E$9</f>
        <v>0</v>
      </c>
      <c r="F1024" s="23">
        <f>'Jul 30'!$A$9</f>
        <v>0</v>
      </c>
      <c r="G1024" s="64">
        <f>'Jul 30'!$F$9</f>
        <v>0</v>
      </c>
      <c r="H1024" s="64">
        <f>'Jul 30'!$G$9</f>
        <v>0</v>
      </c>
      <c r="I1024" s="64" t="str">
        <f>'Jul 30'!$M$9</f>
        <v/>
      </c>
      <c r="J1024" s="25" t="str">
        <f>'Jul 30'!$S$9</f>
        <v/>
      </c>
      <c r="K1024" s="23">
        <f>'Jul 30'!$AG$9</f>
        <v>0</v>
      </c>
      <c r="L1024" s="23">
        <f>'Jul 30'!$N$9</f>
        <v>0</v>
      </c>
    </row>
    <row r="1025" spans="1:12" x14ac:dyDescent="0.25">
      <c r="A1025" s="66" t="str">
        <f t="shared" si="15"/>
        <v>✓</v>
      </c>
      <c r="B1025" s="67">
        <v>46233</v>
      </c>
      <c r="C1025" s="23">
        <f>'Jul 30'!$D$10</f>
        <v>0</v>
      </c>
      <c r="D1025" s="23">
        <f>'Jul 30'!$B$10</f>
        <v>0</v>
      </c>
      <c r="E1025" s="64">
        <f>'Jul 30'!$E$10</f>
        <v>0</v>
      </c>
      <c r="F1025" s="23">
        <f>'Jul 30'!$A$10</f>
        <v>0</v>
      </c>
      <c r="G1025" s="64">
        <f>'Jul 30'!$F$10</f>
        <v>0</v>
      </c>
      <c r="H1025" s="64">
        <f>'Jul 30'!$G$10</f>
        <v>0</v>
      </c>
      <c r="I1025" s="64" t="str">
        <f>'Jul 30'!$M$10</f>
        <v/>
      </c>
      <c r="J1025" s="25" t="str">
        <f>'Jul 30'!$S$10</f>
        <v/>
      </c>
      <c r="K1025" s="23">
        <f>'Jul 30'!$AG$10</f>
        <v>0</v>
      </c>
      <c r="L1025" s="23">
        <f>'Jul 30'!$N$10</f>
        <v>0</v>
      </c>
    </row>
    <row r="1026" spans="1:12" x14ac:dyDescent="0.25">
      <c r="A1026" s="66" t="str">
        <f t="shared" si="15"/>
        <v>✓</v>
      </c>
      <c r="B1026" s="67">
        <v>46233</v>
      </c>
      <c r="C1026" s="23">
        <f>'Jul 30'!$D$11</f>
        <v>0</v>
      </c>
      <c r="D1026" s="23">
        <f>'Jul 30'!$B$11</f>
        <v>0</v>
      </c>
      <c r="E1026" s="64">
        <f>'Jul 30'!$E$11</f>
        <v>0</v>
      </c>
      <c r="F1026" s="23">
        <f>'Jul 30'!$A$11</f>
        <v>0</v>
      </c>
      <c r="G1026" s="64">
        <f>'Jul 30'!$F$11</f>
        <v>0</v>
      </c>
      <c r="H1026" s="64">
        <f>'Jul 30'!$G$11</f>
        <v>0</v>
      </c>
      <c r="I1026" s="64" t="str">
        <f>'Jul 30'!$M$11</f>
        <v/>
      </c>
      <c r="J1026" s="25" t="str">
        <f>'Jul 30'!$S$11</f>
        <v/>
      </c>
      <c r="K1026" s="23">
        <f>'Jul 30'!$AG$11</f>
        <v>0</v>
      </c>
      <c r="L1026" s="23">
        <f>'Jul 30'!$N$11</f>
        <v>0</v>
      </c>
    </row>
    <row r="1027" spans="1:12" x14ac:dyDescent="0.25">
      <c r="A1027" s="66" t="str">
        <f t="shared" si="15"/>
        <v>✓</v>
      </c>
      <c r="B1027" s="67">
        <v>46233</v>
      </c>
      <c r="C1027" s="23">
        <f>'Jul 30'!$D$12</f>
        <v>0</v>
      </c>
      <c r="D1027" s="23">
        <f>'Jul 30'!$B$12</f>
        <v>0</v>
      </c>
      <c r="E1027" s="64">
        <f>'Jul 30'!$E$12</f>
        <v>0</v>
      </c>
      <c r="F1027" s="23">
        <f>'Jul 30'!$A$12</f>
        <v>0</v>
      </c>
      <c r="G1027" s="64">
        <f>'Jul 30'!$F$12</f>
        <v>0</v>
      </c>
      <c r="H1027" s="64">
        <f>'Jul 30'!$G$12</f>
        <v>0</v>
      </c>
      <c r="I1027" s="64" t="str">
        <f>'Jul 30'!$M$12</f>
        <v/>
      </c>
      <c r="J1027" s="25" t="str">
        <f>'Jul 30'!$S$12</f>
        <v/>
      </c>
      <c r="K1027" s="23">
        <f>'Jul 30'!$AG$12</f>
        <v>0</v>
      </c>
      <c r="L1027" s="23">
        <f>'Jul 30'!$N$12</f>
        <v>0</v>
      </c>
    </row>
    <row r="1028" spans="1:12" x14ac:dyDescent="0.25">
      <c r="A1028" s="66" t="str">
        <f t="shared" si="15"/>
        <v>✓</v>
      </c>
      <c r="B1028" s="67">
        <v>46233</v>
      </c>
      <c r="C1028" s="23">
        <f>'Jul 30'!$D$13</f>
        <v>0</v>
      </c>
      <c r="D1028" s="23">
        <f>'Jul 30'!$B$13</f>
        <v>0</v>
      </c>
      <c r="E1028" s="64">
        <f>'Jul 30'!$E$13</f>
        <v>0</v>
      </c>
      <c r="F1028" s="23">
        <f>'Jul 30'!$A$13</f>
        <v>0</v>
      </c>
      <c r="G1028" s="64">
        <f>'Jul 30'!$F$13</f>
        <v>0</v>
      </c>
      <c r="H1028" s="64">
        <f>'Jul 30'!$G$13</f>
        <v>0</v>
      </c>
      <c r="I1028" s="64" t="str">
        <f>'Jul 30'!$M$13</f>
        <v/>
      </c>
      <c r="J1028" s="25" t="str">
        <f>'Jul 30'!$S$13</f>
        <v/>
      </c>
      <c r="K1028" s="23">
        <f>'Jul 30'!$AG$13</f>
        <v>0</v>
      </c>
      <c r="L1028" s="23">
        <f>'Jul 30'!$N$13</f>
        <v>0</v>
      </c>
    </row>
    <row r="1029" spans="1:12" x14ac:dyDescent="0.25">
      <c r="A1029" s="66" t="str">
        <f t="shared" si="15"/>
        <v>✓</v>
      </c>
      <c r="B1029" s="67">
        <v>46233</v>
      </c>
      <c r="C1029" s="23">
        <f>'Jul 30'!$D$14</f>
        <v>0</v>
      </c>
      <c r="D1029" s="23">
        <f>'Jul 30'!$B$14</f>
        <v>0</v>
      </c>
      <c r="E1029" s="64">
        <f>'Jul 30'!$E$14</f>
        <v>0</v>
      </c>
      <c r="F1029" s="23">
        <f>'Jul 30'!$A$14</f>
        <v>0</v>
      </c>
      <c r="G1029" s="64">
        <f>'Jul 30'!$F$14</f>
        <v>0</v>
      </c>
      <c r="H1029" s="64">
        <f>'Jul 30'!$G$14</f>
        <v>0</v>
      </c>
      <c r="I1029" s="64" t="str">
        <f>'Jul 30'!$M$14</f>
        <v/>
      </c>
      <c r="J1029" s="25" t="str">
        <f>'Jul 30'!$S$14</f>
        <v/>
      </c>
      <c r="K1029" s="23">
        <f>'Jul 30'!$AG$14</f>
        <v>0</v>
      </c>
      <c r="L1029" s="23">
        <f>'Jul 30'!$N$14</f>
        <v>0</v>
      </c>
    </row>
    <row r="1030" spans="1:12" x14ac:dyDescent="0.25">
      <c r="A1030" s="66" t="str">
        <f t="shared" si="15"/>
        <v>✓</v>
      </c>
      <c r="B1030" s="67">
        <v>46233</v>
      </c>
      <c r="C1030" s="23">
        <f>'Jul 30'!$D$15</f>
        <v>0</v>
      </c>
      <c r="D1030" s="23">
        <f>'Jul 30'!$B$15</f>
        <v>0</v>
      </c>
      <c r="E1030" s="64">
        <f>'Jul 30'!$E$15</f>
        <v>0</v>
      </c>
      <c r="F1030" s="23">
        <f>'Jul 30'!$A$15</f>
        <v>0</v>
      </c>
      <c r="G1030" s="64">
        <f>'Jul 30'!$F$15</f>
        <v>0</v>
      </c>
      <c r="H1030" s="64">
        <f>'Jul 30'!$G$15</f>
        <v>0</v>
      </c>
      <c r="I1030" s="64" t="str">
        <f>'Jul 30'!$M$15</f>
        <v/>
      </c>
      <c r="J1030" s="25" t="str">
        <f>'Jul 30'!$S$15</f>
        <v/>
      </c>
      <c r="K1030" s="23">
        <f>'Jul 30'!$AG$15</f>
        <v>0</v>
      </c>
      <c r="L1030" s="23">
        <f>'Jul 30'!$N$15</f>
        <v>0</v>
      </c>
    </row>
    <row r="1031" spans="1:12" x14ac:dyDescent="0.25">
      <c r="A1031" s="66" t="str">
        <f t="shared" si="15"/>
        <v>✓</v>
      </c>
      <c r="B1031" s="67">
        <v>46233</v>
      </c>
      <c r="C1031" s="23">
        <f>'Jul 30'!$D$16</f>
        <v>0</v>
      </c>
      <c r="D1031" s="23">
        <f>'Jul 30'!$B$16</f>
        <v>0</v>
      </c>
      <c r="E1031" s="64">
        <f>'Jul 30'!$E$16</f>
        <v>0</v>
      </c>
      <c r="F1031" s="23">
        <f>'Jul 30'!$A$16</f>
        <v>0</v>
      </c>
      <c r="G1031" s="64">
        <f>'Jul 30'!$F$16</f>
        <v>0</v>
      </c>
      <c r="H1031" s="64">
        <f>'Jul 30'!$G$16</f>
        <v>0</v>
      </c>
      <c r="I1031" s="64" t="str">
        <f>'Jul 30'!$M$16</f>
        <v/>
      </c>
      <c r="J1031" s="25" t="str">
        <f>'Jul 30'!$S$16</f>
        <v/>
      </c>
      <c r="K1031" s="23">
        <f>'Jul 30'!$AG$16</f>
        <v>0</v>
      </c>
      <c r="L1031" s="23">
        <f>'Jul 30'!$N$16</f>
        <v>0</v>
      </c>
    </row>
    <row r="1032" spans="1:12" x14ac:dyDescent="0.25">
      <c r="A1032" s="66" t="str">
        <f t="shared" ref="A1032:A1092" si="16">IF(C1032="","",IF(AND(OR($B$5="",G1032=$B$5,H1032=$B$5),OR($D$5="",F1032=$D$5),OR($E$5="",K1032=$E$5),OR($G$5="",L1032=$G$5),OR($H$5="",N(J1032)&gt;=$H$5),OR($I$5="",ISNUMBER(SEARCH($I$5,C1032&amp;" "&amp;D1032&amp;" "&amp;E1032&amp;" "&amp;I1032)))),"✓",""))</f>
        <v>✓</v>
      </c>
      <c r="B1032" s="67">
        <v>46233</v>
      </c>
      <c r="C1032" s="23">
        <f>'Jul 30'!$D$17</f>
        <v>0</v>
      </c>
      <c r="D1032" s="23">
        <f>'Jul 30'!$B$17</f>
        <v>0</v>
      </c>
      <c r="E1032" s="64">
        <f>'Jul 30'!$E$17</f>
        <v>0</v>
      </c>
      <c r="F1032" s="23">
        <f>'Jul 30'!$A$17</f>
        <v>0</v>
      </c>
      <c r="G1032" s="64">
        <f>'Jul 30'!$F$17</f>
        <v>0</v>
      </c>
      <c r="H1032" s="64">
        <f>'Jul 30'!$G$17</f>
        <v>0</v>
      </c>
      <c r="I1032" s="64" t="str">
        <f>'Jul 30'!$M$17</f>
        <v/>
      </c>
      <c r="J1032" s="25" t="str">
        <f>'Jul 30'!$S$17</f>
        <v/>
      </c>
      <c r="K1032" s="23">
        <f>'Jul 30'!$AG$17</f>
        <v>0</v>
      </c>
      <c r="L1032" s="23">
        <f>'Jul 30'!$N$17</f>
        <v>0</v>
      </c>
    </row>
    <row r="1033" spans="1:12" x14ac:dyDescent="0.25">
      <c r="A1033" s="66" t="str">
        <f t="shared" si="16"/>
        <v>✓</v>
      </c>
      <c r="B1033" s="67">
        <v>46233</v>
      </c>
      <c r="C1033" s="23">
        <f>'Jul 30'!$D$18</f>
        <v>0</v>
      </c>
      <c r="D1033" s="23">
        <f>'Jul 30'!$B$18</f>
        <v>0</v>
      </c>
      <c r="E1033" s="64">
        <f>'Jul 30'!$E$18</f>
        <v>0</v>
      </c>
      <c r="F1033" s="23">
        <f>'Jul 30'!$A$18</f>
        <v>0</v>
      </c>
      <c r="G1033" s="64">
        <f>'Jul 30'!$F$18</f>
        <v>0</v>
      </c>
      <c r="H1033" s="64">
        <f>'Jul 30'!$G$18</f>
        <v>0</v>
      </c>
      <c r="I1033" s="64" t="str">
        <f>'Jul 30'!$M$18</f>
        <v/>
      </c>
      <c r="J1033" s="25" t="str">
        <f>'Jul 30'!$S$18</f>
        <v/>
      </c>
      <c r="K1033" s="23">
        <f>'Jul 30'!$AG$18</f>
        <v>0</v>
      </c>
      <c r="L1033" s="23">
        <f>'Jul 30'!$N$18</f>
        <v>0</v>
      </c>
    </row>
    <row r="1034" spans="1:12" x14ac:dyDescent="0.25">
      <c r="A1034" s="66" t="str">
        <f t="shared" si="16"/>
        <v>✓</v>
      </c>
      <c r="B1034" s="67">
        <v>46233</v>
      </c>
      <c r="C1034" s="23">
        <f>'Jul 30'!$D$19</f>
        <v>0</v>
      </c>
      <c r="D1034" s="23">
        <f>'Jul 30'!$B$19</f>
        <v>0</v>
      </c>
      <c r="E1034" s="64">
        <f>'Jul 30'!$E$19</f>
        <v>0</v>
      </c>
      <c r="F1034" s="23">
        <f>'Jul 30'!$A$19</f>
        <v>0</v>
      </c>
      <c r="G1034" s="64">
        <f>'Jul 30'!$F$19</f>
        <v>0</v>
      </c>
      <c r="H1034" s="64">
        <f>'Jul 30'!$G$19</f>
        <v>0</v>
      </c>
      <c r="I1034" s="64" t="str">
        <f>'Jul 30'!$M$19</f>
        <v/>
      </c>
      <c r="J1034" s="25" t="str">
        <f>'Jul 30'!$S$19</f>
        <v/>
      </c>
      <c r="K1034" s="23">
        <f>'Jul 30'!$AG$19</f>
        <v>0</v>
      </c>
      <c r="L1034" s="23">
        <f>'Jul 30'!$N$19</f>
        <v>0</v>
      </c>
    </row>
    <row r="1035" spans="1:12" x14ac:dyDescent="0.25">
      <c r="A1035" s="66" t="str">
        <f t="shared" si="16"/>
        <v>✓</v>
      </c>
      <c r="B1035" s="67">
        <v>46233</v>
      </c>
      <c r="C1035" s="23">
        <f>'Jul 30'!$D$20</f>
        <v>0</v>
      </c>
      <c r="D1035" s="23">
        <f>'Jul 30'!$B$20</f>
        <v>0</v>
      </c>
      <c r="E1035" s="64">
        <f>'Jul 30'!$E$20</f>
        <v>0</v>
      </c>
      <c r="F1035" s="23">
        <f>'Jul 30'!$A$20</f>
        <v>0</v>
      </c>
      <c r="G1035" s="64">
        <f>'Jul 30'!$F$20</f>
        <v>0</v>
      </c>
      <c r="H1035" s="64">
        <f>'Jul 30'!$G$20</f>
        <v>0</v>
      </c>
      <c r="I1035" s="64" t="str">
        <f>'Jul 30'!$M$20</f>
        <v/>
      </c>
      <c r="J1035" s="25" t="str">
        <f>'Jul 30'!$S$20</f>
        <v/>
      </c>
      <c r="K1035" s="23">
        <f>'Jul 30'!$AG$20</f>
        <v>0</v>
      </c>
      <c r="L1035" s="23">
        <f>'Jul 30'!$N$20</f>
        <v>0</v>
      </c>
    </row>
    <row r="1036" spans="1:12" x14ac:dyDescent="0.25">
      <c r="A1036" s="66" t="str">
        <f t="shared" si="16"/>
        <v>✓</v>
      </c>
      <c r="B1036" s="67">
        <v>46233</v>
      </c>
      <c r="C1036" s="23">
        <f>'Jul 30'!$D$21</f>
        <v>0</v>
      </c>
      <c r="D1036" s="23">
        <f>'Jul 30'!$B$21</f>
        <v>0</v>
      </c>
      <c r="E1036" s="64">
        <f>'Jul 30'!$E$21</f>
        <v>0</v>
      </c>
      <c r="F1036" s="23">
        <f>'Jul 30'!$A$21</f>
        <v>0</v>
      </c>
      <c r="G1036" s="64">
        <f>'Jul 30'!$F$21</f>
        <v>0</v>
      </c>
      <c r="H1036" s="64">
        <f>'Jul 30'!$G$21</f>
        <v>0</v>
      </c>
      <c r="I1036" s="64" t="str">
        <f>'Jul 30'!$M$21</f>
        <v/>
      </c>
      <c r="J1036" s="25" t="str">
        <f>'Jul 30'!$S$21</f>
        <v/>
      </c>
      <c r="K1036" s="23">
        <f>'Jul 30'!$AG$21</f>
        <v>0</v>
      </c>
      <c r="L1036" s="23">
        <f>'Jul 30'!$N$21</f>
        <v>0</v>
      </c>
    </row>
    <row r="1037" spans="1:12" x14ac:dyDescent="0.25">
      <c r="A1037" s="66" t="str">
        <f t="shared" si="16"/>
        <v>✓</v>
      </c>
      <c r="B1037" s="67">
        <v>46233</v>
      </c>
      <c r="C1037" s="23">
        <f>'Jul 30'!$D$22</f>
        <v>0</v>
      </c>
      <c r="D1037" s="23">
        <f>'Jul 30'!$B$22</f>
        <v>0</v>
      </c>
      <c r="E1037" s="64">
        <f>'Jul 30'!$E$22</f>
        <v>0</v>
      </c>
      <c r="F1037" s="23">
        <f>'Jul 30'!$A$22</f>
        <v>0</v>
      </c>
      <c r="G1037" s="64">
        <f>'Jul 30'!$F$22</f>
        <v>0</v>
      </c>
      <c r="H1037" s="64">
        <f>'Jul 30'!$G$22</f>
        <v>0</v>
      </c>
      <c r="I1037" s="64" t="str">
        <f>'Jul 30'!$M$22</f>
        <v/>
      </c>
      <c r="J1037" s="25" t="str">
        <f>'Jul 30'!$S$22</f>
        <v/>
      </c>
      <c r="K1037" s="23">
        <f>'Jul 30'!$AG$22</f>
        <v>0</v>
      </c>
      <c r="L1037" s="23">
        <f>'Jul 30'!$N$22</f>
        <v>0</v>
      </c>
    </row>
    <row r="1038" spans="1:12" x14ac:dyDescent="0.25">
      <c r="A1038" s="66" t="str">
        <f t="shared" si="16"/>
        <v>✓</v>
      </c>
      <c r="B1038" s="67">
        <v>46233</v>
      </c>
      <c r="C1038" s="23">
        <f>'Jul 30'!$D$23</f>
        <v>0</v>
      </c>
      <c r="D1038" s="23">
        <f>'Jul 30'!$B$23</f>
        <v>0</v>
      </c>
      <c r="E1038" s="64">
        <f>'Jul 30'!$E$23</f>
        <v>0</v>
      </c>
      <c r="F1038" s="23">
        <f>'Jul 30'!$A$23</f>
        <v>0</v>
      </c>
      <c r="G1038" s="64">
        <f>'Jul 30'!$F$23</f>
        <v>0</v>
      </c>
      <c r="H1038" s="64">
        <f>'Jul 30'!$G$23</f>
        <v>0</v>
      </c>
      <c r="I1038" s="64" t="str">
        <f>'Jul 30'!$M$23</f>
        <v/>
      </c>
      <c r="J1038" s="25" t="str">
        <f>'Jul 30'!$S$23</f>
        <v/>
      </c>
      <c r="K1038" s="23">
        <f>'Jul 30'!$AG$23</f>
        <v>0</v>
      </c>
      <c r="L1038" s="23">
        <f>'Jul 30'!$N$23</f>
        <v>0</v>
      </c>
    </row>
    <row r="1039" spans="1:12" x14ac:dyDescent="0.25">
      <c r="A1039" s="66" t="str">
        <f t="shared" si="16"/>
        <v>✓</v>
      </c>
      <c r="B1039" s="67">
        <v>46233</v>
      </c>
      <c r="C1039" s="23">
        <f>'Jul 30'!$D$24</f>
        <v>0</v>
      </c>
      <c r="D1039" s="23">
        <f>'Jul 30'!$B$24</f>
        <v>0</v>
      </c>
      <c r="E1039" s="64">
        <f>'Jul 30'!$E$24</f>
        <v>0</v>
      </c>
      <c r="F1039" s="23">
        <f>'Jul 30'!$A$24</f>
        <v>0</v>
      </c>
      <c r="G1039" s="64">
        <f>'Jul 30'!$F$24</f>
        <v>0</v>
      </c>
      <c r="H1039" s="64">
        <f>'Jul 30'!$G$24</f>
        <v>0</v>
      </c>
      <c r="I1039" s="64" t="str">
        <f>'Jul 30'!$M$24</f>
        <v/>
      </c>
      <c r="J1039" s="25" t="str">
        <f>'Jul 30'!$S$24</f>
        <v/>
      </c>
      <c r="K1039" s="23">
        <f>'Jul 30'!$AG$24</f>
        <v>0</v>
      </c>
      <c r="L1039" s="23">
        <f>'Jul 30'!$N$24</f>
        <v>0</v>
      </c>
    </row>
    <row r="1040" spans="1:12" x14ac:dyDescent="0.25">
      <c r="A1040" s="66" t="str">
        <f t="shared" si="16"/>
        <v>✓</v>
      </c>
      <c r="B1040" s="67">
        <v>46233</v>
      </c>
      <c r="C1040" s="23">
        <f>'Jul 30'!$D$25</f>
        <v>0</v>
      </c>
      <c r="D1040" s="23">
        <f>'Jul 30'!$B$25</f>
        <v>0</v>
      </c>
      <c r="E1040" s="64">
        <f>'Jul 30'!$E$25</f>
        <v>0</v>
      </c>
      <c r="F1040" s="23">
        <f>'Jul 30'!$A$25</f>
        <v>0</v>
      </c>
      <c r="G1040" s="64">
        <f>'Jul 30'!$F$25</f>
        <v>0</v>
      </c>
      <c r="H1040" s="64">
        <f>'Jul 30'!$G$25</f>
        <v>0</v>
      </c>
      <c r="I1040" s="64" t="str">
        <f>'Jul 30'!$M$25</f>
        <v/>
      </c>
      <c r="J1040" s="25" t="str">
        <f>'Jul 30'!$S$25</f>
        <v/>
      </c>
      <c r="K1040" s="23">
        <f>'Jul 30'!$AG$25</f>
        <v>0</v>
      </c>
      <c r="L1040" s="23">
        <f>'Jul 30'!$N$25</f>
        <v>0</v>
      </c>
    </row>
    <row r="1041" spans="1:12" x14ac:dyDescent="0.25">
      <c r="A1041" s="66" t="str">
        <f t="shared" si="16"/>
        <v>✓</v>
      </c>
      <c r="B1041" s="67">
        <v>46233</v>
      </c>
      <c r="C1041" s="23">
        <f>'Jul 30'!$D$26</f>
        <v>0</v>
      </c>
      <c r="D1041" s="23">
        <f>'Jul 30'!$B$26</f>
        <v>0</v>
      </c>
      <c r="E1041" s="64">
        <f>'Jul 30'!$E$26</f>
        <v>0</v>
      </c>
      <c r="F1041" s="23">
        <f>'Jul 30'!$A$26</f>
        <v>0</v>
      </c>
      <c r="G1041" s="64">
        <f>'Jul 30'!$F$26</f>
        <v>0</v>
      </c>
      <c r="H1041" s="64">
        <f>'Jul 30'!$G$26</f>
        <v>0</v>
      </c>
      <c r="I1041" s="64" t="str">
        <f>'Jul 30'!$M$26</f>
        <v/>
      </c>
      <c r="J1041" s="25" t="str">
        <f>'Jul 30'!$S$26</f>
        <v/>
      </c>
      <c r="K1041" s="23">
        <f>'Jul 30'!$AG$26</f>
        <v>0</v>
      </c>
      <c r="L1041" s="23">
        <f>'Jul 30'!$N$26</f>
        <v>0</v>
      </c>
    </row>
    <row r="1042" spans="1:12" x14ac:dyDescent="0.25">
      <c r="A1042" s="66" t="str">
        <f t="shared" si="16"/>
        <v>✓</v>
      </c>
      <c r="B1042" s="67">
        <v>46233</v>
      </c>
      <c r="C1042" s="23">
        <f>'Jul 30'!$D$27</f>
        <v>0</v>
      </c>
      <c r="D1042" s="23">
        <f>'Jul 30'!$B$27</f>
        <v>0</v>
      </c>
      <c r="E1042" s="64">
        <f>'Jul 30'!$E$27</f>
        <v>0</v>
      </c>
      <c r="F1042" s="23">
        <f>'Jul 30'!$A$27</f>
        <v>0</v>
      </c>
      <c r="G1042" s="64">
        <f>'Jul 30'!$F$27</f>
        <v>0</v>
      </c>
      <c r="H1042" s="64">
        <f>'Jul 30'!$G$27</f>
        <v>0</v>
      </c>
      <c r="I1042" s="64" t="str">
        <f>'Jul 30'!$M$27</f>
        <v/>
      </c>
      <c r="J1042" s="25" t="str">
        <f>'Jul 30'!$S$27</f>
        <v/>
      </c>
      <c r="K1042" s="23">
        <f>'Jul 30'!$AG$27</f>
        <v>0</v>
      </c>
      <c r="L1042" s="23">
        <f>'Jul 30'!$N$27</f>
        <v>0</v>
      </c>
    </row>
    <row r="1043" spans="1:12" x14ac:dyDescent="0.25">
      <c r="A1043" s="66" t="str">
        <f t="shared" si="16"/>
        <v>✓</v>
      </c>
      <c r="B1043" s="67">
        <v>46233</v>
      </c>
      <c r="C1043" s="23">
        <f>'Jul 30'!$D$28</f>
        <v>0</v>
      </c>
      <c r="D1043" s="23">
        <f>'Jul 30'!$B$28</f>
        <v>0</v>
      </c>
      <c r="E1043" s="64">
        <f>'Jul 30'!$E$28</f>
        <v>0</v>
      </c>
      <c r="F1043" s="23">
        <f>'Jul 30'!$A$28</f>
        <v>0</v>
      </c>
      <c r="G1043" s="64">
        <f>'Jul 30'!$F$28</f>
        <v>0</v>
      </c>
      <c r="H1043" s="64">
        <f>'Jul 30'!$G$28</f>
        <v>0</v>
      </c>
      <c r="I1043" s="64" t="str">
        <f>'Jul 30'!$M$28</f>
        <v/>
      </c>
      <c r="J1043" s="25" t="str">
        <f>'Jul 30'!$S$28</f>
        <v/>
      </c>
      <c r="K1043" s="23">
        <f>'Jul 30'!$AG$28</f>
        <v>0</v>
      </c>
      <c r="L1043" s="23">
        <f>'Jul 30'!$N$28</f>
        <v>0</v>
      </c>
    </row>
    <row r="1044" spans="1:12" x14ac:dyDescent="0.25">
      <c r="A1044" s="66" t="str">
        <f t="shared" si="16"/>
        <v>✓</v>
      </c>
      <c r="B1044" s="67">
        <v>46233</v>
      </c>
      <c r="C1044" s="23">
        <f>'Jul 30'!$D$29</f>
        <v>0</v>
      </c>
      <c r="D1044" s="23">
        <f>'Jul 30'!$B$29</f>
        <v>0</v>
      </c>
      <c r="E1044" s="64">
        <f>'Jul 30'!$E$29</f>
        <v>0</v>
      </c>
      <c r="F1044" s="23">
        <f>'Jul 30'!$A$29</f>
        <v>0</v>
      </c>
      <c r="G1044" s="64">
        <f>'Jul 30'!$F$29</f>
        <v>0</v>
      </c>
      <c r="H1044" s="64">
        <f>'Jul 30'!$G$29</f>
        <v>0</v>
      </c>
      <c r="I1044" s="64" t="str">
        <f>'Jul 30'!$M$29</f>
        <v/>
      </c>
      <c r="J1044" s="25" t="str">
        <f>'Jul 30'!$S$29</f>
        <v/>
      </c>
      <c r="K1044" s="23">
        <f>'Jul 30'!$AG$29</f>
        <v>0</v>
      </c>
      <c r="L1044" s="23">
        <f>'Jul 30'!$N$29</f>
        <v>0</v>
      </c>
    </row>
    <row r="1045" spans="1:12" x14ac:dyDescent="0.25">
      <c r="A1045" s="66" t="str">
        <f t="shared" si="16"/>
        <v>✓</v>
      </c>
      <c r="B1045" s="67">
        <v>46233</v>
      </c>
      <c r="C1045" s="23">
        <f>'Jul 30'!$D$30</f>
        <v>0</v>
      </c>
      <c r="D1045" s="23">
        <f>'Jul 30'!$B$30</f>
        <v>0</v>
      </c>
      <c r="E1045" s="64">
        <f>'Jul 30'!$E$30</f>
        <v>0</v>
      </c>
      <c r="F1045" s="23">
        <f>'Jul 30'!$A$30</f>
        <v>0</v>
      </c>
      <c r="G1045" s="64">
        <f>'Jul 30'!$F$30</f>
        <v>0</v>
      </c>
      <c r="H1045" s="64">
        <f>'Jul 30'!$G$30</f>
        <v>0</v>
      </c>
      <c r="I1045" s="64" t="str">
        <f>'Jul 30'!$M$30</f>
        <v/>
      </c>
      <c r="J1045" s="25" t="str">
        <f>'Jul 30'!$S$30</f>
        <v/>
      </c>
      <c r="K1045" s="23">
        <f>'Jul 30'!$AG$30</f>
        <v>0</v>
      </c>
      <c r="L1045" s="23">
        <f>'Jul 30'!$N$30</f>
        <v>0</v>
      </c>
    </row>
    <row r="1046" spans="1:12" x14ac:dyDescent="0.25">
      <c r="A1046" s="66" t="str">
        <f t="shared" si="16"/>
        <v>✓</v>
      </c>
      <c r="B1046" s="67">
        <v>46233</v>
      </c>
      <c r="C1046" s="23">
        <f>'Jul 30'!$D$31</f>
        <v>0</v>
      </c>
      <c r="D1046" s="23">
        <f>'Jul 30'!$B$31</f>
        <v>0</v>
      </c>
      <c r="E1046" s="64">
        <f>'Jul 30'!$E$31</f>
        <v>0</v>
      </c>
      <c r="F1046" s="23">
        <f>'Jul 30'!$A$31</f>
        <v>0</v>
      </c>
      <c r="G1046" s="64">
        <f>'Jul 30'!$F$31</f>
        <v>0</v>
      </c>
      <c r="H1046" s="64">
        <f>'Jul 30'!$G$31</f>
        <v>0</v>
      </c>
      <c r="I1046" s="64" t="str">
        <f>'Jul 30'!$M$31</f>
        <v/>
      </c>
      <c r="J1046" s="25" t="str">
        <f>'Jul 30'!$S$31</f>
        <v/>
      </c>
      <c r="K1046" s="23">
        <f>'Jul 30'!$AG$31</f>
        <v>0</v>
      </c>
      <c r="L1046" s="23">
        <f>'Jul 30'!$N$31</f>
        <v>0</v>
      </c>
    </row>
    <row r="1047" spans="1:12" x14ac:dyDescent="0.25">
      <c r="A1047" s="66" t="str">
        <f t="shared" si="16"/>
        <v>✓</v>
      </c>
      <c r="B1047" s="67">
        <v>46233</v>
      </c>
      <c r="C1047" s="23">
        <f>'Jul 30'!$D$32</f>
        <v>0</v>
      </c>
      <c r="D1047" s="23">
        <f>'Jul 30'!$B$32</f>
        <v>0</v>
      </c>
      <c r="E1047" s="64">
        <f>'Jul 30'!$E$32</f>
        <v>0</v>
      </c>
      <c r="F1047" s="23">
        <f>'Jul 30'!$A$32</f>
        <v>0</v>
      </c>
      <c r="G1047" s="64">
        <f>'Jul 30'!$F$32</f>
        <v>0</v>
      </c>
      <c r="H1047" s="64">
        <f>'Jul 30'!$G$32</f>
        <v>0</v>
      </c>
      <c r="I1047" s="64" t="str">
        <f>'Jul 30'!$M$32</f>
        <v/>
      </c>
      <c r="J1047" s="25" t="str">
        <f>'Jul 30'!$S$32</f>
        <v/>
      </c>
      <c r="K1047" s="23">
        <f>'Jul 30'!$AG$32</f>
        <v>0</v>
      </c>
      <c r="L1047" s="23">
        <f>'Jul 30'!$N$32</f>
        <v>0</v>
      </c>
    </row>
    <row r="1048" spans="1:12" x14ac:dyDescent="0.25">
      <c r="A1048" s="66" t="str">
        <f t="shared" si="16"/>
        <v>✓</v>
      </c>
      <c r="B1048" s="67">
        <v>46233</v>
      </c>
      <c r="C1048" s="23">
        <f>'Jul 30'!$D$33</f>
        <v>0</v>
      </c>
      <c r="D1048" s="23">
        <f>'Jul 30'!$B$33</f>
        <v>0</v>
      </c>
      <c r="E1048" s="64">
        <f>'Jul 30'!$E$33</f>
        <v>0</v>
      </c>
      <c r="F1048" s="23">
        <f>'Jul 30'!$A$33</f>
        <v>0</v>
      </c>
      <c r="G1048" s="64">
        <f>'Jul 30'!$F$33</f>
        <v>0</v>
      </c>
      <c r="H1048" s="64">
        <f>'Jul 30'!$G$33</f>
        <v>0</v>
      </c>
      <c r="I1048" s="64" t="str">
        <f>'Jul 30'!$M$33</f>
        <v/>
      </c>
      <c r="J1048" s="25" t="str">
        <f>'Jul 30'!$S$33</f>
        <v/>
      </c>
      <c r="K1048" s="23">
        <f>'Jul 30'!$AG$33</f>
        <v>0</v>
      </c>
      <c r="L1048" s="23">
        <f>'Jul 30'!$N$33</f>
        <v>0</v>
      </c>
    </row>
    <row r="1049" spans="1:12" x14ac:dyDescent="0.25">
      <c r="A1049" s="66" t="str">
        <f t="shared" si="16"/>
        <v>✓</v>
      </c>
      <c r="B1049" s="67">
        <v>46233</v>
      </c>
      <c r="C1049" s="23">
        <f>'Jul 30'!$D$34</f>
        <v>0</v>
      </c>
      <c r="D1049" s="23">
        <f>'Jul 30'!$B$34</f>
        <v>0</v>
      </c>
      <c r="E1049" s="64">
        <f>'Jul 30'!$E$34</f>
        <v>0</v>
      </c>
      <c r="F1049" s="23">
        <f>'Jul 30'!$A$34</f>
        <v>0</v>
      </c>
      <c r="G1049" s="64">
        <f>'Jul 30'!$F$34</f>
        <v>0</v>
      </c>
      <c r="H1049" s="64">
        <f>'Jul 30'!$G$34</f>
        <v>0</v>
      </c>
      <c r="I1049" s="64" t="str">
        <f>'Jul 30'!$M$34</f>
        <v/>
      </c>
      <c r="J1049" s="25" t="str">
        <f>'Jul 30'!$S$34</f>
        <v/>
      </c>
      <c r="K1049" s="23">
        <f>'Jul 30'!$AG$34</f>
        <v>0</v>
      </c>
      <c r="L1049" s="23">
        <f>'Jul 30'!$N$34</f>
        <v>0</v>
      </c>
    </row>
    <row r="1050" spans="1:12" x14ac:dyDescent="0.25">
      <c r="A1050" s="66" t="str">
        <f t="shared" si="16"/>
        <v>✓</v>
      </c>
      <c r="B1050" s="67">
        <v>46233</v>
      </c>
      <c r="C1050" s="23">
        <f>'Jul 30'!$D$35</f>
        <v>0</v>
      </c>
      <c r="D1050" s="23">
        <f>'Jul 30'!$B$35</f>
        <v>0</v>
      </c>
      <c r="E1050" s="64">
        <f>'Jul 30'!$E$35</f>
        <v>0</v>
      </c>
      <c r="F1050" s="23">
        <f>'Jul 30'!$A$35</f>
        <v>0</v>
      </c>
      <c r="G1050" s="64">
        <f>'Jul 30'!$F$35</f>
        <v>0</v>
      </c>
      <c r="H1050" s="64">
        <f>'Jul 30'!$G$35</f>
        <v>0</v>
      </c>
      <c r="I1050" s="64" t="str">
        <f>'Jul 30'!$M$35</f>
        <v/>
      </c>
      <c r="J1050" s="25" t="str">
        <f>'Jul 30'!$S$35</f>
        <v/>
      </c>
      <c r="K1050" s="23">
        <f>'Jul 30'!$AG$35</f>
        <v>0</v>
      </c>
      <c r="L1050" s="23">
        <f>'Jul 30'!$N$35</f>
        <v>0</v>
      </c>
    </row>
    <row r="1051" spans="1:12" x14ac:dyDescent="0.25">
      <c r="A1051" s="66" t="str">
        <f t="shared" si="16"/>
        <v>✓</v>
      </c>
      <c r="B1051" s="67">
        <v>46233</v>
      </c>
      <c r="C1051" s="23">
        <f>'Jul 30'!$D$36</f>
        <v>0</v>
      </c>
      <c r="D1051" s="23">
        <f>'Jul 30'!$B$36</f>
        <v>0</v>
      </c>
      <c r="E1051" s="64">
        <f>'Jul 30'!$E$36</f>
        <v>0</v>
      </c>
      <c r="F1051" s="23">
        <f>'Jul 30'!$A$36</f>
        <v>0</v>
      </c>
      <c r="G1051" s="64">
        <f>'Jul 30'!$F$36</f>
        <v>0</v>
      </c>
      <c r="H1051" s="64">
        <f>'Jul 30'!$G$36</f>
        <v>0</v>
      </c>
      <c r="I1051" s="64" t="str">
        <f>'Jul 30'!$M$36</f>
        <v/>
      </c>
      <c r="J1051" s="25" t="str">
        <f>'Jul 30'!$S$36</f>
        <v/>
      </c>
      <c r="K1051" s="23">
        <f>'Jul 30'!$AG$36</f>
        <v>0</v>
      </c>
      <c r="L1051" s="23">
        <f>'Jul 30'!$N$36</f>
        <v>0</v>
      </c>
    </row>
    <row r="1052" spans="1:12" x14ac:dyDescent="0.25">
      <c r="A1052" s="66" t="str">
        <f t="shared" si="16"/>
        <v>✓</v>
      </c>
      <c r="B1052" s="67">
        <v>46233</v>
      </c>
      <c r="C1052" s="23">
        <f>'Jul 30'!$D$37</f>
        <v>0</v>
      </c>
      <c r="D1052" s="23">
        <f>'Jul 30'!$B$37</f>
        <v>0</v>
      </c>
      <c r="E1052" s="64">
        <f>'Jul 30'!$E$37</f>
        <v>0</v>
      </c>
      <c r="F1052" s="23">
        <f>'Jul 30'!$A$37</f>
        <v>0</v>
      </c>
      <c r="G1052" s="64">
        <f>'Jul 30'!$F$37</f>
        <v>0</v>
      </c>
      <c r="H1052" s="64">
        <f>'Jul 30'!$G$37</f>
        <v>0</v>
      </c>
      <c r="I1052" s="64" t="str">
        <f>'Jul 30'!$M$37</f>
        <v/>
      </c>
      <c r="J1052" s="25" t="str">
        <f>'Jul 30'!$S$37</f>
        <v/>
      </c>
      <c r="K1052" s="23">
        <f>'Jul 30'!$AG$37</f>
        <v>0</v>
      </c>
      <c r="L1052" s="23">
        <f>'Jul 30'!$N$37</f>
        <v>0</v>
      </c>
    </row>
    <row r="1053" spans="1:12" x14ac:dyDescent="0.25">
      <c r="A1053" s="66" t="str">
        <f t="shared" si="16"/>
        <v>✓</v>
      </c>
      <c r="B1053" s="67">
        <v>46233</v>
      </c>
      <c r="C1053" s="23">
        <f>'Jul 30'!$D$38</f>
        <v>0</v>
      </c>
      <c r="D1053" s="23">
        <f>'Jul 30'!$B$38</f>
        <v>0</v>
      </c>
      <c r="E1053" s="64">
        <f>'Jul 30'!$E$38</f>
        <v>0</v>
      </c>
      <c r="F1053" s="23">
        <f>'Jul 30'!$A$38</f>
        <v>0</v>
      </c>
      <c r="G1053" s="64">
        <f>'Jul 30'!$F$38</f>
        <v>0</v>
      </c>
      <c r="H1053" s="64">
        <f>'Jul 30'!$G$38</f>
        <v>0</v>
      </c>
      <c r="I1053" s="64" t="str">
        <f>'Jul 30'!$M$38</f>
        <v/>
      </c>
      <c r="J1053" s="25" t="str">
        <f>'Jul 30'!$S$38</f>
        <v/>
      </c>
      <c r="K1053" s="23">
        <f>'Jul 30'!$AG$38</f>
        <v>0</v>
      </c>
      <c r="L1053" s="23">
        <f>'Jul 30'!$N$38</f>
        <v>0</v>
      </c>
    </row>
    <row r="1054" spans="1:12" x14ac:dyDescent="0.25">
      <c r="A1054" s="66" t="str">
        <f t="shared" si="16"/>
        <v>✓</v>
      </c>
      <c r="B1054" s="67">
        <v>46233</v>
      </c>
      <c r="C1054" s="23">
        <f>'Jul 30'!$D$39</f>
        <v>0</v>
      </c>
      <c r="D1054" s="23">
        <f>'Jul 30'!$B$39</f>
        <v>0</v>
      </c>
      <c r="E1054" s="64">
        <f>'Jul 30'!$E$39</f>
        <v>0</v>
      </c>
      <c r="F1054" s="23">
        <f>'Jul 30'!$A$39</f>
        <v>0</v>
      </c>
      <c r="G1054" s="64">
        <f>'Jul 30'!$F$39</f>
        <v>0</v>
      </c>
      <c r="H1054" s="64">
        <f>'Jul 30'!$G$39</f>
        <v>0</v>
      </c>
      <c r="I1054" s="64" t="str">
        <f>'Jul 30'!$M$39</f>
        <v/>
      </c>
      <c r="J1054" s="25" t="str">
        <f>'Jul 30'!$S$39</f>
        <v/>
      </c>
      <c r="K1054" s="23">
        <f>'Jul 30'!$AG$39</f>
        <v>0</v>
      </c>
      <c r="L1054" s="23">
        <f>'Jul 30'!$N$39</f>
        <v>0</v>
      </c>
    </row>
    <row r="1055" spans="1:12" x14ac:dyDescent="0.25">
      <c r="A1055" s="66" t="str">
        <f t="shared" si="16"/>
        <v>✓</v>
      </c>
      <c r="B1055" s="67">
        <v>46233</v>
      </c>
      <c r="C1055" s="23">
        <f>'Jul 30'!$D$40</f>
        <v>0</v>
      </c>
      <c r="D1055" s="23">
        <f>'Jul 30'!$B$40</f>
        <v>0</v>
      </c>
      <c r="E1055" s="64">
        <f>'Jul 30'!$E$40</f>
        <v>0</v>
      </c>
      <c r="F1055" s="23">
        <f>'Jul 30'!$A$40</f>
        <v>0</v>
      </c>
      <c r="G1055" s="64">
        <f>'Jul 30'!$F$40</f>
        <v>0</v>
      </c>
      <c r="H1055" s="64">
        <f>'Jul 30'!$G$40</f>
        <v>0</v>
      </c>
      <c r="I1055" s="64" t="str">
        <f>'Jul 30'!$M$40</f>
        <v/>
      </c>
      <c r="J1055" s="25" t="str">
        <f>'Jul 30'!$S$40</f>
        <v/>
      </c>
      <c r="K1055" s="23">
        <f>'Jul 30'!$AG$40</f>
        <v>0</v>
      </c>
      <c r="L1055" s="23">
        <f>'Jul 30'!$N$40</f>
        <v>0</v>
      </c>
    </row>
    <row r="1056" spans="1:12" x14ac:dyDescent="0.25">
      <c r="A1056" s="66" t="str">
        <f t="shared" si="16"/>
        <v>✓</v>
      </c>
      <c r="B1056" s="67">
        <v>46233</v>
      </c>
      <c r="C1056" s="23">
        <f>'Jul 30'!$D$41</f>
        <v>0</v>
      </c>
      <c r="D1056" s="23">
        <f>'Jul 30'!$B$41</f>
        <v>0</v>
      </c>
      <c r="E1056" s="64">
        <f>'Jul 30'!$E$41</f>
        <v>0</v>
      </c>
      <c r="F1056" s="23">
        <f>'Jul 30'!$A$41</f>
        <v>0</v>
      </c>
      <c r="G1056" s="64">
        <f>'Jul 30'!$F$41</f>
        <v>0</v>
      </c>
      <c r="H1056" s="64">
        <f>'Jul 30'!$G$41</f>
        <v>0</v>
      </c>
      <c r="I1056" s="64" t="str">
        <f>'Jul 30'!$M$41</f>
        <v/>
      </c>
      <c r="J1056" s="25" t="str">
        <f>'Jul 30'!$S$41</f>
        <v/>
      </c>
      <c r="K1056" s="23">
        <f>'Jul 30'!$AG$41</f>
        <v>0</v>
      </c>
      <c r="L1056" s="23">
        <f>'Jul 30'!$N$41</f>
        <v>0</v>
      </c>
    </row>
    <row r="1057" spans="1:12" x14ac:dyDescent="0.25">
      <c r="A1057" s="66" t="str">
        <f t="shared" si="16"/>
        <v>✓</v>
      </c>
      <c r="B1057" s="67">
        <v>46233</v>
      </c>
      <c r="C1057" s="23">
        <f>'Jul 30'!$D$42</f>
        <v>0</v>
      </c>
      <c r="D1057" s="23">
        <f>'Jul 30'!$B$42</f>
        <v>0</v>
      </c>
      <c r="E1057" s="64">
        <f>'Jul 30'!$E$42</f>
        <v>0</v>
      </c>
      <c r="F1057" s="23">
        <f>'Jul 30'!$A$42</f>
        <v>0</v>
      </c>
      <c r="G1057" s="64">
        <f>'Jul 30'!$F$42</f>
        <v>0</v>
      </c>
      <c r="H1057" s="64">
        <f>'Jul 30'!$G$42</f>
        <v>0</v>
      </c>
      <c r="I1057" s="64" t="str">
        <f>'Jul 30'!$M$42</f>
        <v/>
      </c>
      <c r="J1057" s="25" t="str">
        <f>'Jul 30'!$S$42</f>
        <v/>
      </c>
      <c r="K1057" s="23">
        <f>'Jul 30'!$AG$42</f>
        <v>0</v>
      </c>
      <c r="L1057" s="23">
        <f>'Jul 30'!$N$42</f>
        <v>0</v>
      </c>
    </row>
    <row r="1058" spans="1:12" x14ac:dyDescent="0.25">
      <c r="A1058" s="66" t="str">
        <f t="shared" si="16"/>
        <v>✓</v>
      </c>
      <c r="B1058" s="67">
        <v>46234</v>
      </c>
      <c r="C1058" s="23">
        <f>'Jul 31'!$D$8</f>
        <v>0</v>
      </c>
      <c r="D1058" s="23">
        <f>'Jul 31'!$B$8</f>
        <v>0</v>
      </c>
      <c r="E1058" s="64">
        <f>'Jul 31'!$E$8</f>
        <v>0</v>
      </c>
      <c r="F1058" s="23">
        <f>'Jul 31'!$A$8</f>
        <v>0</v>
      </c>
      <c r="G1058" s="64">
        <f>'Jul 31'!$F$8</f>
        <v>0</v>
      </c>
      <c r="H1058" s="64">
        <f>'Jul 31'!$G$8</f>
        <v>0</v>
      </c>
      <c r="I1058" s="64" t="str">
        <f>'Jul 31'!$M$8</f>
        <v/>
      </c>
      <c r="J1058" s="25" t="str">
        <f>'Jul 31'!$S$8</f>
        <v/>
      </c>
      <c r="K1058" s="23">
        <f>'Jul 31'!$AG$8</f>
        <v>0</v>
      </c>
      <c r="L1058" s="23">
        <f>'Jul 31'!$N$8</f>
        <v>0</v>
      </c>
    </row>
    <row r="1059" spans="1:12" x14ac:dyDescent="0.25">
      <c r="A1059" s="66" t="str">
        <f t="shared" si="16"/>
        <v>✓</v>
      </c>
      <c r="B1059" s="67">
        <v>46234</v>
      </c>
      <c r="C1059" s="23">
        <f>'Jul 31'!$D$9</f>
        <v>0</v>
      </c>
      <c r="D1059" s="23">
        <f>'Jul 31'!$B$9</f>
        <v>0</v>
      </c>
      <c r="E1059" s="64">
        <f>'Jul 31'!$E$9</f>
        <v>0</v>
      </c>
      <c r="F1059" s="23">
        <f>'Jul 31'!$A$9</f>
        <v>0</v>
      </c>
      <c r="G1059" s="64">
        <f>'Jul 31'!$F$9</f>
        <v>0</v>
      </c>
      <c r="H1059" s="64">
        <f>'Jul 31'!$G$9</f>
        <v>0</v>
      </c>
      <c r="I1059" s="64" t="str">
        <f>'Jul 31'!$M$9</f>
        <v/>
      </c>
      <c r="J1059" s="25" t="str">
        <f>'Jul 31'!$S$9</f>
        <v/>
      </c>
      <c r="K1059" s="23">
        <f>'Jul 31'!$AG$9</f>
        <v>0</v>
      </c>
      <c r="L1059" s="23">
        <f>'Jul 31'!$N$9</f>
        <v>0</v>
      </c>
    </row>
    <row r="1060" spans="1:12" x14ac:dyDescent="0.25">
      <c r="A1060" s="66" t="str">
        <f t="shared" si="16"/>
        <v>✓</v>
      </c>
      <c r="B1060" s="67">
        <v>46234</v>
      </c>
      <c r="C1060" s="23">
        <f>'Jul 31'!$D$10</f>
        <v>0</v>
      </c>
      <c r="D1060" s="23">
        <f>'Jul 31'!$B$10</f>
        <v>0</v>
      </c>
      <c r="E1060" s="64">
        <f>'Jul 31'!$E$10</f>
        <v>0</v>
      </c>
      <c r="F1060" s="23">
        <f>'Jul 31'!$A$10</f>
        <v>0</v>
      </c>
      <c r="G1060" s="64">
        <f>'Jul 31'!$F$10</f>
        <v>0</v>
      </c>
      <c r="H1060" s="64">
        <f>'Jul 31'!$G$10</f>
        <v>0</v>
      </c>
      <c r="I1060" s="64" t="str">
        <f>'Jul 31'!$M$10</f>
        <v/>
      </c>
      <c r="J1060" s="25" t="str">
        <f>'Jul 31'!$S$10</f>
        <v/>
      </c>
      <c r="K1060" s="23">
        <f>'Jul 31'!$AG$10</f>
        <v>0</v>
      </c>
      <c r="L1060" s="23">
        <f>'Jul 31'!$N$10</f>
        <v>0</v>
      </c>
    </row>
    <row r="1061" spans="1:12" x14ac:dyDescent="0.25">
      <c r="A1061" s="66" t="str">
        <f t="shared" si="16"/>
        <v>✓</v>
      </c>
      <c r="B1061" s="67">
        <v>46234</v>
      </c>
      <c r="C1061" s="23">
        <f>'Jul 31'!$D$11</f>
        <v>0</v>
      </c>
      <c r="D1061" s="23">
        <f>'Jul 31'!$B$11</f>
        <v>0</v>
      </c>
      <c r="E1061" s="64">
        <f>'Jul 31'!$E$11</f>
        <v>0</v>
      </c>
      <c r="F1061" s="23">
        <f>'Jul 31'!$A$11</f>
        <v>0</v>
      </c>
      <c r="G1061" s="64">
        <f>'Jul 31'!$F$11</f>
        <v>0</v>
      </c>
      <c r="H1061" s="64">
        <f>'Jul 31'!$G$11</f>
        <v>0</v>
      </c>
      <c r="I1061" s="64" t="str">
        <f>'Jul 31'!$M$11</f>
        <v/>
      </c>
      <c r="J1061" s="25" t="str">
        <f>'Jul 31'!$S$11</f>
        <v/>
      </c>
      <c r="K1061" s="23">
        <f>'Jul 31'!$AG$11</f>
        <v>0</v>
      </c>
      <c r="L1061" s="23">
        <f>'Jul 31'!$N$11</f>
        <v>0</v>
      </c>
    </row>
    <row r="1062" spans="1:12" x14ac:dyDescent="0.25">
      <c r="A1062" s="66" t="str">
        <f t="shared" si="16"/>
        <v>✓</v>
      </c>
      <c r="B1062" s="67">
        <v>46234</v>
      </c>
      <c r="C1062" s="23">
        <f>'Jul 31'!$D$12</f>
        <v>0</v>
      </c>
      <c r="D1062" s="23">
        <f>'Jul 31'!$B$12</f>
        <v>0</v>
      </c>
      <c r="E1062" s="64">
        <f>'Jul 31'!$E$12</f>
        <v>0</v>
      </c>
      <c r="F1062" s="23">
        <f>'Jul 31'!$A$12</f>
        <v>0</v>
      </c>
      <c r="G1062" s="64">
        <f>'Jul 31'!$F$12</f>
        <v>0</v>
      </c>
      <c r="H1062" s="64">
        <f>'Jul 31'!$G$12</f>
        <v>0</v>
      </c>
      <c r="I1062" s="64" t="str">
        <f>'Jul 31'!$M$12</f>
        <v/>
      </c>
      <c r="J1062" s="25" t="str">
        <f>'Jul 31'!$S$12</f>
        <v/>
      </c>
      <c r="K1062" s="23">
        <f>'Jul 31'!$AG$12</f>
        <v>0</v>
      </c>
      <c r="L1062" s="23">
        <f>'Jul 31'!$N$12</f>
        <v>0</v>
      </c>
    </row>
    <row r="1063" spans="1:12" x14ac:dyDescent="0.25">
      <c r="A1063" s="66" t="str">
        <f t="shared" si="16"/>
        <v>✓</v>
      </c>
      <c r="B1063" s="67">
        <v>46234</v>
      </c>
      <c r="C1063" s="23">
        <f>'Jul 31'!$D$13</f>
        <v>0</v>
      </c>
      <c r="D1063" s="23">
        <f>'Jul 31'!$B$13</f>
        <v>0</v>
      </c>
      <c r="E1063" s="64">
        <f>'Jul 31'!$E$13</f>
        <v>0</v>
      </c>
      <c r="F1063" s="23">
        <f>'Jul 31'!$A$13</f>
        <v>0</v>
      </c>
      <c r="G1063" s="64">
        <f>'Jul 31'!$F$13</f>
        <v>0</v>
      </c>
      <c r="H1063" s="64">
        <f>'Jul 31'!$G$13</f>
        <v>0</v>
      </c>
      <c r="I1063" s="64" t="str">
        <f>'Jul 31'!$M$13</f>
        <v/>
      </c>
      <c r="J1063" s="25" t="str">
        <f>'Jul 31'!$S$13</f>
        <v/>
      </c>
      <c r="K1063" s="23">
        <f>'Jul 31'!$AG$13</f>
        <v>0</v>
      </c>
      <c r="L1063" s="23">
        <f>'Jul 31'!$N$13</f>
        <v>0</v>
      </c>
    </row>
    <row r="1064" spans="1:12" x14ac:dyDescent="0.25">
      <c r="A1064" s="66" t="str">
        <f t="shared" si="16"/>
        <v>✓</v>
      </c>
      <c r="B1064" s="67">
        <v>46234</v>
      </c>
      <c r="C1064" s="23">
        <f>'Jul 31'!$D$14</f>
        <v>0</v>
      </c>
      <c r="D1064" s="23">
        <f>'Jul 31'!$B$14</f>
        <v>0</v>
      </c>
      <c r="E1064" s="64">
        <f>'Jul 31'!$E$14</f>
        <v>0</v>
      </c>
      <c r="F1064" s="23">
        <f>'Jul 31'!$A$14</f>
        <v>0</v>
      </c>
      <c r="G1064" s="64">
        <f>'Jul 31'!$F$14</f>
        <v>0</v>
      </c>
      <c r="H1064" s="64">
        <f>'Jul 31'!$G$14</f>
        <v>0</v>
      </c>
      <c r="I1064" s="64" t="str">
        <f>'Jul 31'!$M$14</f>
        <v/>
      </c>
      <c r="J1064" s="25" t="str">
        <f>'Jul 31'!$S$14</f>
        <v/>
      </c>
      <c r="K1064" s="23">
        <f>'Jul 31'!$AG$14</f>
        <v>0</v>
      </c>
      <c r="L1064" s="23">
        <f>'Jul 31'!$N$14</f>
        <v>0</v>
      </c>
    </row>
    <row r="1065" spans="1:12" x14ac:dyDescent="0.25">
      <c r="A1065" s="66" t="str">
        <f t="shared" si="16"/>
        <v>✓</v>
      </c>
      <c r="B1065" s="67">
        <v>46234</v>
      </c>
      <c r="C1065" s="23">
        <f>'Jul 31'!$D$15</f>
        <v>0</v>
      </c>
      <c r="D1065" s="23">
        <f>'Jul 31'!$B$15</f>
        <v>0</v>
      </c>
      <c r="E1065" s="64">
        <f>'Jul 31'!$E$15</f>
        <v>0</v>
      </c>
      <c r="F1065" s="23">
        <f>'Jul 31'!$A$15</f>
        <v>0</v>
      </c>
      <c r="G1065" s="64">
        <f>'Jul 31'!$F$15</f>
        <v>0</v>
      </c>
      <c r="H1065" s="64">
        <f>'Jul 31'!$G$15</f>
        <v>0</v>
      </c>
      <c r="I1065" s="64" t="str">
        <f>'Jul 31'!$M$15</f>
        <v/>
      </c>
      <c r="J1065" s="25" t="str">
        <f>'Jul 31'!$S$15</f>
        <v/>
      </c>
      <c r="K1065" s="23">
        <f>'Jul 31'!$AG$15</f>
        <v>0</v>
      </c>
      <c r="L1065" s="23">
        <f>'Jul 31'!$N$15</f>
        <v>0</v>
      </c>
    </row>
    <row r="1066" spans="1:12" x14ac:dyDescent="0.25">
      <c r="A1066" s="66" t="str">
        <f t="shared" si="16"/>
        <v>✓</v>
      </c>
      <c r="B1066" s="67">
        <v>46234</v>
      </c>
      <c r="C1066" s="23">
        <f>'Jul 31'!$D$16</f>
        <v>0</v>
      </c>
      <c r="D1066" s="23">
        <f>'Jul 31'!$B$16</f>
        <v>0</v>
      </c>
      <c r="E1066" s="64">
        <f>'Jul 31'!$E$16</f>
        <v>0</v>
      </c>
      <c r="F1066" s="23">
        <f>'Jul 31'!$A$16</f>
        <v>0</v>
      </c>
      <c r="G1066" s="64">
        <f>'Jul 31'!$F$16</f>
        <v>0</v>
      </c>
      <c r="H1066" s="64">
        <f>'Jul 31'!$G$16</f>
        <v>0</v>
      </c>
      <c r="I1066" s="64" t="str">
        <f>'Jul 31'!$M$16</f>
        <v/>
      </c>
      <c r="J1066" s="25" t="str">
        <f>'Jul 31'!$S$16</f>
        <v/>
      </c>
      <c r="K1066" s="23">
        <f>'Jul 31'!$AG$16</f>
        <v>0</v>
      </c>
      <c r="L1066" s="23">
        <f>'Jul 31'!$N$16</f>
        <v>0</v>
      </c>
    </row>
    <row r="1067" spans="1:12" x14ac:dyDescent="0.25">
      <c r="A1067" s="66" t="str">
        <f t="shared" si="16"/>
        <v>✓</v>
      </c>
      <c r="B1067" s="67">
        <v>46234</v>
      </c>
      <c r="C1067" s="23">
        <f>'Jul 31'!$D$17</f>
        <v>0</v>
      </c>
      <c r="D1067" s="23">
        <f>'Jul 31'!$B$17</f>
        <v>0</v>
      </c>
      <c r="E1067" s="64">
        <f>'Jul 31'!$E$17</f>
        <v>0</v>
      </c>
      <c r="F1067" s="23">
        <f>'Jul 31'!$A$17</f>
        <v>0</v>
      </c>
      <c r="G1067" s="64">
        <f>'Jul 31'!$F$17</f>
        <v>0</v>
      </c>
      <c r="H1067" s="64">
        <f>'Jul 31'!$G$17</f>
        <v>0</v>
      </c>
      <c r="I1067" s="64" t="str">
        <f>'Jul 31'!$M$17</f>
        <v/>
      </c>
      <c r="J1067" s="25" t="str">
        <f>'Jul 31'!$S$17</f>
        <v/>
      </c>
      <c r="K1067" s="23">
        <f>'Jul 31'!$AG$17</f>
        <v>0</v>
      </c>
      <c r="L1067" s="23">
        <f>'Jul 31'!$N$17</f>
        <v>0</v>
      </c>
    </row>
    <row r="1068" spans="1:12" x14ac:dyDescent="0.25">
      <c r="A1068" s="66" t="str">
        <f t="shared" si="16"/>
        <v>✓</v>
      </c>
      <c r="B1068" s="67">
        <v>46234</v>
      </c>
      <c r="C1068" s="23">
        <f>'Jul 31'!$D$18</f>
        <v>0</v>
      </c>
      <c r="D1068" s="23">
        <f>'Jul 31'!$B$18</f>
        <v>0</v>
      </c>
      <c r="E1068" s="64">
        <f>'Jul 31'!$E$18</f>
        <v>0</v>
      </c>
      <c r="F1068" s="23">
        <f>'Jul 31'!$A$18</f>
        <v>0</v>
      </c>
      <c r="G1068" s="64">
        <f>'Jul 31'!$F$18</f>
        <v>0</v>
      </c>
      <c r="H1068" s="64">
        <f>'Jul 31'!$G$18</f>
        <v>0</v>
      </c>
      <c r="I1068" s="64" t="str">
        <f>'Jul 31'!$M$18</f>
        <v/>
      </c>
      <c r="J1068" s="25" t="str">
        <f>'Jul 31'!$S$18</f>
        <v/>
      </c>
      <c r="K1068" s="23">
        <f>'Jul 31'!$AG$18</f>
        <v>0</v>
      </c>
      <c r="L1068" s="23">
        <f>'Jul 31'!$N$18</f>
        <v>0</v>
      </c>
    </row>
    <row r="1069" spans="1:12" x14ac:dyDescent="0.25">
      <c r="A1069" s="66" t="str">
        <f t="shared" si="16"/>
        <v>✓</v>
      </c>
      <c r="B1069" s="67">
        <v>46234</v>
      </c>
      <c r="C1069" s="23">
        <f>'Jul 31'!$D$19</f>
        <v>0</v>
      </c>
      <c r="D1069" s="23">
        <f>'Jul 31'!$B$19</f>
        <v>0</v>
      </c>
      <c r="E1069" s="64">
        <f>'Jul 31'!$E$19</f>
        <v>0</v>
      </c>
      <c r="F1069" s="23">
        <f>'Jul 31'!$A$19</f>
        <v>0</v>
      </c>
      <c r="G1069" s="64">
        <f>'Jul 31'!$F$19</f>
        <v>0</v>
      </c>
      <c r="H1069" s="64">
        <f>'Jul 31'!$G$19</f>
        <v>0</v>
      </c>
      <c r="I1069" s="64" t="str">
        <f>'Jul 31'!$M$19</f>
        <v/>
      </c>
      <c r="J1069" s="25" t="str">
        <f>'Jul 31'!$S$19</f>
        <v/>
      </c>
      <c r="K1069" s="23">
        <f>'Jul 31'!$AG$19</f>
        <v>0</v>
      </c>
      <c r="L1069" s="23">
        <f>'Jul 31'!$N$19</f>
        <v>0</v>
      </c>
    </row>
    <row r="1070" spans="1:12" x14ac:dyDescent="0.25">
      <c r="A1070" s="66" t="str">
        <f t="shared" si="16"/>
        <v>✓</v>
      </c>
      <c r="B1070" s="67">
        <v>46234</v>
      </c>
      <c r="C1070" s="23">
        <f>'Jul 31'!$D$20</f>
        <v>0</v>
      </c>
      <c r="D1070" s="23">
        <f>'Jul 31'!$B$20</f>
        <v>0</v>
      </c>
      <c r="E1070" s="64">
        <f>'Jul 31'!$E$20</f>
        <v>0</v>
      </c>
      <c r="F1070" s="23">
        <f>'Jul 31'!$A$20</f>
        <v>0</v>
      </c>
      <c r="G1070" s="64">
        <f>'Jul 31'!$F$20</f>
        <v>0</v>
      </c>
      <c r="H1070" s="64">
        <f>'Jul 31'!$G$20</f>
        <v>0</v>
      </c>
      <c r="I1070" s="64" t="str">
        <f>'Jul 31'!$M$20</f>
        <v/>
      </c>
      <c r="J1070" s="25" t="str">
        <f>'Jul 31'!$S$20</f>
        <v/>
      </c>
      <c r="K1070" s="23">
        <f>'Jul 31'!$AG$20</f>
        <v>0</v>
      </c>
      <c r="L1070" s="23">
        <f>'Jul 31'!$N$20</f>
        <v>0</v>
      </c>
    </row>
    <row r="1071" spans="1:12" x14ac:dyDescent="0.25">
      <c r="A1071" s="66" t="str">
        <f t="shared" si="16"/>
        <v>✓</v>
      </c>
      <c r="B1071" s="67">
        <v>46234</v>
      </c>
      <c r="C1071" s="23">
        <f>'Jul 31'!$D$21</f>
        <v>0</v>
      </c>
      <c r="D1071" s="23">
        <f>'Jul 31'!$B$21</f>
        <v>0</v>
      </c>
      <c r="E1071" s="64">
        <f>'Jul 31'!$E$21</f>
        <v>0</v>
      </c>
      <c r="F1071" s="23">
        <f>'Jul 31'!$A$21</f>
        <v>0</v>
      </c>
      <c r="G1071" s="64">
        <f>'Jul 31'!$F$21</f>
        <v>0</v>
      </c>
      <c r="H1071" s="64">
        <f>'Jul 31'!$G$21</f>
        <v>0</v>
      </c>
      <c r="I1071" s="64" t="str">
        <f>'Jul 31'!$M$21</f>
        <v/>
      </c>
      <c r="J1071" s="25" t="str">
        <f>'Jul 31'!$S$21</f>
        <v/>
      </c>
      <c r="K1071" s="23">
        <f>'Jul 31'!$AG$21</f>
        <v>0</v>
      </c>
      <c r="L1071" s="23">
        <f>'Jul 31'!$N$21</f>
        <v>0</v>
      </c>
    </row>
    <row r="1072" spans="1:12" x14ac:dyDescent="0.25">
      <c r="A1072" s="66" t="str">
        <f t="shared" si="16"/>
        <v>✓</v>
      </c>
      <c r="B1072" s="67">
        <v>46234</v>
      </c>
      <c r="C1072" s="23">
        <f>'Jul 31'!$D$22</f>
        <v>0</v>
      </c>
      <c r="D1072" s="23">
        <f>'Jul 31'!$B$22</f>
        <v>0</v>
      </c>
      <c r="E1072" s="64">
        <f>'Jul 31'!$E$22</f>
        <v>0</v>
      </c>
      <c r="F1072" s="23">
        <f>'Jul 31'!$A$22</f>
        <v>0</v>
      </c>
      <c r="G1072" s="64">
        <f>'Jul 31'!$F$22</f>
        <v>0</v>
      </c>
      <c r="H1072" s="64">
        <f>'Jul 31'!$G$22</f>
        <v>0</v>
      </c>
      <c r="I1072" s="64" t="str">
        <f>'Jul 31'!$M$22</f>
        <v/>
      </c>
      <c r="J1072" s="25" t="str">
        <f>'Jul 31'!$S$22</f>
        <v/>
      </c>
      <c r="K1072" s="23">
        <f>'Jul 31'!$AG$22</f>
        <v>0</v>
      </c>
      <c r="L1072" s="23">
        <f>'Jul 31'!$N$22</f>
        <v>0</v>
      </c>
    </row>
    <row r="1073" spans="1:12" x14ac:dyDescent="0.25">
      <c r="A1073" s="66" t="str">
        <f t="shared" si="16"/>
        <v>✓</v>
      </c>
      <c r="B1073" s="67">
        <v>46234</v>
      </c>
      <c r="C1073" s="23">
        <f>'Jul 31'!$D$23</f>
        <v>0</v>
      </c>
      <c r="D1073" s="23">
        <f>'Jul 31'!$B$23</f>
        <v>0</v>
      </c>
      <c r="E1073" s="64">
        <f>'Jul 31'!$E$23</f>
        <v>0</v>
      </c>
      <c r="F1073" s="23">
        <f>'Jul 31'!$A$23</f>
        <v>0</v>
      </c>
      <c r="G1073" s="64">
        <f>'Jul 31'!$F$23</f>
        <v>0</v>
      </c>
      <c r="H1073" s="64">
        <f>'Jul 31'!$G$23</f>
        <v>0</v>
      </c>
      <c r="I1073" s="64" t="str">
        <f>'Jul 31'!$M$23</f>
        <v/>
      </c>
      <c r="J1073" s="25" t="str">
        <f>'Jul 31'!$S$23</f>
        <v/>
      </c>
      <c r="K1073" s="23">
        <f>'Jul 31'!$AG$23</f>
        <v>0</v>
      </c>
      <c r="L1073" s="23">
        <f>'Jul 31'!$N$23</f>
        <v>0</v>
      </c>
    </row>
    <row r="1074" spans="1:12" x14ac:dyDescent="0.25">
      <c r="A1074" s="66" t="str">
        <f t="shared" si="16"/>
        <v>✓</v>
      </c>
      <c r="B1074" s="67">
        <v>46234</v>
      </c>
      <c r="C1074" s="23">
        <f>'Jul 31'!$D$24</f>
        <v>0</v>
      </c>
      <c r="D1074" s="23">
        <f>'Jul 31'!$B$24</f>
        <v>0</v>
      </c>
      <c r="E1074" s="64">
        <f>'Jul 31'!$E$24</f>
        <v>0</v>
      </c>
      <c r="F1074" s="23">
        <f>'Jul 31'!$A$24</f>
        <v>0</v>
      </c>
      <c r="G1074" s="64">
        <f>'Jul 31'!$F$24</f>
        <v>0</v>
      </c>
      <c r="H1074" s="64">
        <f>'Jul 31'!$G$24</f>
        <v>0</v>
      </c>
      <c r="I1074" s="64" t="str">
        <f>'Jul 31'!$M$24</f>
        <v/>
      </c>
      <c r="J1074" s="25" t="str">
        <f>'Jul 31'!$S$24</f>
        <v/>
      </c>
      <c r="K1074" s="23">
        <f>'Jul 31'!$AG$24</f>
        <v>0</v>
      </c>
      <c r="L1074" s="23">
        <f>'Jul 31'!$N$24</f>
        <v>0</v>
      </c>
    </row>
    <row r="1075" spans="1:12" x14ac:dyDescent="0.25">
      <c r="A1075" s="66" t="str">
        <f t="shared" si="16"/>
        <v>✓</v>
      </c>
      <c r="B1075" s="67">
        <v>46234</v>
      </c>
      <c r="C1075" s="23">
        <f>'Jul 31'!$D$25</f>
        <v>0</v>
      </c>
      <c r="D1075" s="23">
        <f>'Jul 31'!$B$25</f>
        <v>0</v>
      </c>
      <c r="E1075" s="64">
        <f>'Jul 31'!$E$25</f>
        <v>0</v>
      </c>
      <c r="F1075" s="23">
        <f>'Jul 31'!$A$25</f>
        <v>0</v>
      </c>
      <c r="G1075" s="64">
        <f>'Jul 31'!$F$25</f>
        <v>0</v>
      </c>
      <c r="H1075" s="64">
        <f>'Jul 31'!$G$25</f>
        <v>0</v>
      </c>
      <c r="I1075" s="64" t="str">
        <f>'Jul 31'!$M$25</f>
        <v/>
      </c>
      <c r="J1075" s="25" t="str">
        <f>'Jul 31'!$S$25</f>
        <v/>
      </c>
      <c r="K1075" s="23">
        <f>'Jul 31'!$AG$25</f>
        <v>0</v>
      </c>
      <c r="L1075" s="23">
        <f>'Jul 31'!$N$25</f>
        <v>0</v>
      </c>
    </row>
    <row r="1076" spans="1:12" x14ac:dyDescent="0.25">
      <c r="A1076" s="66" t="str">
        <f t="shared" si="16"/>
        <v>✓</v>
      </c>
      <c r="B1076" s="67">
        <v>46234</v>
      </c>
      <c r="C1076" s="23">
        <f>'Jul 31'!$D$26</f>
        <v>0</v>
      </c>
      <c r="D1076" s="23">
        <f>'Jul 31'!$B$26</f>
        <v>0</v>
      </c>
      <c r="E1076" s="64">
        <f>'Jul 31'!$E$26</f>
        <v>0</v>
      </c>
      <c r="F1076" s="23">
        <f>'Jul 31'!$A$26</f>
        <v>0</v>
      </c>
      <c r="G1076" s="64">
        <f>'Jul 31'!$F$26</f>
        <v>0</v>
      </c>
      <c r="H1076" s="64">
        <f>'Jul 31'!$G$26</f>
        <v>0</v>
      </c>
      <c r="I1076" s="64" t="str">
        <f>'Jul 31'!$M$26</f>
        <v/>
      </c>
      <c r="J1076" s="25" t="str">
        <f>'Jul 31'!$S$26</f>
        <v/>
      </c>
      <c r="K1076" s="23">
        <f>'Jul 31'!$AG$26</f>
        <v>0</v>
      </c>
      <c r="L1076" s="23">
        <f>'Jul 31'!$N$26</f>
        <v>0</v>
      </c>
    </row>
    <row r="1077" spans="1:12" x14ac:dyDescent="0.25">
      <c r="A1077" s="66" t="str">
        <f t="shared" si="16"/>
        <v>✓</v>
      </c>
      <c r="B1077" s="67">
        <v>46234</v>
      </c>
      <c r="C1077" s="23">
        <f>'Jul 31'!$D$27</f>
        <v>0</v>
      </c>
      <c r="D1077" s="23">
        <f>'Jul 31'!$B$27</f>
        <v>0</v>
      </c>
      <c r="E1077" s="64">
        <f>'Jul 31'!$E$27</f>
        <v>0</v>
      </c>
      <c r="F1077" s="23">
        <f>'Jul 31'!$A$27</f>
        <v>0</v>
      </c>
      <c r="G1077" s="64">
        <f>'Jul 31'!$F$27</f>
        <v>0</v>
      </c>
      <c r="H1077" s="64">
        <f>'Jul 31'!$G$27</f>
        <v>0</v>
      </c>
      <c r="I1077" s="64" t="str">
        <f>'Jul 31'!$M$27</f>
        <v/>
      </c>
      <c r="J1077" s="25" t="str">
        <f>'Jul 31'!$S$27</f>
        <v/>
      </c>
      <c r="K1077" s="23">
        <f>'Jul 31'!$AG$27</f>
        <v>0</v>
      </c>
      <c r="L1077" s="23">
        <f>'Jul 31'!$N$27</f>
        <v>0</v>
      </c>
    </row>
    <row r="1078" spans="1:12" x14ac:dyDescent="0.25">
      <c r="A1078" s="66" t="str">
        <f t="shared" si="16"/>
        <v>✓</v>
      </c>
      <c r="B1078" s="67">
        <v>46234</v>
      </c>
      <c r="C1078" s="23">
        <f>'Jul 31'!$D$28</f>
        <v>0</v>
      </c>
      <c r="D1078" s="23">
        <f>'Jul 31'!$B$28</f>
        <v>0</v>
      </c>
      <c r="E1078" s="64">
        <f>'Jul 31'!$E$28</f>
        <v>0</v>
      </c>
      <c r="F1078" s="23">
        <f>'Jul 31'!$A$28</f>
        <v>0</v>
      </c>
      <c r="G1078" s="64">
        <f>'Jul 31'!$F$28</f>
        <v>0</v>
      </c>
      <c r="H1078" s="64">
        <f>'Jul 31'!$G$28</f>
        <v>0</v>
      </c>
      <c r="I1078" s="64" t="str">
        <f>'Jul 31'!$M$28</f>
        <v/>
      </c>
      <c r="J1078" s="25" t="str">
        <f>'Jul 31'!$S$28</f>
        <v/>
      </c>
      <c r="K1078" s="23">
        <f>'Jul 31'!$AG$28</f>
        <v>0</v>
      </c>
      <c r="L1078" s="23">
        <f>'Jul 31'!$N$28</f>
        <v>0</v>
      </c>
    </row>
    <row r="1079" spans="1:12" x14ac:dyDescent="0.25">
      <c r="A1079" s="66" t="str">
        <f t="shared" si="16"/>
        <v>✓</v>
      </c>
      <c r="B1079" s="67">
        <v>46234</v>
      </c>
      <c r="C1079" s="23">
        <f>'Jul 31'!$D$29</f>
        <v>0</v>
      </c>
      <c r="D1079" s="23">
        <f>'Jul 31'!$B$29</f>
        <v>0</v>
      </c>
      <c r="E1079" s="64">
        <f>'Jul 31'!$E$29</f>
        <v>0</v>
      </c>
      <c r="F1079" s="23">
        <f>'Jul 31'!$A$29</f>
        <v>0</v>
      </c>
      <c r="G1079" s="64">
        <f>'Jul 31'!$F$29</f>
        <v>0</v>
      </c>
      <c r="H1079" s="64">
        <f>'Jul 31'!$G$29</f>
        <v>0</v>
      </c>
      <c r="I1079" s="64" t="str">
        <f>'Jul 31'!$M$29</f>
        <v/>
      </c>
      <c r="J1079" s="25" t="str">
        <f>'Jul 31'!$S$29</f>
        <v/>
      </c>
      <c r="K1079" s="23">
        <f>'Jul 31'!$AG$29</f>
        <v>0</v>
      </c>
      <c r="L1079" s="23">
        <f>'Jul 31'!$N$29</f>
        <v>0</v>
      </c>
    </row>
    <row r="1080" spans="1:12" x14ac:dyDescent="0.25">
      <c r="A1080" s="66" t="str">
        <f t="shared" si="16"/>
        <v>✓</v>
      </c>
      <c r="B1080" s="67">
        <v>46234</v>
      </c>
      <c r="C1080" s="23">
        <f>'Jul 31'!$D$30</f>
        <v>0</v>
      </c>
      <c r="D1080" s="23">
        <f>'Jul 31'!$B$30</f>
        <v>0</v>
      </c>
      <c r="E1080" s="64">
        <f>'Jul 31'!$E$30</f>
        <v>0</v>
      </c>
      <c r="F1080" s="23">
        <f>'Jul 31'!$A$30</f>
        <v>0</v>
      </c>
      <c r="G1080" s="64">
        <f>'Jul 31'!$F$30</f>
        <v>0</v>
      </c>
      <c r="H1080" s="64">
        <f>'Jul 31'!$G$30</f>
        <v>0</v>
      </c>
      <c r="I1080" s="64" t="str">
        <f>'Jul 31'!$M$30</f>
        <v/>
      </c>
      <c r="J1080" s="25" t="str">
        <f>'Jul 31'!$S$30</f>
        <v/>
      </c>
      <c r="K1080" s="23">
        <f>'Jul 31'!$AG$30</f>
        <v>0</v>
      </c>
      <c r="L1080" s="23">
        <f>'Jul 31'!$N$30</f>
        <v>0</v>
      </c>
    </row>
    <row r="1081" spans="1:12" x14ac:dyDescent="0.25">
      <c r="A1081" s="66" t="str">
        <f t="shared" si="16"/>
        <v>✓</v>
      </c>
      <c r="B1081" s="67">
        <v>46234</v>
      </c>
      <c r="C1081" s="23">
        <f>'Jul 31'!$D$31</f>
        <v>0</v>
      </c>
      <c r="D1081" s="23">
        <f>'Jul 31'!$B$31</f>
        <v>0</v>
      </c>
      <c r="E1081" s="64">
        <f>'Jul 31'!$E$31</f>
        <v>0</v>
      </c>
      <c r="F1081" s="23">
        <f>'Jul 31'!$A$31</f>
        <v>0</v>
      </c>
      <c r="G1081" s="64">
        <f>'Jul 31'!$F$31</f>
        <v>0</v>
      </c>
      <c r="H1081" s="64">
        <f>'Jul 31'!$G$31</f>
        <v>0</v>
      </c>
      <c r="I1081" s="64" t="str">
        <f>'Jul 31'!$M$31</f>
        <v/>
      </c>
      <c r="J1081" s="25" t="str">
        <f>'Jul 31'!$S$31</f>
        <v/>
      </c>
      <c r="K1081" s="23">
        <f>'Jul 31'!$AG$31</f>
        <v>0</v>
      </c>
      <c r="L1081" s="23">
        <f>'Jul 31'!$N$31</f>
        <v>0</v>
      </c>
    </row>
    <row r="1082" spans="1:12" x14ac:dyDescent="0.25">
      <c r="A1082" s="66" t="str">
        <f t="shared" si="16"/>
        <v>✓</v>
      </c>
      <c r="B1082" s="67">
        <v>46234</v>
      </c>
      <c r="C1082" s="23">
        <f>'Jul 31'!$D$32</f>
        <v>0</v>
      </c>
      <c r="D1082" s="23">
        <f>'Jul 31'!$B$32</f>
        <v>0</v>
      </c>
      <c r="E1082" s="64">
        <f>'Jul 31'!$E$32</f>
        <v>0</v>
      </c>
      <c r="F1082" s="23">
        <f>'Jul 31'!$A$32</f>
        <v>0</v>
      </c>
      <c r="G1082" s="64">
        <f>'Jul 31'!$F$32</f>
        <v>0</v>
      </c>
      <c r="H1082" s="64">
        <f>'Jul 31'!$G$32</f>
        <v>0</v>
      </c>
      <c r="I1082" s="64" t="str">
        <f>'Jul 31'!$M$32</f>
        <v/>
      </c>
      <c r="J1082" s="25" t="str">
        <f>'Jul 31'!$S$32</f>
        <v/>
      </c>
      <c r="K1082" s="23">
        <f>'Jul 31'!$AG$32</f>
        <v>0</v>
      </c>
      <c r="L1082" s="23">
        <f>'Jul 31'!$N$32</f>
        <v>0</v>
      </c>
    </row>
    <row r="1083" spans="1:12" x14ac:dyDescent="0.25">
      <c r="A1083" s="66" t="str">
        <f t="shared" si="16"/>
        <v>✓</v>
      </c>
      <c r="B1083" s="67">
        <v>46234</v>
      </c>
      <c r="C1083" s="23">
        <f>'Jul 31'!$D$33</f>
        <v>0</v>
      </c>
      <c r="D1083" s="23">
        <f>'Jul 31'!$B$33</f>
        <v>0</v>
      </c>
      <c r="E1083" s="64">
        <f>'Jul 31'!$E$33</f>
        <v>0</v>
      </c>
      <c r="F1083" s="23">
        <f>'Jul 31'!$A$33</f>
        <v>0</v>
      </c>
      <c r="G1083" s="64">
        <f>'Jul 31'!$F$33</f>
        <v>0</v>
      </c>
      <c r="H1083" s="64">
        <f>'Jul 31'!$G$33</f>
        <v>0</v>
      </c>
      <c r="I1083" s="64" t="str">
        <f>'Jul 31'!$M$33</f>
        <v/>
      </c>
      <c r="J1083" s="25" t="str">
        <f>'Jul 31'!$S$33</f>
        <v/>
      </c>
      <c r="K1083" s="23">
        <f>'Jul 31'!$AG$33</f>
        <v>0</v>
      </c>
      <c r="L1083" s="23">
        <f>'Jul 31'!$N$33</f>
        <v>0</v>
      </c>
    </row>
    <row r="1084" spans="1:12" x14ac:dyDescent="0.25">
      <c r="A1084" s="66" t="str">
        <f t="shared" si="16"/>
        <v>✓</v>
      </c>
      <c r="B1084" s="67">
        <v>46234</v>
      </c>
      <c r="C1084" s="23">
        <f>'Jul 31'!$D$34</f>
        <v>0</v>
      </c>
      <c r="D1084" s="23">
        <f>'Jul 31'!$B$34</f>
        <v>0</v>
      </c>
      <c r="E1084" s="64">
        <f>'Jul 31'!$E$34</f>
        <v>0</v>
      </c>
      <c r="F1084" s="23">
        <f>'Jul 31'!$A$34</f>
        <v>0</v>
      </c>
      <c r="G1084" s="64">
        <f>'Jul 31'!$F$34</f>
        <v>0</v>
      </c>
      <c r="H1084" s="64">
        <f>'Jul 31'!$G$34</f>
        <v>0</v>
      </c>
      <c r="I1084" s="64" t="str">
        <f>'Jul 31'!$M$34</f>
        <v/>
      </c>
      <c r="J1084" s="25" t="str">
        <f>'Jul 31'!$S$34</f>
        <v/>
      </c>
      <c r="K1084" s="23">
        <f>'Jul 31'!$AG$34</f>
        <v>0</v>
      </c>
      <c r="L1084" s="23">
        <f>'Jul 31'!$N$34</f>
        <v>0</v>
      </c>
    </row>
    <row r="1085" spans="1:12" x14ac:dyDescent="0.25">
      <c r="A1085" s="66" t="str">
        <f t="shared" si="16"/>
        <v>✓</v>
      </c>
      <c r="B1085" s="67">
        <v>46234</v>
      </c>
      <c r="C1085" s="23">
        <f>'Jul 31'!$D$35</f>
        <v>0</v>
      </c>
      <c r="D1085" s="23">
        <f>'Jul 31'!$B$35</f>
        <v>0</v>
      </c>
      <c r="E1085" s="64">
        <f>'Jul 31'!$E$35</f>
        <v>0</v>
      </c>
      <c r="F1085" s="23">
        <f>'Jul 31'!$A$35</f>
        <v>0</v>
      </c>
      <c r="G1085" s="64">
        <f>'Jul 31'!$F$35</f>
        <v>0</v>
      </c>
      <c r="H1085" s="64">
        <f>'Jul 31'!$G$35</f>
        <v>0</v>
      </c>
      <c r="I1085" s="64" t="str">
        <f>'Jul 31'!$M$35</f>
        <v/>
      </c>
      <c r="J1085" s="25" t="str">
        <f>'Jul 31'!$S$35</f>
        <v/>
      </c>
      <c r="K1085" s="23">
        <f>'Jul 31'!$AG$35</f>
        <v>0</v>
      </c>
      <c r="L1085" s="23">
        <f>'Jul 31'!$N$35</f>
        <v>0</v>
      </c>
    </row>
    <row r="1086" spans="1:12" x14ac:dyDescent="0.25">
      <c r="A1086" s="66" t="str">
        <f t="shared" si="16"/>
        <v>✓</v>
      </c>
      <c r="B1086" s="67">
        <v>46234</v>
      </c>
      <c r="C1086" s="23">
        <f>'Jul 31'!$D$36</f>
        <v>0</v>
      </c>
      <c r="D1086" s="23">
        <f>'Jul 31'!$B$36</f>
        <v>0</v>
      </c>
      <c r="E1086" s="64">
        <f>'Jul 31'!$E$36</f>
        <v>0</v>
      </c>
      <c r="F1086" s="23">
        <f>'Jul 31'!$A$36</f>
        <v>0</v>
      </c>
      <c r="G1086" s="64">
        <f>'Jul 31'!$F$36</f>
        <v>0</v>
      </c>
      <c r="H1086" s="64">
        <f>'Jul 31'!$G$36</f>
        <v>0</v>
      </c>
      <c r="I1086" s="64" t="str">
        <f>'Jul 31'!$M$36</f>
        <v/>
      </c>
      <c r="J1086" s="25" t="str">
        <f>'Jul 31'!$S$36</f>
        <v/>
      </c>
      <c r="K1086" s="23">
        <f>'Jul 31'!$AG$36</f>
        <v>0</v>
      </c>
      <c r="L1086" s="23">
        <f>'Jul 31'!$N$36</f>
        <v>0</v>
      </c>
    </row>
    <row r="1087" spans="1:12" x14ac:dyDescent="0.25">
      <c r="A1087" s="66" t="str">
        <f t="shared" si="16"/>
        <v>✓</v>
      </c>
      <c r="B1087" s="67">
        <v>46234</v>
      </c>
      <c r="C1087" s="23">
        <f>'Jul 31'!$D$37</f>
        <v>0</v>
      </c>
      <c r="D1087" s="23">
        <f>'Jul 31'!$B$37</f>
        <v>0</v>
      </c>
      <c r="E1087" s="64">
        <f>'Jul 31'!$E$37</f>
        <v>0</v>
      </c>
      <c r="F1087" s="23">
        <f>'Jul 31'!$A$37</f>
        <v>0</v>
      </c>
      <c r="G1087" s="64">
        <f>'Jul 31'!$F$37</f>
        <v>0</v>
      </c>
      <c r="H1087" s="64">
        <f>'Jul 31'!$G$37</f>
        <v>0</v>
      </c>
      <c r="I1087" s="64" t="str">
        <f>'Jul 31'!$M$37</f>
        <v/>
      </c>
      <c r="J1087" s="25" t="str">
        <f>'Jul 31'!$S$37</f>
        <v/>
      </c>
      <c r="K1087" s="23">
        <f>'Jul 31'!$AG$37</f>
        <v>0</v>
      </c>
      <c r="L1087" s="23">
        <f>'Jul 31'!$N$37</f>
        <v>0</v>
      </c>
    </row>
    <row r="1088" spans="1:12" x14ac:dyDescent="0.25">
      <c r="A1088" s="66" t="str">
        <f t="shared" si="16"/>
        <v>✓</v>
      </c>
      <c r="B1088" s="67">
        <v>46234</v>
      </c>
      <c r="C1088" s="23">
        <f>'Jul 31'!$D$38</f>
        <v>0</v>
      </c>
      <c r="D1088" s="23">
        <f>'Jul 31'!$B$38</f>
        <v>0</v>
      </c>
      <c r="E1088" s="64">
        <f>'Jul 31'!$E$38</f>
        <v>0</v>
      </c>
      <c r="F1088" s="23">
        <f>'Jul 31'!$A$38</f>
        <v>0</v>
      </c>
      <c r="G1088" s="64">
        <f>'Jul 31'!$F$38</f>
        <v>0</v>
      </c>
      <c r="H1088" s="64">
        <f>'Jul 31'!$G$38</f>
        <v>0</v>
      </c>
      <c r="I1088" s="64" t="str">
        <f>'Jul 31'!$M$38</f>
        <v/>
      </c>
      <c r="J1088" s="25" t="str">
        <f>'Jul 31'!$S$38</f>
        <v/>
      </c>
      <c r="K1088" s="23">
        <f>'Jul 31'!$AG$38</f>
        <v>0</v>
      </c>
      <c r="L1088" s="23">
        <f>'Jul 31'!$N$38</f>
        <v>0</v>
      </c>
    </row>
    <row r="1089" spans="1:12" x14ac:dyDescent="0.25">
      <c r="A1089" s="66" t="str">
        <f t="shared" si="16"/>
        <v>✓</v>
      </c>
      <c r="B1089" s="67">
        <v>46234</v>
      </c>
      <c r="C1089" s="23">
        <f>'Jul 31'!$D$39</f>
        <v>0</v>
      </c>
      <c r="D1089" s="23">
        <f>'Jul 31'!$B$39</f>
        <v>0</v>
      </c>
      <c r="E1089" s="64">
        <f>'Jul 31'!$E$39</f>
        <v>0</v>
      </c>
      <c r="F1089" s="23">
        <f>'Jul 31'!$A$39</f>
        <v>0</v>
      </c>
      <c r="G1089" s="64">
        <f>'Jul 31'!$F$39</f>
        <v>0</v>
      </c>
      <c r="H1089" s="64">
        <f>'Jul 31'!$G$39</f>
        <v>0</v>
      </c>
      <c r="I1089" s="64" t="str">
        <f>'Jul 31'!$M$39</f>
        <v/>
      </c>
      <c r="J1089" s="25" t="str">
        <f>'Jul 31'!$S$39</f>
        <v/>
      </c>
      <c r="K1089" s="23">
        <f>'Jul 31'!$AG$39</f>
        <v>0</v>
      </c>
      <c r="L1089" s="23">
        <f>'Jul 31'!$N$39</f>
        <v>0</v>
      </c>
    </row>
    <row r="1090" spans="1:12" x14ac:dyDescent="0.25">
      <c r="A1090" s="66" t="str">
        <f t="shared" si="16"/>
        <v>✓</v>
      </c>
      <c r="B1090" s="67">
        <v>46234</v>
      </c>
      <c r="C1090" s="23">
        <f>'Jul 31'!$D$40</f>
        <v>0</v>
      </c>
      <c r="D1090" s="23">
        <f>'Jul 31'!$B$40</f>
        <v>0</v>
      </c>
      <c r="E1090" s="64">
        <f>'Jul 31'!$E$40</f>
        <v>0</v>
      </c>
      <c r="F1090" s="23">
        <f>'Jul 31'!$A$40</f>
        <v>0</v>
      </c>
      <c r="G1090" s="64">
        <f>'Jul 31'!$F$40</f>
        <v>0</v>
      </c>
      <c r="H1090" s="64">
        <f>'Jul 31'!$G$40</f>
        <v>0</v>
      </c>
      <c r="I1090" s="64" t="str">
        <f>'Jul 31'!$M$40</f>
        <v/>
      </c>
      <c r="J1090" s="25" t="str">
        <f>'Jul 31'!$S$40</f>
        <v/>
      </c>
      <c r="K1090" s="23">
        <f>'Jul 31'!$AG$40</f>
        <v>0</v>
      </c>
      <c r="L1090" s="23">
        <f>'Jul 31'!$N$40</f>
        <v>0</v>
      </c>
    </row>
    <row r="1091" spans="1:12" x14ac:dyDescent="0.25">
      <c r="A1091" s="66" t="str">
        <f t="shared" si="16"/>
        <v>✓</v>
      </c>
      <c r="B1091" s="67">
        <v>46234</v>
      </c>
      <c r="C1091" s="23">
        <f>'Jul 31'!$D$41</f>
        <v>0</v>
      </c>
      <c r="D1091" s="23">
        <f>'Jul 31'!$B$41</f>
        <v>0</v>
      </c>
      <c r="E1091" s="64">
        <f>'Jul 31'!$E$41</f>
        <v>0</v>
      </c>
      <c r="F1091" s="23">
        <f>'Jul 31'!$A$41</f>
        <v>0</v>
      </c>
      <c r="G1091" s="64">
        <f>'Jul 31'!$F$41</f>
        <v>0</v>
      </c>
      <c r="H1091" s="64">
        <f>'Jul 31'!$G$41</f>
        <v>0</v>
      </c>
      <c r="I1091" s="64" t="str">
        <f>'Jul 31'!$M$41</f>
        <v/>
      </c>
      <c r="J1091" s="25" t="str">
        <f>'Jul 31'!$S$41</f>
        <v/>
      </c>
      <c r="K1091" s="23">
        <f>'Jul 31'!$AG$41</f>
        <v>0</v>
      </c>
      <c r="L1091" s="23">
        <f>'Jul 31'!$N$41</f>
        <v>0</v>
      </c>
    </row>
    <row r="1092" spans="1:12" x14ac:dyDescent="0.25">
      <c r="A1092" s="66" t="str">
        <f t="shared" si="16"/>
        <v>✓</v>
      </c>
      <c r="B1092" s="67">
        <v>46234</v>
      </c>
      <c r="C1092" s="23">
        <f>'Jul 31'!$D$42</f>
        <v>0</v>
      </c>
      <c r="D1092" s="23">
        <f>'Jul 31'!$B$42</f>
        <v>0</v>
      </c>
      <c r="E1092" s="64">
        <f>'Jul 31'!$E$42</f>
        <v>0</v>
      </c>
      <c r="F1092" s="23">
        <f>'Jul 31'!$A$42</f>
        <v>0</v>
      </c>
      <c r="G1092" s="64">
        <f>'Jul 31'!$F$42</f>
        <v>0</v>
      </c>
      <c r="H1092" s="64">
        <f>'Jul 31'!$G$42</f>
        <v>0</v>
      </c>
      <c r="I1092" s="64" t="str">
        <f>'Jul 31'!$M$42</f>
        <v/>
      </c>
      <c r="J1092" s="25" t="str">
        <f>'Jul 31'!$S$42</f>
        <v/>
      </c>
      <c r="K1092" s="23">
        <f>'Jul 31'!$AG$42</f>
        <v>0</v>
      </c>
      <c r="L1092" s="23">
        <f>'Jul 31'!$N$42</f>
        <v>0</v>
      </c>
    </row>
  </sheetData>
  <sheetProtection sheet="1" formatColumns="0" formatRows="0"/>
  <autoFilter ref="A7:L1092" xr:uid="{00000000-0009-0000-0000-000003000000}"/>
  <mergeCells count="13">
    <mergeCell ref="B5:C5"/>
    <mergeCell ref="B6:E6"/>
    <mergeCell ref="I4:L4"/>
    <mergeCell ref="E5:F5"/>
    <mergeCell ref="A1:B3"/>
    <mergeCell ref="B4:C4"/>
    <mergeCell ref="H4"/>
    <mergeCell ref="I5:L5"/>
    <mergeCell ref="C1:I2"/>
    <mergeCell ref="E4:F4"/>
    <mergeCell ref="D4"/>
    <mergeCell ref="G4"/>
    <mergeCell ref="C3:I3"/>
  </mergeCells>
  <dataValidations count="3">
    <dataValidation type="list" allowBlank="1" sqref="D5" xr:uid="{00000000-0002-0000-0300-000000000000}">
      <formula1>"New,Used"</formula1>
    </dataValidation>
    <dataValidation type="list" allowBlank="1" sqref="E5" xr:uid="{00000000-0002-0000-0300-000001000000}">
      <formula1>"Delivered,Pending,Unwind,Back Out"</formula1>
    </dataValidation>
    <dataValidation type="list" allowBlank="1" sqref="G5" xr:uid="{00000000-0002-0000-0300-000002000000}">
      <formula1>"Y"</formula1>
    </dataValidation>
  </dataValidations>
  <pageMargins left="0.25" right="0.25" top="0.3" bottom="0.3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9A227"/>
    <pageSetUpPr fitToPage="1"/>
  </sheetPr>
  <dimension ref="A1:BH57"/>
  <sheetViews>
    <sheetView showGridLines="0" workbookViewId="0">
      <pane ySplit="3" topLeftCell="A4" activePane="bottomLeft" state="frozen"/>
      <selection pane="bottomLeft" activeCell="N7" sqref="N7"/>
    </sheetView>
  </sheetViews>
  <sheetFormatPr defaultRowHeight="15" x14ac:dyDescent="0.25"/>
  <cols>
    <col min="1" max="1" width="3.42578125" customWidth="1"/>
    <col min="2" max="2" width="15" customWidth="1"/>
    <col min="3" max="3" width="6" customWidth="1"/>
    <col min="4" max="5" width="8.42578125" customWidth="1"/>
    <col min="6" max="6" width="8" customWidth="1"/>
    <col min="7" max="10" width="9" customWidth="1"/>
    <col min="11" max="12" width="10" customWidth="1"/>
    <col min="13" max="13" width="9" customWidth="1"/>
    <col min="14" max="14" width="10" customWidth="1"/>
    <col min="15" max="16" width="9" customWidth="1"/>
    <col min="17" max="18" width="6" customWidth="1"/>
    <col min="20" max="60" width="13" hidden="1" customWidth="1"/>
  </cols>
  <sheetData>
    <row r="1" spans="1:60" ht="20.100000000000001" customHeight="1" x14ac:dyDescent="0.25">
      <c r="A1" s="107" t="s">
        <v>75</v>
      </c>
      <c r="B1" s="108"/>
      <c r="C1" s="109"/>
      <c r="D1" s="116" t="s">
        <v>76</v>
      </c>
      <c r="E1" s="100"/>
      <c r="F1" s="100"/>
      <c r="G1" s="100"/>
      <c r="H1" s="100"/>
      <c r="I1" s="100"/>
      <c r="J1" s="100"/>
      <c r="K1" s="100"/>
      <c r="L1" s="100"/>
      <c r="M1" s="100"/>
      <c r="N1" s="115" t="str">
        <f ca="1">" as of "&amp;TEXT(TODAY(),"ddd mmm d")</f>
        <v xml:space="preserve"> as of Sat Aug 1</v>
      </c>
      <c r="O1" s="100"/>
      <c r="P1" s="100"/>
      <c r="Q1" s="100"/>
      <c r="R1" s="100"/>
    </row>
    <row r="2" spans="1:60" ht="20.100000000000001" customHeight="1" x14ac:dyDescent="0.25">
      <c r="A2" s="119"/>
      <c r="B2" s="100"/>
      <c r="C2" s="12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60" ht="20.100000000000001" customHeight="1" x14ac:dyDescent="0.25">
      <c r="A3" s="110"/>
      <c r="B3" s="111"/>
      <c r="C3" s="112"/>
      <c r="D3" s="121" t="s">
        <v>77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T3" t="s">
        <v>78</v>
      </c>
    </row>
    <row r="4" spans="1:60" x14ac:dyDescent="0.25">
      <c r="T4" t="s">
        <v>79</v>
      </c>
      <c r="U4">
        <f>SUMPRODUCT((('Jul 1'!$F$8:$F$42=$T4)*(0.5+0.5*('Jul 1'!$G$8:$G$42=""))+('Jul 1'!$G$8:$G$42=$T4)*0.5)*('Jul 1'!$AG$8:$AG$42="Delivered"))</f>
        <v>0</v>
      </c>
      <c r="V4">
        <f>SUMPRODUCT((('Jul 2'!$F$8:$F$42=$T4)*(0.5+0.5*('Jul 2'!$G$8:$G$42=""))+('Jul 2'!$G$8:$G$42=$T4)*0.5)*('Jul 2'!$AG$8:$AG$42="Delivered"))</f>
        <v>0</v>
      </c>
      <c r="W4">
        <f>SUMPRODUCT((('Jul 3'!$F$8:$F$42=$T4)*(0.5+0.5*('Jul 3'!$G$8:$G$42=""))+('Jul 3'!$G$8:$G$42=$T4)*0.5)*('Jul 3'!$AG$8:$AG$42="Delivered"))</f>
        <v>0</v>
      </c>
      <c r="X4">
        <f>SUMPRODUCT((('Jul 4'!$F$8:$F$42=$T4)*(0.5+0.5*('Jul 4'!$G$8:$G$42=""))+('Jul 4'!$G$8:$G$42=$T4)*0.5)*('Jul 4'!$AG$8:$AG$42="Delivered"))</f>
        <v>0</v>
      </c>
      <c r="Y4">
        <f>SUMPRODUCT((('Jul 5'!$F$8:$F$42=$T4)*(0.5+0.5*('Jul 5'!$G$8:$G$42=""))+('Jul 5'!$G$8:$G$42=$T4)*0.5)*('Jul 5'!$AG$8:$AG$42="Delivered"))</f>
        <v>0</v>
      </c>
      <c r="Z4">
        <f>SUMPRODUCT((('Jul 6'!$F$8:$F$42=$T4)*(0.5+0.5*('Jul 6'!$G$8:$G$42=""))+('Jul 6'!$G$8:$G$42=$T4)*0.5)*('Jul 6'!$AG$8:$AG$42="Delivered"))</f>
        <v>0</v>
      </c>
      <c r="AA4">
        <f>SUMPRODUCT((('Jul 7'!$F$8:$F$42=$T4)*(0.5+0.5*('Jul 7'!$G$8:$G$42=""))+('Jul 7'!$G$8:$G$42=$T4)*0.5)*('Jul 7'!$AG$8:$AG$42="Delivered"))</f>
        <v>0</v>
      </c>
      <c r="AB4">
        <f>SUMPRODUCT((('Jul 8'!$F$8:$F$42=$T4)*(0.5+0.5*('Jul 8'!$G$8:$G$42=""))+('Jul 8'!$G$8:$G$42=$T4)*0.5)*('Jul 8'!$AG$8:$AG$42="Delivered"))</f>
        <v>0</v>
      </c>
      <c r="AC4">
        <f>SUMPRODUCT((('Jul 9'!$F$8:$F$42=$T4)*(0.5+0.5*('Jul 9'!$G$8:$G$42=""))+('Jul 9'!$G$8:$G$42=$T4)*0.5)*('Jul 9'!$AG$8:$AG$42="Delivered"))</f>
        <v>0</v>
      </c>
      <c r="AD4">
        <f>SUMPRODUCT((('Jul 10'!$F$8:$F$42=$T4)*(0.5+0.5*('Jul 10'!$G$8:$G$42=""))+('Jul 10'!$G$8:$G$42=$T4)*0.5)*('Jul 10'!$AG$8:$AG$42="Delivered"))</f>
        <v>0</v>
      </c>
      <c r="AE4">
        <f>SUMPRODUCT((('Jul 11'!$F$8:$F$42=$T4)*(0.5+0.5*('Jul 11'!$G$8:$G$42=""))+('Jul 11'!$G$8:$G$42=$T4)*0.5)*('Jul 11'!$AG$8:$AG$42="Delivered"))</f>
        <v>0</v>
      </c>
      <c r="AF4">
        <f>SUMPRODUCT((('Jul 12'!$F$8:$F$42=$T4)*(0.5+0.5*('Jul 12'!$G$8:$G$42=""))+('Jul 12'!$G$8:$G$42=$T4)*0.5)*('Jul 12'!$AG$8:$AG$42="Delivered"))</f>
        <v>0</v>
      </c>
      <c r="AG4">
        <f>SUMPRODUCT((('Jul 13'!$F$8:$F$42=$T4)*(0.5+0.5*('Jul 13'!$G$8:$G$42=""))+('Jul 13'!$G$8:$G$42=$T4)*0.5)*('Jul 13'!$AG$8:$AG$42="Delivered"))</f>
        <v>0</v>
      </c>
      <c r="AH4">
        <f>SUMPRODUCT((('Jul 14'!$F$8:$F$42=$T4)*(0.5+0.5*('Jul 14'!$G$8:$G$42=""))+('Jul 14'!$G$8:$G$42=$T4)*0.5)*('Jul 14'!$AG$8:$AG$42="Delivered"))</f>
        <v>0</v>
      </c>
      <c r="AI4">
        <f>SUMPRODUCT((('Jul 15'!$F$8:$F$42=$T4)*(0.5+0.5*('Jul 15'!$G$8:$G$42=""))+('Jul 15'!$G$8:$G$42=$T4)*0.5)*('Jul 15'!$AG$8:$AG$42="Delivered"))</f>
        <v>0</v>
      </c>
      <c r="AJ4">
        <f>SUMPRODUCT((('Jul 16'!$F$8:$F$42=$T4)*(0.5+0.5*('Jul 16'!$G$8:$G$42=""))+('Jul 16'!$G$8:$G$42=$T4)*0.5)*('Jul 16'!$AG$8:$AG$42="Delivered"))</f>
        <v>0</v>
      </c>
      <c r="AK4">
        <f>SUMPRODUCT((('Jul 17'!$F$8:$F$42=$T4)*(0.5+0.5*('Jul 17'!$G$8:$G$42=""))+('Jul 17'!$G$8:$G$42=$T4)*0.5)*('Jul 17'!$AG$8:$AG$42="Delivered"))</f>
        <v>0</v>
      </c>
      <c r="AL4">
        <f>SUMPRODUCT((('Jul 18'!$F$8:$F$42=$T4)*(0.5+0.5*('Jul 18'!$G$8:$G$42=""))+('Jul 18'!$G$8:$G$42=$T4)*0.5)*('Jul 18'!$AG$8:$AG$42="Delivered"))</f>
        <v>0</v>
      </c>
      <c r="AM4">
        <f>SUMPRODUCT((('Jul 19'!$F$8:$F$42=$T4)*(0.5+0.5*('Jul 19'!$G$8:$G$42=""))+('Jul 19'!$G$8:$G$42=$T4)*0.5)*('Jul 19'!$AG$8:$AG$42="Delivered"))</f>
        <v>0</v>
      </c>
      <c r="AN4">
        <f>SUMPRODUCT((('Jul 20'!$F$8:$F$42=$T4)*(0.5+0.5*('Jul 20'!$G$8:$G$42=""))+('Jul 20'!$G$8:$G$42=$T4)*0.5)*('Jul 20'!$AG$8:$AG$42="Delivered"))</f>
        <v>0</v>
      </c>
      <c r="AO4">
        <f>SUMPRODUCT((('Jul 21'!$F$8:$F$42=$T4)*(0.5+0.5*('Jul 21'!$G$8:$G$42=""))+('Jul 21'!$G$8:$G$42=$T4)*0.5)*('Jul 21'!$AG$8:$AG$42="Delivered"))</f>
        <v>0</v>
      </c>
      <c r="AP4">
        <f>SUMPRODUCT((('Jul 22'!$F$8:$F$42=$T4)*(0.5+0.5*('Jul 22'!$G$8:$G$42=""))+('Jul 22'!$G$8:$G$42=$T4)*0.5)*('Jul 22'!$AG$8:$AG$42="Delivered"))</f>
        <v>0</v>
      </c>
      <c r="AQ4">
        <f>SUMPRODUCT((('Jul 23'!$F$8:$F$42=$T4)*(0.5+0.5*('Jul 23'!$G$8:$G$42=""))+('Jul 23'!$G$8:$G$42=$T4)*0.5)*('Jul 23'!$AG$8:$AG$42="Delivered"))</f>
        <v>0</v>
      </c>
      <c r="AR4">
        <f>SUMPRODUCT((('Jul 24'!$F$8:$F$42=$T4)*(0.5+0.5*('Jul 24'!$G$8:$G$42=""))+('Jul 24'!$G$8:$G$42=$T4)*0.5)*('Jul 24'!$AG$8:$AG$42="Delivered"))</f>
        <v>0</v>
      </c>
      <c r="AS4">
        <f>SUMPRODUCT((('Jul 25'!$F$8:$F$42=$T4)*(0.5+0.5*('Jul 25'!$G$8:$G$42=""))+('Jul 25'!$G$8:$G$42=$T4)*0.5)*('Jul 25'!$AG$8:$AG$42="Delivered"))</f>
        <v>0</v>
      </c>
      <c r="AT4">
        <f>SUMPRODUCT((('Jul 26'!$F$8:$F$42=$T4)*(0.5+0.5*('Jul 26'!$G$8:$G$42=""))+('Jul 26'!$G$8:$G$42=$T4)*0.5)*('Jul 26'!$AG$8:$AG$42="Delivered"))</f>
        <v>0</v>
      </c>
      <c r="AU4">
        <f>SUMPRODUCT((('Jul 27'!$F$8:$F$42=$T4)*(0.5+0.5*('Jul 27'!$G$8:$G$42=""))+('Jul 27'!$G$8:$G$42=$T4)*0.5)*('Jul 27'!$AG$8:$AG$42="Delivered"))</f>
        <v>0</v>
      </c>
      <c r="AV4">
        <f>SUMPRODUCT((('Jul 28'!$F$8:$F$42=$T4)*(0.5+0.5*('Jul 28'!$G$8:$G$42=""))+('Jul 28'!$G$8:$G$42=$T4)*0.5)*('Jul 28'!$AG$8:$AG$42="Delivered"))</f>
        <v>0</v>
      </c>
      <c r="AW4">
        <f>SUMPRODUCT((('Jul 29'!$F$8:$F$42=$T4)*(0.5+0.5*('Jul 29'!$G$8:$G$42=""))+('Jul 29'!$G$8:$G$42=$T4)*0.5)*('Jul 29'!$AG$8:$AG$42="Delivered"))</f>
        <v>0</v>
      </c>
      <c r="AX4">
        <f>SUMPRODUCT((('Jul 30'!$F$8:$F$42=$T4)*(0.5+0.5*('Jul 30'!$G$8:$G$42=""))+('Jul 30'!$G$8:$G$42=$T4)*0.5)*('Jul 30'!$AG$8:$AG$42="Delivered"))</f>
        <v>0</v>
      </c>
      <c r="AY4">
        <f>SUMPRODUCT((('Jul 31'!$F$8:$F$42=$T4)*(0.5+0.5*('Jul 31'!$G$8:$G$42=""))+('Jul 31'!$G$8:$G$42=$T4)*0.5)*('Jul 31'!$AG$8:$AG$42="Delivered"))</f>
        <v>0</v>
      </c>
      <c r="BA4">
        <f t="shared" ref="BA4:BA19" si="0">SUM(U4:AD4)</f>
        <v>0</v>
      </c>
      <c r="BB4">
        <f>MATCH(BD4,'Pay Plan'!$C$6:$C$12,1)</f>
        <v>1</v>
      </c>
      <c r="BC4">
        <f>SUMPRODUCT(('Jul 1'!$F$8:$F$42=$T4)*('Jul 1'!$AG$8:$AG$42="Delivered")*(('Jul 1'!$AM$8:$AM$42="Y")+('Jul 1'!$AN$8:$AN$42="Y")+('Jul 1'!$AO$8:$AO$42="Y")))+SUMPRODUCT(('Jul 2'!$F$8:$F$42=$T4)*('Jul 2'!$AG$8:$AG$42="Delivered")*(('Jul 2'!$AM$8:$AM$42="Y")+('Jul 2'!$AN$8:$AN$42="Y")+('Jul 2'!$AO$8:$AO$42="Y")))+SUMPRODUCT(('Jul 3'!$F$8:$F$42=$T4)*('Jul 3'!$AG$8:$AG$42="Delivered")*(('Jul 3'!$AM$8:$AM$42="Y")+('Jul 3'!$AN$8:$AN$42="Y")+('Jul 3'!$AO$8:$AO$42="Y")))+SUMPRODUCT(('Jul 4'!$F$8:$F$42=$T4)*('Jul 4'!$AG$8:$AG$42="Delivered")*(('Jul 4'!$AM$8:$AM$42="Y")+('Jul 4'!$AN$8:$AN$42="Y")+('Jul 4'!$AO$8:$AO$42="Y")))+SUMPRODUCT(('Jul 5'!$F$8:$F$42=$T4)*('Jul 5'!$AG$8:$AG$42="Delivered")*(('Jul 5'!$AM$8:$AM$42="Y")+('Jul 5'!$AN$8:$AN$42="Y")+('Jul 5'!$AO$8:$AO$42="Y")))+SUMPRODUCT(('Jul 6'!$F$8:$F$42=$T4)*('Jul 6'!$AG$8:$AG$42="Delivered")*(('Jul 6'!$AM$8:$AM$42="Y")+('Jul 6'!$AN$8:$AN$42="Y")+('Jul 6'!$AO$8:$AO$42="Y")))+SUMPRODUCT(('Jul 7'!$F$8:$F$42=$T4)*('Jul 7'!$AG$8:$AG$42="Delivered")*(('Jul 7'!$AM$8:$AM$42="Y")+('Jul 7'!$AN$8:$AN$42="Y")+('Jul 7'!$AO$8:$AO$42="Y")))+SUMPRODUCT(('Jul 8'!$F$8:$F$42=$T4)*('Jul 8'!$AG$8:$AG$42="Delivered")*(('Jul 8'!$AM$8:$AM$42="Y")+('Jul 8'!$AN$8:$AN$42="Y")+('Jul 8'!$AO$8:$AO$42="Y")))+SUMPRODUCT(('Jul 9'!$F$8:$F$42=$T4)*('Jul 9'!$AG$8:$AG$42="Delivered")*(('Jul 9'!$AM$8:$AM$42="Y")+('Jul 9'!$AN$8:$AN$42="Y")+('Jul 9'!$AO$8:$AO$42="Y")))+SUMPRODUCT(('Jul 10'!$F$8:$F$42=$T4)*('Jul 10'!$AG$8:$AG$42="Delivered")*(('Jul 10'!$AM$8:$AM$42="Y")+('Jul 10'!$AN$8:$AN$42="Y")+('Jul 10'!$AO$8:$AO$42="Y")))+SUMPRODUCT(('Jul 11'!$F$8:$F$42=$T4)*('Jul 11'!$AG$8:$AG$42="Delivered")*(('Jul 11'!$AM$8:$AM$42="Y")+('Jul 11'!$AN$8:$AN$42="Y")+('Jul 11'!$AO$8:$AO$42="Y")))+SUMPRODUCT(('Jul 12'!$F$8:$F$42=$T4)*('Jul 12'!$AG$8:$AG$42="Delivered")*(('Jul 12'!$AM$8:$AM$42="Y")+('Jul 12'!$AN$8:$AN$42="Y")+('Jul 12'!$AO$8:$AO$42="Y")))+SUMPRODUCT(('Jul 13'!$F$8:$F$42=$T4)*('Jul 13'!$AG$8:$AG$42="Delivered")*(('Jul 13'!$AM$8:$AM$42="Y")+('Jul 13'!$AN$8:$AN$42="Y")+('Jul 13'!$AO$8:$AO$42="Y")))+SUMPRODUCT(('Jul 14'!$F$8:$F$42=$T4)*('Jul 14'!$AG$8:$AG$42="Delivered")*(('Jul 14'!$AM$8:$AM$42="Y")+('Jul 14'!$AN$8:$AN$42="Y")+('Jul 14'!$AO$8:$AO$42="Y")))+SUMPRODUCT(('Jul 15'!$F$8:$F$42=$T4)*('Jul 15'!$AG$8:$AG$42="Delivered")*(('Jul 15'!$AM$8:$AM$42="Y")+('Jul 15'!$AN$8:$AN$42="Y")+('Jul 15'!$AO$8:$AO$42="Y")))+SUMPRODUCT(('Jul 16'!$F$8:$F$42=$T4)*('Jul 16'!$AG$8:$AG$42="Delivered")*(('Jul 16'!$AM$8:$AM$42="Y")+('Jul 16'!$AN$8:$AN$42="Y")+('Jul 16'!$AO$8:$AO$42="Y")))+SUMPRODUCT(('Jul 17'!$F$8:$F$42=$T4)*('Jul 17'!$AG$8:$AG$42="Delivered")*(('Jul 17'!$AM$8:$AM$42="Y")+('Jul 17'!$AN$8:$AN$42="Y")+('Jul 17'!$AO$8:$AO$42="Y")))+SUMPRODUCT(('Jul 18'!$F$8:$F$42=$T4)*('Jul 18'!$AG$8:$AG$42="Delivered")*(('Jul 18'!$AM$8:$AM$42="Y")+('Jul 18'!$AN$8:$AN$42="Y")+('Jul 18'!$AO$8:$AO$42="Y")))+SUMPRODUCT(('Jul 19'!$F$8:$F$42=$T4)*('Jul 19'!$AG$8:$AG$42="Delivered")*(('Jul 19'!$AM$8:$AM$42="Y")+('Jul 19'!$AN$8:$AN$42="Y")+('Jul 19'!$AO$8:$AO$42="Y")))+SUMPRODUCT(('Jul 20'!$F$8:$F$42=$T4)*('Jul 20'!$AG$8:$AG$42="Delivered")*(('Jul 20'!$AM$8:$AM$42="Y")+('Jul 20'!$AN$8:$AN$42="Y")+('Jul 20'!$AO$8:$AO$42="Y")))+SUMPRODUCT(('Jul 21'!$F$8:$F$42=$T4)*('Jul 21'!$AG$8:$AG$42="Delivered")*(('Jul 21'!$AM$8:$AM$42="Y")+('Jul 21'!$AN$8:$AN$42="Y")+('Jul 21'!$AO$8:$AO$42="Y")))+SUMPRODUCT(('Jul 22'!$F$8:$F$42=$T4)*('Jul 22'!$AG$8:$AG$42="Delivered")*(('Jul 22'!$AM$8:$AM$42="Y")+('Jul 22'!$AN$8:$AN$42="Y")+('Jul 22'!$AO$8:$AO$42="Y")))+SUMPRODUCT(('Jul 23'!$F$8:$F$42=$T4)*('Jul 23'!$AG$8:$AG$42="Delivered")*(('Jul 23'!$AM$8:$AM$42="Y")+('Jul 23'!$AN$8:$AN$42="Y")+('Jul 23'!$AO$8:$AO$42="Y")))+SUMPRODUCT(('Jul 24'!$F$8:$F$42=$T4)*('Jul 24'!$AG$8:$AG$42="Delivered")*(('Jul 24'!$AM$8:$AM$42="Y")+('Jul 24'!$AN$8:$AN$42="Y")+('Jul 24'!$AO$8:$AO$42="Y")))+SUMPRODUCT(('Jul 25'!$F$8:$F$42=$T4)*('Jul 25'!$AG$8:$AG$42="Delivered")*(('Jul 25'!$AM$8:$AM$42="Y")+('Jul 25'!$AN$8:$AN$42="Y")+('Jul 25'!$AO$8:$AO$42="Y")))+SUMPRODUCT(('Jul 26'!$F$8:$F$42=$T4)*('Jul 26'!$AG$8:$AG$42="Delivered")*(('Jul 26'!$AM$8:$AM$42="Y")+('Jul 26'!$AN$8:$AN$42="Y")+('Jul 26'!$AO$8:$AO$42="Y")))+SUMPRODUCT(('Jul 27'!$F$8:$F$42=$T4)*('Jul 27'!$AG$8:$AG$42="Delivered")*(('Jul 27'!$AM$8:$AM$42="Y")+('Jul 27'!$AN$8:$AN$42="Y")+('Jul 27'!$AO$8:$AO$42="Y")))+SUMPRODUCT(('Jul 28'!$F$8:$F$42=$T4)*('Jul 28'!$AG$8:$AG$42="Delivered")*(('Jul 28'!$AM$8:$AM$42="Y")+('Jul 28'!$AN$8:$AN$42="Y")+('Jul 28'!$AO$8:$AO$42="Y")))+SUMPRODUCT(('Jul 29'!$F$8:$F$42=$T4)*('Jul 29'!$AG$8:$AG$42="Delivered")*(('Jul 29'!$AM$8:$AM$42="Y")+('Jul 29'!$AN$8:$AN$42="Y")+('Jul 29'!$AO$8:$AO$42="Y")))+SUMPRODUCT(('Jul 30'!$F$8:$F$42=$T4)*('Jul 30'!$AG$8:$AG$42="Delivered")*(('Jul 30'!$AM$8:$AM$42="Y")+('Jul 30'!$AN$8:$AN$42="Y")+('Jul 30'!$AO$8:$AO$42="Y")))+SUMPRODUCT(('Jul 31'!$F$8:$F$42=$T4)*('Jul 31'!$AG$8:$AG$42="Delivered")*(('Jul 31'!$AM$8:$AM$42="Y")+('Jul 31'!$AN$8:$AN$42="Y")+('Jul 31'!$AO$8:$AO$42="Y")))</f>
        <v>0</v>
      </c>
      <c r="BD4">
        <f t="shared" ref="BD4:BD19" si="1">SUM(U4:AY4)</f>
        <v>0</v>
      </c>
      <c r="BE4">
        <f t="shared" ref="BE4:BE19" si="2">SUM(U23:AY23)</f>
        <v>0</v>
      </c>
      <c r="BF4">
        <f t="shared" ref="BF4:BF19" si="3">SUM(U42:AY42)</f>
        <v>0</v>
      </c>
      <c r="BH4">
        <f>SUMPRODUCT(('Jul 1'!$AG$8:$AG$42="Delivered")*('Jul 1'!$D$8:$D$42&lt;&gt;""))+SUMPRODUCT(('Jul 2'!$AG$8:$AG$42="Delivered")*('Jul 2'!$D$8:$D$42&lt;&gt;""))+SUMPRODUCT(('Jul 3'!$AG$8:$AG$42="Delivered")*('Jul 3'!$D$8:$D$42&lt;&gt;""))+SUMPRODUCT(('Jul 4'!$AG$8:$AG$42="Delivered")*('Jul 4'!$D$8:$D$42&lt;&gt;""))+SUMPRODUCT(('Jul 5'!$AG$8:$AG$42="Delivered")*('Jul 5'!$D$8:$D$42&lt;&gt;""))+SUMPRODUCT(('Jul 6'!$AG$8:$AG$42="Delivered")*('Jul 6'!$D$8:$D$42&lt;&gt;""))+SUMPRODUCT(('Jul 7'!$AG$8:$AG$42="Delivered")*('Jul 7'!$D$8:$D$42&lt;&gt;""))+SUMPRODUCT(('Jul 8'!$AG$8:$AG$42="Delivered")*('Jul 8'!$D$8:$D$42&lt;&gt;""))+SUMPRODUCT(('Jul 9'!$AG$8:$AG$42="Delivered")*('Jul 9'!$D$8:$D$42&lt;&gt;""))+SUMPRODUCT(('Jul 10'!$AG$8:$AG$42="Delivered")*('Jul 10'!$D$8:$D$42&lt;&gt;""))+SUMPRODUCT(('Jul 11'!$AG$8:$AG$42="Delivered")*('Jul 11'!$D$8:$D$42&lt;&gt;""))+SUMPRODUCT(('Jul 12'!$AG$8:$AG$42="Delivered")*('Jul 12'!$D$8:$D$42&lt;&gt;""))+SUMPRODUCT(('Jul 13'!$AG$8:$AG$42="Delivered")*('Jul 13'!$D$8:$D$42&lt;&gt;""))+SUMPRODUCT(('Jul 14'!$AG$8:$AG$42="Delivered")*('Jul 14'!$D$8:$D$42&lt;&gt;""))+SUMPRODUCT(('Jul 15'!$AG$8:$AG$42="Delivered")*('Jul 15'!$D$8:$D$42&lt;&gt;""))+SUMPRODUCT(('Jul 16'!$AG$8:$AG$42="Delivered")*('Jul 16'!$D$8:$D$42&lt;&gt;""))+SUMPRODUCT(('Jul 17'!$AG$8:$AG$42="Delivered")*('Jul 17'!$D$8:$D$42&lt;&gt;""))+SUMPRODUCT(('Jul 18'!$AG$8:$AG$42="Delivered")*('Jul 18'!$D$8:$D$42&lt;&gt;""))+SUMPRODUCT(('Jul 19'!$AG$8:$AG$42="Delivered")*('Jul 19'!$D$8:$D$42&lt;&gt;""))+SUMPRODUCT(('Jul 20'!$AG$8:$AG$42="Delivered")*('Jul 20'!$D$8:$D$42&lt;&gt;""))+SUMPRODUCT(('Jul 21'!$AG$8:$AG$42="Delivered")*('Jul 21'!$D$8:$D$42&lt;&gt;""))+SUMPRODUCT(('Jul 22'!$AG$8:$AG$42="Delivered")*('Jul 22'!$D$8:$D$42&lt;&gt;""))+SUMPRODUCT(('Jul 23'!$AG$8:$AG$42="Delivered")*('Jul 23'!$D$8:$D$42&lt;&gt;""))+SUMPRODUCT(('Jul 24'!$AG$8:$AG$42="Delivered")*('Jul 24'!$D$8:$D$42&lt;&gt;""))+SUMPRODUCT(('Jul 25'!$AG$8:$AG$42="Delivered")*('Jul 25'!$D$8:$D$42&lt;&gt;""))+SUMPRODUCT(('Jul 26'!$AG$8:$AG$42="Delivered")*('Jul 26'!$D$8:$D$42&lt;&gt;""))+SUMPRODUCT(('Jul 27'!$AG$8:$AG$42="Delivered")*('Jul 27'!$D$8:$D$42&lt;&gt;""))+SUMPRODUCT(('Jul 28'!$AG$8:$AG$42="Delivered")*('Jul 28'!$D$8:$D$42&lt;&gt;""))+SUMPRODUCT(('Jul 29'!$AG$8:$AG$42="Delivered")*('Jul 29'!$D$8:$D$42&lt;&gt;""))+SUMPRODUCT(('Jul 30'!$AG$8:$AG$42="Delivered")*('Jul 30'!$D$8:$D$42&lt;&gt;""))+SUMPRODUCT(('Jul 31'!$AG$8:$AG$42="Delivered")*('Jul 31'!$D$8:$D$42&lt;&gt;""))</f>
        <v>0</v>
      </c>
    </row>
    <row r="5" spans="1:60" x14ac:dyDescent="0.25">
      <c r="T5" t="s">
        <v>80</v>
      </c>
      <c r="U5">
        <f>SUMPRODUCT((('Jul 1'!$F$8:$F$42=$T5)*(0.5+0.5*('Jul 1'!$G$8:$G$42=""))+('Jul 1'!$G$8:$G$42=$T5)*0.5)*('Jul 1'!$AG$8:$AG$42="Delivered"))</f>
        <v>0</v>
      </c>
      <c r="V5">
        <f>SUMPRODUCT((('Jul 2'!$F$8:$F$42=$T5)*(0.5+0.5*('Jul 2'!$G$8:$G$42=""))+('Jul 2'!$G$8:$G$42=$T5)*0.5)*('Jul 2'!$AG$8:$AG$42="Delivered"))</f>
        <v>0</v>
      </c>
      <c r="W5">
        <f>SUMPRODUCT((('Jul 3'!$F$8:$F$42=$T5)*(0.5+0.5*('Jul 3'!$G$8:$G$42=""))+('Jul 3'!$G$8:$G$42=$T5)*0.5)*('Jul 3'!$AG$8:$AG$42="Delivered"))</f>
        <v>0</v>
      </c>
      <c r="X5">
        <f>SUMPRODUCT((('Jul 4'!$F$8:$F$42=$T5)*(0.5+0.5*('Jul 4'!$G$8:$G$42=""))+('Jul 4'!$G$8:$G$42=$T5)*0.5)*('Jul 4'!$AG$8:$AG$42="Delivered"))</f>
        <v>0</v>
      </c>
      <c r="Y5">
        <f>SUMPRODUCT((('Jul 5'!$F$8:$F$42=$T5)*(0.5+0.5*('Jul 5'!$G$8:$G$42=""))+('Jul 5'!$G$8:$G$42=$T5)*0.5)*('Jul 5'!$AG$8:$AG$42="Delivered"))</f>
        <v>0</v>
      </c>
      <c r="Z5">
        <f>SUMPRODUCT((('Jul 6'!$F$8:$F$42=$T5)*(0.5+0.5*('Jul 6'!$G$8:$G$42=""))+('Jul 6'!$G$8:$G$42=$T5)*0.5)*('Jul 6'!$AG$8:$AG$42="Delivered"))</f>
        <v>0</v>
      </c>
      <c r="AA5">
        <f>SUMPRODUCT((('Jul 7'!$F$8:$F$42=$T5)*(0.5+0.5*('Jul 7'!$G$8:$G$42=""))+('Jul 7'!$G$8:$G$42=$T5)*0.5)*('Jul 7'!$AG$8:$AG$42="Delivered"))</f>
        <v>0</v>
      </c>
      <c r="AB5">
        <f>SUMPRODUCT((('Jul 8'!$F$8:$F$42=$T5)*(0.5+0.5*('Jul 8'!$G$8:$G$42=""))+('Jul 8'!$G$8:$G$42=$T5)*0.5)*('Jul 8'!$AG$8:$AG$42="Delivered"))</f>
        <v>0</v>
      </c>
      <c r="AC5">
        <f>SUMPRODUCT((('Jul 9'!$F$8:$F$42=$T5)*(0.5+0.5*('Jul 9'!$G$8:$G$42=""))+('Jul 9'!$G$8:$G$42=$T5)*0.5)*('Jul 9'!$AG$8:$AG$42="Delivered"))</f>
        <v>0</v>
      </c>
      <c r="AD5">
        <f>SUMPRODUCT((('Jul 10'!$F$8:$F$42=$T5)*(0.5+0.5*('Jul 10'!$G$8:$G$42=""))+('Jul 10'!$G$8:$G$42=$T5)*0.5)*('Jul 10'!$AG$8:$AG$42="Delivered"))</f>
        <v>0</v>
      </c>
      <c r="AE5">
        <f>SUMPRODUCT((('Jul 11'!$F$8:$F$42=$T5)*(0.5+0.5*('Jul 11'!$G$8:$G$42=""))+('Jul 11'!$G$8:$G$42=$T5)*0.5)*('Jul 11'!$AG$8:$AG$42="Delivered"))</f>
        <v>0</v>
      </c>
      <c r="AF5">
        <f>SUMPRODUCT((('Jul 12'!$F$8:$F$42=$T5)*(0.5+0.5*('Jul 12'!$G$8:$G$42=""))+('Jul 12'!$G$8:$G$42=$T5)*0.5)*('Jul 12'!$AG$8:$AG$42="Delivered"))</f>
        <v>0</v>
      </c>
      <c r="AG5">
        <f>SUMPRODUCT((('Jul 13'!$F$8:$F$42=$T5)*(0.5+0.5*('Jul 13'!$G$8:$G$42=""))+('Jul 13'!$G$8:$G$42=$T5)*0.5)*('Jul 13'!$AG$8:$AG$42="Delivered"))</f>
        <v>0</v>
      </c>
      <c r="AH5">
        <f>SUMPRODUCT((('Jul 14'!$F$8:$F$42=$T5)*(0.5+0.5*('Jul 14'!$G$8:$G$42=""))+('Jul 14'!$G$8:$G$42=$T5)*0.5)*('Jul 14'!$AG$8:$AG$42="Delivered"))</f>
        <v>0</v>
      </c>
      <c r="AI5">
        <f>SUMPRODUCT((('Jul 15'!$F$8:$F$42=$T5)*(0.5+0.5*('Jul 15'!$G$8:$G$42=""))+('Jul 15'!$G$8:$G$42=$T5)*0.5)*('Jul 15'!$AG$8:$AG$42="Delivered"))</f>
        <v>0</v>
      </c>
      <c r="AJ5">
        <f>SUMPRODUCT((('Jul 16'!$F$8:$F$42=$T5)*(0.5+0.5*('Jul 16'!$G$8:$G$42=""))+('Jul 16'!$G$8:$G$42=$T5)*0.5)*('Jul 16'!$AG$8:$AG$42="Delivered"))</f>
        <v>0</v>
      </c>
      <c r="AK5">
        <f>SUMPRODUCT((('Jul 17'!$F$8:$F$42=$T5)*(0.5+0.5*('Jul 17'!$G$8:$G$42=""))+('Jul 17'!$G$8:$G$42=$T5)*0.5)*('Jul 17'!$AG$8:$AG$42="Delivered"))</f>
        <v>0</v>
      </c>
      <c r="AL5">
        <f>SUMPRODUCT((('Jul 18'!$F$8:$F$42=$T5)*(0.5+0.5*('Jul 18'!$G$8:$G$42=""))+('Jul 18'!$G$8:$G$42=$T5)*0.5)*('Jul 18'!$AG$8:$AG$42="Delivered"))</f>
        <v>0</v>
      </c>
      <c r="AM5">
        <f>SUMPRODUCT((('Jul 19'!$F$8:$F$42=$T5)*(0.5+0.5*('Jul 19'!$G$8:$G$42=""))+('Jul 19'!$G$8:$G$42=$T5)*0.5)*('Jul 19'!$AG$8:$AG$42="Delivered"))</f>
        <v>0</v>
      </c>
      <c r="AN5">
        <f>SUMPRODUCT((('Jul 20'!$F$8:$F$42=$T5)*(0.5+0.5*('Jul 20'!$G$8:$G$42=""))+('Jul 20'!$G$8:$G$42=$T5)*0.5)*('Jul 20'!$AG$8:$AG$42="Delivered"))</f>
        <v>0</v>
      </c>
      <c r="AO5">
        <f>SUMPRODUCT((('Jul 21'!$F$8:$F$42=$T5)*(0.5+0.5*('Jul 21'!$G$8:$G$42=""))+('Jul 21'!$G$8:$G$42=$T5)*0.5)*('Jul 21'!$AG$8:$AG$42="Delivered"))</f>
        <v>0</v>
      </c>
      <c r="AP5">
        <f>SUMPRODUCT((('Jul 22'!$F$8:$F$42=$T5)*(0.5+0.5*('Jul 22'!$G$8:$G$42=""))+('Jul 22'!$G$8:$G$42=$T5)*0.5)*('Jul 22'!$AG$8:$AG$42="Delivered"))</f>
        <v>0</v>
      </c>
      <c r="AQ5">
        <f>SUMPRODUCT((('Jul 23'!$F$8:$F$42=$T5)*(0.5+0.5*('Jul 23'!$G$8:$G$42=""))+('Jul 23'!$G$8:$G$42=$T5)*0.5)*('Jul 23'!$AG$8:$AG$42="Delivered"))</f>
        <v>0</v>
      </c>
      <c r="AR5">
        <f>SUMPRODUCT((('Jul 24'!$F$8:$F$42=$T5)*(0.5+0.5*('Jul 24'!$G$8:$G$42=""))+('Jul 24'!$G$8:$G$42=$T5)*0.5)*('Jul 24'!$AG$8:$AG$42="Delivered"))</f>
        <v>0</v>
      </c>
      <c r="AS5">
        <f>SUMPRODUCT((('Jul 25'!$F$8:$F$42=$T5)*(0.5+0.5*('Jul 25'!$G$8:$G$42=""))+('Jul 25'!$G$8:$G$42=$T5)*0.5)*('Jul 25'!$AG$8:$AG$42="Delivered"))</f>
        <v>0</v>
      </c>
      <c r="AT5">
        <f>SUMPRODUCT((('Jul 26'!$F$8:$F$42=$T5)*(0.5+0.5*('Jul 26'!$G$8:$G$42=""))+('Jul 26'!$G$8:$G$42=$T5)*0.5)*('Jul 26'!$AG$8:$AG$42="Delivered"))</f>
        <v>0</v>
      </c>
      <c r="AU5">
        <f>SUMPRODUCT((('Jul 27'!$F$8:$F$42=$T5)*(0.5+0.5*('Jul 27'!$G$8:$G$42=""))+('Jul 27'!$G$8:$G$42=$T5)*0.5)*('Jul 27'!$AG$8:$AG$42="Delivered"))</f>
        <v>0</v>
      </c>
      <c r="AV5">
        <f>SUMPRODUCT((('Jul 28'!$F$8:$F$42=$T5)*(0.5+0.5*('Jul 28'!$G$8:$G$42=""))+('Jul 28'!$G$8:$G$42=$T5)*0.5)*('Jul 28'!$AG$8:$AG$42="Delivered"))</f>
        <v>0</v>
      </c>
      <c r="AW5">
        <f>SUMPRODUCT((('Jul 29'!$F$8:$F$42=$T5)*(0.5+0.5*('Jul 29'!$G$8:$G$42=""))+('Jul 29'!$G$8:$G$42=$T5)*0.5)*('Jul 29'!$AG$8:$AG$42="Delivered"))</f>
        <v>0</v>
      </c>
      <c r="AX5">
        <f>SUMPRODUCT((('Jul 30'!$F$8:$F$42=$T5)*(0.5+0.5*('Jul 30'!$G$8:$G$42=""))+('Jul 30'!$G$8:$G$42=$T5)*0.5)*('Jul 30'!$AG$8:$AG$42="Delivered"))</f>
        <v>0</v>
      </c>
      <c r="AY5">
        <f>SUMPRODUCT((('Jul 31'!$F$8:$F$42=$T5)*(0.5+0.5*('Jul 31'!$G$8:$G$42=""))+('Jul 31'!$G$8:$G$42=$T5)*0.5)*('Jul 31'!$AG$8:$AG$42="Delivered"))</f>
        <v>0</v>
      </c>
      <c r="BA5">
        <f t="shared" si="0"/>
        <v>0</v>
      </c>
      <c r="BB5">
        <f>MATCH(BD5,'Pay Plan'!$C$6:$C$12,1)</f>
        <v>1</v>
      </c>
      <c r="BC5">
        <f>SUMPRODUCT(('Jul 1'!$F$8:$F$42=$T5)*('Jul 1'!$AG$8:$AG$42="Delivered")*(('Jul 1'!$AM$8:$AM$42="Y")+('Jul 1'!$AN$8:$AN$42="Y")+('Jul 1'!$AO$8:$AO$42="Y")))+SUMPRODUCT(('Jul 2'!$F$8:$F$42=$T5)*('Jul 2'!$AG$8:$AG$42="Delivered")*(('Jul 2'!$AM$8:$AM$42="Y")+('Jul 2'!$AN$8:$AN$42="Y")+('Jul 2'!$AO$8:$AO$42="Y")))+SUMPRODUCT(('Jul 3'!$F$8:$F$42=$T5)*('Jul 3'!$AG$8:$AG$42="Delivered")*(('Jul 3'!$AM$8:$AM$42="Y")+('Jul 3'!$AN$8:$AN$42="Y")+('Jul 3'!$AO$8:$AO$42="Y")))+SUMPRODUCT(('Jul 4'!$F$8:$F$42=$T5)*('Jul 4'!$AG$8:$AG$42="Delivered")*(('Jul 4'!$AM$8:$AM$42="Y")+('Jul 4'!$AN$8:$AN$42="Y")+('Jul 4'!$AO$8:$AO$42="Y")))+SUMPRODUCT(('Jul 5'!$F$8:$F$42=$T5)*('Jul 5'!$AG$8:$AG$42="Delivered")*(('Jul 5'!$AM$8:$AM$42="Y")+('Jul 5'!$AN$8:$AN$42="Y")+('Jul 5'!$AO$8:$AO$42="Y")))+SUMPRODUCT(('Jul 6'!$F$8:$F$42=$T5)*('Jul 6'!$AG$8:$AG$42="Delivered")*(('Jul 6'!$AM$8:$AM$42="Y")+('Jul 6'!$AN$8:$AN$42="Y")+('Jul 6'!$AO$8:$AO$42="Y")))+SUMPRODUCT(('Jul 7'!$F$8:$F$42=$T5)*('Jul 7'!$AG$8:$AG$42="Delivered")*(('Jul 7'!$AM$8:$AM$42="Y")+('Jul 7'!$AN$8:$AN$42="Y")+('Jul 7'!$AO$8:$AO$42="Y")))+SUMPRODUCT(('Jul 8'!$F$8:$F$42=$T5)*('Jul 8'!$AG$8:$AG$42="Delivered")*(('Jul 8'!$AM$8:$AM$42="Y")+('Jul 8'!$AN$8:$AN$42="Y")+('Jul 8'!$AO$8:$AO$42="Y")))+SUMPRODUCT(('Jul 9'!$F$8:$F$42=$T5)*('Jul 9'!$AG$8:$AG$42="Delivered")*(('Jul 9'!$AM$8:$AM$42="Y")+('Jul 9'!$AN$8:$AN$42="Y")+('Jul 9'!$AO$8:$AO$42="Y")))+SUMPRODUCT(('Jul 10'!$F$8:$F$42=$T5)*('Jul 10'!$AG$8:$AG$42="Delivered")*(('Jul 10'!$AM$8:$AM$42="Y")+('Jul 10'!$AN$8:$AN$42="Y")+('Jul 10'!$AO$8:$AO$42="Y")))+SUMPRODUCT(('Jul 11'!$F$8:$F$42=$T5)*('Jul 11'!$AG$8:$AG$42="Delivered")*(('Jul 11'!$AM$8:$AM$42="Y")+('Jul 11'!$AN$8:$AN$42="Y")+('Jul 11'!$AO$8:$AO$42="Y")))+SUMPRODUCT(('Jul 12'!$F$8:$F$42=$T5)*('Jul 12'!$AG$8:$AG$42="Delivered")*(('Jul 12'!$AM$8:$AM$42="Y")+('Jul 12'!$AN$8:$AN$42="Y")+('Jul 12'!$AO$8:$AO$42="Y")))+SUMPRODUCT(('Jul 13'!$F$8:$F$42=$T5)*('Jul 13'!$AG$8:$AG$42="Delivered")*(('Jul 13'!$AM$8:$AM$42="Y")+('Jul 13'!$AN$8:$AN$42="Y")+('Jul 13'!$AO$8:$AO$42="Y")))+SUMPRODUCT(('Jul 14'!$F$8:$F$42=$T5)*('Jul 14'!$AG$8:$AG$42="Delivered")*(('Jul 14'!$AM$8:$AM$42="Y")+('Jul 14'!$AN$8:$AN$42="Y")+('Jul 14'!$AO$8:$AO$42="Y")))+SUMPRODUCT(('Jul 15'!$F$8:$F$42=$T5)*('Jul 15'!$AG$8:$AG$42="Delivered")*(('Jul 15'!$AM$8:$AM$42="Y")+('Jul 15'!$AN$8:$AN$42="Y")+('Jul 15'!$AO$8:$AO$42="Y")))+SUMPRODUCT(('Jul 16'!$F$8:$F$42=$T5)*('Jul 16'!$AG$8:$AG$42="Delivered")*(('Jul 16'!$AM$8:$AM$42="Y")+('Jul 16'!$AN$8:$AN$42="Y")+('Jul 16'!$AO$8:$AO$42="Y")))+SUMPRODUCT(('Jul 17'!$F$8:$F$42=$T5)*('Jul 17'!$AG$8:$AG$42="Delivered")*(('Jul 17'!$AM$8:$AM$42="Y")+('Jul 17'!$AN$8:$AN$42="Y")+('Jul 17'!$AO$8:$AO$42="Y")))+SUMPRODUCT(('Jul 18'!$F$8:$F$42=$T5)*('Jul 18'!$AG$8:$AG$42="Delivered")*(('Jul 18'!$AM$8:$AM$42="Y")+('Jul 18'!$AN$8:$AN$42="Y")+('Jul 18'!$AO$8:$AO$42="Y")))+SUMPRODUCT(('Jul 19'!$F$8:$F$42=$T5)*('Jul 19'!$AG$8:$AG$42="Delivered")*(('Jul 19'!$AM$8:$AM$42="Y")+('Jul 19'!$AN$8:$AN$42="Y")+('Jul 19'!$AO$8:$AO$42="Y")))+SUMPRODUCT(('Jul 20'!$F$8:$F$42=$T5)*('Jul 20'!$AG$8:$AG$42="Delivered")*(('Jul 20'!$AM$8:$AM$42="Y")+('Jul 20'!$AN$8:$AN$42="Y")+('Jul 20'!$AO$8:$AO$42="Y")))+SUMPRODUCT(('Jul 21'!$F$8:$F$42=$T5)*('Jul 21'!$AG$8:$AG$42="Delivered")*(('Jul 21'!$AM$8:$AM$42="Y")+('Jul 21'!$AN$8:$AN$42="Y")+('Jul 21'!$AO$8:$AO$42="Y")))+SUMPRODUCT(('Jul 22'!$F$8:$F$42=$T5)*('Jul 22'!$AG$8:$AG$42="Delivered")*(('Jul 22'!$AM$8:$AM$42="Y")+('Jul 22'!$AN$8:$AN$42="Y")+('Jul 22'!$AO$8:$AO$42="Y")))+SUMPRODUCT(('Jul 23'!$F$8:$F$42=$T5)*('Jul 23'!$AG$8:$AG$42="Delivered")*(('Jul 23'!$AM$8:$AM$42="Y")+('Jul 23'!$AN$8:$AN$42="Y")+('Jul 23'!$AO$8:$AO$42="Y")))+SUMPRODUCT(('Jul 24'!$F$8:$F$42=$T5)*('Jul 24'!$AG$8:$AG$42="Delivered")*(('Jul 24'!$AM$8:$AM$42="Y")+('Jul 24'!$AN$8:$AN$42="Y")+('Jul 24'!$AO$8:$AO$42="Y")))+SUMPRODUCT(('Jul 25'!$F$8:$F$42=$T5)*('Jul 25'!$AG$8:$AG$42="Delivered")*(('Jul 25'!$AM$8:$AM$42="Y")+('Jul 25'!$AN$8:$AN$42="Y")+('Jul 25'!$AO$8:$AO$42="Y")))+SUMPRODUCT(('Jul 26'!$F$8:$F$42=$T5)*('Jul 26'!$AG$8:$AG$42="Delivered")*(('Jul 26'!$AM$8:$AM$42="Y")+('Jul 26'!$AN$8:$AN$42="Y")+('Jul 26'!$AO$8:$AO$42="Y")))+SUMPRODUCT(('Jul 27'!$F$8:$F$42=$T5)*('Jul 27'!$AG$8:$AG$42="Delivered")*(('Jul 27'!$AM$8:$AM$42="Y")+('Jul 27'!$AN$8:$AN$42="Y")+('Jul 27'!$AO$8:$AO$42="Y")))+SUMPRODUCT(('Jul 28'!$F$8:$F$42=$T5)*('Jul 28'!$AG$8:$AG$42="Delivered")*(('Jul 28'!$AM$8:$AM$42="Y")+('Jul 28'!$AN$8:$AN$42="Y")+('Jul 28'!$AO$8:$AO$42="Y")))+SUMPRODUCT(('Jul 29'!$F$8:$F$42=$T5)*('Jul 29'!$AG$8:$AG$42="Delivered")*(('Jul 29'!$AM$8:$AM$42="Y")+('Jul 29'!$AN$8:$AN$42="Y")+('Jul 29'!$AO$8:$AO$42="Y")))+SUMPRODUCT(('Jul 30'!$F$8:$F$42=$T5)*('Jul 30'!$AG$8:$AG$42="Delivered")*(('Jul 30'!$AM$8:$AM$42="Y")+('Jul 30'!$AN$8:$AN$42="Y")+('Jul 30'!$AO$8:$AO$42="Y")))+SUMPRODUCT(('Jul 31'!$F$8:$F$42=$T5)*('Jul 31'!$AG$8:$AG$42="Delivered")*(('Jul 31'!$AM$8:$AM$42="Y")+('Jul 31'!$AN$8:$AN$42="Y")+('Jul 31'!$AO$8:$AO$42="Y")))</f>
        <v>0</v>
      </c>
      <c r="BD5">
        <f t="shared" si="1"/>
        <v>0</v>
      </c>
      <c r="BE5">
        <f t="shared" si="2"/>
        <v>0</v>
      </c>
      <c r="BF5">
        <f t="shared" si="3"/>
        <v>0</v>
      </c>
      <c r="BH5">
        <f>SUMPRODUCT(('Jul 1'!$AG$8:$AG$42="Delivered")*(('Jul 1'!$AM$8:$AM$42="Y")+('Jul 1'!$AN$8:$AN$42="Y")+('Jul 1'!$AO$8:$AO$42="Y")))+SUMPRODUCT(('Jul 2'!$AG$8:$AG$42="Delivered")*(('Jul 2'!$AM$8:$AM$42="Y")+('Jul 2'!$AN$8:$AN$42="Y")+('Jul 2'!$AO$8:$AO$42="Y")))+SUMPRODUCT(('Jul 3'!$AG$8:$AG$42="Delivered")*(('Jul 3'!$AM$8:$AM$42="Y")+('Jul 3'!$AN$8:$AN$42="Y")+('Jul 3'!$AO$8:$AO$42="Y")))+SUMPRODUCT(('Jul 4'!$AG$8:$AG$42="Delivered")*(('Jul 4'!$AM$8:$AM$42="Y")+('Jul 4'!$AN$8:$AN$42="Y")+('Jul 4'!$AO$8:$AO$42="Y")))+SUMPRODUCT(('Jul 5'!$AG$8:$AG$42="Delivered")*(('Jul 5'!$AM$8:$AM$42="Y")+('Jul 5'!$AN$8:$AN$42="Y")+('Jul 5'!$AO$8:$AO$42="Y")))+SUMPRODUCT(('Jul 6'!$AG$8:$AG$42="Delivered")*(('Jul 6'!$AM$8:$AM$42="Y")+('Jul 6'!$AN$8:$AN$42="Y")+('Jul 6'!$AO$8:$AO$42="Y")))+SUMPRODUCT(('Jul 7'!$AG$8:$AG$42="Delivered")*(('Jul 7'!$AM$8:$AM$42="Y")+('Jul 7'!$AN$8:$AN$42="Y")+('Jul 7'!$AO$8:$AO$42="Y")))+SUMPRODUCT(('Jul 8'!$AG$8:$AG$42="Delivered")*(('Jul 8'!$AM$8:$AM$42="Y")+('Jul 8'!$AN$8:$AN$42="Y")+('Jul 8'!$AO$8:$AO$42="Y")))+SUMPRODUCT(('Jul 9'!$AG$8:$AG$42="Delivered")*(('Jul 9'!$AM$8:$AM$42="Y")+('Jul 9'!$AN$8:$AN$42="Y")+('Jul 9'!$AO$8:$AO$42="Y")))+SUMPRODUCT(('Jul 10'!$AG$8:$AG$42="Delivered")*(('Jul 10'!$AM$8:$AM$42="Y")+('Jul 10'!$AN$8:$AN$42="Y")+('Jul 10'!$AO$8:$AO$42="Y")))+SUMPRODUCT(('Jul 11'!$AG$8:$AG$42="Delivered")*(('Jul 11'!$AM$8:$AM$42="Y")+('Jul 11'!$AN$8:$AN$42="Y")+('Jul 11'!$AO$8:$AO$42="Y")))+SUMPRODUCT(('Jul 12'!$AG$8:$AG$42="Delivered")*(('Jul 12'!$AM$8:$AM$42="Y")+('Jul 12'!$AN$8:$AN$42="Y")+('Jul 12'!$AO$8:$AO$42="Y")))+SUMPRODUCT(('Jul 13'!$AG$8:$AG$42="Delivered")*(('Jul 13'!$AM$8:$AM$42="Y")+('Jul 13'!$AN$8:$AN$42="Y")+('Jul 13'!$AO$8:$AO$42="Y")))+SUMPRODUCT(('Jul 14'!$AG$8:$AG$42="Delivered")*(('Jul 14'!$AM$8:$AM$42="Y")+('Jul 14'!$AN$8:$AN$42="Y")+('Jul 14'!$AO$8:$AO$42="Y")))+SUMPRODUCT(('Jul 15'!$AG$8:$AG$42="Delivered")*(('Jul 15'!$AM$8:$AM$42="Y")+('Jul 15'!$AN$8:$AN$42="Y")+('Jul 15'!$AO$8:$AO$42="Y")))+SUMPRODUCT(('Jul 16'!$AG$8:$AG$42="Delivered")*(('Jul 16'!$AM$8:$AM$42="Y")+('Jul 16'!$AN$8:$AN$42="Y")+('Jul 16'!$AO$8:$AO$42="Y")))+SUMPRODUCT(('Jul 17'!$AG$8:$AG$42="Delivered")*(('Jul 17'!$AM$8:$AM$42="Y")+('Jul 17'!$AN$8:$AN$42="Y")+('Jul 17'!$AO$8:$AO$42="Y")))+SUMPRODUCT(('Jul 18'!$AG$8:$AG$42="Delivered")*(('Jul 18'!$AM$8:$AM$42="Y")+('Jul 18'!$AN$8:$AN$42="Y")+('Jul 18'!$AO$8:$AO$42="Y")))+SUMPRODUCT(('Jul 19'!$AG$8:$AG$42="Delivered")*(('Jul 19'!$AM$8:$AM$42="Y")+('Jul 19'!$AN$8:$AN$42="Y")+('Jul 19'!$AO$8:$AO$42="Y")))+SUMPRODUCT(('Jul 20'!$AG$8:$AG$42="Delivered")*(('Jul 20'!$AM$8:$AM$42="Y")+('Jul 20'!$AN$8:$AN$42="Y")+('Jul 20'!$AO$8:$AO$42="Y")))+SUMPRODUCT(('Jul 21'!$AG$8:$AG$42="Delivered")*(('Jul 21'!$AM$8:$AM$42="Y")+('Jul 21'!$AN$8:$AN$42="Y")+('Jul 21'!$AO$8:$AO$42="Y")))+SUMPRODUCT(('Jul 22'!$AG$8:$AG$42="Delivered")*(('Jul 22'!$AM$8:$AM$42="Y")+('Jul 22'!$AN$8:$AN$42="Y")+('Jul 22'!$AO$8:$AO$42="Y")))+SUMPRODUCT(('Jul 23'!$AG$8:$AG$42="Delivered")*(('Jul 23'!$AM$8:$AM$42="Y")+('Jul 23'!$AN$8:$AN$42="Y")+('Jul 23'!$AO$8:$AO$42="Y")))+SUMPRODUCT(('Jul 24'!$AG$8:$AG$42="Delivered")*(('Jul 24'!$AM$8:$AM$42="Y")+('Jul 24'!$AN$8:$AN$42="Y")+('Jul 24'!$AO$8:$AO$42="Y")))+SUMPRODUCT(('Jul 25'!$AG$8:$AG$42="Delivered")*(('Jul 25'!$AM$8:$AM$42="Y")+('Jul 25'!$AN$8:$AN$42="Y")+('Jul 25'!$AO$8:$AO$42="Y")))+SUMPRODUCT(('Jul 26'!$AG$8:$AG$42="Delivered")*(('Jul 26'!$AM$8:$AM$42="Y")+('Jul 26'!$AN$8:$AN$42="Y")+('Jul 26'!$AO$8:$AO$42="Y")))+SUMPRODUCT(('Jul 27'!$AG$8:$AG$42="Delivered")*(('Jul 27'!$AM$8:$AM$42="Y")+('Jul 27'!$AN$8:$AN$42="Y")+('Jul 27'!$AO$8:$AO$42="Y")))+SUMPRODUCT(('Jul 28'!$AG$8:$AG$42="Delivered")*(('Jul 28'!$AM$8:$AM$42="Y")+('Jul 28'!$AN$8:$AN$42="Y")+('Jul 28'!$AO$8:$AO$42="Y")))+SUMPRODUCT(('Jul 29'!$AG$8:$AG$42="Delivered")*(('Jul 29'!$AM$8:$AM$42="Y")+('Jul 29'!$AN$8:$AN$42="Y")+('Jul 29'!$AO$8:$AO$42="Y")))+SUMPRODUCT(('Jul 30'!$AG$8:$AG$42="Delivered")*(('Jul 30'!$AM$8:$AM$42="Y")+('Jul 30'!$AN$8:$AN$42="Y")+('Jul 30'!$AO$8:$AO$42="Y")))+SUMPRODUCT(('Jul 31'!$AG$8:$AG$42="Delivered")*(('Jul 31'!$AM$8:$AM$42="Y")+('Jul 31'!$AN$8:$AN$42="Y")+('Jul 31'!$AO$8:$AO$42="Y")))</f>
        <v>0</v>
      </c>
    </row>
    <row r="6" spans="1:60" ht="18" customHeight="1" x14ac:dyDescent="0.25">
      <c r="A6" s="37" t="s">
        <v>81</v>
      </c>
      <c r="B6" s="38" t="s">
        <v>82</v>
      </c>
      <c r="C6" s="37" t="s">
        <v>29</v>
      </c>
      <c r="D6" s="37" t="s">
        <v>30</v>
      </c>
      <c r="E6" s="37" t="s">
        <v>83</v>
      </c>
      <c r="F6" s="37" t="s">
        <v>84</v>
      </c>
      <c r="G6" s="37" t="s">
        <v>85</v>
      </c>
      <c r="H6" s="37" t="s">
        <v>86</v>
      </c>
      <c r="I6" s="37" t="s">
        <v>87</v>
      </c>
      <c r="J6" s="37" t="s">
        <v>88</v>
      </c>
      <c r="K6" s="134" t="s">
        <v>89</v>
      </c>
      <c r="L6" s="100"/>
      <c r="M6" s="100"/>
      <c r="N6" s="37" t="s">
        <v>90</v>
      </c>
      <c r="O6" s="134" t="s">
        <v>91</v>
      </c>
      <c r="P6" s="100"/>
      <c r="Q6" s="100"/>
      <c r="R6" s="100"/>
      <c r="T6" t="s">
        <v>92</v>
      </c>
      <c r="U6">
        <f>SUMPRODUCT((('Jul 1'!$F$8:$F$42=$T6)*(0.5+0.5*('Jul 1'!$G$8:$G$42=""))+('Jul 1'!$G$8:$G$42=$T6)*0.5)*('Jul 1'!$AG$8:$AG$42="Delivered"))</f>
        <v>0</v>
      </c>
      <c r="V6">
        <f>SUMPRODUCT((('Jul 2'!$F$8:$F$42=$T6)*(0.5+0.5*('Jul 2'!$G$8:$G$42=""))+('Jul 2'!$G$8:$G$42=$T6)*0.5)*('Jul 2'!$AG$8:$AG$42="Delivered"))</f>
        <v>0</v>
      </c>
      <c r="W6">
        <f>SUMPRODUCT((('Jul 3'!$F$8:$F$42=$T6)*(0.5+0.5*('Jul 3'!$G$8:$G$42=""))+('Jul 3'!$G$8:$G$42=$T6)*0.5)*('Jul 3'!$AG$8:$AG$42="Delivered"))</f>
        <v>0</v>
      </c>
      <c r="X6">
        <f>SUMPRODUCT((('Jul 4'!$F$8:$F$42=$T6)*(0.5+0.5*('Jul 4'!$G$8:$G$42=""))+('Jul 4'!$G$8:$G$42=$T6)*0.5)*('Jul 4'!$AG$8:$AG$42="Delivered"))</f>
        <v>0</v>
      </c>
      <c r="Y6">
        <f>SUMPRODUCT((('Jul 5'!$F$8:$F$42=$T6)*(0.5+0.5*('Jul 5'!$G$8:$G$42=""))+('Jul 5'!$G$8:$G$42=$T6)*0.5)*('Jul 5'!$AG$8:$AG$42="Delivered"))</f>
        <v>0</v>
      </c>
      <c r="Z6">
        <f>SUMPRODUCT((('Jul 6'!$F$8:$F$42=$T6)*(0.5+0.5*('Jul 6'!$G$8:$G$42=""))+('Jul 6'!$G$8:$G$42=$T6)*0.5)*('Jul 6'!$AG$8:$AG$42="Delivered"))</f>
        <v>0</v>
      </c>
      <c r="AA6">
        <f>SUMPRODUCT((('Jul 7'!$F$8:$F$42=$T6)*(0.5+0.5*('Jul 7'!$G$8:$G$42=""))+('Jul 7'!$G$8:$G$42=$T6)*0.5)*('Jul 7'!$AG$8:$AG$42="Delivered"))</f>
        <v>0</v>
      </c>
      <c r="AB6">
        <f>SUMPRODUCT((('Jul 8'!$F$8:$F$42=$T6)*(0.5+0.5*('Jul 8'!$G$8:$G$42=""))+('Jul 8'!$G$8:$G$42=$T6)*0.5)*('Jul 8'!$AG$8:$AG$42="Delivered"))</f>
        <v>0</v>
      </c>
      <c r="AC6">
        <f>SUMPRODUCT((('Jul 9'!$F$8:$F$42=$T6)*(0.5+0.5*('Jul 9'!$G$8:$G$42=""))+('Jul 9'!$G$8:$G$42=$T6)*0.5)*('Jul 9'!$AG$8:$AG$42="Delivered"))</f>
        <v>0</v>
      </c>
      <c r="AD6">
        <f>SUMPRODUCT((('Jul 10'!$F$8:$F$42=$T6)*(0.5+0.5*('Jul 10'!$G$8:$G$42=""))+('Jul 10'!$G$8:$G$42=$T6)*0.5)*('Jul 10'!$AG$8:$AG$42="Delivered"))</f>
        <v>0</v>
      </c>
      <c r="AE6">
        <f>SUMPRODUCT((('Jul 11'!$F$8:$F$42=$T6)*(0.5+0.5*('Jul 11'!$G$8:$G$42=""))+('Jul 11'!$G$8:$G$42=$T6)*0.5)*('Jul 11'!$AG$8:$AG$42="Delivered"))</f>
        <v>0</v>
      </c>
      <c r="AF6">
        <f>SUMPRODUCT((('Jul 12'!$F$8:$F$42=$T6)*(0.5+0.5*('Jul 12'!$G$8:$G$42=""))+('Jul 12'!$G$8:$G$42=$T6)*0.5)*('Jul 12'!$AG$8:$AG$42="Delivered"))</f>
        <v>0</v>
      </c>
      <c r="AG6">
        <f>SUMPRODUCT((('Jul 13'!$F$8:$F$42=$T6)*(0.5+0.5*('Jul 13'!$G$8:$G$42=""))+('Jul 13'!$G$8:$G$42=$T6)*0.5)*('Jul 13'!$AG$8:$AG$42="Delivered"))</f>
        <v>0</v>
      </c>
      <c r="AH6">
        <f>SUMPRODUCT((('Jul 14'!$F$8:$F$42=$T6)*(0.5+0.5*('Jul 14'!$G$8:$G$42=""))+('Jul 14'!$G$8:$G$42=$T6)*0.5)*('Jul 14'!$AG$8:$AG$42="Delivered"))</f>
        <v>0</v>
      </c>
      <c r="AI6">
        <f>SUMPRODUCT((('Jul 15'!$F$8:$F$42=$T6)*(0.5+0.5*('Jul 15'!$G$8:$G$42=""))+('Jul 15'!$G$8:$G$42=$T6)*0.5)*('Jul 15'!$AG$8:$AG$42="Delivered"))</f>
        <v>0</v>
      </c>
      <c r="AJ6">
        <f>SUMPRODUCT((('Jul 16'!$F$8:$F$42=$T6)*(0.5+0.5*('Jul 16'!$G$8:$G$42=""))+('Jul 16'!$G$8:$G$42=$T6)*0.5)*('Jul 16'!$AG$8:$AG$42="Delivered"))</f>
        <v>0</v>
      </c>
      <c r="AK6">
        <f>SUMPRODUCT((('Jul 17'!$F$8:$F$42=$T6)*(0.5+0.5*('Jul 17'!$G$8:$G$42=""))+('Jul 17'!$G$8:$G$42=$T6)*0.5)*('Jul 17'!$AG$8:$AG$42="Delivered"))</f>
        <v>0</v>
      </c>
      <c r="AL6">
        <f>SUMPRODUCT((('Jul 18'!$F$8:$F$42=$T6)*(0.5+0.5*('Jul 18'!$G$8:$G$42=""))+('Jul 18'!$G$8:$G$42=$T6)*0.5)*('Jul 18'!$AG$8:$AG$42="Delivered"))</f>
        <v>0</v>
      </c>
      <c r="AM6">
        <f>SUMPRODUCT((('Jul 19'!$F$8:$F$42=$T6)*(0.5+0.5*('Jul 19'!$G$8:$G$42=""))+('Jul 19'!$G$8:$G$42=$T6)*0.5)*('Jul 19'!$AG$8:$AG$42="Delivered"))</f>
        <v>0</v>
      </c>
      <c r="AN6">
        <f>SUMPRODUCT((('Jul 20'!$F$8:$F$42=$T6)*(0.5+0.5*('Jul 20'!$G$8:$G$42=""))+('Jul 20'!$G$8:$G$42=$T6)*0.5)*('Jul 20'!$AG$8:$AG$42="Delivered"))</f>
        <v>0</v>
      </c>
      <c r="AO6">
        <f>SUMPRODUCT((('Jul 21'!$F$8:$F$42=$T6)*(0.5+0.5*('Jul 21'!$G$8:$G$42=""))+('Jul 21'!$G$8:$G$42=$T6)*0.5)*('Jul 21'!$AG$8:$AG$42="Delivered"))</f>
        <v>0</v>
      </c>
      <c r="AP6">
        <f>SUMPRODUCT((('Jul 22'!$F$8:$F$42=$T6)*(0.5+0.5*('Jul 22'!$G$8:$G$42=""))+('Jul 22'!$G$8:$G$42=$T6)*0.5)*('Jul 22'!$AG$8:$AG$42="Delivered"))</f>
        <v>0</v>
      </c>
      <c r="AQ6">
        <f>SUMPRODUCT((('Jul 23'!$F$8:$F$42=$T6)*(0.5+0.5*('Jul 23'!$G$8:$G$42=""))+('Jul 23'!$G$8:$G$42=$T6)*0.5)*('Jul 23'!$AG$8:$AG$42="Delivered"))</f>
        <v>0</v>
      </c>
      <c r="AR6">
        <f>SUMPRODUCT((('Jul 24'!$F$8:$F$42=$T6)*(0.5+0.5*('Jul 24'!$G$8:$G$42=""))+('Jul 24'!$G$8:$G$42=$T6)*0.5)*('Jul 24'!$AG$8:$AG$42="Delivered"))</f>
        <v>0</v>
      </c>
      <c r="AS6">
        <f>SUMPRODUCT((('Jul 25'!$F$8:$F$42=$T6)*(0.5+0.5*('Jul 25'!$G$8:$G$42=""))+('Jul 25'!$G$8:$G$42=$T6)*0.5)*('Jul 25'!$AG$8:$AG$42="Delivered"))</f>
        <v>0</v>
      </c>
      <c r="AT6">
        <f>SUMPRODUCT((('Jul 26'!$F$8:$F$42=$T6)*(0.5+0.5*('Jul 26'!$G$8:$G$42=""))+('Jul 26'!$G$8:$G$42=$T6)*0.5)*('Jul 26'!$AG$8:$AG$42="Delivered"))</f>
        <v>0</v>
      </c>
      <c r="AU6">
        <f>SUMPRODUCT((('Jul 27'!$F$8:$F$42=$T6)*(0.5+0.5*('Jul 27'!$G$8:$G$42=""))+('Jul 27'!$G$8:$G$42=$T6)*0.5)*('Jul 27'!$AG$8:$AG$42="Delivered"))</f>
        <v>0</v>
      </c>
      <c r="AV6">
        <f>SUMPRODUCT((('Jul 28'!$F$8:$F$42=$T6)*(0.5+0.5*('Jul 28'!$G$8:$G$42=""))+('Jul 28'!$G$8:$G$42=$T6)*0.5)*('Jul 28'!$AG$8:$AG$42="Delivered"))</f>
        <v>0</v>
      </c>
      <c r="AW6">
        <f>SUMPRODUCT((('Jul 29'!$F$8:$F$42=$T6)*(0.5+0.5*('Jul 29'!$G$8:$G$42=""))+('Jul 29'!$G$8:$G$42=$T6)*0.5)*('Jul 29'!$AG$8:$AG$42="Delivered"))</f>
        <v>0</v>
      </c>
      <c r="AX6">
        <f>SUMPRODUCT((('Jul 30'!$F$8:$F$42=$T6)*(0.5+0.5*('Jul 30'!$G$8:$G$42=""))+('Jul 30'!$G$8:$G$42=$T6)*0.5)*('Jul 30'!$AG$8:$AG$42="Delivered"))</f>
        <v>0</v>
      </c>
      <c r="AY6">
        <f>SUMPRODUCT((('Jul 31'!$F$8:$F$42=$T6)*(0.5+0.5*('Jul 31'!$G$8:$G$42=""))+('Jul 31'!$G$8:$G$42=$T6)*0.5)*('Jul 31'!$AG$8:$AG$42="Delivered"))</f>
        <v>0</v>
      </c>
      <c r="BA6">
        <f t="shared" si="0"/>
        <v>0</v>
      </c>
      <c r="BB6">
        <f>MATCH(BD6,'Pay Plan'!$C$6:$C$12,1)</f>
        <v>1</v>
      </c>
      <c r="BC6">
        <f>SUMPRODUCT(('Jul 1'!$F$8:$F$42=$T6)*('Jul 1'!$AG$8:$AG$42="Delivered")*(('Jul 1'!$AM$8:$AM$42="Y")+('Jul 1'!$AN$8:$AN$42="Y")+('Jul 1'!$AO$8:$AO$42="Y")))+SUMPRODUCT(('Jul 2'!$F$8:$F$42=$T6)*('Jul 2'!$AG$8:$AG$42="Delivered")*(('Jul 2'!$AM$8:$AM$42="Y")+('Jul 2'!$AN$8:$AN$42="Y")+('Jul 2'!$AO$8:$AO$42="Y")))+SUMPRODUCT(('Jul 3'!$F$8:$F$42=$T6)*('Jul 3'!$AG$8:$AG$42="Delivered")*(('Jul 3'!$AM$8:$AM$42="Y")+('Jul 3'!$AN$8:$AN$42="Y")+('Jul 3'!$AO$8:$AO$42="Y")))+SUMPRODUCT(('Jul 4'!$F$8:$F$42=$T6)*('Jul 4'!$AG$8:$AG$42="Delivered")*(('Jul 4'!$AM$8:$AM$42="Y")+('Jul 4'!$AN$8:$AN$42="Y")+('Jul 4'!$AO$8:$AO$42="Y")))+SUMPRODUCT(('Jul 5'!$F$8:$F$42=$T6)*('Jul 5'!$AG$8:$AG$42="Delivered")*(('Jul 5'!$AM$8:$AM$42="Y")+('Jul 5'!$AN$8:$AN$42="Y")+('Jul 5'!$AO$8:$AO$42="Y")))+SUMPRODUCT(('Jul 6'!$F$8:$F$42=$T6)*('Jul 6'!$AG$8:$AG$42="Delivered")*(('Jul 6'!$AM$8:$AM$42="Y")+('Jul 6'!$AN$8:$AN$42="Y")+('Jul 6'!$AO$8:$AO$42="Y")))+SUMPRODUCT(('Jul 7'!$F$8:$F$42=$T6)*('Jul 7'!$AG$8:$AG$42="Delivered")*(('Jul 7'!$AM$8:$AM$42="Y")+('Jul 7'!$AN$8:$AN$42="Y")+('Jul 7'!$AO$8:$AO$42="Y")))+SUMPRODUCT(('Jul 8'!$F$8:$F$42=$T6)*('Jul 8'!$AG$8:$AG$42="Delivered")*(('Jul 8'!$AM$8:$AM$42="Y")+('Jul 8'!$AN$8:$AN$42="Y")+('Jul 8'!$AO$8:$AO$42="Y")))+SUMPRODUCT(('Jul 9'!$F$8:$F$42=$T6)*('Jul 9'!$AG$8:$AG$42="Delivered")*(('Jul 9'!$AM$8:$AM$42="Y")+('Jul 9'!$AN$8:$AN$42="Y")+('Jul 9'!$AO$8:$AO$42="Y")))+SUMPRODUCT(('Jul 10'!$F$8:$F$42=$T6)*('Jul 10'!$AG$8:$AG$42="Delivered")*(('Jul 10'!$AM$8:$AM$42="Y")+('Jul 10'!$AN$8:$AN$42="Y")+('Jul 10'!$AO$8:$AO$42="Y")))+SUMPRODUCT(('Jul 11'!$F$8:$F$42=$T6)*('Jul 11'!$AG$8:$AG$42="Delivered")*(('Jul 11'!$AM$8:$AM$42="Y")+('Jul 11'!$AN$8:$AN$42="Y")+('Jul 11'!$AO$8:$AO$42="Y")))+SUMPRODUCT(('Jul 12'!$F$8:$F$42=$T6)*('Jul 12'!$AG$8:$AG$42="Delivered")*(('Jul 12'!$AM$8:$AM$42="Y")+('Jul 12'!$AN$8:$AN$42="Y")+('Jul 12'!$AO$8:$AO$42="Y")))+SUMPRODUCT(('Jul 13'!$F$8:$F$42=$T6)*('Jul 13'!$AG$8:$AG$42="Delivered")*(('Jul 13'!$AM$8:$AM$42="Y")+('Jul 13'!$AN$8:$AN$42="Y")+('Jul 13'!$AO$8:$AO$42="Y")))+SUMPRODUCT(('Jul 14'!$F$8:$F$42=$T6)*('Jul 14'!$AG$8:$AG$42="Delivered")*(('Jul 14'!$AM$8:$AM$42="Y")+('Jul 14'!$AN$8:$AN$42="Y")+('Jul 14'!$AO$8:$AO$42="Y")))+SUMPRODUCT(('Jul 15'!$F$8:$F$42=$T6)*('Jul 15'!$AG$8:$AG$42="Delivered")*(('Jul 15'!$AM$8:$AM$42="Y")+('Jul 15'!$AN$8:$AN$42="Y")+('Jul 15'!$AO$8:$AO$42="Y")))+SUMPRODUCT(('Jul 16'!$F$8:$F$42=$T6)*('Jul 16'!$AG$8:$AG$42="Delivered")*(('Jul 16'!$AM$8:$AM$42="Y")+('Jul 16'!$AN$8:$AN$42="Y")+('Jul 16'!$AO$8:$AO$42="Y")))+SUMPRODUCT(('Jul 17'!$F$8:$F$42=$T6)*('Jul 17'!$AG$8:$AG$42="Delivered")*(('Jul 17'!$AM$8:$AM$42="Y")+('Jul 17'!$AN$8:$AN$42="Y")+('Jul 17'!$AO$8:$AO$42="Y")))+SUMPRODUCT(('Jul 18'!$F$8:$F$42=$T6)*('Jul 18'!$AG$8:$AG$42="Delivered")*(('Jul 18'!$AM$8:$AM$42="Y")+('Jul 18'!$AN$8:$AN$42="Y")+('Jul 18'!$AO$8:$AO$42="Y")))+SUMPRODUCT(('Jul 19'!$F$8:$F$42=$T6)*('Jul 19'!$AG$8:$AG$42="Delivered")*(('Jul 19'!$AM$8:$AM$42="Y")+('Jul 19'!$AN$8:$AN$42="Y")+('Jul 19'!$AO$8:$AO$42="Y")))+SUMPRODUCT(('Jul 20'!$F$8:$F$42=$T6)*('Jul 20'!$AG$8:$AG$42="Delivered")*(('Jul 20'!$AM$8:$AM$42="Y")+('Jul 20'!$AN$8:$AN$42="Y")+('Jul 20'!$AO$8:$AO$42="Y")))+SUMPRODUCT(('Jul 21'!$F$8:$F$42=$T6)*('Jul 21'!$AG$8:$AG$42="Delivered")*(('Jul 21'!$AM$8:$AM$42="Y")+('Jul 21'!$AN$8:$AN$42="Y")+('Jul 21'!$AO$8:$AO$42="Y")))+SUMPRODUCT(('Jul 22'!$F$8:$F$42=$T6)*('Jul 22'!$AG$8:$AG$42="Delivered")*(('Jul 22'!$AM$8:$AM$42="Y")+('Jul 22'!$AN$8:$AN$42="Y")+('Jul 22'!$AO$8:$AO$42="Y")))+SUMPRODUCT(('Jul 23'!$F$8:$F$42=$T6)*('Jul 23'!$AG$8:$AG$42="Delivered")*(('Jul 23'!$AM$8:$AM$42="Y")+('Jul 23'!$AN$8:$AN$42="Y")+('Jul 23'!$AO$8:$AO$42="Y")))+SUMPRODUCT(('Jul 24'!$F$8:$F$42=$T6)*('Jul 24'!$AG$8:$AG$42="Delivered")*(('Jul 24'!$AM$8:$AM$42="Y")+('Jul 24'!$AN$8:$AN$42="Y")+('Jul 24'!$AO$8:$AO$42="Y")))+SUMPRODUCT(('Jul 25'!$F$8:$F$42=$T6)*('Jul 25'!$AG$8:$AG$42="Delivered")*(('Jul 25'!$AM$8:$AM$42="Y")+('Jul 25'!$AN$8:$AN$42="Y")+('Jul 25'!$AO$8:$AO$42="Y")))+SUMPRODUCT(('Jul 26'!$F$8:$F$42=$T6)*('Jul 26'!$AG$8:$AG$42="Delivered")*(('Jul 26'!$AM$8:$AM$42="Y")+('Jul 26'!$AN$8:$AN$42="Y")+('Jul 26'!$AO$8:$AO$42="Y")))+SUMPRODUCT(('Jul 27'!$F$8:$F$42=$T6)*('Jul 27'!$AG$8:$AG$42="Delivered")*(('Jul 27'!$AM$8:$AM$42="Y")+('Jul 27'!$AN$8:$AN$42="Y")+('Jul 27'!$AO$8:$AO$42="Y")))+SUMPRODUCT(('Jul 28'!$F$8:$F$42=$T6)*('Jul 28'!$AG$8:$AG$42="Delivered")*(('Jul 28'!$AM$8:$AM$42="Y")+('Jul 28'!$AN$8:$AN$42="Y")+('Jul 28'!$AO$8:$AO$42="Y")))+SUMPRODUCT(('Jul 29'!$F$8:$F$42=$T6)*('Jul 29'!$AG$8:$AG$42="Delivered")*(('Jul 29'!$AM$8:$AM$42="Y")+('Jul 29'!$AN$8:$AN$42="Y")+('Jul 29'!$AO$8:$AO$42="Y")))+SUMPRODUCT(('Jul 30'!$F$8:$F$42=$T6)*('Jul 30'!$AG$8:$AG$42="Delivered")*(('Jul 30'!$AM$8:$AM$42="Y")+('Jul 30'!$AN$8:$AN$42="Y")+('Jul 30'!$AO$8:$AO$42="Y")))+SUMPRODUCT(('Jul 31'!$F$8:$F$42=$T6)*('Jul 31'!$AG$8:$AG$42="Delivered")*(('Jul 31'!$AM$8:$AM$42="Y")+('Jul 31'!$AN$8:$AN$42="Y")+('Jul 31'!$AO$8:$AO$42="Y")))</f>
        <v>0</v>
      </c>
      <c r="BD6">
        <f t="shared" si="1"/>
        <v>0</v>
      </c>
      <c r="BE6">
        <f t="shared" si="2"/>
        <v>0</v>
      </c>
      <c r="BF6">
        <f t="shared" si="3"/>
        <v>0</v>
      </c>
      <c r="BH6">
        <f>MIN(BF4:BF19)</f>
        <v>0</v>
      </c>
    </row>
    <row r="7" spans="1:60" ht="14.45" customHeight="1" x14ac:dyDescent="0.25">
      <c r="A7" s="51">
        <v>1</v>
      </c>
      <c r="B7" s="52" t="str">
        <f t="shared" ref="B7:B22" si="4">$T4</f>
        <v>FEDY ALI</v>
      </c>
      <c r="C7" s="53">
        <f t="shared" ref="C7:C22" si="5">BD4</f>
        <v>0</v>
      </c>
      <c r="D7" s="54">
        <f t="shared" ref="D7:D22" si="6">BE4</f>
        <v>0</v>
      </c>
      <c r="E7" s="54" t="str">
        <f t="shared" ref="E7:E22" si="7">IF(BD4=0,"—",BE4/BD4)</f>
        <v>—</v>
      </c>
      <c r="F7" s="51" t="str">
        <f>IF(BD4=0,"—",INDEX('Pay Plan'!$B$6:$B$12,BB4))</f>
        <v>—</v>
      </c>
      <c r="G7" s="54">
        <f t="shared" ref="G7:G22" si="8">BF4</f>
        <v>0</v>
      </c>
      <c r="H7" s="54">
        <f>LOOKUP(BD4,'Pay Plan'!$B$15:$B$20,'Pay Plan'!$C$15:$C$20)</f>
        <v>0</v>
      </c>
      <c r="I7" s="54">
        <f>LOOKUP(BA4,'Pay Plan'!$E$15:$E$19,'Pay Plan'!$F$15:$F$19)</f>
        <v>0</v>
      </c>
      <c r="J7" s="54">
        <f>BC4*'Pay Plan'!$I$15</f>
        <v>0</v>
      </c>
      <c r="K7" s="130">
        <f t="shared" ref="K7:K22" si="9">G7+H7+I7+J7</f>
        <v>0</v>
      </c>
      <c r="L7" s="111"/>
      <c r="M7" s="111"/>
      <c r="N7" s="55"/>
      <c r="O7" s="130">
        <f t="shared" ref="O7:O22" si="10">K7-N7</f>
        <v>0</v>
      </c>
      <c r="P7" s="111"/>
      <c r="Q7" s="111"/>
      <c r="R7" s="111"/>
      <c r="T7" t="s">
        <v>93</v>
      </c>
      <c r="U7">
        <f>SUMPRODUCT((('Jul 1'!$F$8:$F$42=$T7)*(0.5+0.5*('Jul 1'!$G$8:$G$42=""))+('Jul 1'!$G$8:$G$42=$T7)*0.5)*('Jul 1'!$AG$8:$AG$42="Delivered"))</f>
        <v>0</v>
      </c>
      <c r="V7">
        <f>SUMPRODUCT((('Jul 2'!$F$8:$F$42=$T7)*(0.5+0.5*('Jul 2'!$G$8:$G$42=""))+('Jul 2'!$G$8:$G$42=$T7)*0.5)*('Jul 2'!$AG$8:$AG$42="Delivered"))</f>
        <v>0</v>
      </c>
      <c r="W7">
        <f>SUMPRODUCT((('Jul 3'!$F$8:$F$42=$T7)*(0.5+0.5*('Jul 3'!$G$8:$G$42=""))+('Jul 3'!$G$8:$G$42=$T7)*0.5)*('Jul 3'!$AG$8:$AG$42="Delivered"))</f>
        <v>0</v>
      </c>
      <c r="X7">
        <f>SUMPRODUCT((('Jul 4'!$F$8:$F$42=$T7)*(0.5+0.5*('Jul 4'!$G$8:$G$42=""))+('Jul 4'!$G$8:$G$42=$T7)*0.5)*('Jul 4'!$AG$8:$AG$42="Delivered"))</f>
        <v>0</v>
      </c>
      <c r="Y7">
        <f>SUMPRODUCT((('Jul 5'!$F$8:$F$42=$T7)*(0.5+0.5*('Jul 5'!$G$8:$G$42=""))+('Jul 5'!$G$8:$G$42=$T7)*0.5)*('Jul 5'!$AG$8:$AG$42="Delivered"))</f>
        <v>0</v>
      </c>
      <c r="Z7">
        <f>SUMPRODUCT((('Jul 6'!$F$8:$F$42=$T7)*(0.5+0.5*('Jul 6'!$G$8:$G$42=""))+('Jul 6'!$G$8:$G$42=$T7)*0.5)*('Jul 6'!$AG$8:$AG$42="Delivered"))</f>
        <v>0</v>
      </c>
      <c r="AA7">
        <f>SUMPRODUCT((('Jul 7'!$F$8:$F$42=$T7)*(0.5+0.5*('Jul 7'!$G$8:$G$42=""))+('Jul 7'!$G$8:$G$42=$T7)*0.5)*('Jul 7'!$AG$8:$AG$42="Delivered"))</f>
        <v>0</v>
      </c>
      <c r="AB7">
        <f>SUMPRODUCT((('Jul 8'!$F$8:$F$42=$T7)*(0.5+0.5*('Jul 8'!$G$8:$G$42=""))+('Jul 8'!$G$8:$G$42=$T7)*0.5)*('Jul 8'!$AG$8:$AG$42="Delivered"))</f>
        <v>0</v>
      </c>
      <c r="AC7">
        <f>SUMPRODUCT((('Jul 9'!$F$8:$F$42=$T7)*(0.5+0.5*('Jul 9'!$G$8:$G$42=""))+('Jul 9'!$G$8:$G$42=$T7)*0.5)*('Jul 9'!$AG$8:$AG$42="Delivered"))</f>
        <v>0</v>
      </c>
      <c r="AD7">
        <f>SUMPRODUCT((('Jul 10'!$F$8:$F$42=$T7)*(0.5+0.5*('Jul 10'!$G$8:$G$42=""))+('Jul 10'!$G$8:$G$42=$T7)*0.5)*('Jul 10'!$AG$8:$AG$42="Delivered"))</f>
        <v>0</v>
      </c>
      <c r="AE7">
        <f>SUMPRODUCT((('Jul 11'!$F$8:$F$42=$T7)*(0.5+0.5*('Jul 11'!$G$8:$G$42=""))+('Jul 11'!$G$8:$G$42=$T7)*0.5)*('Jul 11'!$AG$8:$AG$42="Delivered"))</f>
        <v>0</v>
      </c>
      <c r="AF7">
        <f>SUMPRODUCT((('Jul 12'!$F$8:$F$42=$T7)*(0.5+0.5*('Jul 12'!$G$8:$G$42=""))+('Jul 12'!$G$8:$G$42=$T7)*0.5)*('Jul 12'!$AG$8:$AG$42="Delivered"))</f>
        <v>0</v>
      </c>
      <c r="AG7">
        <f>SUMPRODUCT((('Jul 13'!$F$8:$F$42=$T7)*(0.5+0.5*('Jul 13'!$G$8:$G$42=""))+('Jul 13'!$G$8:$G$42=$T7)*0.5)*('Jul 13'!$AG$8:$AG$42="Delivered"))</f>
        <v>0</v>
      </c>
      <c r="AH7">
        <f>SUMPRODUCT((('Jul 14'!$F$8:$F$42=$T7)*(0.5+0.5*('Jul 14'!$G$8:$G$42=""))+('Jul 14'!$G$8:$G$42=$T7)*0.5)*('Jul 14'!$AG$8:$AG$42="Delivered"))</f>
        <v>0</v>
      </c>
      <c r="AI7">
        <f>SUMPRODUCT((('Jul 15'!$F$8:$F$42=$T7)*(0.5+0.5*('Jul 15'!$G$8:$G$42=""))+('Jul 15'!$G$8:$G$42=$T7)*0.5)*('Jul 15'!$AG$8:$AG$42="Delivered"))</f>
        <v>0</v>
      </c>
      <c r="AJ7">
        <f>SUMPRODUCT((('Jul 16'!$F$8:$F$42=$T7)*(0.5+0.5*('Jul 16'!$G$8:$G$42=""))+('Jul 16'!$G$8:$G$42=$T7)*0.5)*('Jul 16'!$AG$8:$AG$42="Delivered"))</f>
        <v>0</v>
      </c>
      <c r="AK7">
        <f>SUMPRODUCT((('Jul 17'!$F$8:$F$42=$T7)*(0.5+0.5*('Jul 17'!$G$8:$G$42=""))+('Jul 17'!$G$8:$G$42=$T7)*0.5)*('Jul 17'!$AG$8:$AG$42="Delivered"))</f>
        <v>0</v>
      </c>
      <c r="AL7">
        <f>SUMPRODUCT((('Jul 18'!$F$8:$F$42=$T7)*(0.5+0.5*('Jul 18'!$G$8:$G$42=""))+('Jul 18'!$G$8:$G$42=$T7)*0.5)*('Jul 18'!$AG$8:$AG$42="Delivered"))</f>
        <v>0</v>
      </c>
      <c r="AM7">
        <f>SUMPRODUCT((('Jul 19'!$F$8:$F$42=$T7)*(0.5+0.5*('Jul 19'!$G$8:$G$42=""))+('Jul 19'!$G$8:$G$42=$T7)*0.5)*('Jul 19'!$AG$8:$AG$42="Delivered"))</f>
        <v>0</v>
      </c>
      <c r="AN7">
        <f>SUMPRODUCT((('Jul 20'!$F$8:$F$42=$T7)*(0.5+0.5*('Jul 20'!$G$8:$G$42=""))+('Jul 20'!$G$8:$G$42=$T7)*0.5)*('Jul 20'!$AG$8:$AG$42="Delivered"))</f>
        <v>0</v>
      </c>
      <c r="AO7">
        <f>SUMPRODUCT((('Jul 21'!$F$8:$F$42=$T7)*(0.5+0.5*('Jul 21'!$G$8:$G$42=""))+('Jul 21'!$G$8:$G$42=$T7)*0.5)*('Jul 21'!$AG$8:$AG$42="Delivered"))</f>
        <v>0</v>
      </c>
      <c r="AP7">
        <f>SUMPRODUCT((('Jul 22'!$F$8:$F$42=$T7)*(0.5+0.5*('Jul 22'!$G$8:$G$42=""))+('Jul 22'!$G$8:$G$42=$T7)*0.5)*('Jul 22'!$AG$8:$AG$42="Delivered"))</f>
        <v>0</v>
      </c>
      <c r="AQ7">
        <f>SUMPRODUCT((('Jul 23'!$F$8:$F$42=$T7)*(0.5+0.5*('Jul 23'!$G$8:$G$42=""))+('Jul 23'!$G$8:$G$42=$T7)*0.5)*('Jul 23'!$AG$8:$AG$42="Delivered"))</f>
        <v>0</v>
      </c>
      <c r="AR7">
        <f>SUMPRODUCT((('Jul 24'!$F$8:$F$42=$T7)*(0.5+0.5*('Jul 24'!$G$8:$G$42=""))+('Jul 24'!$G$8:$G$42=$T7)*0.5)*('Jul 24'!$AG$8:$AG$42="Delivered"))</f>
        <v>0</v>
      </c>
      <c r="AS7">
        <f>SUMPRODUCT((('Jul 25'!$F$8:$F$42=$T7)*(0.5+0.5*('Jul 25'!$G$8:$G$42=""))+('Jul 25'!$G$8:$G$42=$T7)*0.5)*('Jul 25'!$AG$8:$AG$42="Delivered"))</f>
        <v>0</v>
      </c>
      <c r="AT7">
        <f>SUMPRODUCT((('Jul 26'!$F$8:$F$42=$T7)*(0.5+0.5*('Jul 26'!$G$8:$G$42=""))+('Jul 26'!$G$8:$G$42=$T7)*0.5)*('Jul 26'!$AG$8:$AG$42="Delivered"))</f>
        <v>0</v>
      </c>
      <c r="AU7">
        <f>SUMPRODUCT((('Jul 27'!$F$8:$F$42=$T7)*(0.5+0.5*('Jul 27'!$G$8:$G$42=""))+('Jul 27'!$G$8:$G$42=$T7)*0.5)*('Jul 27'!$AG$8:$AG$42="Delivered"))</f>
        <v>0</v>
      </c>
      <c r="AV7">
        <f>SUMPRODUCT((('Jul 28'!$F$8:$F$42=$T7)*(0.5+0.5*('Jul 28'!$G$8:$G$42=""))+('Jul 28'!$G$8:$G$42=$T7)*0.5)*('Jul 28'!$AG$8:$AG$42="Delivered"))</f>
        <v>0</v>
      </c>
      <c r="AW7">
        <f>SUMPRODUCT((('Jul 29'!$F$8:$F$42=$T7)*(0.5+0.5*('Jul 29'!$G$8:$G$42=""))+('Jul 29'!$G$8:$G$42=$T7)*0.5)*('Jul 29'!$AG$8:$AG$42="Delivered"))</f>
        <v>0</v>
      </c>
      <c r="AX7">
        <f>SUMPRODUCT((('Jul 30'!$F$8:$F$42=$T7)*(0.5+0.5*('Jul 30'!$G$8:$G$42=""))+('Jul 30'!$G$8:$G$42=$T7)*0.5)*('Jul 30'!$AG$8:$AG$42="Delivered"))</f>
        <v>0</v>
      </c>
      <c r="AY7">
        <f>SUMPRODUCT((('Jul 31'!$F$8:$F$42=$T7)*(0.5+0.5*('Jul 31'!$G$8:$G$42=""))+('Jul 31'!$G$8:$G$42=$T7)*0.5)*('Jul 31'!$AG$8:$AG$42="Delivered"))</f>
        <v>0</v>
      </c>
      <c r="BA7">
        <f t="shared" si="0"/>
        <v>0</v>
      </c>
      <c r="BB7">
        <f>MATCH(BD7,'Pay Plan'!$C$6:$C$12,1)</f>
        <v>1</v>
      </c>
      <c r="BC7">
        <f>SUMPRODUCT(('Jul 1'!$F$8:$F$42=$T7)*('Jul 1'!$AG$8:$AG$42="Delivered")*(('Jul 1'!$AM$8:$AM$42="Y")+('Jul 1'!$AN$8:$AN$42="Y")+('Jul 1'!$AO$8:$AO$42="Y")))+SUMPRODUCT(('Jul 2'!$F$8:$F$42=$T7)*('Jul 2'!$AG$8:$AG$42="Delivered")*(('Jul 2'!$AM$8:$AM$42="Y")+('Jul 2'!$AN$8:$AN$42="Y")+('Jul 2'!$AO$8:$AO$42="Y")))+SUMPRODUCT(('Jul 3'!$F$8:$F$42=$T7)*('Jul 3'!$AG$8:$AG$42="Delivered")*(('Jul 3'!$AM$8:$AM$42="Y")+('Jul 3'!$AN$8:$AN$42="Y")+('Jul 3'!$AO$8:$AO$42="Y")))+SUMPRODUCT(('Jul 4'!$F$8:$F$42=$T7)*('Jul 4'!$AG$8:$AG$42="Delivered")*(('Jul 4'!$AM$8:$AM$42="Y")+('Jul 4'!$AN$8:$AN$42="Y")+('Jul 4'!$AO$8:$AO$42="Y")))+SUMPRODUCT(('Jul 5'!$F$8:$F$42=$T7)*('Jul 5'!$AG$8:$AG$42="Delivered")*(('Jul 5'!$AM$8:$AM$42="Y")+('Jul 5'!$AN$8:$AN$42="Y")+('Jul 5'!$AO$8:$AO$42="Y")))+SUMPRODUCT(('Jul 6'!$F$8:$F$42=$T7)*('Jul 6'!$AG$8:$AG$42="Delivered")*(('Jul 6'!$AM$8:$AM$42="Y")+('Jul 6'!$AN$8:$AN$42="Y")+('Jul 6'!$AO$8:$AO$42="Y")))+SUMPRODUCT(('Jul 7'!$F$8:$F$42=$T7)*('Jul 7'!$AG$8:$AG$42="Delivered")*(('Jul 7'!$AM$8:$AM$42="Y")+('Jul 7'!$AN$8:$AN$42="Y")+('Jul 7'!$AO$8:$AO$42="Y")))+SUMPRODUCT(('Jul 8'!$F$8:$F$42=$T7)*('Jul 8'!$AG$8:$AG$42="Delivered")*(('Jul 8'!$AM$8:$AM$42="Y")+('Jul 8'!$AN$8:$AN$42="Y")+('Jul 8'!$AO$8:$AO$42="Y")))+SUMPRODUCT(('Jul 9'!$F$8:$F$42=$T7)*('Jul 9'!$AG$8:$AG$42="Delivered")*(('Jul 9'!$AM$8:$AM$42="Y")+('Jul 9'!$AN$8:$AN$42="Y")+('Jul 9'!$AO$8:$AO$42="Y")))+SUMPRODUCT(('Jul 10'!$F$8:$F$42=$T7)*('Jul 10'!$AG$8:$AG$42="Delivered")*(('Jul 10'!$AM$8:$AM$42="Y")+('Jul 10'!$AN$8:$AN$42="Y")+('Jul 10'!$AO$8:$AO$42="Y")))+SUMPRODUCT(('Jul 11'!$F$8:$F$42=$T7)*('Jul 11'!$AG$8:$AG$42="Delivered")*(('Jul 11'!$AM$8:$AM$42="Y")+('Jul 11'!$AN$8:$AN$42="Y")+('Jul 11'!$AO$8:$AO$42="Y")))+SUMPRODUCT(('Jul 12'!$F$8:$F$42=$T7)*('Jul 12'!$AG$8:$AG$42="Delivered")*(('Jul 12'!$AM$8:$AM$42="Y")+('Jul 12'!$AN$8:$AN$42="Y")+('Jul 12'!$AO$8:$AO$42="Y")))+SUMPRODUCT(('Jul 13'!$F$8:$F$42=$T7)*('Jul 13'!$AG$8:$AG$42="Delivered")*(('Jul 13'!$AM$8:$AM$42="Y")+('Jul 13'!$AN$8:$AN$42="Y")+('Jul 13'!$AO$8:$AO$42="Y")))+SUMPRODUCT(('Jul 14'!$F$8:$F$42=$T7)*('Jul 14'!$AG$8:$AG$42="Delivered")*(('Jul 14'!$AM$8:$AM$42="Y")+('Jul 14'!$AN$8:$AN$42="Y")+('Jul 14'!$AO$8:$AO$42="Y")))+SUMPRODUCT(('Jul 15'!$F$8:$F$42=$T7)*('Jul 15'!$AG$8:$AG$42="Delivered")*(('Jul 15'!$AM$8:$AM$42="Y")+('Jul 15'!$AN$8:$AN$42="Y")+('Jul 15'!$AO$8:$AO$42="Y")))+SUMPRODUCT(('Jul 16'!$F$8:$F$42=$T7)*('Jul 16'!$AG$8:$AG$42="Delivered")*(('Jul 16'!$AM$8:$AM$42="Y")+('Jul 16'!$AN$8:$AN$42="Y")+('Jul 16'!$AO$8:$AO$42="Y")))+SUMPRODUCT(('Jul 17'!$F$8:$F$42=$T7)*('Jul 17'!$AG$8:$AG$42="Delivered")*(('Jul 17'!$AM$8:$AM$42="Y")+('Jul 17'!$AN$8:$AN$42="Y")+('Jul 17'!$AO$8:$AO$42="Y")))+SUMPRODUCT(('Jul 18'!$F$8:$F$42=$T7)*('Jul 18'!$AG$8:$AG$42="Delivered")*(('Jul 18'!$AM$8:$AM$42="Y")+('Jul 18'!$AN$8:$AN$42="Y")+('Jul 18'!$AO$8:$AO$42="Y")))+SUMPRODUCT(('Jul 19'!$F$8:$F$42=$T7)*('Jul 19'!$AG$8:$AG$42="Delivered")*(('Jul 19'!$AM$8:$AM$42="Y")+('Jul 19'!$AN$8:$AN$42="Y")+('Jul 19'!$AO$8:$AO$42="Y")))+SUMPRODUCT(('Jul 20'!$F$8:$F$42=$T7)*('Jul 20'!$AG$8:$AG$42="Delivered")*(('Jul 20'!$AM$8:$AM$42="Y")+('Jul 20'!$AN$8:$AN$42="Y")+('Jul 20'!$AO$8:$AO$42="Y")))+SUMPRODUCT(('Jul 21'!$F$8:$F$42=$T7)*('Jul 21'!$AG$8:$AG$42="Delivered")*(('Jul 21'!$AM$8:$AM$42="Y")+('Jul 21'!$AN$8:$AN$42="Y")+('Jul 21'!$AO$8:$AO$42="Y")))+SUMPRODUCT(('Jul 22'!$F$8:$F$42=$T7)*('Jul 22'!$AG$8:$AG$42="Delivered")*(('Jul 22'!$AM$8:$AM$42="Y")+('Jul 22'!$AN$8:$AN$42="Y")+('Jul 22'!$AO$8:$AO$42="Y")))+SUMPRODUCT(('Jul 23'!$F$8:$F$42=$T7)*('Jul 23'!$AG$8:$AG$42="Delivered")*(('Jul 23'!$AM$8:$AM$42="Y")+('Jul 23'!$AN$8:$AN$42="Y")+('Jul 23'!$AO$8:$AO$42="Y")))+SUMPRODUCT(('Jul 24'!$F$8:$F$42=$T7)*('Jul 24'!$AG$8:$AG$42="Delivered")*(('Jul 24'!$AM$8:$AM$42="Y")+('Jul 24'!$AN$8:$AN$42="Y")+('Jul 24'!$AO$8:$AO$42="Y")))+SUMPRODUCT(('Jul 25'!$F$8:$F$42=$T7)*('Jul 25'!$AG$8:$AG$42="Delivered")*(('Jul 25'!$AM$8:$AM$42="Y")+('Jul 25'!$AN$8:$AN$42="Y")+('Jul 25'!$AO$8:$AO$42="Y")))+SUMPRODUCT(('Jul 26'!$F$8:$F$42=$T7)*('Jul 26'!$AG$8:$AG$42="Delivered")*(('Jul 26'!$AM$8:$AM$42="Y")+('Jul 26'!$AN$8:$AN$42="Y")+('Jul 26'!$AO$8:$AO$42="Y")))+SUMPRODUCT(('Jul 27'!$F$8:$F$42=$T7)*('Jul 27'!$AG$8:$AG$42="Delivered")*(('Jul 27'!$AM$8:$AM$42="Y")+('Jul 27'!$AN$8:$AN$42="Y")+('Jul 27'!$AO$8:$AO$42="Y")))+SUMPRODUCT(('Jul 28'!$F$8:$F$42=$T7)*('Jul 28'!$AG$8:$AG$42="Delivered")*(('Jul 28'!$AM$8:$AM$42="Y")+('Jul 28'!$AN$8:$AN$42="Y")+('Jul 28'!$AO$8:$AO$42="Y")))+SUMPRODUCT(('Jul 29'!$F$8:$F$42=$T7)*('Jul 29'!$AG$8:$AG$42="Delivered")*(('Jul 29'!$AM$8:$AM$42="Y")+('Jul 29'!$AN$8:$AN$42="Y")+('Jul 29'!$AO$8:$AO$42="Y")))+SUMPRODUCT(('Jul 30'!$F$8:$F$42=$T7)*('Jul 30'!$AG$8:$AG$42="Delivered")*(('Jul 30'!$AM$8:$AM$42="Y")+('Jul 30'!$AN$8:$AN$42="Y")+('Jul 30'!$AO$8:$AO$42="Y")))+SUMPRODUCT(('Jul 31'!$F$8:$F$42=$T7)*('Jul 31'!$AG$8:$AG$42="Delivered")*(('Jul 31'!$AM$8:$AM$42="Y")+('Jul 31'!$AN$8:$AN$42="Y")+('Jul 31'!$AO$8:$AO$42="Y")))</f>
        <v>0</v>
      </c>
      <c r="BD7">
        <f t="shared" si="1"/>
        <v>0</v>
      </c>
      <c r="BE7">
        <f t="shared" si="2"/>
        <v>0</v>
      </c>
      <c r="BF7">
        <f t="shared" si="3"/>
        <v>0</v>
      </c>
      <c r="BH7">
        <f>MIN(BD4:BD19)</f>
        <v>0</v>
      </c>
    </row>
    <row r="8" spans="1:60" ht="14.45" customHeight="1" x14ac:dyDescent="0.25">
      <c r="A8" s="56">
        <v>2</v>
      </c>
      <c r="B8" s="57" t="str">
        <f t="shared" si="4"/>
        <v>CHAD EMBRY</v>
      </c>
      <c r="C8" s="58">
        <f t="shared" si="5"/>
        <v>0</v>
      </c>
      <c r="D8" s="59">
        <f t="shared" si="6"/>
        <v>0</v>
      </c>
      <c r="E8" s="59" t="str">
        <f t="shared" si="7"/>
        <v>—</v>
      </c>
      <c r="F8" s="56" t="str">
        <f>IF(BD5=0,"—",INDEX('Pay Plan'!$B$6:$B$12,BB5))</f>
        <v>—</v>
      </c>
      <c r="G8" s="59">
        <f t="shared" si="8"/>
        <v>0</v>
      </c>
      <c r="H8" s="59">
        <f>LOOKUP(BD5,'Pay Plan'!$B$15:$B$20,'Pay Plan'!$C$15:$C$20)</f>
        <v>0</v>
      </c>
      <c r="I8" s="59">
        <f>LOOKUP(BA5,'Pay Plan'!$E$15:$E$19,'Pay Plan'!$F$15:$F$19)</f>
        <v>0</v>
      </c>
      <c r="J8" s="59">
        <f>BC5*'Pay Plan'!$I$15</f>
        <v>0</v>
      </c>
      <c r="K8" s="131">
        <f t="shared" si="9"/>
        <v>0</v>
      </c>
      <c r="L8" s="111"/>
      <c r="M8" s="111"/>
      <c r="N8" s="55"/>
      <c r="O8" s="131">
        <f t="shared" si="10"/>
        <v>0</v>
      </c>
      <c r="P8" s="111"/>
      <c r="Q8" s="111"/>
      <c r="R8" s="111"/>
      <c r="T8" t="s">
        <v>94</v>
      </c>
      <c r="U8">
        <f>SUMPRODUCT((('Jul 1'!$F$8:$F$42=$T8)*(0.5+0.5*('Jul 1'!$G$8:$G$42=""))+('Jul 1'!$G$8:$G$42=$T8)*0.5)*('Jul 1'!$AG$8:$AG$42="Delivered"))</f>
        <v>0</v>
      </c>
      <c r="V8">
        <f>SUMPRODUCT((('Jul 2'!$F$8:$F$42=$T8)*(0.5+0.5*('Jul 2'!$G$8:$G$42=""))+('Jul 2'!$G$8:$G$42=$T8)*0.5)*('Jul 2'!$AG$8:$AG$42="Delivered"))</f>
        <v>0</v>
      </c>
      <c r="W8">
        <f>SUMPRODUCT((('Jul 3'!$F$8:$F$42=$T8)*(0.5+0.5*('Jul 3'!$G$8:$G$42=""))+('Jul 3'!$G$8:$G$42=$T8)*0.5)*('Jul 3'!$AG$8:$AG$42="Delivered"))</f>
        <v>0</v>
      </c>
      <c r="X8">
        <f>SUMPRODUCT((('Jul 4'!$F$8:$F$42=$T8)*(0.5+0.5*('Jul 4'!$G$8:$G$42=""))+('Jul 4'!$G$8:$G$42=$T8)*0.5)*('Jul 4'!$AG$8:$AG$42="Delivered"))</f>
        <v>0</v>
      </c>
      <c r="Y8">
        <f>SUMPRODUCT((('Jul 5'!$F$8:$F$42=$T8)*(0.5+0.5*('Jul 5'!$G$8:$G$42=""))+('Jul 5'!$G$8:$G$42=$T8)*0.5)*('Jul 5'!$AG$8:$AG$42="Delivered"))</f>
        <v>0</v>
      </c>
      <c r="Z8">
        <f>SUMPRODUCT((('Jul 6'!$F$8:$F$42=$T8)*(0.5+0.5*('Jul 6'!$G$8:$G$42=""))+('Jul 6'!$G$8:$G$42=$T8)*0.5)*('Jul 6'!$AG$8:$AG$42="Delivered"))</f>
        <v>0</v>
      </c>
      <c r="AA8">
        <f>SUMPRODUCT((('Jul 7'!$F$8:$F$42=$T8)*(0.5+0.5*('Jul 7'!$G$8:$G$42=""))+('Jul 7'!$G$8:$G$42=$T8)*0.5)*('Jul 7'!$AG$8:$AG$42="Delivered"))</f>
        <v>0</v>
      </c>
      <c r="AB8">
        <f>SUMPRODUCT((('Jul 8'!$F$8:$F$42=$T8)*(0.5+0.5*('Jul 8'!$G$8:$G$42=""))+('Jul 8'!$G$8:$G$42=$T8)*0.5)*('Jul 8'!$AG$8:$AG$42="Delivered"))</f>
        <v>0</v>
      </c>
      <c r="AC8">
        <f>SUMPRODUCT((('Jul 9'!$F$8:$F$42=$T8)*(0.5+0.5*('Jul 9'!$G$8:$G$42=""))+('Jul 9'!$G$8:$G$42=$T8)*0.5)*('Jul 9'!$AG$8:$AG$42="Delivered"))</f>
        <v>0</v>
      </c>
      <c r="AD8">
        <f>SUMPRODUCT((('Jul 10'!$F$8:$F$42=$T8)*(0.5+0.5*('Jul 10'!$G$8:$G$42=""))+('Jul 10'!$G$8:$G$42=$T8)*0.5)*('Jul 10'!$AG$8:$AG$42="Delivered"))</f>
        <v>0</v>
      </c>
      <c r="AE8">
        <f>SUMPRODUCT((('Jul 11'!$F$8:$F$42=$T8)*(0.5+0.5*('Jul 11'!$G$8:$G$42=""))+('Jul 11'!$G$8:$G$42=$T8)*0.5)*('Jul 11'!$AG$8:$AG$42="Delivered"))</f>
        <v>0</v>
      </c>
      <c r="AF8">
        <f>SUMPRODUCT((('Jul 12'!$F$8:$F$42=$T8)*(0.5+0.5*('Jul 12'!$G$8:$G$42=""))+('Jul 12'!$G$8:$G$42=$T8)*0.5)*('Jul 12'!$AG$8:$AG$42="Delivered"))</f>
        <v>0</v>
      </c>
      <c r="AG8">
        <f>SUMPRODUCT((('Jul 13'!$F$8:$F$42=$T8)*(0.5+0.5*('Jul 13'!$G$8:$G$42=""))+('Jul 13'!$G$8:$G$42=$T8)*0.5)*('Jul 13'!$AG$8:$AG$42="Delivered"))</f>
        <v>0</v>
      </c>
      <c r="AH8">
        <f>SUMPRODUCT((('Jul 14'!$F$8:$F$42=$T8)*(0.5+0.5*('Jul 14'!$G$8:$G$42=""))+('Jul 14'!$G$8:$G$42=$T8)*0.5)*('Jul 14'!$AG$8:$AG$42="Delivered"))</f>
        <v>0</v>
      </c>
      <c r="AI8">
        <f>SUMPRODUCT((('Jul 15'!$F$8:$F$42=$T8)*(0.5+0.5*('Jul 15'!$G$8:$G$42=""))+('Jul 15'!$G$8:$G$42=$T8)*0.5)*('Jul 15'!$AG$8:$AG$42="Delivered"))</f>
        <v>0</v>
      </c>
      <c r="AJ8">
        <f>SUMPRODUCT((('Jul 16'!$F$8:$F$42=$T8)*(0.5+0.5*('Jul 16'!$G$8:$G$42=""))+('Jul 16'!$G$8:$G$42=$T8)*0.5)*('Jul 16'!$AG$8:$AG$42="Delivered"))</f>
        <v>0</v>
      </c>
      <c r="AK8">
        <f>SUMPRODUCT((('Jul 17'!$F$8:$F$42=$T8)*(0.5+0.5*('Jul 17'!$G$8:$G$42=""))+('Jul 17'!$G$8:$G$42=$T8)*0.5)*('Jul 17'!$AG$8:$AG$42="Delivered"))</f>
        <v>0</v>
      </c>
      <c r="AL8">
        <f>SUMPRODUCT((('Jul 18'!$F$8:$F$42=$T8)*(0.5+0.5*('Jul 18'!$G$8:$G$42=""))+('Jul 18'!$G$8:$G$42=$T8)*0.5)*('Jul 18'!$AG$8:$AG$42="Delivered"))</f>
        <v>0</v>
      </c>
      <c r="AM8">
        <f>SUMPRODUCT((('Jul 19'!$F$8:$F$42=$T8)*(0.5+0.5*('Jul 19'!$G$8:$G$42=""))+('Jul 19'!$G$8:$G$42=$T8)*0.5)*('Jul 19'!$AG$8:$AG$42="Delivered"))</f>
        <v>0</v>
      </c>
      <c r="AN8">
        <f>SUMPRODUCT((('Jul 20'!$F$8:$F$42=$T8)*(0.5+0.5*('Jul 20'!$G$8:$G$42=""))+('Jul 20'!$G$8:$G$42=$T8)*0.5)*('Jul 20'!$AG$8:$AG$42="Delivered"))</f>
        <v>0</v>
      </c>
      <c r="AO8">
        <f>SUMPRODUCT((('Jul 21'!$F$8:$F$42=$T8)*(0.5+0.5*('Jul 21'!$G$8:$G$42=""))+('Jul 21'!$G$8:$G$42=$T8)*0.5)*('Jul 21'!$AG$8:$AG$42="Delivered"))</f>
        <v>0</v>
      </c>
      <c r="AP8">
        <f>SUMPRODUCT((('Jul 22'!$F$8:$F$42=$T8)*(0.5+0.5*('Jul 22'!$G$8:$G$42=""))+('Jul 22'!$G$8:$G$42=$T8)*0.5)*('Jul 22'!$AG$8:$AG$42="Delivered"))</f>
        <v>0</v>
      </c>
      <c r="AQ8">
        <f>SUMPRODUCT((('Jul 23'!$F$8:$F$42=$T8)*(0.5+0.5*('Jul 23'!$G$8:$G$42=""))+('Jul 23'!$G$8:$G$42=$T8)*0.5)*('Jul 23'!$AG$8:$AG$42="Delivered"))</f>
        <v>0</v>
      </c>
      <c r="AR8">
        <f>SUMPRODUCT((('Jul 24'!$F$8:$F$42=$T8)*(0.5+0.5*('Jul 24'!$G$8:$G$42=""))+('Jul 24'!$G$8:$G$42=$T8)*0.5)*('Jul 24'!$AG$8:$AG$42="Delivered"))</f>
        <v>0</v>
      </c>
      <c r="AS8">
        <f>SUMPRODUCT((('Jul 25'!$F$8:$F$42=$T8)*(0.5+0.5*('Jul 25'!$G$8:$G$42=""))+('Jul 25'!$G$8:$G$42=$T8)*0.5)*('Jul 25'!$AG$8:$AG$42="Delivered"))</f>
        <v>0</v>
      </c>
      <c r="AT8">
        <f>SUMPRODUCT((('Jul 26'!$F$8:$F$42=$T8)*(0.5+0.5*('Jul 26'!$G$8:$G$42=""))+('Jul 26'!$G$8:$G$42=$T8)*0.5)*('Jul 26'!$AG$8:$AG$42="Delivered"))</f>
        <v>0</v>
      </c>
      <c r="AU8">
        <f>SUMPRODUCT((('Jul 27'!$F$8:$F$42=$T8)*(0.5+0.5*('Jul 27'!$G$8:$G$42=""))+('Jul 27'!$G$8:$G$42=$T8)*0.5)*('Jul 27'!$AG$8:$AG$42="Delivered"))</f>
        <v>0</v>
      </c>
      <c r="AV8">
        <f>SUMPRODUCT((('Jul 28'!$F$8:$F$42=$T8)*(0.5+0.5*('Jul 28'!$G$8:$G$42=""))+('Jul 28'!$G$8:$G$42=$T8)*0.5)*('Jul 28'!$AG$8:$AG$42="Delivered"))</f>
        <v>0</v>
      </c>
      <c r="AW8">
        <f>SUMPRODUCT((('Jul 29'!$F$8:$F$42=$T8)*(0.5+0.5*('Jul 29'!$G$8:$G$42=""))+('Jul 29'!$G$8:$G$42=$T8)*0.5)*('Jul 29'!$AG$8:$AG$42="Delivered"))</f>
        <v>0</v>
      </c>
      <c r="AX8">
        <f>SUMPRODUCT((('Jul 30'!$F$8:$F$42=$T8)*(0.5+0.5*('Jul 30'!$G$8:$G$42=""))+('Jul 30'!$G$8:$G$42=$T8)*0.5)*('Jul 30'!$AG$8:$AG$42="Delivered"))</f>
        <v>0</v>
      </c>
      <c r="AY8">
        <f>SUMPRODUCT((('Jul 31'!$F$8:$F$42=$T8)*(0.5+0.5*('Jul 31'!$G$8:$G$42=""))+('Jul 31'!$G$8:$G$42=$T8)*0.5)*('Jul 31'!$AG$8:$AG$42="Delivered"))</f>
        <v>0</v>
      </c>
      <c r="BA8">
        <f t="shared" si="0"/>
        <v>0</v>
      </c>
      <c r="BB8">
        <f>MATCH(BD8,'Pay Plan'!$C$6:$C$12,1)</f>
        <v>1</v>
      </c>
      <c r="BC8">
        <f>SUMPRODUCT(('Jul 1'!$F$8:$F$42=$T8)*('Jul 1'!$AG$8:$AG$42="Delivered")*(('Jul 1'!$AM$8:$AM$42="Y")+('Jul 1'!$AN$8:$AN$42="Y")+('Jul 1'!$AO$8:$AO$42="Y")))+SUMPRODUCT(('Jul 2'!$F$8:$F$42=$T8)*('Jul 2'!$AG$8:$AG$42="Delivered")*(('Jul 2'!$AM$8:$AM$42="Y")+('Jul 2'!$AN$8:$AN$42="Y")+('Jul 2'!$AO$8:$AO$42="Y")))+SUMPRODUCT(('Jul 3'!$F$8:$F$42=$T8)*('Jul 3'!$AG$8:$AG$42="Delivered")*(('Jul 3'!$AM$8:$AM$42="Y")+('Jul 3'!$AN$8:$AN$42="Y")+('Jul 3'!$AO$8:$AO$42="Y")))+SUMPRODUCT(('Jul 4'!$F$8:$F$42=$T8)*('Jul 4'!$AG$8:$AG$42="Delivered")*(('Jul 4'!$AM$8:$AM$42="Y")+('Jul 4'!$AN$8:$AN$42="Y")+('Jul 4'!$AO$8:$AO$42="Y")))+SUMPRODUCT(('Jul 5'!$F$8:$F$42=$T8)*('Jul 5'!$AG$8:$AG$42="Delivered")*(('Jul 5'!$AM$8:$AM$42="Y")+('Jul 5'!$AN$8:$AN$42="Y")+('Jul 5'!$AO$8:$AO$42="Y")))+SUMPRODUCT(('Jul 6'!$F$8:$F$42=$T8)*('Jul 6'!$AG$8:$AG$42="Delivered")*(('Jul 6'!$AM$8:$AM$42="Y")+('Jul 6'!$AN$8:$AN$42="Y")+('Jul 6'!$AO$8:$AO$42="Y")))+SUMPRODUCT(('Jul 7'!$F$8:$F$42=$T8)*('Jul 7'!$AG$8:$AG$42="Delivered")*(('Jul 7'!$AM$8:$AM$42="Y")+('Jul 7'!$AN$8:$AN$42="Y")+('Jul 7'!$AO$8:$AO$42="Y")))+SUMPRODUCT(('Jul 8'!$F$8:$F$42=$T8)*('Jul 8'!$AG$8:$AG$42="Delivered")*(('Jul 8'!$AM$8:$AM$42="Y")+('Jul 8'!$AN$8:$AN$42="Y")+('Jul 8'!$AO$8:$AO$42="Y")))+SUMPRODUCT(('Jul 9'!$F$8:$F$42=$T8)*('Jul 9'!$AG$8:$AG$42="Delivered")*(('Jul 9'!$AM$8:$AM$42="Y")+('Jul 9'!$AN$8:$AN$42="Y")+('Jul 9'!$AO$8:$AO$42="Y")))+SUMPRODUCT(('Jul 10'!$F$8:$F$42=$T8)*('Jul 10'!$AG$8:$AG$42="Delivered")*(('Jul 10'!$AM$8:$AM$42="Y")+('Jul 10'!$AN$8:$AN$42="Y")+('Jul 10'!$AO$8:$AO$42="Y")))+SUMPRODUCT(('Jul 11'!$F$8:$F$42=$T8)*('Jul 11'!$AG$8:$AG$42="Delivered")*(('Jul 11'!$AM$8:$AM$42="Y")+('Jul 11'!$AN$8:$AN$42="Y")+('Jul 11'!$AO$8:$AO$42="Y")))+SUMPRODUCT(('Jul 12'!$F$8:$F$42=$T8)*('Jul 12'!$AG$8:$AG$42="Delivered")*(('Jul 12'!$AM$8:$AM$42="Y")+('Jul 12'!$AN$8:$AN$42="Y")+('Jul 12'!$AO$8:$AO$42="Y")))+SUMPRODUCT(('Jul 13'!$F$8:$F$42=$T8)*('Jul 13'!$AG$8:$AG$42="Delivered")*(('Jul 13'!$AM$8:$AM$42="Y")+('Jul 13'!$AN$8:$AN$42="Y")+('Jul 13'!$AO$8:$AO$42="Y")))+SUMPRODUCT(('Jul 14'!$F$8:$F$42=$T8)*('Jul 14'!$AG$8:$AG$42="Delivered")*(('Jul 14'!$AM$8:$AM$42="Y")+('Jul 14'!$AN$8:$AN$42="Y")+('Jul 14'!$AO$8:$AO$42="Y")))+SUMPRODUCT(('Jul 15'!$F$8:$F$42=$T8)*('Jul 15'!$AG$8:$AG$42="Delivered")*(('Jul 15'!$AM$8:$AM$42="Y")+('Jul 15'!$AN$8:$AN$42="Y")+('Jul 15'!$AO$8:$AO$42="Y")))+SUMPRODUCT(('Jul 16'!$F$8:$F$42=$T8)*('Jul 16'!$AG$8:$AG$42="Delivered")*(('Jul 16'!$AM$8:$AM$42="Y")+('Jul 16'!$AN$8:$AN$42="Y")+('Jul 16'!$AO$8:$AO$42="Y")))+SUMPRODUCT(('Jul 17'!$F$8:$F$42=$T8)*('Jul 17'!$AG$8:$AG$42="Delivered")*(('Jul 17'!$AM$8:$AM$42="Y")+('Jul 17'!$AN$8:$AN$42="Y")+('Jul 17'!$AO$8:$AO$42="Y")))+SUMPRODUCT(('Jul 18'!$F$8:$F$42=$T8)*('Jul 18'!$AG$8:$AG$42="Delivered")*(('Jul 18'!$AM$8:$AM$42="Y")+('Jul 18'!$AN$8:$AN$42="Y")+('Jul 18'!$AO$8:$AO$42="Y")))+SUMPRODUCT(('Jul 19'!$F$8:$F$42=$T8)*('Jul 19'!$AG$8:$AG$42="Delivered")*(('Jul 19'!$AM$8:$AM$42="Y")+('Jul 19'!$AN$8:$AN$42="Y")+('Jul 19'!$AO$8:$AO$42="Y")))+SUMPRODUCT(('Jul 20'!$F$8:$F$42=$T8)*('Jul 20'!$AG$8:$AG$42="Delivered")*(('Jul 20'!$AM$8:$AM$42="Y")+('Jul 20'!$AN$8:$AN$42="Y")+('Jul 20'!$AO$8:$AO$42="Y")))+SUMPRODUCT(('Jul 21'!$F$8:$F$42=$T8)*('Jul 21'!$AG$8:$AG$42="Delivered")*(('Jul 21'!$AM$8:$AM$42="Y")+('Jul 21'!$AN$8:$AN$42="Y")+('Jul 21'!$AO$8:$AO$42="Y")))+SUMPRODUCT(('Jul 22'!$F$8:$F$42=$T8)*('Jul 22'!$AG$8:$AG$42="Delivered")*(('Jul 22'!$AM$8:$AM$42="Y")+('Jul 22'!$AN$8:$AN$42="Y")+('Jul 22'!$AO$8:$AO$42="Y")))+SUMPRODUCT(('Jul 23'!$F$8:$F$42=$T8)*('Jul 23'!$AG$8:$AG$42="Delivered")*(('Jul 23'!$AM$8:$AM$42="Y")+('Jul 23'!$AN$8:$AN$42="Y")+('Jul 23'!$AO$8:$AO$42="Y")))+SUMPRODUCT(('Jul 24'!$F$8:$F$42=$T8)*('Jul 24'!$AG$8:$AG$42="Delivered")*(('Jul 24'!$AM$8:$AM$42="Y")+('Jul 24'!$AN$8:$AN$42="Y")+('Jul 24'!$AO$8:$AO$42="Y")))+SUMPRODUCT(('Jul 25'!$F$8:$F$42=$T8)*('Jul 25'!$AG$8:$AG$42="Delivered")*(('Jul 25'!$AM$8:$AM$42="Y")+('Jul 25'!$AN$8:$AN$42="Y")+('Jul 25'!$AO$8:$AO$42="Y")))+SUMPRODUCT(('Jul 26'!$F$8:$F$42=$T8)*('Jul 26'!$AG$8:$AG$42="Delivered")*(('Jul 26'!$AM$8:$AM$42="Y")+('Jul 26'!$AN$8:$AN$42="Y")+('Jul 26'!$AO$8:$AO$42="Y")))+SUMPRODUCT(('Jul 27'!$F$8:$F$42=$T8)*('Jul 27'!$AG$8:$AG$42="Delivered")*(('Jul 27'!$AM$8:$AM$42="Y")+('Jul 27'!$AN$8:$AN$42="Y")+('Jul 27'!$AO$8:$AO$42="Y")))+SUMPRODUCT(('Jul 28'!$F$8:$F$42=$T8)*('Jul 28'!$AG$8:$AG$42="Delivered")*(('Jul 28'!$AM$8:$AM$42="Y")+('Jul 28'!$AN$8:$AN$42="Y")+('Jul 28'!$AO$8:$AO$42="Y")))+SUMPRODUCT(('Jul 29'!$F$8:$F$42=$T8)*('Jul 29'!$AG$8:$AG$42="Delivered")*(('Jul 29'!$AM$8:$AM$42="Y")+('Jul 29'!$AN$8:$AN$42="Y")+('Jul 29'!$AO$8:$AO$42="Y")))+SUMPRODUCT(('Jul 30'!$F$8:$F$42=$T8)*('Jul 30'!$AG$8:$AG$42="Delivered")*(('Jul 30'!$AM$8:$AM$42="Y")+('Jul 30'!$AN$8:$AN$42="Y")+('Jul 30'!$AO$8:$AO$42="Y")))+SUMPRODUCT(('Jul 31'!$F$8:$F$42=$T8)*('Jul 31'!$AG$8:$AG$42="Delivered")*(('Jul 31'!$AM$8:$AM$42="Y")+('Jul 31'!$AN$8:$AN$42="Y")+('Jul 31'!$AO$8:$AO$42="Y")))</f>
        <v>0</v>
      </c>
      <c r="BD8">
        <f t="shared" si="1"/>
        <v>0</v>
      </c>
      <c r="BE8">
        <f t="shared" si="2"/>
        <v>0</v>
      </c>
      <c r="BF8">
        <f t="shared" si="3"/>
        <v>0</v>
      </c>
      <c r="BH8">
        <f>SUMPRODUCT((BD4:BD19&gt;0)*(BB4:BB19&lt;1))</f>
        <v>0</v>
      </c>
    </row>
    <row r="9" spans="1:60" ht="14.45" customHeight="1" x14ac:dyDescent="0.25">
      <c r="A9" s="51">
        <v>3</v>
      </c>
      <c r="B9" s="52" t="str">
        <f t="shared" si="4"/>
        <v>RICH AMMERMAN</v>
      </c>
      <c r="C9" s="53">
        <f t="shared" si="5"/>
        <v>0</v>
      </c>
      <c r="D9" s="54">
        <f t="shared" si="6"/>
        <v>0</v>
      </c>
      <c r="E9" s="54" t="str">
        <f t="shared" si="7"/>
        <v>—</v>
      </c>
      <c r="F9" s="51" t="str">
        <f>IF(BD6=0,"—",INDEX('Pay Plan'!$B$6:$B$12,BB6))</f>
        <v>—</v>
      </c>
      <c r="G9" s="54">
        <f t="shared" si="8"/>
        <v>0</v>
      </c>
      <c r="H9" s="54">
        <f>LOOKUP(BD6,'Pay Plan'!$B$15:$B$20,'Pay Plan'!$C$15:$C$20)</f>
        <v>0</v>
      </c>
      <c r="I9" s="54">
        <f>LOOKUP(BA6,'Pay Plan'!$E$15:$E$19,'Pay Plan'!$F$15:$F$19)</f>
        <v>0</v>
      </c>
      <c r="J9" s="54">
        <f>BC6*'Pay Plan'!$I$15</f>
        <v>0</v>
      </c>
      <c r="K9" s="130">
        <f t="shared" si="9"/>
        <v>0</v>
      </c>
      <c r="L9" s="111"/>
      <c r="M9" s="111"/>
      <c r="N9" s="55"/>
      <c r="O9" s="130">
        <f t="shared" si="10"/>
        <v>0</v>
      </c>
      <c r="P9" s="111"/>
      <c r="Q9" s="111"/>
      <c r="R9" s="111"/>
      <c r="T9" t="s">
        <v>95</v>
      </c>
      <c r="U9">
        <f>SUMPRODUCT((('Jul 1'!$F$8:$F$42=$T9)*(0.5+0.5*('Jul 1'!$G$8:$G$42=""))+('Jul 1'!$G$8:$G$42=$T9)*0.5)*('Jul 1'!$AG$8:$AG$42="Delivered"))</f>
        <v>0</v>
      </c>
      <c r="V9">
        <f>SUMPRODUCT((('Jul 2'!$F$8:$F$42=$T9)*(0.5+0.5*('Jul 2'!$G$8:$G$42=""))+('Jul 2'!$G$8:$G$42=$T9)*0.5)*('Jul 2'!$AG$8:$AG$42="Delivered"))</f>
        <v>0</v>
      </c>
      <c r="W9">
        <f>SUMPRODUCT((('Jul 3'!$F$8:$F$42=$T9)*(0.5+0.5*('Jul 3'!$G$8:$G$42=""))+('Jul 3'!$G$8:$G$42=$T9)*0.5)*('Jul 3'!$AG$8:$AG$42="Delivered"))</f>
        <v>0</v>
      </c>
      <c r="X9">
        <f>SUMPRODUCT((('Jul 4'!$F$8:$F$42=$T9)*(0.5+0.5*('Jul 4'!$G$8:$G$42=""))+('Jul 4'!$G$8:$G$42=$T9)*0.5)*('Jul 4'!$AG$8:$AG$42="Delivered"))</f>
        <v>0</v>
      </c>
      <c r="Y9">
        <f>SUMPRODUCT((('Jul 5'!$F$8:$F$42=$T9)*(0.5+0.5*('Jul 5'!$G$8:$G$42=""))+('Jul 5'!$G$8:$G$42=$T9)*0.5)*('Jul 5'!$AG$8:$AG$42="Delivered"))</f>
        <v>0</v>
      </c>
      <c r="Z9">
        <f>SUMPRODUCT((('Jul 6'!$F$8:$F$42=$T9)*(0.5+0.5*('Jul 6'!$G$8:$G$42=""))+('Jul 6'!$G$8:$G$42=$T9)*0.5)*('Jul 6'!$AG$8:$AG$42="Delivered"))</f>
        <v>0</v>
      </c>
      <c r="AA9">
        <f>SUMPRODUCT((('Jul 7'!$F$8:$F$42=$T9)*(0.5+0.5*('Jul 7'!$G$8:$G$42=""))+('Jul 7'!$G$8:$G$42=$T9)*0.5)*('Jul 7'!$AG$8:$AG$42="Delivered"))</f>
        <v>0</v>
      </c>
      <c r="AB9">
        <f>SUMPRODUCT((('Jul 8'!$F$8:$F$42=$T9)*(0.5+0.5*('Jul 8'!$G$8:$G$42=""))+('Jul 8'!$G$8:$G$42=$T9)*0.5)*('Jul 8'!$AG$8:$AG$42="Delivered"))</f>
        <v>0</v>
      </c>
      <c r="AC9">
        <f>SUMPRODUCT((('Jul 9'!$F$8:$F$42=$T9)*(0.5+0.5*('Jul 9'!$G$8:$G$42=""))+('Jul 9'!$G$8:$G$42=$T9)*0.5)*('Jul 9'!$AG$8:$AG$42="Delivered"))</f>
        <v>0</v>
      </c>
      <c r="AD9">
        <f>SUMPRODUCT((('Jul 10'!$F$8:$F$42=$T9)*(0.5+0.5*('Jul 10'!$G$8:$G$42=""))+('Jul 10'!$G$8:$G$42=$T9)*0.5)*('Jul 10'!$AG$8:$AG$42="Delivered"))</f>
        <v>0</v>
      </c>
      <c r="AE9">
        <f>SUMPRODUCT((('Jul 11'!$F$8:$F$42=$T9)*(0.5+0.5*('Jul 11'!$G$8:$G$42=""))+('Jul 11'!$G$8:$G$42=$T9)*0.5)*('Jul 11'!$AG$8:$AG$42="Delivered"))</f>
        <v>0</v>
      </c>
      <c r="AF9">
        <f>SUMPRODUCT((('Jul 12'!$F$8:$F$42=$T9)*(0.5+0.5*('Jul 12'!$G$8:$G$42=""))+('Jul 12'!$G$8:$G$42=$T9)*0.5)*('Jul 12'!$AG$8:$AG$42="Delivered"))</f>
        <v>0</v>
      </c>
      <c r="AG9">
        <f>SUMPRODUCT((('Jul 13'!$F$8:$F$42=$T9)*(0.5+0.5*('Jul 13'!$G$8:$G$42=""))+('Jul 13'!$G$8:$G$42=$T9)*0.5)*('Jul 13'!$AG$8:$AG$42="Delivered"))</f>
        <v>0</v>
      </c>
      <c r="AH9">
        <f>SUMPRODUCT((('Jul 14'!$F$8:$F$42=$T9)*(0.5+0.5*('Jul 14'!$G$8:$G$42=""))+('Jul 14'!$G$8:$G$42=$T9)*0.5)*('Jul 14'!$AG$8:$AG$42="Delivered"))</f>
        <v>0</v>
      </c>
      <c r="AI9">
        <f>SUMPRODUCT((('Jul 15'!$F$8:$F$42=$T9)*(0.5+0.5*('Jul 15'!$G$8:$G$42=""))+('Jul 15'!$G$8:$G$42=$T9)*0.5)*('Jul 15'!$AG$8:$AG$42="Delivered"))</f>
        <v>0</v>
      </c>
      <c r="AJ9">
        <f>SUMPRODUCT((('Jul 16'!$F$8:$F$42=$T9)*(0.5+0.5*('Jul 16'!$G$8:$G$42=""))+('Jul 16'!$G$8:$G$42=$T9)*0.5)*('Jul 16'!$AG$8:$AG$42="Delivered"))</f>
        <v>0</v>
      </c>
      <c r="AK9">
        <f>SUMPRODUCT((('Jul 17'!$F$8:$F$42=$T9)*(0.5+0.5*('Jul 17'!$G$8:$G$42=""))+('Jul 17'!$G$8:$G$42=$T9)*0.5)*('Jul 17'!$AG$8:$AG$42="Delivered"))</f>
        <v>0</v>
      </c>
      <c r="AL9">
        <f>SUMPRODUCT((('Jul 18'!$F$8:$F$42=$T9)*(0.5+0.5*('Jul 18'!$G$8:$G$42=""))+('Jul 18'!$G$8:$G$42=$T9)*0.5)*('Jul 18'!$AG$8:$AG$42="Delivered"))</f>
        <v>0</v>
      </c>
      <c r="AM9">
        <f>SUMPRODUCT((('Jul 19'!$F$8:$F$42=$T9)*(0.5+0.5*('Jul 19'!$G$8:$G$42=""))+('Jul 19'!$G$8:$G$42=$T9)*0.5)*('Jul 19'!$AG$8:$AG$42="Delivered"))</f>
        <v>0</v>
      </c>
      <c r="AN9">
        <f>SUMPRODUCT((('Jul 20'!$F$8:$F$42=$T9)*(0.5+0.5*('Jul 20'!$G$8:$G$42=""))+('Jul 20'!$G$8:$G$42=$T9)*0.5)*('Jul 20'!$AG$8:$AG$42="Delivered"))</f>
        <v>0</v>
      </c>
      <c r="AO9">
        <f>SUMPRODUCT((('Jul 21'!$F$8:$F$42=$T9)*(0.5+0.5*('Jul 21'!$G$8:$G$42=""))+('Jul 21'!$G$8:$G$42=$T9)*0.5)*('Jul 21'!$AG$8:$AG$42="Delivered"))</f>
        <v>0</v>
      </c>
      <c r="AP9">
        <f>SUMPRODUCT((('Jul 22'!$F$8:$F$42=$T9)*(0.5+0.5*('Jul 22'!$G$8:$G$42=""))+('Jul 22'!$G$8:$G$42=$T9)*0.5)*('Jul 22'!$AG$8:$AG$42="Delivered"))</f>
        <v>0</v>
      </c>
      <c r="AQ9">
        <f>SUMPRODUCT((('Jul 23'!$F$8:$F$42=$T9)*(0.5+0.5*('Jul 23'!$G$8:$G$42=""))+('Jul 23'!$G$8:$G$42=$T9)*0.5)*('Jul 23'!$AG$8:$AG$42="Delivered"))</f>
        <v>0</v>
      </c>
      <c r="AR9">
        <f>SUMPRODUCT((('Jul 24'!$F$8:$F$42=$T9)*(0.5+0.5*('Jul 24'!$G$8:$G$42=""))+('Jul 24'!$G$8:$G$42=$T9)*0.5)*('Jul 24'!$AG$8:$AG$42="Delivered"))</f>
        <v>0</v>
      </c>
      <c r="AS9">
        <f>SUMPRODUCT((('Jul 25'!$F$8:$F$42=$T9)*(0.5+0.5*('Jul 25'!$G$8:$G$42=""))+('Jul 25'!$G$8:$G$42=$T9)*0.5)*('Jul 25'!$AG$8:$AG$42="Delivered"))</f>
        <v>0</v>
      </c>
      <c r="AT9">
        <f>SUMPRODUCT((('Jul 26'!$F$8:$F$42=$T9)*(0.5+0.5*('Jul 26'!$G$8:$G$42=""))+('Jul 26'!$G$8:$G$42=$T9)*0.5)*('Jul 26'!$AG$8:$AG$42="Delivered"))</f>
        <v>0</v>
      </c>
      <c r="AU9">
        <f>SUMPRODUCT((('Jul 27'!$F$8:$F$42=$T9)*(0.5+0.5*('Jul 27'!$G$8:$G$42=""))+('Jul 27'!$G$8:$G$42=$T9)*0.5)*('Jul 27'!$AG$8:$AG$42="Delivered"))</f>
        <v>0</v>
      </c>
      <c r="AV9">
        <f>SUMPRODUCT((('Jul 28'!$F$8:$F$42=$T9)*(0.5+0.5*('Jul 28'!$G$8:$G$42=""))+('Jul 28'!$G$8:$G$42=$T9)*0.5)*('Jul 28'!$AG$8:$AG$42="Delivered"))</f>
        <v>0</v>
      </c>
      <c r="AW9">
        <f>SUMPRODUCT((('Jul 29'!$F$8:$F$42=$T9)*(0.5+0.5*('Jul 29'!$G$8:$G$42=""))+('Jul 29'!$G$8:$G$42=$T9)*0.5)*('Jul 29'!$AG$8:$AG$42="Delivered"))</f>
        <v>0</v>
      </c>
      <c r="AX9">
        <f>SUMPRODUCT((('Jul 30'!$F$8:$F$42=$T9)*(0.5+0.5*('Jul 30'!$G$8:$G$42=""))+('Jul 30'!$G$8:$G$42=$T9)*0.5)*('Jul 30'!$AG$8:$AG$42="Delivered"))</f>
        <v>0</v>
      </c>
      <c r="AY9">
        <f>SUMPRODUCT((('Jul 31'!$F$8:$F$42=$T9)*(0.5+0.5*('Jul 31'!$G$8:$G$42=""))+('Jul 31'!$G$8:$G$42=$T9)*0.5)*('Jul 31'!$AG$8:$AG$42="Delivered"))</f>
        <v>0</v>
      </c>
      <c r="BA9">
        <f t="shared" si="0"/>
        <v>0</v>
      </c>
      <c r="BB9">
        <f>MATCH(BD9,'Pay Plan'!$C$6:$C$12,1)</f>
        <v>1</v>
      </c>
      <c r="BC9">
        <f>SUMPRODUCT(('Jul 1'!$F$8:$F$42=$T9)*('Jul 1'!$AG$8:$AG$42="Delivered")*(('Jul 1'!$AM$8:$AM$42="Y")+('Jul 1'!$AN$8:$AN$42="Y")+('Jul 1'!$AO$8:$AO$42="Y")))+SUMPRODUCT(('Jul 2'!$F$8:$F$42=$T9)*('Jul 2'!$AG$8:$AG$42="Delivered")*(('Jul 2'!$AM$8:$AM$42="Y")+('Jul 2'!$AN$8:$AN$42="Y")+('Jul 2'!$AO$8:$AO$42="Y")))+SUMPRODUCT(('Jul 3'!$F$8:$F$42=$T9)*('Jul 3'!$AG$8:$AG$42="Delivered")*(('Jul 3'!$AM$8:$AM$42="Y")+('Jul 3'!$AN$8:$AN$42="Y")+('Jul 3'!$AO$8:$AO$42="Y")))+SUMPRODUCT(('Jul 4'!$F$8:$F$42=$T9)*('Jul 4'!$AG$8:$AG$42="Delivered")*(('Jul 4'!$AM$8:$AM$42="Y")+('Jul 4'!$AN$8:$AN$42="Y")+('Jul 4'!$AO$8:$AO$42="Y")))+SUMPRODUCT(('Jul 5'!$F$8:$F$42=$T9)*('Jul 5'!$AG$8:$AG$42="Delivered")*(('Jul 5'!$AM$8:$AM$42="Y")+('Jul 5'!$AN$8:$AN$42="Y")+('Jul 5'!$AO$8:$AO$42="Y")))+SUMPRODUCT(('Jul 6'!$F$8:$F$42=$T9)*('Jul 6'!$AG$8:$AG$42="Delivered")*(('Jul 6'!$AM$8:$AM$42="Y")+('Jul 6'!$AN$8:$AN$42="Y")+('Jul 6'!$AO$8:$AO$42="Y")))+SUMPRODUCT(('Jul 7'!$F$8:$F$42=$T9)*('Jul 7'!$AG$8:$AG$42="Delivered")*(('Jul 7'!$AM$8:$AM$42="Y")+('Jul 7'!$AN$8:$AN$42="Y")+('Jul 7'!$AO$8:$AO$42="Y")))+SUMPRODUCT(('Jul 8'!$F$8:$F$42=$T9)*('Jul 8'!$AG$8:$AG$42="Delivered")*(('Jul 8'!$AM$8:$AM$42="Y")+('Jul 8'!$AN$8:$AN$42="Y")+('Jul 8'!$AO$8:$AO$42="Y")))+SUMPRODUCT(('Jul 9'!$F$8:$F$42=$T9)*('Jul 9'!$AG$8:$AG$42="Delivered")*(('Jul 9'!$AM$8:$AM$42="Y")+('Jul 9'!$AN$8:$AN$42="Y")+('Jul 9'!$AO$8:$AO$42="Y")))+SUMPRODUCT(('Jul 10'!$F$8:$F$42=$T9)*('Jul 10'!$AG$8:$AG$42="Delivered")*(('Jul 10'!$AM$8:$AM$42="Y")+('Jul 10'!$AN$8:$AN$42="Y")+('Jul 10'!$AO$8:$AO$42="Y")))+SUMPRODUCT(('Jul 11'!$F$8:$F$42=$T9)*('Jul 11'!$AG$8:$AG$42="Delivered")*(('Jul 11'!$AM$8:$AM$42="Y")+('Jul 11'!$AN$8:$AN$42="Y")+('Jul 11'!$AO$8:$AO$42="Y")))+SUMPRODUCT(('Jul 12'!$F$8:$F$42=$T9)*('Jul 12'!$AG$8:$AG$42="Delivered")*(('Jul 12'!$AM$8:$AM$42="Y")+('Jul 12'!$AN$8:$AN$42="Y")+('Jul 12'!$AO$8:$AO$42="Y")))+SUMPRODUCT(('Jul 13'!$F$8:$F$42=$T9)*('Jul 13'!$AG$8:$AG$42="Delivered")*(('Jul 13'!$AM$8:$AM$42="Y")+('Jul 13'!$AN$8:$AN$42="Y")+('Jul 13'!$AO$8:$AO$42="Y")))+SUMPRODUCT(('Jul 14'!$F$8:$F$42=$T9)*('Jul 14'!$AG$8:$AG$42="Delivered")*(('Jul 14'!$AM$8:$AM$42="Y")+('Jul 14'!$AN$8:$AN$42="Y")+('Jul 14'!$AO$8:$AO$42="Y")))+SUMPRODUCT(('Jul 15'!$F$8:$F$42=$T9)*('Jul 15'!$AG$8:$AG$42="Delivered")*(('Jul 15'!$AM$8:$AM$42="Y")+('Jul 15'!$AN$8:$AN$42="Y")+('Jul 15'!$AO$8:$AO$42="Y")))+SUMPRODUCT(('Jul 16'!$F$8:$F$42=$T9)*('Jul 16'!$AG$8:$AG$42="Delivered")*(('Jul 16'!$AM$8:$AM$42="Y")+('Jul 16'!$AN$8:$AN$42="Y")+('Jul 16'!$AO$8:$AO$42="Y")))+SUMPRODUCT(('Jul 17'!$F$8:$F$42=$T9)*('Jul 17'!$AG$8:$AG$42="Delivered")*(('Jul 17'!$AM$8:$AM$42="Y")+('Jul 17'!$AN$8:$AN$42="Y")+('Jul 17'!$AO$8:$AO$42="Y")))+SUMPRODUCT(('Jul 18'!$F$8:$F$42=$T9)*('Jul 18'!$AG$8:$AG$42="Delivered")*(('Jul 18'!$AM$8:$AM$42="Y")+('Jul 18'!$AN$8:$AN$42="Y")+('Jul 18'!$AO$8:$AO$42="Y")))+SUMPRODUCT(('Jul 19'!$F$8:$F$42=$T9)*('Jul 19'!$AG$8:$AG$42="Delivered")*(('Jul 19'!$AM$8:$AM$42="Y")+('Jul 19'!$AN$8:$AN$42="Y")+('Jul 19'!$AO$8:$AO$42="Y")))+SUMPRODUCT(('Jul 20'!$F$8:$F$42=$T9)*('Jul 20'!$AG$8:$AG$42="Delivered")*(('Jul 20'!$AM$8:$AM$42="Y")+('Jul 20'!$AN$8:$AN$42="Y")+('Jul 20'!$AO$8:$AO$42="Y")))+SUMPRODUCT(('Jul 21'!$F$8:$F$42=$T9)*('Jul 21'!$AG$8:$AG$42="Delivered")*(('Jul 21'!$AM$8:$AM$42="Y")+('Jul 21'!$AN$8:$AN$42="Y")+('Jul 21'!$AO$8:$AO$42="Y")))+SUMPRODUCT(('Jul 22'!$F$8:$F$42=$T9)*('Jul 22'!$AG$8:$AG$42="Delivered")*(('Jul 22'!$AM$8:$AM$42="Y")+('Jul 22'!$AN$8:$AN$42="Y")+('Jul 22'!$AO$8:$AO$42="Y")))+SUMPRODUCT(('Jul 23'!$F$8:$F$42=$T9)*('Jul 23'!$AG$8:$AG$42="Delivered")*(('Jul 23'!$AM$8:$AM$42="Y")+('Jul 23'!$AN$8:$AN$42="Y")+('Jul 23'!$AO$8:$AO$42="Y")))+SUMPRODUCT(('Jul 24'!$F$8:$F$42=$T9)*('Jul 24'!$AG$8:$AG$42="Delivered")*(('Jul 24'!$AM$8:$AM$42="Y")+('Jul 24'!$AN$8:$AN$42="Y")+('Jul 24'!$AO$8:$AO$42="Y")))+SUMPRODUCT(('Jul 25'!$F$8:$F$42=$T9)*('Jul 25'!$AG$8:$AG$42="Delivered")*(('Jul 25'!$AM$8:$AM$42="Y")+('Jul 25'!$AN$8:$AN$42="Y")+('Jul 25'!$AO$8:$AO$42="Y")))+SUMPRODUCT(('Jul 26'!$F$8:$F$42=$T9)*('Jul 26'!$AG$8:$AG$42="Delivered")*(('Jul 26'!$AM$8:$AM$42="Y")+('Jul 26'!$AN$8:$AN$42="Y")+('Jul 26'!$AO$8:$AO$42="Y")))+SUMPRODUCT(('Jul 27'!$F$8:$F$42=$T9)*('Jul 27'!$AG$8:$AG$42="Delivered")*(('Jul 27'!$AM$8:$AM$42="Y")+('Jul 27'!$AN$8:$AN$42="Y")+('Jul 27'!$AO$8:$AO$42="Y")))+SUMPRODUCT(('Jul 28'!$F$8:$F$42=$T9)*('Jul 28'!$AG$8:$AG$42="Delivered")*(('Jul 28'!$AM$8:$AM$42="Y")+('Jul 28'!$AN$8:$AN$42="Y")+('Jul 28'!$AO$8:$AO$42="Y")))+SUMPRODUCT(('Jul 29'!$F$8:$F$42=$T9)*('Jul 29'!$AG$8:$AG$42="Delivered")*(('Jul 29'!$AM$8:$AM$42="Y")+('Jul 29'!$AN$8:$AN$42="Y")+('Jul 29'!$AO$8:$AO$42="Y")))+SUMPRODUCT(('Jul 30'!$F$8:$F$42=$T9)*('Jul 30'!$AG$8:$AG$42="Delivered")*(('Jul 30'!$AM$8:$AM$42="Y")+('Jul 30'!$AN$8:$AN$42="Y")+('Jul 30'!$AO$8:$AO$42="Y")))+SUMPRODUCT(('Jul 31'!$F$8:$F$42=$T9)*('Jul 31'!$AG$8:$AG$42="Delivered")*(('Jul 31'!$AM$8:$AM$42="Y")+('Jul 31'!$AN$8:$AN$42="Y")+('Jul 31'!$AO$8:$AO$42="Y")))</f>
        <v>0</v>
      </c>
      <c r="BD9">
        <f t="shared" si="1"/>
        <v>0</v>
      </c>
      <c r="BE9">
        <f t="shared" si="2"/>
        <v>0</v>
      </c>
      <c r="BF9">
        <f t="shared" si="3"/>
        <v>0</v>
      </c>
    </row>
    <row r="10" spans="1:60" ht="14.45" customHeight="1" x14ac:dyDescent="0.25">
      <c r="A10" s="56">
        <v>4</v>
      </c>
      <c r="B10" s="57" t="str">
        <f t="shared" si="4"/>
        <v>GARRET SCHWETTMAN</v>
      </c>
      <c r="C10" s="58">
        <f t="shared" si="5"/>
        <v>0</v>
      </c>
      <c r="D10" s="59">
        <f t="shared" si="6"/>
        <v>0</v>
      </c>
      <c r="E10" s="59" t="str">
        <f t="shared" si="7"/>
        <v>—</v>
      </c>
      <c r="F10" s="56" t="str">
        <f>IF(BD7=0,"—",INDEX('Pay Plan'!$B$6:$B$12,BB7))</f>
        <v>—</v>
      </c>
      <c r="G10" s="59">
        <f t="shared" si="8"/>
        <v>0</v>
      </c>
      <c r="H10" s="59">
        <f>LOOKUP(BD7,'Pay Plan'!$B$15:$B$20,'Pay Plan'!$C$15:$C$20)</f>
        <v>0</v>
      </c>
      <c r="I10" s="59">
        <f>LOOKUP(BA7,'Pay Plan'!$E$15:$E$19,'Pay Plan'!$F$15:$F$19)</f>
        <v>0</v>
      </c>
      <c r="J10" s="59">
        <f>BC7*'Pay Plan'!$I$15</f>
        <v>0</v>
      </c>
      <c r="K10" s="131">
        <f t="shared" si="9"/>
        <v>0</v>
      </c>
      <c r="L10" s="111"/>
      <c r="M10" s="111"/>
      <c r="N10" s="55"/>
      <c r="O10" s="131">
        <f t="shared" si="10"/>
        <v>0</v>
      </c>
      <c r="P10" s="111"/>
      <c r="Q10" s="111"/>
      <c r="R10" s="111"/>
      <c r="T10" t="s">
        <v>96</v>
      </c>
      <c r="U10">
        <f>SUMPRODUCT((('Jul 1'!$F$8:$F$42=$T10)*(0.5+0.5*('Jul 1'!$G$8:$G$42=""))+('Jul 1'!$G$8:$G$42=$T10)*0.5)*('Jul 1'!$AG$8:$AG$42="Delivered"))</f>
        <v>0</v>
      </c>
      <c r="V10">
        <f>SUMPRODUCT((('Jul 2'!$F$8:$F$42=$T10)*(0.5+0.5*('Jul 2'!$G$8:$G$42=""))+('Jul 2'!$G$8:$G$42=$T10)*0.5)*('Jul 2'!$AG$8:$AG$42="Delivered"))</f>
        <v>0</v>
      </c>
      <c r="W10">
        <f>SUMPRODUCT((('Jul 3'!$F$8:$F$42=$T10)*(0.5+0.5*('Jul 3'!$G$8:$G$42=""))+('Jul 3'!$G$8:$G$42=$T10)*0.5)*('Jul 3'!$AG$8:$AG$42="Delivered"))</f>
        <v>0</v>
      </c>
      <c r="X10">
        <f>SUMPRODUCT((('Jul 4'!$F$8:$F$42=$T10)*(0.5+0.5*('Jul 4'!$G$8:$G$42=""))+('Jul 4'!$G$8:$G$42=$T10)*0.5)*('Jul 4'!$AG$8:$AG$42="Delivered"))</f>
        <v>0</v>
      </c>
      <c r="Y10">
        <f>SUMPRODUCT((('Jul 5'!$F$8:$F$42=$T10)*(0.5+0.5*('Jul 5'!$G$8:$G$42=""))+('Jul 5'!$G$8:$G$42=$T10)*0.5)*('Jul 5'!$AG$8:$AG$42="Delivered"))</f>
        <v>0</v>
      </c>
      <c r="Z10">
        <f>SUMPRODUCT((('Jul 6'!$F$8:$F$42=$T10)*(0.5+0.5*('Jul 6'!$G$8:$G$42=""))+('Jul 6'!$G$8:$G$42=$T10)*0.5)*('Jul 6'!$AG$8:$AG$42="Delivered"))</f>
        <v>0</v>
      </c>
      <c r="AA10">
        <f>SUMPRODUCT((('Jul 7'!$F$8:$F$42=$T10)*(0.5+0.5*('Jul 7'!$G$8:$G$42=""))+('Jul 7'!$G$8:$G$42=$T10)*0.5)*('Jul 7'!$AG$8:$AG$42="Delivered"))</f>
        <v>0</v>
      </c>
      <c r="AB10">
        <f>SUMPRODUCT((('Jul 8'!$F$8:$F$42=$T10)*(0.5+0.5*('Jul 8'!$G$8:$G$42=""))+('Jul 8'!$G$8:$G$42=$T10)*0.5)*('Jul 8'!$AG$8:$AG$42="Delivered"))</f>
        <v>0</v>
      </c>
      <c r="AC10">
        <f>SUMPRODUCT((('Jul 9'!$F$8:$F$42=$T10)*(0.5+0.5*('Jul 9'!$G$8:$G$42=""))+('Jul 9'!$G$8:$G$42=$T10)*0.5)*('Jul 9'!$AG$8:$AG$42="Delivered"))</f>
        <v>0</v>
      </c>
      <c r="AD10">
        <f>SUMPRODUCT((('Jul 10'!$F$8:$F$42=$T10)*(0.5+0.5*('Jul 10'!$G$8:$G$42=""))+('Jul 10'!$G$8:$G$42=$T10)*0.5)*('Jul 10'!$AG$8:$AG$42="Delivered"))</f>
        <v>0</v>
      </c>
      <c r="AE10">
        <f>SUMPRODUCT((('Jul 11'!$F$8:$F$42=$T10)*(0.5+0.5*('Jul 11'!$G$8:$G$42=""))+('Jul 11'!$G$8:$G$42=$T10)*0.5)*('Jul 11'!$AG$8:$AG$42="Delivered"))</f>
        <v>0</v>
      </c>
      <c r="AF10">
        <f>SUMPRODUCT((('Jul 12'!$F$8:$F$42=$T10)*(0.5+0.5*('Jul 12'!$G$8:$G$42=""))+('Jul 12'!$G$8:$G$42=$T10)*0.5)*('Jul 12'!$AG$8:$AG$42="Delivered"))</f>
        <v>0</v>
      </c>
      <c r="AG10">
        <f>SUMPRODUCT((('Jul 13'!$F$8:$F$42=$T10)*(0.5+0.5*('Jul 13'!$G$8:$G$42=""))+('Jul 13'!$G$8:$G$42=$T10)*0.5)*('Jul 13'!$AG$8:$AG$42="Delivered"))</f>
        <v>0</v>
      </c>
      <c r="AH10">
        <f>SUMPRODUCT((('Jul 14'!$F$8:$F$42=$T10)*(0.5+0.5*('Jul 14'!$G$8:$G$42=""))+('Jul 14'!$G$8:$G$42=$T10)*0.5)*('Jul 14'!$AG$8:$AG$42="Delivered"))</f>
        <v>0</v>
      </c>
      <c r="AI10">
        <f>SUMPRODUCT((('Jul 15'!$F$8:$F$42=$T10)*(0.5+0.5*('Jul 15'!$G$8:$G$42=""))+('Jul 15'!$G$8:$G$42=$T10)*0.5)*('Jul 15'!$AG$8:$AG$42="Delivered"))</f>
        <v>0</v>
      </c>
      <c r="AJ10">
        <f>SUMPRODUCT((('Jul 16'!$F$8:$F$42=$T10)*(0.5+0.5*('Jul 16'!$G$8:$G$42=""))+('Jul 16'!$G$8:$G$42=$T10)*0.5)*('Jul 16'!$AG$8:$AG$42="Delivered"))</f>
        <v>0</v>
      </c>
      <c r="AK10">
        <f>SUMPRODUCT((('Jul 17'!$F$8:$F$42=$T10)*(0.5+0.5*('Jul 17'!$G$8:$G$42=""))+('Jul 17'!$G$8:$G$42=$T10)*0.5)*('Jul 17'!$AG$8:$AG$42="Delivered"))</f>
        <v>0</v>
      </c>
      <c r="AL10">
        <f>SUMPRODUCT((('Jul 18'!$F$8:$F$42=$T10)*(0.5+0.5*('Jul 18'!$G$8:$G$42=""))+('Jul 18'!$G$8:$G$42=$T10)*0.5)*('Jul 18'!$AG$8:$AG$42="Delivered"))</f>
        <v>0</v>
      </c>
      <c r="AM10">
        <f>SUMPRODUCT((('Jul 19'!$F$8:$F$42=$T10)*(0.5+0.5*('Jul 19'!$G$8:$G$42=""))+('Jul 19'!$G$8:$G$42=$T10)*0.5)*('Jul 19'!$AG$8:$AG$42="Delivered"))</f>
        <v>0</v>
      </c>
      <c r="AN10">
        <f>SUMPRODUCT((('Jul 20'!$F$8:$F$42=$T10)*(0.5+0.5*('Jul 20'!$G$8:$G$42=""))+('Jul 20'!$G$8:$G$42=$T10)*0.5)*('Jul 20'!$AG$8:$AG$42="Delivered"))</f>
        <v>0</v>
      </c>
      <c r="AO10">
        <f>SUMPRODUCT((('Jul 21'!$F$8:$F$42=$T10)*(0.5+0.5*('Jul 21'!$G$8:$G$42=""))+('Jul 21'!$G$8:$G$42=$T10)*0.5)*('Jul 21'!$AG$8:$AG$42="Delivered"))</f>
        <v>0</v>
      </c>
      <c r="AP10">
        <f>SUMPRODUCT((('Jul 22'!$F$8:$F$42=$T10)*(0.5+0.5*('Jul 22'!$G$8:$G$42=""))+('Jul 22'!$G$8:$G$42=$T10)*0.5)*('Jul 22'!$AG$8:$AG$42="Delivered"))</f>
        <v>0</v>
      </c>
      <c r="AQ10">
        <f>SUMPRODUCT((('Jul 23'!$F$8:$F$42=$T10)*(0.5+0.5*('Jul 23'!$G$8:$G$42=""))+('Jul 23'!$G$8:$G$42=$T10)*0.5)*('Jul 23'!$AG$8:$AG$42="Delivered"))</f>
        <v>0</v>
      </c>
      <c r="AR10">
        <f>SUMPRODUCT((('Jul 24'!$F$8:$F$42=$T10)*(0.5+0.5*('Jul 24'!$G$8:$G$42=""))+('Jul 24'!$G$8:$G$42=$T10)*0.5)*('Jul 24'!$AG$8:$AG$42="Delivered"))</f>
        <v>0</v>
      </c>
      <c r="AS10">
        <f>SUMPRODUCT((('Jul 25'!$F$8:$F$42=$T10)*(0.5+0.5*('Jul 25'!$G$8:$G$42=""))+('Jul 25'!$G$8:$G$42=$T10)*0.5)*('Jul 25'!$AG$8:$AG$42="Delivered"))</f>
        <v>0</v>
      </c>
      <c r="AT10">
        <f>SUMPRODUCT((('Jul 26'!$F$8:$F$42=$T10)*(0.5+0.5*('Jul 26'!$G$8:$G$42=""))+('Jul 26'!$G$8:$G$42=$T10)*0.5)*('Jul 26'!$AG$8:$AG$42="Delivered"))</f>
        <v>0</v>
      </c>
      <c r="AU10">
        <f>SUMPRODUCT((('Jul 27'!$F$8:$F$42=$T10)*(0.5+0.5*('Jul 27'!$G$8:$G$42=""))+('Jul 27'!$G$8:$G$42=$T10)*0.5)*('Jul 27'!$AG$8:$AG$42="Delivered"))</f>
        <v>0</v>
      </c>
      <c r="AV10">
        <f>SUMPRODUCT((('Jul 28'!$F$8:$F$42=$T10)*(0.5+0.5*('Jul 28'!$G$8:$G$42=""))+('Jul 28'!$G$8:$G$42=$T10)*0.5)*('Jul 28'!$AG$8:$AG$42="Delivered"))</f>
        <v>0</v>
      </c>
      <c r="AW10">
        <f>SUMPRODUCT((('Jul 29'!$F$8:$F$42=$T10)*(0.5+0.5*('Jul 29'!$G$8:$G$42=""))+('Jul 29'!$G$8:$G$42=$T10)*0.5)*('Jul 29'!$AG$8:$AG$42="Delivered"))</f>
        <v>0</v>
      </c>
      <c r="AX10">
        <f>SUMPRODUCT((('Jul 30'!$F$8:$F$42=$T10)*(0.5+0.5*('Jul 30'!$G$8:$G$42=""))+('Jul 30'!$G$8:$G$42=$T10)*0.5)*('Jul 30'!$AG$8:$AG$42="Delivered"))</f>
        <v>0</v>
      </c>
      <c r="AY10">
        <f>SUMPRODUCT((('Jul 31'!$F$8:$F$42=$T10)*(0.5+0.5*('Jul 31'!$G$8:$G$42=""))+('Jul 31'!$G$8:$G$42=$T10)*0.5)*('Jul 31'!$AG$8:$AG$42="Delivered"))</f>
        <v>0</v>
      </c>
      <c r="BA10">
        <f t="shared" si="0"/>
        <v>0</v>
      </c>
      <c r="BB10">
        <f>MATCH(BD10,'Pay Plan'!$C$6:$C$12,1)</f>
        <v>1</v>
      </c>
      <c r="BC10">
        <f>SUMPRODUCT(('Jul 1'!$F$8:$F$42=$T10)*('Jul 1'!$AG$8:$AG$42="Delivered")*(('Jul 1'!$AM$8:$AM$42="Y")+('Jul 1'!$AN$8:$AN$42="Y")+('Jul 1'!$AO$8:$AO$42="Y")))+SUMPRODUCT(('Jul 2'!$F$8:$F$42=$T10)*('Jul 2'!$AG$8:$AG$42="Delivered")*(('Jul 2'!$AM$8:$AM$42="Y")+('Jul 2'!$AN$8:$AN$42="Y")+('Jul 2'!$AO$8:$AO$42="Y")))+SUMPRODUCT(('Jul 3'!$F$8:$F$42=$T10)*('Jul 3'!$AG$8:$AG$42="Delivered")*(('Jul 3'!$AM$8:$AM$42="Y")+('Jul 3'!$AN$8:$AN$42="Y")+('Jul 3'!$AO$8:$AO$42="Y")))+SUMPRODUCT(('Jul 4'!$F$8:$F$42=$T10)*('Jul 4'!$AG$8:$AG$42="Delivered")*(('Jul 4'!$AM$8:$AM$42="Y")+('Jul 4'!$AN$8:$AN$42="Y")+('Jul 4'!$AO$8:$AO$42="Y")))+SUMPRODUCT(('Jul 5'!$F$8:$F$42=$T10)*('Jul 5'!$AG$8:$AG$42="Delivered")*(('Jul 5'!$AM$8:$AM$42="Y")+('Jul 5'!$AN$8:$AN$42="Y")+('Jul 5'!$AO$8:$AO$42="Y")))+SUMPRODUCT(('Jul 6'!$F$8:$F$42=$T10)*('Jul 6'!$AG$8:$AG$42="Delivered")*(('Jul 6'!$AM$8:$AM$42="Y")+('Jul 6'!$AN$8:$AN$42="Y")+('Jul 6'!$AO$8:$AO$42="Y")))+SUMPRODUCT(('Jul 7'!$F$8:$F$42=$T10)*('Jul 7'!$AG$8:$AG$42="Delivered")*(('Jul 7'!$AM$8:$AM$42="Y")+('Jul 7'!$AN$8:$AN$42="Y")+('Jul 7'!$AO$8:$AO$42="Y")))+SUMPRODUCT(('Jul 8'!$F$8:$F$42=$T10)*('Jul 8'!$AG$8:$AG$42="Delivered")*(('Jul 8'!$AM$8:$AM$42="Y")+('Jul 8'!$AN$8:$AN$42="Y")+('Jul 8'!$AO$8:$AO$42="Y")))+SUMPRODUCT(('Jul 9'!$F$8:$F$42=$T10)*('Jul 9'!$AG$8:$AG$42="Delivered")*(('Jul 9'!$AM$8:$AM$42="Y")+('Jul 9'!$AN$8:$AN$42="Y")+('Jul 9'!$AO$8:$AO$42="Y")))+SUMPRODUCT(('Jul 10'!$F$8:$F$42=$T10)*('Jul 10'!$AG$8:$AG$42="Delivered")*(('Jul 10'!$AM$8:$AM$42="Y")+('Jul 10'!$AN$8:$AN$42="Y")+('Jul 10'!$AO$8:$AO$42="Y")))+SUMPRODUCT(('Jul 11'!$F$8:$F$42=$T10)*('Jul 11'!$AG$8:$AG$42="Delivered")*(('Jul 11'!$AM$8:$AM$42="Y")+('Jul 11'!$AN$8:$AN$42="Y")+('Jul 11'!$AO$8:$AO$42="Y")))+SUMPRODUCT(('Jul 12'!$F$8:$F$42=$T10)*('Jul 12'!$AG$8:$AG$42="Delivered")*(('Jul 12'!$AM$8:$AM$42="Y")+('Jul 12'!$AN$8:$AN$42="Y")+('Jul 12'!$AO$8:$AO$42="Y")))+SUMPRODUCT(('Jul 13'!$F$8:$F$42=$T10)*('Jul 13'!$AG$8:$AG$42="Delivered")*(('Jul 13'!$AM$8:$AM$42="Y")+('Jul 13'!$AN$8:$AN$42="Y")+('Jul 13'!$AO$8:$AO$42="Y")))+SUMPRODUCT(('Jul 14'!$F$8:$F$42=$T10)*('Jul 14'!$AG$8:$AG$42="Delivered")*(('Jul 14'!$AM$8:$AM$42="Y")+('Jul 14'!$AN$8:$AN$42="Y")+('Jul 14'!$AO$8:$AO$42="Y")))+SUMPRODUCT(('Jul 15'!$F$8:$F$42=$T10)*('Jul 15'!$AG$8:$AG$42="Delivered")*(('Jul 15'!$AM$8:$AM$42="Y")+('Jul 15'!$AN$8:$AN$42="Y")+('Jul 15'!$AO$8:$AO$42="Y")))+SUMPRODUCT(('Jul 16'!$F$8:$F$42=$T10)*('Jul 16'!$AG$8:$AG$42="Delivered")*(('Jul 16'!$AM$8:$AM$42="Y")+('Jul 16'!$AN$8:$AN$42="Y")+('Jul 16'!$AO$8:$AO$42="Y")))+SUMPRODUCT(('Jul 17'!$F$8:$F$42=$T10)*('Jul 17'!$AG$8:$AG$42="Delivered")*(('Jul 17'!$AM$8:$AM$42="Y")+('Jul 17'!$AN$8:$AN$42="Y")+('Jul 17'!$AO$8:$AO$42="Y")))+SUMPRODUCT(('Jul 18'!$F$8:$F$42=$T10)*('Jul 18'!$AG$8:$AG$42="Delivered")*(('Jul 18'!$AM$8:$AM$42="Y")+('Jul 18'!$AN$8:$AN$42="Y")+('Jul 18'!$AO$8:$AO$42="Y")))+SUMPRODUCT(('Jul 19'!$F$8:$F$42=$T10)*('Jul 19'!$AG$8:$AG$42="Delivered")*(('Jul 19'!$AM$8:$AM$42="Y")+('Jul 19'!$AN$8:$AN$42="Y")+('Jul 19'!$AO$8:$AO$42="Y")))+SUMPRODUCT(('Jul 20'!$F$8:$F$42=$T10)*('Jul 20'!$AG$8:$AG$42="Delivered")*(('Jul 20'!$AM$8:$AM$42="Y")+('Jul 20'!$AN$8:$AN$42="Y")+('Jul 20'!$AO$8:$AO$42="Y")))+SUMPRODUCT(('Jul 21'!$F$8:$F$42=$T10)*('Jul 21'!$AG$8:$AG$42="Delivered")*(('Jul 21'!$AM$8:$AM$42="Y")+('Jul 21'!$AN$8:$AN$42="Y")+('Jul 21'!$AO$8:$AO$42="Y")))+SUMPRODUCT(('Jul 22'!$F$8:$F$42=$T10)*('Jul 22'!$AG$8:$AG$42="Delivered")*(('Jul 22'!$AM$8:$AM$42="Y")+('Jul 22'!$AN$8:$AN$42="Y")+('Jul 22'!$AO$8:$AO$42="Y")))+SUMPRODUCT(('Jul 23'!$F$8:$F$42=$T10)*('Jul 23'!$AG$8:$AG$42="Delivered")*(('Jul 23'!$AM$8:$AM$42="Y")+('Jul 23'!$AN$8:$AN$42="Y")+('Jul 23'!$AO$8:$AO$42="Y")))+SUMPRODUCT(('Jul 24'!$F$8:$F$42=$T10)*('Jul 24'!$AG$8:$AG$42="Delivered")*(('Jul 24'!$AM$8:$AM$42="Y")+('Jul 24'!$AN$8:$AN$42="Y")+('Jul 24'!$AO$8:$AO$42="Y")))+SUMPRODUCT(('Jul 25'!$F$8:$F$42=$T10)*('Jul 25'!$AG$8:$AG$42="Delivered")*(('Jul 25'!$AM$8:$AM$42="Y")+('Jul 25'!$AN$8:$AN$42="Y")+('Jul 25'!$AO$8:$AO$42="Y")))+SUMPRODUCT(('Jul 26'!$F$8:$F$42=$T10)*('Jul 26'!$AG$8:$AG$42="Delivered")*(('Jul 26'!$AM$8:$AM$42="Y")+('Jul 26'!$AN$8:$AN$42="Y")+('Jul 26'!$AO$8:$AO$42="Y")))+SUMPRODUCT(('Jul 27'!$F$8:$F$42=$T10)*('Jul 27'!$AG$8:$AG$42="Delivered")*(('Jul 27'!$AM$8:$AM$42="Y")+('Jul 27'!$AN$8:$AN$42="Y")+('Jul 27'!$AO$8:$AO$42="Y")))+SUMPRODUCT(('Jul 28'!$F$8:$F$42=$T10)*('Jul 28'!$AG$8:$AG$42="Delivered")*(('Jul 28'!$AM$8:$AM$42="Y")+('Jul 28'!$AN$8:$AN$42="Y")+('Jul 28'!$AO$8:$AO$42="Y")))+SUMPRODUCT(('Jul 29'!$F$8:$F$42=$T10)*('Jul 29'!$AG$8:$AG$42="Delivered")*(('Jul 29'!$AM$8:$AM$42="Y")+('Jul 29'!$AN$8:$AN$42="Y")+('Jul 29'!$AO$8:$AO$42="Y")))+SUMPRODUCT(('Jul 30'!$F$8:$F$42=$T10)*('Jul 30'!$AG$8:$AG$42="Delivered")*(('Jul 30'!$AM$8:$AM$42="Y")+('Jul 30'!$AN$8:$AN$42="Y")+('Jul 30'!$AO$8:$AO$42="Y")))+SUMPRODUCT(('Jul 31'!$F$8:$F$42=$T10)*('Jul 31'!$AG$8:$AG$42="Delivered")*(('Jul 31'!$AM$8:$AM$42="Y")+('Jul 31'!$AN$8:$AN$42="Y")+('Jul 31'!$AO$8:$AO$42="Y")))</f>
        <v>0</v>
      </c>
      <c r="BD10">
        <f t="shared" si="1"/>
        <v>0</v>
      </c>
      <c r="BE10">
        <f t="shared" si="2"/>
        <v>0</v>
      </c>
      <c r="BF10">
        <f t="shared" si="3"/>
        <v>0</v>
      </c>
    </row>
    <row r="11" spans="1:60" ht="14.45" customHeight="1" x14ac:dyDescent="0.25">
      <c r="A11" s="51">
        <v>5</v>
      </c>
      <c r="B11" s="52" t="str">
        <f t="shared" si="4"/>
        <v>MERCEDES CLARK</v>
      </c>
      <c r="C11" s="53">
        <f t="shared" si="5"/>
        <v>0</v>
      </c>
      <c r="D11" s="54">
        <f t="shared" si="6"/>
        <v>0</v>
      </c>
      <c r="E11" s="54" t="str">
        <f t="shared" si="7"/>
        <v>—</v>
      </c>
      <c r="F11" s="51" t="str">
        <f>IF(BD8=0,"—",INDEX('Pay Plan'!$B$6:$B$12,BB8))</f>
        <v>—</v>
      </c>
      <c r="G11" s="54">
        <f t="shared" si="8"/>
        <v>0</v>
      </c>
      <c r="H11" s="54">
        <f>LOOKUP(BD8,'Pay Plan'!$B$15:$B$20,'Pay Plan'!$C$15:$C$20)</f>
        <v>0</v>
      </c>
      <c r="I11" s="54">
        <f>LOOKUP(BA8,'Pay Plan'!$E$15:$E$19,'Pay Plan'!$F$15:$F$19)</f>
        <v>0</v>
      </c>
      <c r="J11" s="54">
        <f>BC8*'Pay Plan'!$I$15</f>
        <v>0</v>
      </c>
      <c r="K11" s="130">
        <f t="shared" si="9"/>
        <v>0</v>
      </c>
      <c r="L11" s="111"/>
      <c r="M11" s="111"/>
      <c r="N11" s="55"/>
      <c r="O11" s="130">
        <f t="shared" si="10"/>
        <v>0</v>
      </c>
      <c r="P11" s="111"/>
      <c r="Q11" s="111"/>
      <c r="R11" s="111"/>
      <c r="T11" t="s">
        <v>97</v>
      </c>
      <c r="U11">
        <f>SUMPRODUCT((('Jul 1'!$F$8:$F$42=$T11)*(0.5+0.5*('Jul 1'!$G$8:$G$42=""))+('Jul 1'!$G$8:$G$42=$T11)*0.5)*('Jul 1'!$AG$8:$AG$42="Delivered"))</f>
        <v>0</v>
      </c>
      <c r="V11">
        <f>SUMPRODUCT((('Jul 2'!$F$8:$F$42=$T11)*(0.5+0.5*('Jul 2'!$G$8:$G$42=""))+('Jul 2'!$G$8:$G$42=$T11)*0.5)*('Jul 2'!$AG$8:$AG$42="Delivered"))</f>
        <v>0</v>
      </c>
      <c r="W11">
        <f>SUMPRODUCT((('Jul 3'!$F$8:$F$42=$T11)*(0.5+0.5*('Jul 3'!$G$8:$G$42=""))+('Jul 3'!$G$8:$G$42=$T11)*0.5)*('Jul 3'!$AG$8:$AG$42="Delivered"))</f>
        <v>0</v>
      </c>
      <c r="X11">
        <f>SUMPRODUCT((('Jul 4'!$F$8:$F$42=$T11)*(0.5+0.5*('Jul 4'!$G$8:$G$42=""))+('Jul 4'!$G$8:$G$42=$T11)*0.5)*('Jul 4'!$AG$8:$AG$42="Delivered"))</f>
        <v>0</v>
      </c>
      <c r="Y11">
        <f>SUMPRODUCT((('Jul 5'!$F$8:$F$42=$T11)*(0.5+0.5*('Jul 5'!$G$8:$G$42=""))+('Jul 5'!$G$8:$G$42=$T11)*0.5)*('Jul 5'!$AG$8:$AG$42="Delivered"))</f>
        <v>0</v>
      </c>
      <c r="Z11">
        <f>SUMPRODUCT((('Jul 6'!$F$8:$F$42=$T11)*(0.5+0.5*('Jul 6'!$G$8:$G$42=""))+('Jul 6'!$G$8:$G$42=$T11)*0.5)*('Jul 6'!$AG$8:$AG$42="Delivered"))</f>
        <v>0</v>
      </c>
      <c r="AA11">
        <f>SUMPRODUCT((('Jul 7'!$F$8:$F$42=$T11)*(0.5+0.5*('Jul 7'!$G$8:$G$42=""))+('Jul 7'!$G$8:$G$42=$T11)*0.5)*('Jul 7'!$AG$8:$AG$42="Delivered"))</f>
        <v>0</v>
      </c>
      <c r="AB11">
        <f>SUMPRODUCT((('Jul 8'!$F$8:$F$42=$T11)*(0.5+0.5*('Jul 8'!$G$8:$G$42=""))+('Jul 8'!$G$8:$G$42=$T11)*0.5)*('Jul 8'!$AG$8:$AG$42="Delivered"))</f>
        <v>0</v>
      </c>
      <c r="AC11">
        <f>SUMPRODUCT((('Jul 9'!$F$8:$F$42=$T11)*(0.5+0.5*('Jul 9'!$G$8:$G$42=""))+('Jul 9'!$G$8:$G$42=$T11)*0.5)*('Jul 9'!$AG$8:$AG$42="Delivered"))</f>
        <v>0</v>
      </c>
      <c r="AD11">
        <f>SUMPRODUCT((('Jul 10'!$F$8:$F$42=$T11)*(0.5+0.5*('Jul 10'!$G$8:$G$42=""))+('Jul 10'!$G$8:$G$42=$T11)*0.5)*('Jul 10'!$AG$8:$AG$42="Delivered"))</f>
        <v>0</v>
      </c>
      <c r="AE11">
        <f>SUMPRODUCT((('Jul 11'!$F$8:$F$42=$T11)*(0.5+0.5*('Jul 11'!$G$8:$G$42=""))+('Jul 11'!$G$8:$G$42=$T11)*0.5)*('Jul 11'!$AG$8:$AG$42="Delivered"))</f>
        <v>0</v>
      </c>
      <c r="AF11">
        <f>SUMPRODUCT((('Jul 12'!$F$8:$F$42=$T11)*(0.5+0.5*('Jul 12'!$G$8:$G$42=""))+('Jul 12'!$G$8:$G$42=$T11)*0.5)*('Jul 12'!$AG$8:$AG$42="Delivered"))</f>
        <v>0</v>
      </c>
      <c r="AG11">
        <f>SUMPRODUCT((('Jul 13'!$F$8:$F$42=$T11)*(0.5+0.5*('Jul 13'!$G$8:$G$42=""))+('Jul 13'!$G$8:$G$42=$T11)*0.5)*('Jul 13'!$AG$8:$AG$42="Delivered"))</f>
        <v>0</v>
      </c>
      <c r="AH11">
        <f>SUMPRODUCT((('Jul 14'!$F$8:$F$42=$T11)*(0.5+0.5*('Jul 14'!$G$8:$G$42=""))+('Jul 14'!$G$8:$G$42=$T11)*0.5)*('Jul 14'!$AG$8:$AG$42="Delivered"))</f>
        <v>0</v>
      </c>
      <c r="AI11">
        <f>SUMPRODUCT((('Jul 15'!$F$8:$F$42=$T11)*(0.5+0.5*('Jul 15'!$G$8:$G$42=""))+('Jul 15'!$G$8:$G$42=$T11)*0.5)*('Jul 15'!$AG$8:$AG$42="Delivered"))</f>
        <v>0</v>
      </c>
      <c r="AJ11">
        <f>SUMPRODUCT((('Jul 16'!$F$8:$F$42=$T11)*(0.5+0.5*('Jul 16'!$G$8:$G$42=""))+('Jul 16'!$G$8:$G$42=$T11)*0.5)*('Jul 16'!$AG$8:$AG$42="Delivered"))</f>
        <v>0</v>
      </c>
      <c r="AK11">
        <f>SUMPRODUCT((('Jul 17'!$F$8:$F$42=$T11)*(0.5+0.5*('Jul 17'!$G$8:$G$42=""))+('Jul 17'!$G$8:$G$42=$T11)*0.5)*('Jul 17'!$AG$8:$AG$42="Delivered"))</f>
        <v>0</v>
      </c>
      <c r="AL11">
        <f>SUMPRODUCT((('Jul 18'!$F$8:$F$42=$T11)*(0.5+0.5*('Jul 18'!$G$8:$G$42=""))+('Jul 18'!$G$8:$G$42=$T11)*0.5)*('Jul 18'!$AG$8:$AG$42="Delivered"))</f>
        <v>0</v>
      </c>
      <c r="AM11">
        <f>SUMPRODUCT((('Jul 19'!$F$8:$F$42=$T11)*(0.5+0.5*('Jul 19'!$G$8:$G$42=""))+('Jul 19'!$G$8:$G$42=$T11)*0.5)*('Jul 19'!$AG$8:$AG$42="Delivered"))</f>
        <v>0</v>
      </c>
      <c r="AN11">
        <f>SUMPRODUCT((('Jul 20'!$F$8:$F$42=$T11)*(0.5+0.5*('Jul 20'!$G$8:$G$42=""))+('Jul 20'!$G$8:$G$42=$T11)*0.5)*('Jul 20'!$AG$8:$AG$42="Delivered"))</f>
        <v>0</v>
      </c>
      <c r="AO11">
        <f>SUMPRODUCT((('Jul 21'!$F$8:$F$42=$T11)*(0.5+0.5*('Jul 21'!$G$8:$G$42=""))+('Jul 21'!$G$8:$G$42=$T11)*0.5)*('Jul 21'!$AG$8:$AG$42="Delivered"))</f>
        <v>0</v>
      </c>
      <c r="AP11">
        <f>SUMPRODUCT((('Jul 22'!$F$8:$F$42=$T11)*(0.5+0.5*('Jul 22'!$G$8:$G$42=""))+('Jul 22'!$G$8:$G$42=$T11)*0.5)*('Jul 22'!$AG$8:$AG$42="Delivered"))</f>
        <v>0</v>
      </c>
      <c r="AQ11">
        <f>SUMPRODUCT((('Jul 23'!$F$8:$F$42=$T11)*(0.5+0.5*('Jul 23'!$G$8:$G$42=""))+('Jul 23'!$G$8:$G$42=$T11)*0.5)*('Jul 23'!$AG$8:$AG$42="Delivered"))</f>
        <v>0</v>
      </c>
      <c r="AR11">
        <f>SUMPRODUCT((('Jul 24'!$F$8:$F$42=$T11)*(0.5+0.5*('Jul 24'!$G$8:$G$42=""))+('Jul 24'!$G$8:$G$42=$T11)*0.5)*('Jul 24'!$AG$8:$AG$42="Delivered"))</f>
        <v>0</v>
      </c>
      <c r="AS11">
        <f>SUMPRODUCT((('Jul 25'!$F$8:$F$42=$T11)*(0.5+0.5*('Jul 25'!$G$8:$G$42=""))+('Jul 25'!$G$8:$G$42=$T11)*0.5)*('Jul 25'!$AG$8:$AG$42="Delivered"))</f>
        <v>0</v>
      </c>
      <c r="AT11">
        <f>SUMPRODUCT((('Jul 26'!$F$8:$F$42=$T11)*(0.5+0.5*('Jul 26'!$G$8:$G$42=""))+('Jul 26'!$G$8:$G$42=$T11)*0.5)*('Jul 26'!$AG$8:$AG$42="Delivered"))</f>
        <v>0</v>
      </c>
      <c r="AU11">
        <f>SUMPRODUCT((('Jul 27'!$F$8:$F$42=$T11)*(0.5+0.5*('Jul 27'!$G$8:$G$42=""))+('Jul 27'!$G$8:$G$42=$T11)*0.5)*('Jul 27'!$AG$8:$AG$42="Delivered"))</f>
        <v>0</v>
      </c>
      <c r="AV11">
        <f>SUMPRODUCT((('Jul 28'!$F$8:$F$42=$T11)*(0.5+0.5*('Jul 28'!$G$8:$G$42=""))+('Jul 28'!$G$8:$G$42=$T11)*0.5)*('Jul 28'!$AG$8:$AG$42="Delivered"))</f>
        <v>0</v>
      </c>
      <c r="AW11">
        <f>SUMPRODUCT((('Jul 29'!$F$8:$F$42=$T11)*(0.5+0.5*('Jul 29'!$G$8:$G$42=""))+('Jul 29'!$G$8:$G$42=$T11)*0.5)*('Jul 29'!$AG$8:$AG$42="Delivered"))</f>
        <v>0</v>
      </c>
      <c r="AX11">
        <f>SUMPRODUCT((('Jul 30'!$F$8:$F$42=$T11)*(0.5+0.5*('Jul 30'!$G$8:$G$42=""))+('Jul 30'!$G$8:$G$42=$T11)*0.5)*('Jul 30'!$AG$8:$AG$42="Delivered"))</f>
        <v>0</v>
      </c>
      <c r="AY11">
        <f>SUMPRODUCT((('Jul 31'!$F$8:$F$42=$T11)*(0.5+0.5*('Jul 31'!$G$8:$G$42=""))+('Jul 31'!$G$8:$G$42=$T11)*0.5)*('Jul 31'!$AG$8:$AG$42="Delivered"))</f>
        <v>0</v>
      </c>
      <c r="BA11">
        <f t="shared" si="0"/>
        <v>0</v>
      </c>
      <c r="BB11">
        <f>MATCH(BD11,'Pay Plan'!$C$6:$C$12,1)</f>
        <v>1</v>
      </c>
      <c r="BC11">
        <f>SUMPRODUCT(('Jul 1'!$F$8:$F$42=$T11)*('Jul 1'!$AG$8:$AG$42="Delivered")*(('Jul 1'!$AM$8:$AM$42="Y")+('Jul 1'!$AN$8:$AN$42="Y")+('Jul 1'!$AO$8:$AO$42="Y")))+SUMPRODUCT(('Jul 2'!$F$8:$F$42=$T11)*('Jul 2'!$AG$8:$AG$42="Delivered")*(('Jul 2'!$AM$8:$AM$42="Y")+('Jul 2'!$AN$8:$AN$42="Y")+('Jul 2'!$AO$8:$AO$42="Y")))+SUMPRODUCT(('Jul 3'!$F$8:$F$42=$T11)*('Jul 3'!$AG$8:$AG$42="Delivered")*(('Jul 3'!$AM$8:$AM$42="Y")+('Jul 3'!$AN$8:$AN$42="Y")+('Jul 3'!$AO$8:$AO$42="Y")))+SUMPRODUCT(('Jul 4'!$F$8:$F$42=$T11)*('Jul 4'!$AG$8:$AG$42="Delivered")*(('Jul 4'!$AM$8:$AM$42="Y")+('Jul 4'!$AN$8:$AN$42="Y")+('Jul 4'!$AO$8:$AO$42="Y")))+SUMPRODUCT(('Jul 5'!$F$8:$F$42=$T11)*('Jul 5'!$AG$8:$AG$42="Delivered")*(('Jul 5'!$AM$8:$AM$42="Y")+('Jul 5'!$AN$8:$AN$42="Y")+('Jul 5'!$AO$8:$AO$42="Y")))+SUMPRODUCT(('Jul 6'!$F$8:$F$42=$T11)*('Jul 6'!$AG$8:$AG$42="Delivered")*(('Jul 6'!$AM$8:$AM$42="Y")+('Jul 6'!$AN$8:$AN$42="Y")+('Jul 6'!$AO$8:$AO$42="Y")))+SUMPRODUCT(('Jul 7'!$F$8:$F$42=$T11)*('Jul 7'!$AG$8:$AG$42="Delivered")*(('Jul 7'!$AM$8:$AM$42="Y")+('Jul 7'!$AN$8:$AN$42="Y")+('Jul 7'!$AO$8:$AO$42="Y")))+SUMPRODUCT(('Jul 8'!$F$8:$F$42=$T11)*('Jul 8'!$AG$8:$AG$42="Delivered")*(('Jul 8'!$AM$8:$AM$42="Y")+('Jul 8'!$AN$8:$AN$42="Y")+('Jul 8'!$AO$8:$AO$42="Y")))+SUMPRODUCT(('Jul 9'!$F$8:$F$42=$T11)*('Jul 9'!$AG$8:$AG$42="Delivered")*(('Jul 9'!$AM$8:$AM$42="Y")+('Jul 9'!$AN$8:$AN$42="Y")+('Jul 9'!$AO$8:$AO$42="Y")))+SUMPRODUCT(('Jul 10'!$F$8:$F$42=$T11)*('Jul 10'!$AG$8:$AG$42="Delivered")*(('Jul 10'!$AM$8:$AM$42="Y")+('Jul 10'!$AN$8:$AN$42="Y")+('Jul 10'!$AO$8:$AO$42="Y")))+SUMPRODUCT(('Jul 11'!$F$8:$F$42=$T11)*('Jul 11'!$AG$8:$AG$42="Delivered")*(('Jul 11'!$AM$8:$AM$42="Y")+('Jul 11'!$AN$8:$AN$42="Y")+('Jul 11'!$AO$8:$AO$42="Y")))+SUMPRODUCT(('Jul 12'!$F$8:$F$42=$T11)*('Jul 12'!$AG$8:$AG$42="Delivered")*(('Jul 12'!$AM$8:$AM$42="Y")+('Jul 12'!$AN$8:$AN$42="Y")+('Jul 12'!$AO$8:$AO$42="Y")))+SUMPRODUCT(('Jul 13'!$F$8:$F$42=$T11)*('Jul 13'!$AG$8:$AG$42="Delivered")*(('Jul 13'!$AM$8:$AM$42="Y")+('Jul 13'!$AN$8:$AN$42="Y")+('Jul 13'!$AO$8:$AO$42="Y")))+SUMPRODUCT(('Jul 14'!$F$8:$F$42=$T11)*('Jul 14'!$AG$8:$AG$42="Delivered")*(('Jul 14'!$AM$8:$AM$42="Y")+('Jul 14'!$AN$8:$AN$42="Y")+('Jul 14'!$AO$8:$AO$42="Y")))+SUMPRODUCT(('Jul 15'!$F$8:$F$42=$T11)*('Jul 15'!$AG$8:$AG$42="Delivered")*(('Jul 15'!$AM$8:$AM$42="Y")+('Jul 15'!$AN$8:$AN$42="Y")+('Jul 15'!$AO$8:$AO$42="Y")))+SUMPRODUCT(('Jul 16'!$F$8:$F$42=$T11)*('Jul 16'!$AG$8:$AG$42="Delivered")*(('Jul 16'!$AM$8:$AM$42="Y")+('Jul 16'!$AN$8:$AN$42="Y")+('Jul 16'!$AO$8:$AO$42="Y")))+SUMPRODUCT(('Jul 17'!$F$8:$F$42=$T11)*('Jul 17'!$AG$8:$AG$42="Delivered")*(('Jul 17'!$AM$8:$AM$42="Y")+('Jul 17'!$AN$8:$AN$42="Y")+('Jul 17'!$AO$8:$AO$42="Y")))+SUMPRODUCT(('Jul 18'!$F$8:$F$42=$T11)*('Jul 18'!$AG$8:$AG$42="Delivered")*(('Jul 18'!$AM$8:$AM$42="Y")+('Jul 18'!$AN$8:$AN$42="Y")+('Jul 18'!$AO$8:$AO$42="Y")))+SUMPRODUCT(('Jul 19'!$F$8:$F$42=$T11)*('Jul 19'!$AG$8:$AG$42="Delivered")*(('Jul 19'!$AM$8:$AM$42="Y")+('Jul 19'!$AN$8:$AN$42="Y")+('Jul 19'!$AO$8:$AO$42="Y")))+SUMPRODUCT(('Jul 20'!$F$8:$F$42=$T11)*('Jul 20'!$AG$8:$AG$42="Delivered")*(('Jul 20'!$AM$8:$AM$42="Y")+('Jul 20'!$AN$8:$AN$42="Y")+('Jul 20'!$AO$8:$AO$42="Y")))+SUMPRODUCT(('Jul 21'!$F$8:$F$42=$T11)*('Jul 21'!$AG$8:$AG$42="Delivered")*(('Jul 21'!$AM$8:$AM$42="Y")+('Jul 21'!$AN$8:$AN$42="Y")+('Jul 21'!$AO$8:$AO$42="Y")))+SUMPRODUCT(('Jul 22'!$F$8:$F$42=$T11)*('Jul 22'!$AG$8:$AG$42="Delivered")*(('Jul 22'!$AM$8:$AM$42="Y")+('Jul 22'!$AN$8:$AN$42="Y")+('Jul 22'!$AO$8:$AO$42="Y")))+SUMPRODUCT(('Jul 23'!$F$8:$F$42=$T11)*('Jul 23'!$AG$8:$AG$42="Delivered")*(('Jul 23'!$AM$8:$AM$42="Y")+('Jul 23'!$AN$8:$AN$42="Y")+('Jul 23'!$AO$8:$AO$42="Y")))+SUMPRODUCT(('Jul 24'!$F$8:$F$42=$T11)*('Jul 24'!$AG$8:$AG$42="Delivered")*(('Jul 24'!$AM$8:$AM$42="Y")+('Jul 24'!$AN$8:$AN$42="Y")+('Jul 24'!$AO$8:$AO$42="Y")))+SUMPRODUCT(('Jul 25'!$F$8:$F$42=$T11)*('Jul 25'!$AG$8:$AG$42="Delivered")*(('Jul 25'!$AM$8:$AM$42="Y")+('Jul 25'!$AN$8:$AN$42="Y")+('Jul 25'!$AO$8:$AO$42="Y")))+SUMPRODUCT(('Jul 26'!$F$8:$F$42=$T11)*('Jul 26'!$AG$8:$AG$42="Delivered")*(('Jul 26'!$AM$8:$AM$42="Y")+('Jul 26'!$AN$8:$AN$42="Y")+('Jul 26'!$AO$8:$AO$42="Y")))+SUMPRODUCT(('Jul 27'!$F$8:$F$42=$T11)*('Jul 27'!$AG$8:$AG$42="Delivered")*(('Jul 27'!$AM$8:$AM$42="Y")+('Jul 27'!$AN$8:$AN$42="Y")+('Jul 27'!$AO$8:$AO$42="Y")))+SUMPRODUCT(('Jul 28'!$F$8:$F$42=$T11)*('Jul 28'!$AG$8:$AG$42="Delivered")*(('Jul 28'!$AM$8:$AM$42="Y")+('Jul 28'!$AN$8:$AN$42="Y")+('Jul 28'!$AO$8:$AO$42="Y")))+SUMPRODUCT(('Jul 29'!$F$8:$F$42=$T11)*('Jul 29'!$AG$8:$AG$42="Delivered")*(('Jul 29'!$AM$8:$AM$42="Y")+('Jul 29'!$AN$8:$AN$42="Y")+('Jul 29'!$AO$8:$AO$42="Y")))+SUMPRODUCT(('Jul 30'!$F$8:$F$42=$T11)*('Jul 30'!$AG$8:$AG$42="Delivered")*(('Jul 30'!$AM$8:$AM$42="Y")+('Jul 30'!$AN$8:$AN$42="Y")+('Jul 30'!$AO$8:$AO$42="Y")))+SUMPRODUCT(('Jul 31'!$F$8:$F$42=$T11)*('Jul 31'!$AG$8:$AG$42="Delivered")*(('Jul 31'!$AM$8:$AM$42="Y")+('Jul 31'!$AN$8:$AN$42="Y")+('Jul 31'!$AO$8:$AO$42="Y")))</f>
        <v>0</v>
      </c>
      <c r="BD11">
        <f t="shared" si="1"/>
        <v>0</v>
      </c>
      <c r="BE11">
        <f t="shared" si="2"/>
        <v>0</v>
      </c>
      <c r="BF11">
        <f t="shared" si="3"/>
        <v>0</v>
      </c>
    </row>
    <row r="12" spans="1:60" ht="14.45" customHeight="1" x14ac:dyDescent="0.25">
      <c r="A12" s="56">
        <v>6</v>
      </c>
      <c r="B12" s="57" t="str">
        <f t="shared" si="4"/>
        <v>ZAY JOHNSON</v>
      </c>
      <c r="C12" s="58">
        <f t="shared" si="5"/>
        <v>0</v>
      </c>
      <c r="D12" s="59">
        <f t="shared" si="6"/>
        <v>0</v>
      </c>
      <c r="E12" s="59" t="str">
        <f t="shared" si="7"/>
        <v>—</v>
      </c>
      <c r="F12" s="56" t="str">
        <f>IF(BD9=0,"—",INDEX('Pay Plan'!$B$6:$B$12,BB9))</f>
        <v>—</v>
      </c>
      <c r="G12" s="59">
        <f t="shared" si="8"/>
        <v>0</v>
      </c>
      <c r="H12" s="59">
        <f>LOOKUP(BD9,'Pay Plan'!$B$15:$B$20,'Pay Plan'!$C$15:$C$20)</f>
        <v>0</v>
      </c>
      <c r="I12" s="59">
        <f>LOOKUP(BA9,'Pay Plan'!$E$15:$E$19,'Pay Plan'!$F$15:$F$19)</f>
        <v>0</v>
      </c>
      <c r="J12" s="59">
        <f>BC9*'Pay Plan'!$I$15</f>
        <v>0</v>
      </c>
      <c r="K12" s="131">
        <f t="shared" si="9"/>
        <v>0</v>
      </c>
      <c r="L12" s="111"/>
      <c r="M12" s="111"/>
      <c r="N12" s="55"/>
      <c r="O12" s="131">
        <f t="shared" si="10"/>
        <v>0</v>
      </c>
      <c r="P12" s="111"/>
      <c r="Q12" s="111"/>
      <c r="R12" s="111"/>
      <c r="T12" t="s">
        <v>98</v>
      </c>
      <c r="U12">
        <f>SUMPRODUCT((('Jul 1'!$F$8:$F$42=$T12)*(0.5+0.5*('Jul 1'!$G$8:$G$42=""))+('Jul 1'!$G$8:$G$42=$T12)*0.5)*('Jul 1'!$AG$8:$AG$42="Delivered"))</f>
        <v>0</v>
      </c>
      <c r="V12">
        <f>SUMPRODUCT((('Jul 2'!$F$8:$F$42=$T12)*(0.5+0.5*('Jul 2'!$G$8:$G$42=""))+('Jul 2'!$G$8:$G$42=$T12)*0.5)*('Jul 2'!$AG$8:$AG$42="Delivered"))</f>
        <v>0</v>
      </c>
      <c r="W12">
        <f>SUMPRODUCT((('Jul 3'!$F$8:$F$42=$T12)*(0.5+0.5*('Jul 3'!$G$8:$G$42=""))+('Jul 3'!$G$8:$G$42=$T12)*0.5)*('Jul 3'!$AG$8:$AG$42="Delivered"))</f>
        <v>0</v>
      </c>
      <c r="X12">
        <f>SUMPRODUCT((('Jul 4'!$F$8:$F$42=$T12)*(0.5+0.5*('Jul 4'!$G$8:$G$42=""))+('Jul 4'!$G$8:$G$42=$T12)*0.5)*('Jul 4'!$AG$8:$AG$42="Delivered"))</f>
        <v>0</v>
      </c>
      <c r="Y12">
        <f>SUMPRODUCT((('Jul 5'!$F$8:$F$42=$T12)*(0.5+0.5*('Jul 5'!$G$8:$G$42=""))+('Jul 5'!$G$8:$G$42=$T12)*0.5)*('Jul 5'!$AG$8:$AG$42="Delivered"))</f>
        <v>0</v>
      </c>
      <c r="Z12">
        <f>SUMPRODUCT((('Jul 6'!$F$8:$F$42=$T12)*(0.5+0.5*('Jul 6'!$G$8:$G$42=""))+('Jul 6'!$G$8:$G$42=$T12)*0.5)*('Jul 6'!$AG$8:$AG$42="Delivered"))</f>
        <v>0</v>
      </c>
      <c r="AA12">
        <f>SUMPRODUCT((('Jul 7'!$F$8:$F$42=$T12)*(0.5+0.5*('Jul 7'!$G$8:$G$42=""))+('Jul 7'!$G$8:$G$42=$T12)*0.5)*('Jul 7'!$AG$8:$AG$42="Delivered"))</f>
        <v>0</v>
      </c>
      <c r="AB12">
        <f>SUMPRODUCT((('Jul 8'!$F$8:$F$42=$T12)*(0.5+0.5*('Jul 8'!$G$8:$G$42=""))+('Jul 8'!$G$8:$G$42=$T12)*0.5)*('Jul 8'!$AG$8:$AG$42="Delivered"))</f>
        <v>0</v>
      </c>
      <c r="AC12">
        <f>SUMPRODUCT((('Jul 9'!$F$8:$F$42=$T12)*(0.5+0.5*('Jul 9'!$G$8:$G$42=""))+('Jul 9'!$G$8:$G$42=$T12)*0.5)*('Jul 9'!$AG$8:$AG$42="Delivered"))</f>
        <v>0</v>
      </c>
      <c r="AD12">
        <f>SUMPRODUCT((('Jul 10'!$F$8:$F$42=$T12)*(0.5+0.5*('Jul 10'!$G$8:$G$42=""))+('Jul 10'!$G$8:$G$42=$T12)*0.5)*('Jul 10'!$AG$8:$AG$42="Delivered"))</f>
        <v>0</v>
      </c>
      <c r="AE12">
        <f>SUMPRODUCT((('Jul 11'!$F$8:$F$42=$T12)*(0.5+0.5*('Jul 11'!$G$8:$G$42=""))+('Jul 11'!$G$8:$G$42=$T12)*0.5)*('Jul 11'!$AG$8:$AG$42="Delivered"))</f>
        <v>0</v>
      </c>
      <c r="AF12">
        <f>SUMPRODUCT((('Jul 12'!$F$8:$F$42=$T12)*(0.5+0.5*('Jul 12'!$G$8:$G$42=""))+('Jul 12'!$G$8:$G$42=$T12)*0.5)*('Jul 12'!$AG$8:$AG$42="Delivered"))</f>
        <v>0</v>
      </c>
      <c r="AG12">
        <f>SUMPRODUCT((('Jul 13'!$F$8:$F$42=$T12)*(0.5+0.5*('Jul 13'!$G$8:$G$42=""))+('Jul 13'!$G$8:$G$42=$T12)*0.5)*('Jul 13'!$AG$8:$AG$42="Delivered"))</f>
        <v>0</v>
      </c>
      <c r="AH12">
        <f>SUMPRODUCT((('Jul 14'!$F$8:$F$42=$T12)*(0.5+0.5*('Jul 14'!$G$8:$G$42=""))+('Jul 14'!$G$8:$G$42=$T12)*0.5)*('Jul 14'!$AG$8:$AG$42="Delivered"))</f>
        <v>0</v>
      </c>
      <c r="AI12">
        <f>SUMPRODUCT((('Jul 15'!$F$8:$F$42=$T12)*(0.5+0.5*('Jul 15'!$G$8:$G$42=""))+('Jul 15'!$G$8:$G$42=$T12)*0.5)*('Jul 15'!$AG$8:$AG$42="Delivered"))</f>
        <v>0</v>
      </c>
      <c r="AJ12">
        <f>SUMPRODUCT((('Jul 16'!$F$8:$F$42=$T12)*(0.5+0.5*('Jul 16'!$G$8:$G$42=""))+('Jul 16'!$G$8:$G$42=$T12)*0.5)*('Jul 16'!$AG$8:$AG$42="Delivered"))</f>
        <v>0</v>
      </c>
      <c r="AK12">
        <f>SUMPRODUCT((('Jul 17'!$F$8:$F$42=$T12)*(0.5+0.5*('Jul 17'!$G$8:$G$42=""))+('Jul 17'!$G$8:$G$42=$T12)*0.5)*('Jul 17'!$AG$8:$AG$42="Delivered"))</f>
        <v>0</v>
      </c>
      <c r="AL12">
        <f>SUMPRODUCT((('Jul 18'!$F$8:$F$42=$T12)*(0.5+0.5*('Jul 18'!$G$8:$G$42=""))+('Jul 18'!$G$8:$G$42=$T12)*0.5)*('Jul 18'!$AG$8:$AG$42="Delivered"))</f>
        <v>0</v>
      </c>
      <c r="AM12">
        <f>SUMPRODUCT((('Jul 19'!$F$8:$F$42=$T12)*(0.5+0.5*('Jul 19'!$G$8:$G$42=""))+('Jul 19'!$G$8:$G$42=$T12)*0.5)*('Jul 19'!$AG$8:$AG$42="Delivered"))</f>
        <v>0</v>
      </c>
      <c r="AN12">
        <f>SUMPRODUCT((('Jul 20'!$F$8:$F$42=$T12)*(0.5+0.5*('Jul 20'!$G$8:$G$42=""))+('Jul 20'!$G$8:$G$42=$T12)*0.5)*('Jul 20'!$AG$8:$AG$42="Delivered"))</f>
        <v>0</v>
      </c>
      <c r="AO12">
        <f>SUMPRODUCT((('Jul 21'!$F$8:$F$42=$T12)*(0.5+0.5*('Jul 21'!$G$8:$G$42=""))+('Jul 21'!$G$8:$G$42=$T12)*0.5)*('Jul 21'!$AG$8:$AG$42="Delivered"))</f>
        <v>0</v>
      </c>
      <c r="AP12">
        <f>SUMPRODUCT((('Jul 22'!$F$8:$F$42=$T12)*(0.5+0.5*('Jul 22'!$G$8:$G$42=""))+('Jul 22'!$G$8:$G$42=$T12)*0.5)*('Jul 22'!$AG$8:$AG$42="Delivered"))</f>
        <v>0</v>
      </c>
      <c r="AQ12">
        <f>SUMPRODUCT((('Jul 23'!$F$8:$F$42=$T12)*(0.5+0.5*('Jul 23'!$G$8:$G$42=""))+('Jul 23'!$G$8:$G$42=$T12)*0.5)*('Jul 23'!$AG$8:$AG$42="Delivered"))</f>
        <v>0</v>
      </c>
      <c r="AR12">
        <f>SUMPRODUCT((('Jul 24'!$F$8:$F$42=$T12)*(0.5+0.5*('Jul 24'!$G$8:$G$42=""))+('Jul 24'!$G$8:$G$42=$T12)*0.5)*('Jul 24'!$AG$8:$AG$42="Delivered"))</f>
        <v>0</v>
      </c>
      <c r="AS12">
        <f>SUMPRODUCT((('Jul 25'!$F$8:$F$42=$T12)*(0.5+0.5*('Jul 25'!$G$8:$G$42=""))+('Jul 25'!$G$8:$G$42=$T12)*0.5)*('Jul 25'!$AG$8:$AG$42="Delivered"))</f>
        <v>0</v>
      </c>
      <c r="AT12">
        <f>SUMPRODUCT((('Jul 26'!$F$8:$F$42=$T12)*(0.5+0.5*('Jul 26'!$G$8:$G$42=""))+('Jul 26'!$G$8:$G$42=$T12)*0.5)*('Jul 26'!$AG$8:$AG$42="Delivered"))</f>
        <v>0</v>
      </c>
      <c r="AU12">
        <f>SUMPRODUCT((('Jul 27'!$F$8:$F$42=$T12)*(0.5+0.5*('Jul 27'!$G$8:$G$42=""))+('Jul 27'!$G$8:$G$42=$T12)*0.5)*('Jul 27'!$AG$8:$AG$42="Delivered"))</f>
        <v>0</v>
      </c>
      <c r="AV12">
        <f>SUMPRODUCT((('Jul 28'!$F$8:$F$42=$T12)*(0.5+0.5*('Jul 28'!$G$8:$G$42=""))+('Jul 28'!$G$8:$G$42=$T12)*0.5)*('Jul 28'!$AG$8:$AG$42="Delivered"))</f>
        <v>0</v>
      </c>
      <c r="AW12">
        <f>SUMPRODUCT((('Jul 29'!$F$8:$F$42=$T12)*(0.5+0.5*('Jul 29'!$G$8:$G$42=""))+('Jul 29'!$G$8:$G$42=$T12)*0.5)*('Jul 29'!$AG$8:$AG$42="Delivered"))</f>
        <v>0</v>
      </c>
      <c r="AX12">
        <f>SUMPRODUCT((('Jul 30'!$F$8:$F$42=$T12)*(0.5+0.5*('Jul 30'!$G$8:$G$42=""))+('Jul 30'!$G$8:$G$42=$T12)*0.5)*('Jul 30'!$AG$8:$AG$42="Delivered"))</f>
        <v>0</v>
      </c>
      <c r="AY12">
        <f>SUMPRODUCT((('Jul 31'!$F$8:$F$42=$T12)*(0.5+0.5*('Jul 31'!$G$8:$G$42=""))+('Jul 31'!$G$8:$G$42=$T12)*0.5)*('Jul 31'!$AG$8:$AG$42="Delivered"))</f>
        <v>0</v>
      </c>
      <c r="BA12">
        <f t="shared" si="0"/>
        <v>0</v>
      </c>
      <c r="BB12">
        <f>MATCH(BD12,'Pay Plan'!$C$6:$C$12,1)</f>
        <v>1</v>
      </c>
      <c r="BC12">
        <f>SUMPRODUCT(('Jul 1'!$F$8:$F$42=$T12)*('Jul 1'!$AG$8:$AG$42="Delivered")*(('Jul 1'!$AM$8:$AM$42="Y")+('Jul 1'!$AN$8:$AN$42="Y")+('Jul 1'!$AO$8:$AO$42="Y")))+SUMPRODUCT(('Jul 2'!$F$8:$F$42=$T12)*('Jul 2'!$AG$8:$AG$42="Delivered")*(('Jul 2'!$AM$8:$AM$42="Y")+('Jul 2'!$AN$8:$AN$42="Y")+('Jul 2'!$AO$8:$AO$42="Y")))+SUMPRODUCT(('Jul 3'!$F$8:$F$42=$T12)*('Jul 3'!$AG$8:$AG$42="Delivered")*(('Jul 3'!$AM$8:$AM$42="Y")+('Jul 3'!$AN$8:$AN$42="Y")+('Jul 3'!$AO$8:$AO$42="Y")))+SUMPRODUCT(('Jul 4'!$F$8:$F$42=$T12)*('Jul 4'!$AG$8:$AG$42="Delivered")*(('Jul 4'!$AM$8:$AM$42="Y")+('Jul 4'!$AN$8:$AN$42="Y")+('Jul 4'!$AO$8:$AO$42="Y")))+SUMPRODUCT(('Jul 5'!$F$8:$F$42=$T12)*('Jul 5'!$AG$8:$AG$42="Delivered")*(('Jul 5'!$AM$8:$AM$42="Y")+('Jul 5'!$AN$8:$AN$42="Y")+('Jul 5'!$AO$8:$AO$42="Y")))+SUMPRODUCT(('Jul 6'!$F$8:$F$42=$T12)*('Jul 6'!$AG$8:$AG$42="Delivered")*(('Jul 6'!$AM$8:$AM$42="Y")+('Jul 6'!$AN$8:$AN$42="Y")+('Jul 6'!$AO$8:$AO$42="Y")))+SUMPRODUCT(('Jul 7'!$F$8:$F$42=$T12)*('Jul 7'!$AG$8:$AG$42="Delivered")*(('Jul 7'!$AM$8:$AM$42="Y")+('Jul 7'!$AN$8:$AN$42="Y")+('Jul 7'!$AO$8:$AO$42="Y")))+SUMPRODUCT(('Jul 8'!$F$8:$F$42=$T12)*('Jul 8'!$AG$8:$AG$42="Delivered")*(('Jul 8'!$AM$8:$AM$42="Y")+('Jul 8'!$AN$8:$AN$42="Y")+('Jul 8'!$AO$8:$AO$42="Y")))+SUMPRODUCT(('Jul 9'!$F$8:$F$42=$T12)*('Jul 9'!$AG$8:$AG$42="Delivered")*(('Jul 9'!$AM$8:$AM$42="Y")+('Jul 9'!$AN$8:$AN$42="Y")+('Jul 9'!$AO$8:$AO$42="Y")))+SUMPRODUCT(('Jul 10'!$F$8:$F$42=$T12)*('Jul 10'!$AG$8:$AG$42="Delivered")*(('Jul 10'!$AM$8:$AM$42="Y")+('Jul 10'!$AN$8:$AN$42="Y")+('Jul 10'!$AO$8:$AO$42="Y")))+SUMPRODUCT(('Jul 11'!$F$8:$F$42=$T12)*('Jul 11'!$AG$8:$AG$42="Delivered")*(('Jul 11'!$AM$8:$AM$42="Y")+('Jul 11'!$AN$8:$AN$42="Y")+('Jul 11'!$AO$8:$AO$42="Y")))+SUMPRODUCT(('Jul 12'!$F$8:$F$42=$T12)*('Jul 12'!$AG$8:$AG$42="Delivered")*(('Jul 12'!$AM$8:$AM$42="Y")+('Jul 12'!$AN$8:$AN$42="Y")+('Jul 12'!$AO$8:$AO$42="Y")))+SUMPRODUCT(('Jul 13'!$F$8:$F$42=$T12)*('Jul 13'!$AG$8:$AG$42="Delivered")*(('Jul 13'!$AM$8:$AM$42="Y")+('Jul 13'!$AN$8:$AN$42="Y")+('Jul 13'!$AO$8:$AO$42="Y")))+SUMPRODUCT(('Jul 14'!$F$8:$F$42=$T12)*('Jul 14'!$AG$8:$AG$42="Delivered")*(('Jul 14'!$AM$8:$AM$42="Y")+('Jul 14'!$AN$8:$AN$42="Y")+('Jul 14'!$AO$8:$AO$42="Y")))+SUMPRODUCT(('Jul 15'!$F$8:$F$42=$T12)*('Jul 15'!$AG$8:$AG$42="Delivered")*(('Jul 15'!$AM$8:$AM$42="Y")+('Jul 15'!$AN$8:$AN$42="Y")+('Jul 15'!$AO$8:$AO$42="Y")))+SUMPRODUCT(('Jul 16'!$F$8:$F$42=$T12)*('Jul 16'!$AG$8:$AG$42="Delivered")*(('Jul 16'!$AM$8:$AM$42="Y")+('Jul 16'!$AN$8:$AN$42="Y")+('Jul 16'!$AO$8:$AO$42="Y")))+SUMPRODUCT(('Jul 17'!$F$8:$F$42=$T12)*('Jul 17'!$AG$8:$AG$42="Delivered")*(('Jul 17'!$AM$8:$AM$42="Y")+('Jul 17'!$AN$8:$AN$42="Y")+('Jul 17'!$AO$8:$AO$42="Y")))+SUMPRODUCT(('Jul 18'!$F$8:$F$42=$T12)*('Jul 18'!$AG$8:$AG$42="Delivered")*(('Jul 18'!$AM$8:$AM$42="Y")+('Jul 18'!$AN$8:$AN$42="Y")+('Jul 18'!$AO$8:$AO$42="Y")))+SUMPRODUCT(('Jul 19'!$F$8:$F$42=$T12)*('Jul 19'!$AG$8:$AG$42="Delivered")*(('Jul 19'!$AM$8:$AM$42="Y")+('Jul 19'!$AN$8:$AN$42="Y")+('Jul 19'!$AO$8:$AO$42="Y")))+SUMPRODUCT(('Jul 20'!$F$8:$F$42=$T12)*('Jul 20'!$AG$8:$AG$42="Delivered")*(('Jul 20'!$AM$8:$AM$42="Y")+('Jul 20'!$AN$8:$AN$42="Y")+('Jul 20'!$AO$8:$AO$42="Y")))+SUMPRODUCT(('Jul 21'!$F$8:$F$42=$T12)*('Jul 21'!$AG$8:$AG$42="Delivered")*(('Jul 21'!$AM$8:$AM$42="Y")+('Jul 21'!$AN$8:$AN$42="Y")+('Jul 21'!$AO$8:$AO$42="Y")))+SUMPRODUCT(('Jul 22'!$F$8:$F$42=$T12)*('Jul 22'!$AG$8:$AG$42="Delivered")*(('Jul 22'!$AM$8:$AM$42="Y")+('Jul 22'!$AN$8:$AN$42="Y")+('Jul 22'!$AO$8:$AO$42="Y")))+SUMPRODUCT(('Jul 23'!$F$8:$F$42=$T12)*('Jul 23'!$AG$8:$AG$42="Delivered")*(('Jul 23'!$AM$8:$AM$42="Y")+('Jul 23'!$AN$8:$AN$42="Y")+('Jul 23'!$AO$8:$AO$42="Y")))+SUMPRODUCT(('Jul 24'!$F$8:$F$42=$T12)*('Jul 24'!$AG$8:$AG$42="Delivered")*(('Jul 24'!$AM$8:$AM$42="Y")+('Jul 24'!$AN$8:$AN$42="Y")+('Jul 24'!$AO$8:$AO$42="Y")))+SUMPRODUCT(('Jul 25'!$F$8:$F$42=$T12)*('Jul 25'!$AG$8:$AG$42="Delivered")*(('Jul 25'!$AM$8:$AM$42="Y")+('Jul 25'!$AN$8:$AN$42="Y")+('Jul 25'!$AO$8:$AO$42="Y")))+SUMPRODUCT(('Jul 26'!$F$8:$F$42=$T12)*('Jul 26'!$AG$8:$AG$42="Delivered")*(('Jul 26'!$AM$8:$AM$42="Y")+('Jul 26'!$AN$8:$AN$42="Y")+('Jul 26'!$AO$8:$AO$42="Y")))+SUMPRODUCT(('Jul 27'!$F$8:$F$42=$T12)*('Jul 27'!$AG$8:$AG$42="Delivered")*(('Jul 27'!$AM$8:$AM$42="Y")+('Jul 27'!$AN$8:$AN$42="Y")+('Jul 27'!$AO$8:$AO$42="Y")))+SUMPRODUCT(('Jul 28'!$F$8:$F$42=$T12)*('Jul 28'!$AG$8:$AG$42="Delivered")*(('Jul 28'!$AM$8:$AM$42="Y")+('Jul 28'!$AN$8:$AN$42="Y")+('Jul 28'!$AO$8:$AO$42="Y")))+SUMPRODUCT(('Jul 29'!$F$8:$F$42=$T12)*('Jul 29'!$AG$8:$AG$42="Delivered")*(('Jul 29'!$AM$8:$AM$42="Y")+('Jul 29'!$AN$8:$AN$42="Y")+('Jul 29'!$AO$8:$AO$42="Y")))+SUMPRODUCT(('Jul 30'!$F$8:$F$42=$T12)*('Jul 30'!$AG$8:$AG$42="Delivered")*(('Jul 30'!$AM$8:$AM$42="Y")+('Jul 30'!$AN$8:$AN$42="Y")+('Jul 30'!$AO$8:$AO$42="Y")))+SUMPRODUCT(('Jul 31'!$F$8:$F$42=$T12)*('Jul 31'!$AG$8:$AG$42="Delivered")*(('Jul 31'!$AM$8:$AM$42="Y")+('Jul 31'!$AN$8:$AN$42="Y")+('Jul 31'!$AO$8:$AO$42="Y")))</f>
        <v>0</v>
      </c>
      <c r="BD12">
        <f t="shared" si="1"/>
        <v>0</v>
      </c>
      <c r="BE12">
        <f t="shared" si="2"/>
        <v>0</v>
      </c>
      <c r="BF12">
        <f t="shared" si="3"/>
        <v>0</v>
      </c>
    </row>
    <row r="13" spans="1:60" ht="14.45" customHeight="1" x14ac:dyDescent="0.25">
      <c r="A13" s="51">
        <v>7</v>
      </c>
      <c r="B13" s="52" t="str">
        <f t="shared" si="4"/>
        <v>JUSTIN ROLLER</v>
      </c>
      <c r="C13" s="53">
        <f t="shared" si="5"/>
        <v>0</v>
      </c>
      <c r="D13" s="54">
        <f t="shared" si="6"/>
        <v>0</v>
      </c>
      <c r="E13" s="54" t="str">
        <f t="shared" si="7"/>
        <v>—</v>
      </c>
      <c r="F13" s="51" t="str">
        <f>IF(BD10=0,"—",INDEX('Pay Plan'!$B$6:$B$12,BB10))</f>
        <v>—</v>
      </c>
      <c r="G13" s="54">
        <f t="shared" si="8"/>
        <v>0</v>
      </c>
      <c r="H13" s="54">
        <f>LOOKUP(BD10,'Pay Plan'!$B$15:$B$20,'Pay Plan'!$C$15:$C$20)</f>
        <v>0</v>
      </c>
      <c r="I13" s="54">
        <f>LOOKUP(BA10,'Pay Plan'!$E$15:$E$19,'Pay Plan'!$F$15:$F$19)</f>
        <v>0</v>
      </c>
      <c r="J13" s="54">
        <f>BC10*'Pay Plan'!$I$15</f>
        <v>0</v>
      </c>
      <c r="K13" s="130">
        <f t="shared" si="9"/>
        <v>0</v>
      </c>
      <c r="L13" s="111"/>
      <c r="M13" s="111"/>
      <c r="N13" s="55"/>
      <c r="O13" s="130">
        <f t="shared" si="10"/>
        <v>0</v>
      </c>
      <c r="P13" s="111"/>
      <c r="Q13" s="111"/>
      <c r="R13" s="111"/>
      <c r="T13" t="s">
        <v>99</v>
      </c>
      <c r="U13">
        <f>SUMPRODUCT((('Jul 1'!$F$8:$F$42=$T13)*(0.5+0.5*('Jul 1'!$G$8:$G$42=""))+('Jul 1'!$G$8:$G$42=$T13)*0.5)*('Jul 1'!$AG$8:$AG$42="Delivered"))</f>
        <v>0</v>
      </c>
      <c r="V13">
        <f>SUMPRODUCT((('Jul 2'!$F$8:$F$42=$T13)*(0.5+0.5*('Jul 2'!$G$8:$G$42=""))+('Jul 2'!$G$8:$G$42=$T13)*0.5)*('Jul 2'!$AG$8:$AG$42="Delivered"))</f>
        <v>0</v>
      </c>
      <c r="W13">
        <f>SUMPRODUCT((('Jul 3'!$F$8:$F$42=$T13)*(0.5+0.5*('Jul 3'!$G$8:$G$42=""))+('Jul 3'!$G$8:$G$42=$T13)*0.5)*('Jul 3'!$AG$8:$AG$42="Delivered"))</f>
        <v>0</v>
      </c>
      <c r="X13">
        <f>SUMPRODUCT((('Jul 4'!$F$8:$F$42=$T13)*(0.5+0.5*('Jul 4'!$G$8:$G$42=""))+('Jul 4'!$G$8:$G$42=$T13)*0.5)*('Jul 4'!$AG$8:$AG$42="Delivered"))</f>
        <v>0</v>
      </c>
      <c r="Y13">
        <f>SUMPRODUCT((('Jul 5'!$F$8:$F$42=$T13)*(0.5+0.5*('Jul 5'!$G$8:$G$42=""))+('Jul 5'!$G$8:$G$42=$T13)*0.5)*('Jul 5'!$AG$8:$AG$42="Delivered"))</f>
        <v>0</v>
      </c>
      <c r="Z13">
        <f>SUMPRODUCT((('Jul 6'!$F$8:$F$42=$T13)*(0.5+0.5*('Jul 6'!$G$8:$G$42=""))+('Jul 6'!$G$8:$G$42=$T13)*0.5)*('Jul 6'!$AG$8:$AG$42="Delivered"))</f>
        <v>0</v>
      </c>
      <c r="AA13">
        <f>SUMPRODUCT((('Jul 7'!$F$8:$F$42=$T13)*(0.5+0.5*('Jul 7'!$G$8:$G$42=""))+('Jul 7'!$G$8:$G$42=$T13)*0.5)*('Jul 7'!$AG$8:$AG$42="Delivered"))</f>
        <v>0</v>
      </c>
      <c r="AB13">
        <f>SUMPRODUCT((('Jul 8'!$F$8:$F$42=$T13)*(0.5+0.5*('Jul 8'!$G$8:$G$42=""))+('Jul 8'!$G$8:$G$42=$T13)*0.5)*('Jul 8'!$AG$8:$AG$42="Delivered"))</f>
        <v>0</v>
      </c>
      <c r="AC13">
        <f>SUMPRODUCT((('Jul 9'!$F$8:$F$42=$T13)*(0.5+0.5*('Jul 9'!$G$8:$G$42=""))+('Jul 9'!$G$8:$G$42=$T13)*0.5)*('Jul 9'!$AG$8:$AG$42="Delivered"))</f>
        <v>0</v>
      </c>
      <c r="AD13">
        <f>SUMPRODUCT((('Jul 10'!$F$8:$F$42=$T13)*(0.5+0.5*('Jul 10'!$G$8:$G$42=""))+('Jul 10'!$G$8:$G$42=$T13)*0.5)*('Jul 10'!$AG$8:$AG$42="Delivered"))</f>
        <v>0</v>
      </c>
      <c r="AE13">
        <f>SUMPRODUCT((('Jul 11'!$F$8:$F$42=$T13)*(0.5+0.5*('Jul 11'!$G$8:$G$42=""))+('Jul 11'!$G$8:$G$42=$T13)*0.5)*('Jul 11'!$AG$8:$AG$42="Delivered"))</f>
        <v>0</v>
      </c>
      <c r="AF13">
        <f>SUMPRODUCT((('Jul 12'!$F$8:$F$42=$T13)*(0.5+0.5*('Jul 12'!$G$8:$G$42=""))+('Jul 12'!$G$8:$G$42=$T13)*0.5)*('Jul 12'!$AG$8:$AG$42="Delivered"))</f>
        <v>0</v>
      </c>
      <c r="AG13">
        <f>SUMPRODUCT((('Jul 13'!$F$8:$F$42=$T13)*(0.5+0.5*('Jul 13'!$G$8:$G$42=""))+('Jul 13'!$G$8:$G$42=$T13)*0.5)*('Jul 13'!$AG$8:$AG$42="Delivered"))</f>
        <v>0</v>
      </c>
      <c r="AH13">
        <f>SUMPRODUCT((('Jul 14'!$F$8:$F$42=$T13)*(0.5+0.5*('Jul 14'!$G$8:$G$42=""))+('Jul 14'!$G$8:$G$42=$T13)*0.5)*('Jul 14'!$AG$8:$AG$42="Delivered"))</f>
        <v>0</v>
      </c>
      <c r="AI13">
        <f>SUMPRODUCT((('Jul 15'!$F$8:$F$42=$T13)*(0.5+0.5*('Jul 15'!$G$8:$G$42=""))+('Jul 15'!$G$8:$G$42=$T13)*0.5)*('Jul 15'!$AG$8:$AG$42="Delivered"))</f>
        <v>0</v>
      </c>
      <c r="AJ13">
        <f>SUMPRODUCT((('Jul 16'!$F$8:$F$42=$T13)*(0.5+0.5*('Jul 16'!$G$8:$G$42=""))+('Jul 16'!$G$8:$G$42=$T13)*0.5)*('Jul 16'!$AG$8:$AG$42="Delivered"))</f>
        <v>0</v>
      </c>
      <c r="AK13">
        <f>SUMPRODUCT((('Jul 17'!$F$8:$F$42=$T13)*(0.5+0.5*('Jul 17'!$G$8:$G$42=""))+('Jul 17'!$G$8:$G$42=$T13)*0.5)*('Jul 17'!$AG$8:$AG$42="Delivered"))</f>
        <v>0</v>
      </c>
      <c r="AL13">
        <f>SUMPRODUCT((('Jul 18'!$F$8:$F$42=$T13)*(0.5+0.5*('Jul 18'!$G$8:$G$42=""))+('Jul 18'!$G$8:$G$42=$T13)*0.5)*('Jul 18'!$AG$8:$AG$42="Delivered"))</f>
        <v>0</v>
      </c>
      <c r="AM13">
        <f>SUMPRODUCT((('Jul 19'!$F$8:$F$42=$T13)*(0.5+0.5*('Jul 19'!$G$8:$G$42=""))+('Jul 19'!$G$8:$G$42=$T13)*0.5)*('Jul 19'!$AG$8:$AG$42="Delivered"))</f>
        <v>0</v>
      </c>
      <c r="AN13">
        <f>SUMPRODUCT((('Jul 20'!$F$8:$F$42=$T13)*(0.5+0.5*('Jul 20'!$G$8:$G$42=""))+('Jul 20'!$G$8:$G$42=$T13)*0.5)*('Jul 20'!$AG$8:$AG$42="Delivered"))</f>
        <v>0</v>
      </c>
      <c r="AO13">
        <f>SUMPRODUCT((('Jul 21'!$F$8:$F$42=$T13)*(0.5+0.5*('Jul 21'!$G$8:$G$42=""))+('Jul 21'!$G$8:$G$42=$T13)*0.5)*('Jul 21'!$AG$8:$AG$42="Delivered"))</f>
        <v>0</v>
      </c>
      <c r="AP13">
        <f>SUMPRODUCT((('Jul 22'!$F$8:$F$42=$T13)*(0.5+0.5*('Jul 22'!$G$8:$G$42=""))+('Jul 22'!$G$8:$G$42=$T13)*0.5)*('Jul 22'!$AG$8:$AG$42="Delivered"))</f>
        <v>0</v>
      </c>
      <c r="AQ13">
        <f>SUMPRODUCT((('Jul 23'!$F$8:$F$42=$T13)*(0.5+0.5*('Jul 23'!$G$8:$G$42=""))+('Jul 23'!$G$8:$G$42=$T13)*0.5)*('Jul 23'!$AG$8:$AG$42="Delivered"))</f>
        <v>0</v>
      </c>
      <c r="AR13">
        <f>SUMPRODUCT((('Jul 24'!$F$8:$F$42=$T13)*(0.5+0.5*('Jul 24'!$G$8:$G$42=""))+('Jul 24'!$G$8:$G$42=$T13)*0.5)*('Jul 24'!$AG$8:$AG$42="Delivered"))</f>
        <v>0</v>
      </c>
      <c r="AS13">
        <f>SUMPRODUCT((('Jul 25'!$F$8:$F$42=$T13)*(0.5+0.5*('Jul 25'!$G$8:$G$42=""))+('Jul 25'!$G$8:$G$42=$T13)*0.5)*('Jul 25'!$AG$8:$AG$42="Delivered"))</f>
        <v>0</v>
      </c>
      <c r="AT13">
        <f>SUMPRODUCT((('Jul 26'!$F$8:$F$42=$T13)*(0.5+0.5*('Jul 26'!$G$8:$G$42=""))+('Jul 26'!$G$8:$G$42=$T13)*0.5)*('Jul 26'!$AG$8:$AG$42="Delivered"))</f>
        <v>0</v>
      </c>
      <c r="AU13">
        <f>SUMPRODUCT((('Jul 27'!$F$8:$F$42=$T13)*(0.5+0.5*('Jul 27'!$G$8:$G$42=""))+('Jul 27'!$G$8:$G$42=$T13)*0.5)*('Jul 27'!$AG$8:$AG$42="Delivered"))</f>
        <v>0</v>
      </c>
      <c r="AV13">
        <f>SUMPRODUCT((('Jul 28'!$F$8:$F$42=$T13)*(0.5+0.5*('Jul 28'!$G$8:$G$42=""))+('Jul 28'!$G$8:$G$42=$T13)*0.5)*('Jul 28'!$AG$8:$AG$42="Delivered"))</f>
        <v>0</v>
      </c>
      <c r="AW13">
        <f>SUMPRODUCT((('Jul 29'!$F$8:$F$42=$T13)*(0.5+0.5*('Jul 29'!$G$8:$G$42=""))+('Jul 29'!$G$8:$G$42=$T13)*0.5)*('Jul 29'!$AG$8:$AG$42="Delivered"))</f>
        <v>0</v>
      </c>
      <c r="AX13">
        <f>SUMPRODUCT((('Jul 30'!$F$8:$F$42=$T13)*(0.5+0.5*('Jul 30'!$G$8:$G$42=""))+('Jul 30'!$G$8:$G$42=$T13)*0.5)*('Jul 30'!$AG$8:$AG$42="Delivered"))</f>
        <v>0</v>
      </c>
      <c r="AY13">
        <f>SUMPRODUCT((('Jul 31'!$F$8:$F$42=$T13)*(0.5+0.5*('Jul 31'!$G$8:$G$42=""))+('Jul 31'!$G$8:$G$42=$T13)*0.5)*('Jul 31'!$AG$8:$AG$42="Delivered"))</f>
        <v>0</v>
      </c>
      <c r="BA13">
        <f t="shared" si="0"/>
        <v>0</v>
      </c>
      <c r="BB13">
        <f>MATCH(BD13,'Pay Plan'!$C$6:$C$12,1)</f>
        <v>1</v>
      </c>
      <c r="BC13">
        <f>SUMPRODUCT(('Jul 1'!$F$8:$F$42=$T13)*('Jul 1'!$AG$8:$AG$42="Delivered")*(('Jul 1'!$AM$8:$AM$42="Y")+('Jul 1'!$AN$8:$AN$42="Y")+('Jul 1'!$AO$8:$AO$42="Y")))+SUMPRODUCT(('Jul 2'!$F$8:$F$42=$T13)*('Jul 2'!$AG$8:$AG$42="Delivered")*(('Jul 2'!$AM$8:$AM$42="Y")+('Jul 2'!$AN$8:$AN$42="Y")+('Jul 2'!$AO$8:$AO$42="Y")))+SUMPRODUCT(('Jul 3'!$F$8:$F$42=$T13)*('Jul 3'!$AG$8:$AG$42="Delivered")*(('Jul 3'!$AM$8:$AM$42="Y")+('Jul 3'!$AN$8:$AN$42="Y")+('Jul 3'!$AO$8:$AO$42="Y")))+SUMPRODUCT(('Jul 4'!$F$8:$F$42=$T13)*('Jul 4'!$AG$8:$AG$42="Delivered")*(('Jul 4'!$AM$8:$AM$42="Y")+('Jul 4'!$AN$8:$AN$42="Y")+('Jul 4'!$AO$8:$AO$42="Y")))+SUMPRODUCT(('Jul 5'!$F$8:$F$42=$T13)*('Jul 5'!$AG$8:$AG$42="Delivered")*(('Jul 5'!$AM$8:$AM$42="Y")+('Jul 5'!$AN$8:$AN$42="Y")+('Jul 5'!$AO$8:$AO$42="Y")))+SUMPRODUCT(('Jul 6'!$F$8:$F$42=$T13)*('Jul 6'!$AG$8:$AG$42="Delivered")*(('Jul 6'!$AM$8:$AM$42="Y")+('Jul 6'!$AN$8:$AN$42="Y")+('Jul 6'!$AO$8:$AO$42="Y")))+SUMPRODUCT(('Jul 7'!$F$8:$F$42=$T13)*('Jul 7'!$AG$8:$AG$42="Delivered")*(('Jul 7'!$AM$8:$AM$42="Y")+('Jul 7'!$AN$8:$AN$42="Y")+('Jul 7'!$AO$8:$AO$42="Y")))+SUMPRODUCT(('Jul 8'!$F$8:$F$42=$T13)*('Jul 8'!$AG$8:$AG$42="Delivered")*(('Jul 8'!$AM$8:$AM$42="Y")+('Jul 8'!$AN$8:$AN$42="Y")+('Jul 8'!$AO$8:$AO$42="Y")))+SUMPRODUCT(('Jul 9'!$F$8:$F$42=$T13)*('Jul 9'!$AG$8:$AG$42="Delivered")*(('Jul 9'!$AM$8:$AM$42="Y")+('Jul 9'!$AN$8:$AN$42="Y")+('Jul 9'!$AO$8:$AO$42="Y")))+SUMPRODUCT(('Jul 10'!$F$8:$F$42=$T13)*('Jul 10'!$AG$8:$AG$42="Delivered")*(('Jul 10'!$AM$8:$AM$42="Y")+('Jul 10'!$AN$8:$AN$42="Y")+('Jul 10'!$AO$8:$AO$42="Y")))+SUMPRODUCT(('Jul 11'!$F$8:$F$42=$T13)*('Jul 11'!$AG$8:$AG$42="Delivered")*(('Jul 11'!$AM$8:$AM$42="Y")+('Jul 11'!$AN$8:$AN$42="Y")+('Jul 11'!$AO$8:$AO$42="Y")))+SUMPRODUCT(('Jul 12'!$F$8:$F$42=$T13)*('Jul 12'!$AG$8:$AG$42="Delivered")*(('Jul 12'!$AM$8:$AM$42="Y")+('Jul 12'!$AN$8:$AN$42="Y")+('Jul 12'!$AO$8:$AO$42="Y")))+SUMPRODUCT(('Jul 13'!$F$8:$F$42=$T13)*('Jul 13'!$AG$8:$AG$42="Delivered")*(('Jul 13'!$AM$8:$AM$42="Y")+('Jul 13'!$AN$8:$AN$42="Y")+('Jul 13'!$AO$8:$AO$42="Y")))+SUMPRODUCT(('Jul 14'!$F$8:$F$42=$T13)*('Jul 14'!$AG$8:$AG$42="Delivered")*(('Jul 14'!$AM$8:$AM$42="Y")+('Jul 14'!$AN$8:$AN$42="Y")+('Jul 14'!$AO$8:$AO$42="Y")))+SUMPRODUCT(('Jul 15'!$F$8:$F$42=$T13)*('Jul 15'!$AG$8:$AG$42="Delivered")*(('Jul 15'!$AM$8:$AM$42="Y")+('Jul 15'!$AN$8:$AN$42="Y")+('Jul 15'!$AO$8:$AO$42="Y")))+SUMPRODUCT(('Jul 16'!$F$8:$F$42=$T13)*('Jul 16'!$AG$8:$AG$42="Delivered")*(('Jul 16'!$AM$8:$AM$42="Y")+('Jul 16'!$AN$8:$AN$42="Y")+('Jul 16'!$AO$8:$AO$42="Y")))+SUMPRODUCT(('Jul 17'!$F$8:$F$42=$T13)*('Jul 17'!$AG$8:$AG$42="Delivered")*(('Jul 17'!$AM$8:$AM$42="Y")+('Jul 17'!$AN$8:$AN$42="Y")+('Jul 17'!$AO$8:$AO$42="Y")))+SUMPRODUCT(('Jul 18'!$F$8:$F$42=$T13)*('Jul 18'!$AG$8:$AG$42="Delivered")*(('Jul 18'!$AM$8:$AM$42="Y")+('Jul 18'!$AN$8:$AN$42="Y")+('Jul 18'!$AO$8:$AO$42="Y")))+SUMPRODUCT(('Jul 19'!$F$8:$F$42=$T13)*('Jul 19'!$AG$8:$AG$42="Delivered")*(('Jul 19'!$AM$8:$AM$42="Y")+('Jul 19'!$AN$8:$AN$42="Y")+('Jul 19'!$AO$8:$AO$42="Y")))+SUMPRODUCT(('Jul 20'!$F$8:$F$42=$T13)*('Jul 20'!$AG$8:$AG$42="Delivered")*(('Jul 20'!$AM$8:$AM$42="Y")+('Jul 20'!$AN$8:$AN$42="Y")+('Jul 20'!$AO$8:$AO$42="Y")))+SUMPRODUCT(('Jul 21'!$F$8:$F$42=$T13)*('Jul 21'!$AG$8:$AG$42="Delivered")*(('Jul 21'!$AM$8:$AM$42="Y")+('Jul 21'!$AN$8:$AN$42="Y")+('Jul 21'!$AO$8:$AO$42="Y")))+SUMPRODUCT(('Jul 22'!$F$8:$F$42=$T13)*('Jul 22'!$AG$8:$AG$42="Delivered")*(('Jul 22'!$AM$8:$AM$42="Y")+('Jul 22'!$AN$8:$AN$42="Y")+('Jul 22'!$AO$8:$AO$42="Y")))+SUMPRODUCT(('Jul 23'!$F$8:$F$42=$T13)*('Jul 23'!$AG$8:$AG$42="Delivered")*(('Jul 23'!$AM$8:$AM$42="Y")+('Jul 23'!$AN$8:$AN$42="Y")+('Jul 23'!$AO$8:$AO$42="Y")))+SUMPRODUCT(('Jul 24'!$F$8:$F$42=$T13)*('Jul 24'!$AG$8:$AG$42="Delivered")*(('Jul 24'!$AM$8:$AM$42="Y")+('Jul 24'!$AN$8:$AN$42="Y")+('Jul 24'!$AO$8:$AO$42="Y")))+SUMPRODUCT(('Jul 25'!$F$8:$F$42=$T13)*('Jul 25'!$AG$8:$AG$42="Delivered")*(('Jul 25'!$AM$8:$AM$42="Y")+('Jul 25'!$AN$8:$AN$42="Y")+('Jul 25'!$AO$8:$AO$42="Y")))+SUMPRODUCT(('Jul 26'!$F$8:$F$42=$T13)*('Jul 26'!$AG$8:$AG$42="Delivered")*(('Jul 26'!$AM$8:$AM$42="Y")+('Jul 26'!$AN$8:$AN$42="Y")+('Jul 26'!$AO$8:$AO$42="Y")))+SUMPRODUCT(('Jul 27'!$F$8:$F$42=$T13)*('Jul 27'!$AG$8:$AG$42="Delivered")*(('Jul 27'!$AM$8:$AM$42="Y")+('Jul 27'!$AN$8:$AN$42="Y")+('Jul 27'!$AO$8:$AO$42="Y")))+SUMPRODUCT(('Jul 28'!$F$8:$F$42=$T13)*('Jul 28'!$AG$8:$AG$42="Delivered")*(('Jul 28'!$AM$8:$AM$42="Y")+('Jul 28'!$AN$8:$AN$42="Y")+('Jul 28'!$AO$8:$AO$42="Y")))+SUMPRODUCT(('Jul 29'!$F$8:$F$42=$T13)*('Jul 29'!$AG$8:$AG$42="Delivered")*(('Jul 29'!$AM$8:$AM$42="Y")+('Jul 29'!$AN$8:$AN$42="Y")+('Jul 29'!$AO$8:$AO$42="Y")))+SUMPRODUCT(('Jul 30'!$F$8:$F$42=$T13)*('Jul 30'!$AG$8:$AG$42="Delivered")*(('Jul 30'!$AM$8:$AM$42="Y")+('Jul 30'!$AN$8:$AN$42="Y")+('Jul 30'!$AO$8:$AO$42="Y")))+SUMPRODUCT(('Jul 31'!$F$8:$F$42=$T13)*('Jul 31'!$AG$8:$AG$42="Delivered")*(('Jul 31'!$AM$8:$AM$42="Y")+('Jul 31'!$AN$8:$AN$42="Y")+('Jul 31'!$AO$8:$AO$42="Y")))</f>
        <v>0</v>
      </c>
      <c r="BD13">
        <f t="shared" si="1"/>
        <v>0</v>
      </c>
      <c r="BE13">
        <f t="shared" si="2"/>
        <v>0</v>
      </c>
      <c r="BF13">
        <f t="shared" si="3"/>
        <v>0</v>
      </c>
    </row>
    <row r="14" spans="1:60" ht="14.45" customHeight="1" x14ac:dyDescent="0.25">
      <c r="A14" s="56">
        <v>8</v>
      </c>
      <c r="B14" s="57" t="str">
        <f t="shared" si="4"/>
        <v>MATT ALFIERI</v>
      </c>
      <c r="C14" s="58">
        <f t="shared" si="5"/>
        <v>0</v>
      </c>
      <c r="D14" s="59">
        <f t="shared" si="6"/>
        <v>0</v>
      </c>
      <c r="E14" s="59" t="str">
        <f t="shared" si="7"/>
        <v>—</v>
      </c>
      <c r="F14" s="56" t="str">
        <f>IF(BD11=0,"—",INDEX('Pay Plan'!$B$6:$B$12,BB11))</f>
        <v>—</v>
      </c>
      <c r="G14" s="59">
        <f t="shared" si="8"/>
        <v>0</v>
      </c>
      <c r="H14" s="59">
        <f>LOOKUP(BD11,'Pay Plan'!$B$15:$B$20,'Pay Plan'!$C$15:$C$20)</f>
        <v>0</v>
      </c>
      <c r="I14" s="59">
        <f>LOOKUP(BA11,'Pay Plan'!$E$15:$E$19,'Pay Plan'!$F$15:$F$19)</f>
        <v>0</v>
      </c>
      <c r="J14" s="59">
        <f>BC11*'Pay Plan'!$I$15</f>
        <v>0</v>
      </c>
      <c r="K14" s="131">
        <f t="shared" si="9"/>
        <v>0</v>
      </c>
      <c r="L14" s="111"/>
      <c r="M14" s="111"/>
      <c r="N14" s="55"/>
      <c r="O14" s="131">
        <f t="shared" si="10"/>
        <v>0</v>
      </c>
      <c r="P14" s="111"/>
      <c r="Q14" s="111"/>
      <c r="R14" s="111"/>
      <c r="T14" t="s">
        <v>100</v>
      </c>
      <c r="U14">
        <f>SUMPRODUCT((('Jul 1'!$F$8:$F$42=$T14)*(0.5+0.5*('Jul 1'!$G$8:$G$42=""))+('Jul 1'!$G$8:$G$42=$T14)*0.5)*('Jul 1'!$AG$8:$AG$42="Delivered"))</f>
        <v>0</v>
      </c>
      <c r="V14">
        <f>SUMPRODUCT((('Jul 2'!$F$8:$F$42=$T14)*(0.5+0.5*('Jul 2'!$G$8:$G$42=""))+('Jul 2'!$G$8:$G$42=$T14)*0.5)*('Jul 2'!$AG$8:$AG$42="Delivered"))</f>
        <v>0</v>
      </c>
      <c r="W14">
        <f>SUMPRODUCT((('Jul 3'!$F$8:$F$42=$T14)*(0.5+0.5*('Jul 3'!$G$8:$G$42=""))+('Jul 3'!$G$8:$G$42=$T14)*0.5)*('Jul 3'!$AG$8:$AG$42="Delivered"))</f>
        <v>0</v>
      </c>
      <c r="X14">
        <f>SUMPRODUCT((('Jul 4'!$F$8:$F$42=$T14)*(0.5+0.5*('Jul 4'!$G$8:$G$42=""))+('Jul 4'!$G$8:$G$42=$T14)*0.5)*('Jul 4'!$AG$8:$AG$42="Delivered"))</f>
        <v>0</v>
      </c>
      <c r="Y14">
        <f>SUMPRODUCT((('Jul 5'!$F$8:$F$42=$T14)*(0.5+0.5*('Jul 5'!$G$8:$G$42=""))+('Jul 5'!$G$8:$G$42=$T14)*0.5)*('Jul 5'!$AG$8:$AG$42="Delivered"))</f>
        <v>0</v>
      </c>
      <c r="Z14">
        <f>SUMPRODUCT((('Jul 6'!$F$8:$F$42=$T14)*(0.5+0.5*('Jul 6'!$G$8:$G$42=""))+('Jul 6'!$G$8:$G$42=$T14)*0.5)*('Jul 6'!$AG$8:$AG$42="Delivered"))</f>
        <v>0</v>
      </c>
      <c r="AA14">
        <f>SUMPRODUCT((('Jul 7'!$F$8:$F$42=$T14)*(0.5+0.5*('Jul 7'!$G$8:$G$42=""))+('Jul 7'!$G$8:$G$42=$T14)*0.5)*('Jul 7'!$AG$8:$AG$42="Delivered"))</f>
        <v>0</v>
      </c>
      <c r="AB14">
        <f>SUMPRODUCT((('Jul 8'!$F$8:$F$42=$T14)*(0.5+0.5*('Jul 8'!$G$8:$G$42=""))+('Jul 8'!$G$8:$G$42=$T14)*0.5)*('Jul 8'!$AG$8:$AG$42="Delivered"))</f>
        <v>0</v>
      </c>
      <c r="AC14">
        <f>SUMPRODUCT((('Jul 9'!$F$8:$F$42=$T14)*(0.5+0.5*('Jul 9'!$G$8:$G$42=""))+('Jul 9'!$G$8:$G$42=$T14)*0.5)*('Jul 9'!$AG$8:$AG$42="Delivered"))</f>
        <v>0</v>
      </c>
      <c r="AD14">
        <f>SUMPRODUCT((('Jul 10'!$F$8:$F$42=$T14)*(0.5+0.5*('Jul 10'!$G$8:$G$42=""))+('Jul 10'!$G$8:$G$42=$T14)*0.5)*('Jul 10'!$AG$8:$AG$42="Delivered"))</f>
        <v>0</v>
      </c>
      <c r="AE14">
        <f>SUMPRODUCT((('Jul 11'!$F$8:$F$42=$T14)*(0.5+0.5*('Jul 11'!$G$8:$G$42=""))+('Jul 11'!$G$8:$G$42=$T14)*0.5)*('Jul 11'!$AG$8:$AG$42="Delivered"))</f>
        <v>0</v>
      </c>
      <c r="AF14">
        <f>SUMPRODUCT((('Jul 12'!$F$8:$F$42=$T14)*(0.5+0.5*('Jul 12'!$G$8:$G$42=""))+('Jul 12'!$G$8:$G$42=$T14)*0.5)*('Jul 12'!$AG$8:$AG$42="Delivered"))</f>
        <v>0</v>
      </c>
      <c r="AG14">
        <f>SUMPRODUCT((('Jul 13'!$F$8:$F$42=$T14)*(0.5+0.5*('Jul 13'!$G$8:$G$42=""))+('Jul 13'!$G$8:$G$42=$T14)*0.5)*('Jul 13'!$AG$8:$AG$42="Delivered"))</f>
        <v>0</v>
      </c>
      <c r="AH14">
        <f>SUMPRODUCT((('Jul 14'!$F$8:$F$42=$T14)*(0.5+0.5*('Jul 14'!$G$8:$G$42=""))+('Jul 14'!$G$8:$G$42=$T14)*0.5)*('Jul 14'!$AG$8:$AG$42="Delivered"))</f>
        <v>0</v>
      </c>
      <c r="AI14">
        <f>SUMPRODUCT((('Jul 15'!$F$8:$F$42=$T14)*(0.5+0.5*('Jul 15'!$G$8:$G$42=""))+('Jul 15'!$G$8:$G$42=$T14)*0.5)*('Jul 15'!$AG$8:$AG$42="Delivered"))</f>
        <v>0</v>
      </c>
      <c r="AJ14">
        <f>SUMPRODUCT((('Jul 16'!$F$8:$F$42=$T14)*(0.5+0.5*('Jul 16'!$G$8:$G$42=""))+('Jul 16'!$G$8:$G$42=$T14)*0.5)*('Jul 16'!$AG$8:$AG$42="Delivered"))</f>
        <v>0</v>
      </c>
      <c r="AK14">
        <f>SUMPRODUCT((('Jul 17'!$F$8:$F$42=$T14)*(0.5+0.5*('Jul 17'!$G$8:$G$42=""))+('Jul 17'!$G$8:$G$42=$T14)*0.5)*('Jul 17'!$AG$8:$AG$42="Delivered"))</f>
        <v>0</v>
      </c>
      <c r="AL14">
        <f>SUMPRODUCT((('Jul 18'!$F$8:$F$42=$T14)*(0.5+0.5*('Jul 18'!$G$8:$G$42=""))+('Jul 18'!$G$8:$G$42=$T14)*0.5)*('Jul 18'!$AG$8:$AG$42="Delivered"))</f>
        <v>0</v>
      </c>
      <c r="AM14">
        <f>SUMPRODUCT((('Jul 19'!$F$8:$F$42=$T14)*(0.5+0.5*('Jul 19'!$G$8:$G$42=""))+('Jul 19'!$G$8:$G$42=$T14)*0.5)*('Jul 19'!$AG$8:$AG$42="Delivered"))</f>
        <v>0</v>
      </c>
      <c r="AN14">
        <f>SUMPRODUCT((('Jul 20'!$F$8:$F$42=$T14)*(0.5+0.5*('Jul 20'!$G$8:$G$42=""))+('Jul 20'!$G$8:$G$42=$T14)*0.5)*('Jul 20'!$AG$8:$AG$42="Delivered"))</f>
        <v>0</v>
      </c>
      <c r="AO14">
        <f>SUMPRODUCT((('Jul 21'!$F$8:$F$42=$T14)*(0.5+0.5*('Jul 21'!$G$8:$G$42=""))+('Jul 21'!$G$8:$G$42=$T14)*0.5)*('Jul 21'!$AG$8:$AG$42="Delivered"))</f>
        <v>0</v>
      </c>
      <c r="AP14">
        <f>SUMPRODUCT((('Jul 22'!$F$8:$F$42=$T14)*(0.5+0.5*('Jul 22'!$G$8:$G$42=""))+('Jul 22'!$G$8:$G$42=$T14)*0.5)*('Jul 22'!$AG$8:$AG$42="Delivered"))</f>
        <v>0</v>
      </c>
      <c r="AQ14">
        <f>SUMPRODUCT((('Jul 23'!$F$8:$F$42=$T14)*(0.5+0.5*('Jul 23'!$G$8:$G$42=""))+('Jul 23'!$G$8:$G$42=$T14)*0.5)*('Jul 23'!$AG$8:$AG$42="Delivered"))</f>
        <v>0</v>
      </c>
      <c r="AR14">
        <f>SUMPRODUCT((('Jul 24'!$F$8:$F$42=$T14)*(0.5+0.5*('Jul 24'!$G$8:$G$42=""))+('Jul 24'!$G$8:$G$42=$T14)*0.5)*('Jul 24'!$AG$8:$AG$42="Delivered"))</f>
        <v>0</v>
      </c>
      <c r="AS14">
        <f>SUMPRODUCT((('Jul 25'!$F$8:$F$42=$T14)*(0.5+0.5*('Jul 25'!$G$8:$G$42=""))+('Jul 25'!$G$8:$G$42=$T14)*0.5)*('Jul 25'!$AG$8:$AG$42="Delivered"))</f>
        <v>0</v>
      </c>
      <c r="AT14">
        <f>SUMPRODUCT((('Jul 26'!$F$8:$F$42=$T14)*(0.5+0.5*('Jul 26'!$G$8:$G$42=""))+('Jul 26'!$G$8:$G$42=$T14)*0.5)*('Jul 26'!$AG$8:$AG$42="Delivered"))</f>
        <v>0</v>
      </c>
      <c r="AU14">
        <f>SUMPRODUCT((('Jul 27'!$F$8:$F$42=$T14)*(0.5+0.5*('Jul 27'!$G$8:$G$42=""))+('Jul 27'!$G$8:$G$42=$T14)*0.5)*('Jul 27'!$AG$8:$AG$42="Delivered"))</f>
        <v>0</v>
      </c>
      <c r="AV14">
        <f>SUMPRODUCT((('Jul 28'!$F$8:$F$42=$T14)*(0.5+0.5*('Jul 28'!$G$8:$G$42=""))+('Jul 28'!$G$8:$G$42=$T14)*0.5)*('Jul 28'!$AG$8:$AG$42="Delivered"))</f>
        <v>0</v>
      </c>
      <c r="AW14">
        <f>SUMPRODUCT((('Jul 29'!$F$8:$F$42=$T14)*(0.5+0.5*('Jul 29'!$G$8:$G$42=""))+('Jul 29'!$G$8:$G$42=$T14)*0.5)*('Jul 29'!$AG$8:$AG$42="Delivered"))</f>
        <v>0</v>
      </c>
      <c r="AX14">
        <f>SUMPRODUCT((('Jul 30'!$F$8:$F$42=$T14)*(0.5+0.5*('Jul 30'!$G$8:$G$42=""))+('Jul 30'!$G$8:$G$42=$T14)*0.5)*('Jul 30'!$AG$8:$AG$42="Delivered"))</f>
        <v>0</v>
      </c>
      <c r="AY14">
        <f>SUMPRODUCT((('Jul 31'!$F$8:$F$42=$T14)*(0.5+0.5*('Jul 31'!$G$8:$G$42=""))+('Jul 31'!$G$8:$G$42=$T14)*0.5)*('Jul 31'!$AG$8:$AG$42="Delivered"))</f>
        <v>0</v>
      </c>
      <c r="BA14">
        <f t="shared" si="0"/>
        <v>0</v>
      </c>
      <c r="BB14">
        <f>MATCH(BD14,'Pay Plan'!$C$6:$C$12,1)</f>
        <v>1</v>
      </c>
      <c r="BC14">
        <f>SUMPRODUCT(('Jul 1'!$F$8:$F$42=$T14)*('Jul 1'!$AG$8:$AG$42="Delivered")*(('Jul 1'!$AM$8:$AM$42="Y")+('Jul 1'!$AN$8:$AN$42="Y")+('Jul 1'!$AO$8:$AO$42="Y")))+SUMPRODUCT(('Jul 2'!$F$8:$F$42=$T14)*('Jul 2'!$AG$8:$AG$42="Delivered")*(('Jul 2'!$AM$8:$AM$42="Y")+('Jul 2'!$AN$8:$AN$42="Y")+('Jul 2'!$AO$8:$AO$42="Y")))+SUMPRODUCT(('Jul 3'!$F$8:$F$42=$T14)*('Jul 3'!$AG$8:$AG$42="Delivered")*(('Jul 3'!$AM$8:$AM$42="Y")+('Jul 3'!$AN$8:$AN$42="Y")+('Jul 3'!$AO$8:$AO$42="Y")))+SUMPRODUCT(('Jul 4'!$F$8:$F$42=$T14)*('Jul 4'!$AG$8:$AG$42="Delivered")*(('Jul 4'!$AM$8:$AM$42="Y")+('Jul 4'!$AN$8:$AN$42="Y")+('Jul 4'!$AO$8:$AO$42="Y")))+SUMPRODUCT(('Jul 5'!$F$8:$F$42=$T14)*('Jul 5'!$AG$8:$AG$42="Delivered")*(('Jul 5'!$AM$8:$AM$42="Y")+('Jul 5'!$AN$8:$AN$42="Y")+('Jul 5'!$AO$8:$AO$42="Y")))+SUMPRODUCT(('Jul 6'!$F$8:$F$42=$T14)*('Jul 6'!$AG$8:$AG$42="Delivered")*(('Jul 6'!$AM$8:$AM$42="Y")+('Jul 6'!$AN$8:$AN$42="Y")+('Jul 6'!$AO$8:$AO$42="Y")))+SUMPRODUCT(('Jul 7'!$F$8:$F$42=$T14)*('Jul 7'!$AG$8:$AG$42="Delivered")*(('Jul 7'!$AM$8:$AM$42="Y")+('Jul 7'!$AN$8:$AN$42="Y")+('Jul 7'!$AO$8:$AO$42="Y")))+SUMPRODUCT(('Jul 8'!$F$8:$F$42=$T14)*('Jul 8'!$AG$8:$AG$42="Delivered")*(('Jul 8'!$AM$8:$AM$42="Y")+('Jul 8'!$AN$8:$AN$42="Y")+('Jul 8'!$AO$8:$AO$42="Y")))+SUMPRODUCT(('Jul 9'!$F$8:$F$42=$T14)*('Jul 9'!$AG$8:$AG$42="Delivered")*(('Jul 9'!$AM$8:$AM$42="Y")+('Jul 9'!$AN$8:$AN$42="Y")+('Jul 9'!$AO$8:$AO$42="Y")))+SUMPRODUCT(('Jul 10'!$F$8:$F$42=$T14)*('Jul 10'!$AG$8:$AG$42="Delivered")*(('Jul 10'!$AM$8:$AM$42="Y")+('Jul 10'!$AN$8:$AN$42="Y")+('Jul 10'!$AO$8:$AO$42="Y")))+SUMPRODUCT(('Jul 11'!$F$8:$F$42=$T14)*('Jul 11'!$AG$8:$AG$42="Delivered")*(('Jul 11'!$AM$8:$AM$42="Y")+('Jul 11'!$AN$8:$AN$42="Y")+('Jul 11'!$AO$8:$AO$42="Y")))+SUMPRODUCT(('Jul 12'!$F$8:$F$42=$T14)*('Jul 12'!$AG$8:$AG$42="Delivered")*(('Jul 12'!$AM$8:$AM$42="Y")+('Jul 12'!$AN$8:$AN$42="Y")+('Jul 12'!$AO$8:$AO$42="Y")))+SUMPRODUCT(('Jul 13'!$F$8:$F$42=$T14)*('Jul 13'!$AG$8:$AG$42="Delivered")*(('Jul 13'!$AM$8:$AM$42="Y")+('Jul 13'!$AN$8:$AN$42="Y")+('Jul 13'!$AO$8:$AO$42="Y")))+SUMPRODUCT(('Jul 14'!$F$8:$F$42=$T14)*('Jul 14'!$AG$8:$AG$42="Delivered")*(('Jul 14'!$AM$8:$AM$42="Y")+('Jul 14'!$AN$8:$AN$42="Y")+('Jul 14'!$AO$8:$AO$42="Y")))+SUMPRODUCT(('Jul 15'!$F$8:$F$42=$T14)*('Jul 15'!$AG$8:$AG$42="Delivered")*(('Jul 15'!$AM$8:$AM$42="Y")+('Jul 15'!$AN$8:$AN$42="Y")+('Jul 15'!$AO$8:$AO$42="Y")))+SUMPRODUCT(('Jul 16'!$F$8:$F$42=$T14)*('Jul 16'!$AG$8:$AG$42="Delivered")*(('Jul 16'!$AM$8:$AM$42="Y")+('Jul 16'!$AN$8:$AN$42="Y")+('Jul 16'!$AO$8:$AO$42="Y")))+SUMPRODUCT(('Jul 17'!$F$8:$F$42=$T14)*('Jul 17'!$AG$8:$AG$42="Delivered")*(('Jul 17'!$AM$8:$AM$42="Y")+('Jul 17'!$AN$8:$AN$42="Y")+('Jul 17'!$AO$8:$AO$42="Y")))+SUMPRODUCT(('Jul 18'!$F$8:$F$42=$T14)*('Jul 18'!$AG$8:$AG$42="Delivered")*(('Jul 18'!$AM$8:$AM$42="Y")+('Jul 18'!$AN$8:$AN$42="Y")+('Jul 18'!$AO$8:$AO$42="Y")))+SUMPRODUCT(('Jul 19'!$F$8:$F$42=$T14)*('Jul 19'!$AG$8:$AG$42="Delivered")*(('Jul 19'!$AM$8:$AM$42="Y")+('Jul 19'!$AN$8:$AN$42="Y")+('Jul 19'!$AO$8:$AO$42="Y")))+SUMPRODUCT(('Jul 20'!$F$8:$F$42=$T14)*('Jul 20'!$AG$8:$AG$42="Delivered")*(('Jul 20'!$AM$8:$AM$42="Y")+('Jul 20'!$AN$8:$AN$42="Y")+('Jul 20'!$AO$8:$AO$42="Y")))+SUMPRODUCT(('Jul 21'!$F$8:$F$42=$T14)*('Jul 21'!$AG$8:$AG$42="Delivered")*(('Jul 21'!$AM$8:$AM$42="Y")+('Jul 21'!$AN$8:$AN$42="Y")+('Jul 21'!$AO$8:$AO$42="Y")))+SUMPRODUCT(('Jul 22'!$F$8:$F$42=$T14)*('Jul 22'!$AG$8:$AG$42="Delivered")*(('Jul 22'!$AM$8:$AM$42="Y")+('Jul 22'!$AN$8:$AN$42="Y")+('Jul 22'!$AO$8:$AO$42="Y")))+SUMPRODUCT(('Jul 23'!$F$8:$F$42=$T14)*('Jul 23'!$AG$8:$AG$42="Delivered")*(('Jul 23'!$AM$8:$AM$42="Y")+('Jul 23'!$AN$8:$AN$42="Y")+('Jul 23'!$AO$8:$AO$42="Y")))+SUMPRODUCT(('Jul 24'!$F$8:$F$42=$T14)*('Jul 24'!$AG$8:$AG$42="Delivered")*(('Jul 24'!$AM$8:$AM$42="Y")+('Jul 24'!$AN$8:$AN$42="Y")+('Jul 24'!$AO$8:$AO$42="Y")))+SUMPRODUCT(('Jul 25'!$F$8:$F$42=$T14)*('Jul 25'!$AG$8:$AG$42="Delivered")*(('Jul 25'!$AM$8:$AM$42="Y")+('Jul 25'!$AN$8:$AN$42="Y")+('Jul 25'!$AO$8:$AO$42="Y")))+SUMPRODUCT(('Jul 26'!$F$8:$F$42=$T14)*('Jul 26'!$AG$8:$AG$42="Delivered")*(('Jul 26'!$AM$8:$AM$42="Y")+('Jul 26'!$AN$8:$AN$42="Y")+('Jul 26'!$AO$8:$AO$42="Y")))+SUMPRODUCT(('Jul 27'!$F$8:$F$42=$T14)*('Jul 27'!$AG$8:$AG$42="Delivered")*(('Jul 27'!$AM$8:$AM$42="Y")+('Jul 27'!$AN$8:$AN$42="Y")+('Jul 27'!$AO$8:$AO$42="Y")))+SUMPRODUCT(('Jul 28'!$F$8:$F$42=$T14)*('Jul 28'!$AG$8:$AG$42="Delivered")*(('Jul 28'!$AM$8:$AM$42="Y")+('Jul 28'!$AN$8:$AN$42="Y")+('Jul 28'!$AO$8:$AO$42="Y")))+SUMPRODUCT(('Jul 29'!$F$8:$F$42=$T14)*('Jul 29'!$AG$8:$AG$42="Delivered")*(('Jul 29'!$AM$8:$AM$42="Y")+('Jul 29'!$AN$8:$AN$42="Y")+('Jul 29'!$AO$8:$AO$42="Y")))+SUMPRODUCT(('Jul 30'!$F$8:$F$42=$T14)*('Jul 30'!$AG$8:$AG$42="Delivered")*(('Jul 30'!$AM$8:$AM$42="Y")+('Jul 30'!$AN$8:$AN$42="Y")+('Jul 30'!$AO$8:$AO$42="Y")))+SUMPRODUCT(('Jul 31'!$F$8:$F$42=$T14)*('Jul 31'!$AG$8:$AG$42="Delivered")*(('Jul 31'!$AM$8:$AM$42="Y")+('Jul 31'!$AN$8:$AN$42="Y")+('Jul 31'!$AO$8:$AO$42="Y")))</f>
        <v>0</v>
      </c>
      <c r="BD14">
        <f t="shared" si="1"/>
        <v>0</v>
      </c>
      <c r="BE14">
        <f t="shared" si="2"/>
        <v>0</v>
      </c>
      <c r="BF14">
        <f t="shared" si="3"/>
        <v>0</v>
      </c>
    </row>
    <row r="15" spans="1:60" ht="14.45" customHeight="1" x14ac:dyDescent="0.25">
      <c r="A15" s="51">
        <v>9</v>
      </c>
      <c r="B15" s="52" t="str">
        <f t="shared" si="4"/>
        <v>ZACH CUPP</v>
      </c>
      <c r="C15" s="53">
        <f t="shared" si="5"/>
        <v>0</v>
      </c>
      <c r="D15" s="54">
        <f t="shared" si="6"/>
        <v>0</v>
      </c>
      <c r="E15" s="54" t="str">
        <f t="shared" si="7"/>
        <v>—</v>
      </c>
      <c r="F15" s="51" t="str">
        <f>IF(BD12=0,"—",INDEX('Pay Plan'!$B$6:$B$12,BB12))</f>
        <v>—</v>
      </c>
      <c r="G15" s="54">
        <f t="shared" si="8"/>
        <v>0</v>
      </c>
      <c r="H15" s="54">
        <f>LOOKUP(BD12,'Pay Plan'!$B$15:$B$20,'Pay Plan'!$C$15:$C$20)</f>
        <v>0</v>
      </c>
      <c r="I15" s="54">
        <f>LOOKUP(BA12,'Pay Plan'!$E$15:$E$19,'Pay Plan'!$F$15:$F$19)</f>
        <v>0</v>
      </c>
      <c r="J15" s="54">
        <f>BC12*'Pay Plan'!$I$15</f>
        <v>0</v>
      </c>
      <c r="K15" s="130">
        <f t="shared" si="9"/>
        <v>0</v>
      </c>
      <c r="L15" s="111"/>
      <c r="M15" s="111"/>
      <c r="N15" s="55"/>
      <c r="O15" s="130">
        <f t="shared" si="10"/>
        <v>0</v>
      </c>
      <c r="P15" s="111"/>
      <c r="Q15" s="111"/>
      <c r="R15" s="111"/>
      <c r="T15" t="s">
        <v>101</v>
      </c>
      <c r="U15">
        <f>SUMPRODUCT((('Jul 1'!$F$8:$F$42=$T15)*(0.5+0.5*('Jul 1'!$G$8:$G$42=""))+('Jul 1'!$G$8:$G$42=$T15)*0.5)*('Jul 1'!$AG$8:$AG$42="Delivered"))</f>
        <v>0</v>
      </c>
      <c r="V15">
        <f>SUMPRODUCT((('Jul 2'!$F$8:$F$42=$T15)*(0.5+0.5*('Jul 2'!$G$8:$G$42=""))+('Jul 2'!$G$8:$G$42=$T15)*0.5)*('Jul 2'!$AG$8:$AG$42="Delivered"))</f>
        <v>0</v>
      </c>
      <c r="W15">
        <f>SUMPRODUCT((('Jul 3'!$F$8:$F$42=$T15)*(0.5+0.5*('Jul 3'!$G$8:$G$42=""))+('Jul 3'!$G$8:$G$42=$T15)*0.5)*('Jul 3'!$AG$8:$AG$42="Delivered"))</f>
        <v>0</v>
      </c>
      <c r="X15">
        <f>SUMPRODUCT((('Jul 4'!$F$8:$F$42=$T15)*(0.5+0.5*('Jul 4'!$G$8:$G$42=""))+('Jul 4'!$G$8:$G$42=$T15)*0.5)*('Jul 4'!$AG$8:$AG$42="Delivered"))</f>
        <v>0</v>
      </c>
      <c r="Y15">
        <f>SUMPRODUCT((('Jul 5'!$F$8:$F$42=$T15)*(0.5+0.5*('Jul 5'!$G$8:$G$42=""))+('Jul 5'!$G$8:$G$42=$T15)*0.5)*('Jul 5'!$AG$8:$AG$42="Delivered"))</f>
        <v>0</v>
      </c>
      <c r="Z15">
        <f>SUMPRODUCT((('Jul 6'!$F$8:$F$42=$T15)*(0.5+0.5*('Jul 6'!$G$8:$G$42=""))+('Jul 6'!$G$8:$G$42=$T15)*0.5)*('Jul 6'!$AG$8:$AG$42="Delivered"))</f>
        <v>0</v>
      </c>
      <c r="AA15">
        <f>SUMPRODUCT((('Jul 7'!$F$8:$F$42=$T15)*(0.5+0.5*('Jul 7'!$G$8:$G$42=""))+('Jul 7'!$G$8:$G$42=$T15)*0.5)*('Jul 7'!$AG$8:$AG$42="Delivered"))</f>
        <v>0</v>
      </c>
      <c r="AB15">
        <f>SUMPRODUCT((('Jul 8'!$F$8:$F$42=$T15)*(0.5+0.5*('Jul 8'!$G$8:$G$42=""))+('Jul 8'!$G$8:$G$42=$T15)*0.5)*('Jul 8'!$AG$8:$AG$42="Delivered"))</f>
        <v>0</v>
      </c>
      <c r="AC15">
        <f>SUMPRODUCT((('Jul 9'!$F$8:$F$42=$T15)*(0.5+0.5*('Jul 9'!$G$8:$G$42=""))+('Jul 9'!$G$8:$G$42=$T15)*0.5)*('Jul 9'!$AG$8:$AG$42="Delivered"))</f>
        <v>0</v>
      </c>
      <c r="AD15">
        <f>SUMPRODUCT((('Jul 10'!$F$8:$F$42=$T15)*(0.5+0.5*('Jul 10'!$G$8:$G$42=""))+('Jul 10'!$G$8:$G$42=$T15)*0.5)*('Jul 10'!$AG$8:$AG$42="Delivered"))</f>
        <v>0</v>
      </c>
      <c r="AE15">
        <f>SUMPRODUCT((('Jul 11'!$F$8:$F$42=$T15)*(0.5+0.5*('Jul 11'!$G$8:$G$42=""))+('Jul 11'!$G$8:$G$42=$T15)*0.5)*('Jul 11'!$AG$8:$AG$42="Delivered"))</f>
        <v>0</v>
      </c>
      <c r="AF15">
        <f>SUMPRODUCT((('Jul 12'!$F$8:$F$42=$T15)*(0.5+0.5*('Jul 12'!$G$8:$G$42=""))+('Jul 12'!$G$8:$G$42=$T15)*0.5)*('Jul 12'!$AG$8:$AG$42="Delivered"))</f>
        <v>0</v>
      </c>
      <c r="AG15">
        <f>SUMPRODUCT((('Jul 13'!$F$8:$F$42=$T15)*(0.5+0.5*('Jul 13'!$G$8:$G$42=""))+('Jul 13'!$G$8:$G$42=$T15)*0.5)*('Jul 13'!$AG$8:$AG$42="Delivered"))</f>
        <v>0</v>
      </c>
      <c r="AH15">
        <f>SUMPRODUCT((('Jul 14'!$F$8:$F$42=$T15)*(0.5+0.5*('Jul 14'!$G$8:$G$42=""))+('Jul 14'!$G$8:$G$42=$T15)*0.5)*('Jul 14'!$AG$8:$AG$42="Delivered"))</f>
        <v>0</v>
      </c>
      <c r="AI15">
        <f>SUMPRODUCT((('Jul 15'!$F$8:$F$42=$T15)*(0.5+0.5*('Jul 15'!$G$8:$G$42=""))+('Jul 15'!$G$8:$G$42=$T15)*0.5)*('Jul 15'!$AG$8:$AG$42="Delivered"))</f>
        <v>0</v>
      </c>
      <c r="AJ15">
        <f>SUMPRODUCT((('Jul 16'!$F$8:$F$42=$T15)*(0.5+0.5*('Jul 16'!$G$8:$G$42=""))+('Jul 16'!$G$8:$G$42=$T15)*0.5)*('Jul 16'!$AG$8:$AG$42="Delivered"))</f>
        <v>0</v>
      </c>
      <c r="AK15">
        <f>SUMPRODUCT((('Jul 17'!$F$8:$F$42=$T15)*(0.5+0.5*('Jul 17'!$G$8:$G$42=""))+('Jul 17'!$G$8:$G$42=$T15)*0.5)*('Jul 17'!$AG$8:$AG$42="Delivered"))</f>
        <v>0</v>
      </c>
      <c r="AL15">
        <f>SUMPRODUCT((('Jul 18'!$F$8:$F$42=$T15)*(0.5+0.5*('Jul 18'!$G$8:$G$42=""))+('Jul 18'!$G$8:$G$42=$T15)*0.5)*('Jul 18'!$AG$8:$AG$42="Delivered"))</f>
        <v>0</v>
      </c>
      <c r="AM15">
        <f>SUMPRODUCT((('Jul 19'!$F$8:$F$42=$T15)*(0.5+0.5*('Jul 19'!$G$8:$G$42=""))+('Jul 19'!$G$8:$G$42=$T15)*0.5)*('Jul 19'!$AG$8:$AG$42="Delivered"))</f>
        <v>0</v>
      </c>
      <c r="AN15">
        <f>SUMPRODUCT((('Jul 20'!$F$8:$F$42=$T15)*(0.5+0.5*('Jul 20'!$G$8:$G$42=""))+('Jul 20'!$G$8:$G$42=$T15)*0.5)*('Jul 20'!$AG$8:$AG$42="Delivered"))</f>
        <v>0</v>
      </c>
      <c r="AO15">
        <f>SUMPRODUCT((('Jul 21'!$F$8:$F$42=$T15)*(0.5+0.5*('Jul 21'!$G$8:$G$42=""))+('Jul 21'!$G$8:$G$42=$T15)*0.5)*('Jul 21'!$AG$8:$AG$42="Delivered"))</f>
        <v>0</v>
      </c>
      <c r="AP15">
        <f>SUMPRODUCT((('Jul 22'!$F$8:$F$42=$T15)*(0.5+0.5*('Jul 22'!$G$8:$G$42=""))+('Jul 22'!$G$8:$G$42=$T15)*0.5)*('Jul 22'!$AG$8:$AG$42="Delivered"))</f>
        <v>0</v>
      </c>
      <c r="AQ15">
        <f>SUMPRODUCT((('Jul 23'!$F$8:$F$42=$T15)*(0.5+0.5*('Jul 23'!$G$8:$G$42=""))+('Jul 23'!$G$8:$G$42=$T15)*0.5)*('Jul 23'!$AG$8:$AG$42="Delivered"))</f>
        <v>0</v>
      </c>
      <c r="AR15">
        <f>SUMPRODUCT((('Jul 24'!$F$8:$F$42=$T15)*(0.5+0.5*('Jul 24'!$G$8:$G$42=""))+('Jul 24'!$G$8:$G$42=$T15)*0.5)*('Jul 24'!$AG$8:$AG$42="Delivered"))</f>
        <v>0</v>
      </c>
      <c r="AS15">
        <f>SUMPRODUCT((('Jul 25'!$F$8:$F$42=$T15)*(0.5+0.5*('Jul 25'!$G$8:$G$42=""))+('Jul 25'!$G$8:$G$42=$T15)*0.5)*('Jul 25'!$AG$8:$AG$42="Delivered"))</f>
        <v>0</v>
      </c>
      <c r="AT15">
        <f>SUMPRODUCT((('Jul 26'!$F$8:$F$42=$T15)*(0.5+0.5*('Jul 26'!$G$8:$G$42=""))+('Jul 26'!$G$8:$G$42=$T15)*0.5)*('Jul 26'!$AG$8:$AG$42="Delivered"))</f>
        <v>0</v>
      </c>
      <c r="AU15">
        <f>SUMPRODUCT((('Jul 27'!$F$8:$F$42=$T15)*(0.5+0.5*('Jul 27'!$G$8:$G$42=""))+('Jul 27'!$G$8:$G$42=$T15)*0.5)*('Jul 27'!$AG$8:$AG$42="Delivered"))</f>
        <v>0</v>
      </c>
      <c r="AV15">
        <f>SUMPRODUCT((('Jul 28'!$F$8:$F$42=$T15)*(0.5+0.5*('Jul 28'!$G$8:$G$42=""))+('Jul 28'!$G$8:$G$42=$T15)*0.5)*('Jul 28'!$AG$8:$AG$42="Delivered"))</f>
        <v>0</v>
      </c>
      <c r="AW15">
        <f>SUMPRODUCT((('Jul 29'!$F$8:$F$42=$T15)*(0.5+0.5*('Jul 29'!$G$8:$G$42=""))+('Jul 29'!$G$8:$G$42=$T15)*0.5)*('Jul 29'!$AG$8:$AG$42="Delivered"))</f>
        <v>0</v>
      </c>
      <c r="AX15">
        <f>SUMPRODUCT((('Jul 30'!$F$8:$F$42=$T15)*(0.5+0.5*('Jul 30'!$G$8:$G$42=""))+('Jul 30'!$G$8:$G$42=$T15)*0.5)*('Jul 30'!$AG$8:$AG$42="Delivered"))</f>
        <v>0</v>
      </c>
      <c r="AY15">
        <f>SUMPRODUCT((('Jul 31'!$F$8:$F$42=$T15)*(0.5+0.5*('Jul 31'!$G$8:$G$42=""))+('Jul 31'!$G$8:$G$42=$T15)*0.5)*('Jul 31'!$AG$8:$AG$42="Delivered"))</f>
        <v>0</v>
      </c>
      <c r="BA15">
        <f t="shared" si="0"/>
        <v>0</v>
      </c>
      <c r="BB15">
        <f>MATCH(BD15,'Pay Plan'!$C$6:$C$12,1)</f>
        <v>1</v>
      </c>
      <c r="BC15">
        <f>SUMPRODUCT(('Jul 1'!$F$8:$F$42=$T15)*('Jul 1'!$AG$8:$AG$42="Delivered")*(('Jul 1'!$AM$8:$AM$42="Y")+('Jul 1'!$AN$8:$AN$42="Y")+('Jul 1'!$AO$8:$AO$42="Y")))+SUMPRODUCT(('Jul 2'!$F$8:$F$42=$T15)*('Jul 2'!$AG$8:$AG$42="Delivered")*(('Jul 2'!$AM$8:$AM$42="Y")+('Jul 2'!$AN$8:$AN$42="Y")+('Jul 2'!$AO$8:$AO$42="Y")))+SUMPRODUCT(('Jul 3'!$F$8:$F$42=$T15)*('Jul 3'!$AG$8:$AG$42="Delivered")*(('Jul 3'!$AM$8:$AM$42="Y")+('Jul 3'!$AN$8:$AN$42="Y")+('Jul 3'!$AO$8:$AO$42="Y")))+SUMPRODUCT(('Jul 4'!$F$8:$F$42=$T15)*('Jul 4'!$AG$8:$AG$42="Delivered")*(('Jul 4'!$AM$8:$AM$42="Y")+('Jul 4'!$AN$8:$AN$42="Y")+('Jul 4'!$AO$8:$AO$42="Y")))+SUMPRODUCT(('Jul 5'!$F$8:$F$42=$T15)*('Jul 5'!$AG$8:$AG$42="Delivered")*(('Jul 5'!$AM$8:$AM$42="Y")+('Jul 5'!$AN$8:$AN$42="Y")+('Jul 5'!$AO$8:$AO$42="Y")))+SUMPRODUCT(('Jul 6'!$F$8:$F$42=$T15)*('Jul 6'!$AG$8:$AG$42="Delivered")*(('Jul 6'!$AM$8:$AM$42="Y")+('Jul 6'!$AN$8:$AN$42="Y")+('Jul 6'!$AO$8:$AO$42="Y")))+SUMPRODUCT(('Jul 7'!$F$8:$F$42=$T15)*('Jul 7'!$AG$8:$AG$42="Delivered")*(('Jul 7'!$AM$8:$AM$42="Y")+('Jul 7'!$AN$8:$AN$42="Y")+('Jul 7'!$AO$8:$AO$42="Y")))+SUMPRODUCT(('Jul 8'!$F$8:$F$42=$T15)*('Jul 8'!$AG$8:$AG$42="Delivered")*(('Jul 8'!$AM$8:$AM$42="Y")+('Jul 8'!$AN$8:$AN$42="Y")+('Jul 8'!$AO$8:$AO$42="Y")))+SUMPRODUCT(('Jul 9'!$F$8:$F$42=$T15)*('Jul 9'!$AG$8:$AG$42="Delivered")*(('Jul 9'!$AM$8:$AM$42="Y")+('Jul 9'!$AN$8:$AN$42="Y")+('Jul 9'!$AO$8:$AO$42="Y")))+SUMPRODUCT(('Jul 10'!$F$8:$F$42=$T15)*('Jul 10'!$AG$8:$AG$42="Delivered")*(('Jul 10'!$AM$8:$AM$42="Y")+('Jul 10'!$AN$8:$AN$42="Y")+('Jul 10'!$AO$8:$AO$42="Y")))+SUMPRODUCT(('Jul 11'!$F$8:$F$42=$T15)*('Jul 11'!$AG$8:$AG$42="Delivered")*(('Jul 11'!$AM$8:$AM$42="Y")+('Jul 11'!$AN$8:$AN$42="Y")+('Jul 11'!$AO$8:$AO$42="Y")))+SUMPRODUCT(('Jul 12'!$F$8:$F$42=$T15)*('Jul 12'!$AG$8:$AG$42="Delivered")*(('Jul 12'!$AM$8:$AM$42="Y")+('Jul 12'!$AN$8:$AN$42="Y")+('Jul 12'!$AO$8:$AO$42="Y")))+SUMPRODUCT(('Jul 13'!$F$8:$F$42=$T15)*('Jul 13'!$AG$8:$AG$42="Delivered")*(('Jul 13'!$AM$8:$AM$42="Y")+('Jul 13'!$AN$8:$AN$42="Y")+('Jul 13'!$AO$8:$AO$42="Y")))+SUMPRODUCT(('Jul 14'!$F$8:$F$42=$T15)*('Jul 14'!$AG$8:$AG$42="Delivered")*(('Jul 14'!$AM$8:$AM$42="Y")+('Jul 14'!$AN$8:$AN$42="Y")+('Jul 14'!$AO$8:$AO$42="Y")))+SUMPRODUCT(('Jul 15'!$F$8:$F$42=$T15)*('Jul 15'!$AG$8:$AG$42="Delivered")*(('Jul 15'!$AM$8:$AM$42="Y")+('Jul 15'!$AN$8:$AN$42="Y")+('Jul 15'!$AO$8:$AO$42="Y")))+SUMPRODUCT(('Jul 16'!$F$8:$F$42=$T15)*('Jul 16'!$AG$8:$AG$42="Delivered")*(('Jul 16'!$AM$8:$AM$42="Y")+('Jul 16'!$AN$8:$AN$42="Y")+('Jul 16'!$AO$8:$AO$42="Y")))+SUMPRODUCT(('Jul 17'!$F$8:$F$42=$T15)*('Jul 17'!$AG$8:$AG$42="Delivered")*(('Jul 17'!$AM$8:$AM$42="Y")+('Jul 17'!$AN$8:$AN$42="Y")+('Jul 17'!$AO$8:$AO$42="Y")))+SUMPRODUCT(('Jul 18'!$F$8:$F$42=$T15)*('Jul 18'!$AG$8:$AG$42="Delivered")*(('Jul 18'!$AM$8:$AM$42="Y")+('Jul 18'!$AN$8:$AN$42="Y")+('Jul 18'!$AO$8:$AO$42="Y")))+SUMPRODUCT(('Jul 19'!$F$8:$F$42=$T15)*('Jul 19'!$AG$8:$AG$42="Delivered")*(('Jul 19'!$AM$8:$AM$42="Y")+('Jul 19'!$AN$8:$AN$42="Y")+('Jul 19'!$AO$8:$AO$42="Y")))+SUMPRODUCT(('Jul 20'!$F$8:$F$42=$T15)*('Jul 20'!$AG$8:$AG$42="Delivered")*(('Jul 20'!$AM$8:$AM$42="Y")+('Jul 20'!$AN$8:$AN$42="Y")+('Jul 20'!$AO$8:$AO$42="Y")))+SUMPRODUCT(('Jul 21'!$F$8:$F$42=$T15)*('Jul 21'!$AG$8:$AG$42="Delivered")*(('Jul 21'!$AM$8:$AM$42="Y")+('Jul 21'!$AN$8:$AN$42="Y")+('Jul 21'!$AO$8:$AO$42="Y")))+SUMPRODUCT(('Jul 22'!$F$8:$F$42=$T15)*('Jul 22'!$AG$8:$AG$42="Delivered")*(('Jul 22'!$AM$8:$AM$42="Y")+('Jul 22'!$AN$8:$AN$42="Y")+('Jul 22'!$AO$8:$AO$42="Y")))+SUMPRODUCT(('Jul 23'!$F$8:$F$42=$T15)*('Jul 23'!$AG$8:$AG$42="Delivered")*(('Jul 23'!$AM$8:$AM$42="Y")+('Jul 23'!$AN$8:$AN$42="Y")+('Jul 23'!$AO$8:$AO$42="Y")))+SUMPRODUCT(('Jul 24'!$F$8:$F$42=$T15)*('Jul 24'!$AG$8:$AG$42="Delivered")*(('Jul 24'!$AM$8:$AM$42="Y")+('Jul 24'!$AN$8:$AN$42="Y")+('Jul 24'!$AO$8:$AO$42="Y")))+SUMPRODUCT(('Jul 25'!$F$8:$F$42=$T15)*('Jul 25'!$AG$8:$AG$42="Delivered")*(('Jul 25'!$AM$8:$AM$42="Y")+('Jul 25'!$AN$8:$AN$42="Y")+('Jul 25'!$AO$8:$AO$42="Y")))+SUMPRODUCT(('Jul 26'!$F$8:$F$42=$T15)*('Jul 26'!$AG$8:$AG$42="Delivered")*(('Jul 26'!$AM$8:$AM$42="Y")+('Jul 26'!$AN$8:$AN$42="Y")+('Jul 26'!$AO$8:$AO$42="Y")))+SUMPRODUCT(('Jul 27'!$F$8:$F$42=$T15)*('Jul 27'!$AG$8:$AG$42="Delivered")*(('Jul 27'!$AM$8:$AM$42="Y")+('Jul 27'!$AN$8:$AN$42="Y")+('Jul 27'!$AO$8:$AO$42="Y")))+SUMPRODUCT(('Jul 28'!$F$8:$F$42=$T15)*('Jul 28'!$AG$8:$AG$42="Delivered")*(('Jul 28'!$AM$8:$AM$42="Y")+('Jul 28'!$AN$8:$AN$42="Y")+('Jul 28'!$AO$8:$AO$42="Y")))+SUMPRODUCT(('Jul 29'!$F$8:$F$42=$T15)*('Jul 29'!$AG$8:$AG$42="Delivered")*(('Jul 29'!$AM$8:$AM$42="Y")+('Jul 29'!$AN$8:$AN$42="Y")+('Jul 29'!$AO$8:$AO$42="Y")))+SUMPRODUCT(('Jul 30'!$F$8:$F$42=$T15)*('Jul 30'!$AG$8:$AG$42="Delivered")*(('Jul 30'!$AM$8:$AM$42="Y")+('Jul 30'!$AN$8:$AN$42="Y")+('Jul 30'!$AO$8:$AO$42="Y")))+SUMPRODUCT(('Jul 31'!$F$8:$F$42=$T15)*('Jul 31'!$AG$8:$AG$42="Delivered")*(('Jul 31'!$AM$8:$AM$42="Y")+('Jul 31'!$AN$8:$AN$42="Y")+('Jul 31'!$AO$8:$AO$42="Y")))</f>
        <v>0</v>
      </c>
      <c r="BD15">
        <f t="shared" si="1"/>
        <v>0</v>
      </c>
      <c r="BE15">
        <f t="shared" si="2"/>
        <v>0</v>
      </c>
      <c r="BF15">
        <f t="shared" si="3"/>
        <v>0</v>
      </c>
    </row>
    <row r="16" spans="1:60" ht="14.45" customHeight="1" x14ac:dyDescent="0.25">
      <c r="A16" s="56">
        <v>10</v>
      </c>
      <c r="B16" s="57" t="str">
        <f t="shared" si="4"/>
        <v>ANDREW MIEIR</v>
      </c>
      <c r="C16" s="58">
        <f t="shared" si="5"/>
        <v>0</v>
      </c>
      <c r="D16" s="59">
        <f t="shared" si="6"/>
        <v>0</v>
      </c>
      <c r="E16" s="59" t="str">
        <f t="shared" si="7"/>
        <v>—</v>
      </c>
      <c r="F16" s="56" t="str">
        <f>IF(BD13=0,"—",INDEX('Pay Plan'!$B$6:$B$12,BB13))</f>
        <v>—</v>
      </c>
      <c r="G16" s="59">
        <f t="shared" si="8"/>
        <v>0</v>
      </c>
      <c r="H16" s="59">
        <f>LOOKUP(BD13,'Pay Plan'!$B$15:$B$20,'Pay Plan'!$C$15:$C$20)</f>
        <v>0</v>
      </c>
      <c r="I16" s="59">
        <f>LOOKUP(BA13,'Pay Plan'!$E$15:$E$19,'Pay Plan'!$F$15:$F$19)</f>
        <v>0</v>
      </c>
      <c r="J16" s="59">
        <f>BC13*'Pay Plan'!$I$15</f>
        <v>0</v>
      </c>
      <c r="K16" s="131">
        <f t="shared" si="9"/>
        <v>0</v>
      </c>
      <c r="L16" s="111"/>
      <c r="M16" s="111"/>
      <c r="N16" s="55"/>
      <c r="O16" s="131">
        <f t="shared" si="10"/>
        <v>0</v>
      </c>
      <c r="P16" s="111"/>
      <c r="Q16" s="111"/>
      <c r="R16" s="111"/>
      <c r="T16" t="s">
        <v>102</v>
      </c>
      <c r="U16">
        <f>SUMPRODUCT((('Jul 1'!$F$8:$F$42=$T16)*(0.5+0.5*('Jul 1'!$G$8:$G$42=""))+('Jul 1'!$G$8:$G$42=$T16)*0.5)*('Jul 1'!$AG$8:$AG$42="Delivered"))</f>
        <v>0</v>
      </c>
      <c r="V16">
        <f>SUMPRODUCT((('Jul 2'!$F$8:$F$42=$T16)*(0.5+0.5*('Jul 2'!$G$8:$G$42=""))+('Jul 2'!$G$8:$G$42=$T16)*0.5)*('Jul 2'!$AG$8:$AG$42="Delivered"))</f>
        <v>0</v>
      </c>
      <c r="W16">
        <f>SUMPRODUCT((('Jul 3'!$F$8:$F$42=$T16)*(0.5+0.5*('Jul 3'!$G$8:$G$42=""))+('Jul 3'!$G$8:$G$42=$T16)*0.5)*('Jul 3'!$AG$8:$AG$42="Delivered"))</f>
        <v>0</v>
      </c>
      <c r="X16">
        <f>SUMPRODUCT((('Jul 4'!$F$8:$F$42=$T16)*(0.5+0.5*('Jul 4'!$G$8:$G$42=""))+('Jul 4'!$G$8:$G$42=$T16)*0.5)*('Jul 4'!$AG$8:$AG$42="Delivered"))</f>
        <v>0</v>
      </c>
      <c r="Y16">
        <f>SUMPRODUCT((('Jul 5'!$F$8:$F$42=$T16)*(0.5+0.5*('Jul 5'!$G$8:$G$42=""))+('Jul 5'!$G$8:$G$42=$T16)*0.5)*('Jul 5'!$AG$8:$AG$42="Delivered"))</f>
        <v>0</v>
      </c>
      <c r="Z16">
        <f>SUMPRODUCT((('Jul 6'!$F$8:$F$42=$T16)*(0.5+0.5*('Jul 6'!$G$8:$G$42=""))+('Jul 6'!$G$8:$G$42=$T16)*0.5)*('Jul 6'!$AG$8:$AG$42="Delivered"))</f>
        <v>0</v>
      </c>
      <c r="AA16">
        <f>SUMPRODUCT((('Jul 7'!$F$8:$F$42=$T16)*(0.5+0.5*('Jul 7'!$G$8:$G$42=""))+('Jul 7'!$G$8:$G$42=$T16)*0.5)*('Jul 7'!$AG$8:$AG$42="Delivered"))</f>
        <v>0</v>
      </c>
      <c r="AB16">
        <f>SUMPRODUCT((('Jul 8'!$F$8:$F$42=$T16)*(0.5+0.5*('Jul 8'!$G$8:$G$42=""))+('Jul 8'!$G$8:$G$42=$T16)*0.5)*('Jul 8'!$AG$8:$AG$42="Delivered"))</f>
        <v>0</v>
      </c>
      <c r="AC16">
        <f>SUMPRODUCT((('Jul 9'!$F$8:$F$42=$T16)*(0.5+0.5*('Jul 9'!$G$8:$G$42=""))+('Jul 9'!$G$8:$G$42=$T16)*0.5)*('Jul 9'!$AG$8:$AG$42="Delivered"))</f>
        <v>0</v>
      </c>
      <c r="AD16">
        <f>SUMPRODUCT((('Jul 10'!$F$8:$F$42=$T16)*(0.5+0.5*('Jul 10'!$G$8:$G$42=""))+('Jul 10'!$G$8:$G$42=$T16)*0.5)*('Jul 10'!$AG$8:$AG$42="Delivered"))</f>
        <v>0</v>
      </c>
      <c r="AE16">
        <f>SUMPRODUCT((('Jul 11'!$F$8:$F$42=$T16)*(0.5+0.5*('Jul 11'!$G$8:$G$42=""))+('Jul 11'!$G$8:$G$42=$T16)*0.5)*('Jul 11'!$AG$8:$AG$42="Delivered"))</f>
        <v>0</v>
      </c>
      <c r="AF16">
        <f>SUMPRODUCT((('Jul 12'!$F$8:$F$42=$T16)*(0.5+0.5*('Jul 12'!$G$8:$G$42=""))+('Jul 12'!$G$8:$G$42=$T16)*0.5)*('Jul 12'!$AG$8:$AG$42="Delivered"))</f>
        <v>0</v>
      </c>
      <c r="AG16">
        <f>SUMPRODUCT((('Jul 13'!$F$8:$F$42=$T16)*(0.5+0.5*('Jul 13'!$G$8:$G$42=""))+('Jul 13'!$G$8:$G$42=$T16)*0.5)*('Jul 13'!$AG$8:$AG$42="Delivered"))</f>
        <v>0</v>
      </c>
      <c r="AH16">
        <f>SUMPRODUCT((('Jul 14'!$F$8:$F$42=$T16)*(0.5+0.5*('Jul 14'!$G$8:$G$42=""))+('Jul 14'!$G$8:$G$42=$T16)*0.5)*('Jul 14'!$AG$8:$AG$42="Delivered"))</f>
        <v>0</v>
      </c>
      <c r="AI16">
        <f>SUMPRODUCT((('Jul 15'!$F$8:$F$42=$T16)*(0.5+0.5*('Jul 15'!$G$8:$G$42=""))+('Jul 15'!$G$8:$G$42=$T16)*0.5)*('Jul 15'!$AG$8:$AG$42="Delivered"))</f>
        <v>0</v>
      </c>
      <c r="AJ16">
        <f>SUMPRODUCT((('Jul 16'!$F$8:$F$42=$T16)*(0.5+0.5*('Jul 16'!$G$8:$G$42=""))+('Jul 16'!$G$8:$G$42=$T16)*0.5)*('Jul 16'!$AG$8:$AG$42="Delivered"))</f>
        <v>0</v>
      </c>
      <c r="AK16">
        <f>SUMPRODUCT((('Jul 17'!$F$8:$F$42=$T16)*(0.5+0.5*('Jul 17'!$G$8:$G$42=""))+('Jul 17'!$G$8:$G$42=$T16)*0.5)*('Jul 17'!$AG$8:$AG$42="Delivered"))</f>
        <v>0</v>
      </c>
      <c r="AL16">
        <f>SUMPRODUCT((('Jul 18'!$F$8:$F$42=$T16)*(0.5+0.5*('Jul 18'!$G$8:$G$42=""))+('Jul 18'!$G$8:$G$42=$T16)*0.5)*('Jul 18'!$AG$8:$AG$42="Delivered"))</f>
        <v>0</v>
      </c>
      <c r="AM16">
        <f>SUMPRODUCT((('Jul 19'!$F$8:$F$42=$T16)*(0.5+0.5*('Jul 19'!$G$8:$G$42=""))+('Jul 19'!$G$8:$G$42=$T16)*0.5)*('Jul 19'!$AG$8:$AG$42="Delivered"))</f>
        <v>0</v>
      </c>
      <c r="AN16">
        <f>SUMPRODUCT((('Jul 20'!$F$8:$F$42=$T16)*(0.5+0.5*('Jul 20'!$G$8:$G$42=""))+('Jul 20'!$G$8:$G$42=$T16)*0.5)*('Jul 20'!$AG$8:$AG$42="Delivered"))</f>
        <v>0</v>
      </c>
      <c r="AO16">
        <f>SUMPRODUCT((('Jul 21'!$F$8:$F$42=$T16)*(0.5+0.5*('Jul 21'!$G$8:$G$42=""))+('Jul 21'!$G$8:$G$42=$T16)*0.5)*('Jul 21'!$AG$8:$AG$42="Delivered"))</f>
        <v>0</v>
      </c>
      <c r="AP16">
        <f>SUMPRODUCT((('Jul 22'!$F$8:$F$42=$T16)*(0.5+0.5*('Jul 22'!$G$8:$G$42=""))+('Jul 22'!$G$8:$G$42=$T16)*0.5)*('Jul 22'!$AG$8:$AG$42="Delivered"))</f>
        <v>0</v>
      </c>
      <c r="AQ16">
        <f>SUMPRODUCT((('Jul 23'!$F$8:$F$42=$T16)*(0.5+0.5*('Jul 23'!$G$8:$G$42=""))+('Jul 23'!$G$8:$G$42=$T16)*0.5)*('Jul 23'!$AG$8:$AG$42="Delivered"))</f>
        <v>0</v>
      </c>
      <c r="AR16">
        <f>SUMPRODUCT((('Jul 24'!$F$8:$F$42=$T16)*(0.5+0.5*('Jul 24'!$G$8:$G$42=""))+('Jul 24'!$G$8:$G$42=$T16)*0.5)*('Jul 24'!$AG$8:$AG$42="Delivered"))</f>
        <v>0</v>
      </c>
      <c r="AS16">
        <f>SUMPRODUCT((('Jul 25'!$F$8:$F$42=$T16)*(0.5+0.5*('Jul 25'!$G$8:$G$42=""))+('Jul 25'!$G$8:$G$42=$T16)*0.5)*('Jul 25'!$AG$8:$AG$42="Delivered"))</f>
        <v>0</v>
      </c>
      <c r="AT16">
        <f>SUMPRODUCT((('Jul 26'!$F$8:$F$42=$T16)*(0.5+0.5*('Jul 26'!$G$8:$G$42=""))+('Jul 26'!$G$8:$G$42=$T16)*0.5)*('Jul 26'!$AG$8:$AG$42="Delivered"))</f>
        <v>0</v>
      </c>
      <c r="AU16">
        <f>SUMPRODUCT((('Jul 27'!$F$8:$F$42=$T16)*(0.5+0.5*('Jul 27'!$G$8:$G$42=""))+('Jul 27'!$G$8:$G$42=$T16)*0.5)*('Jul 27'!$AG$8:$AG$42="Delivered"))</f>
        <v>0</v>
      </c>
      <c r="AV16">
        <f>SUMPRODUCT((('Jul 28'!$F$8:$F$42=$T16)*(0.5+0.5*('Jul 28'!$G$8:$G$42=""))+('Jul 28'!$G$8:$G$42=$T16)*0.5)*('Jul 28'!$AG$8:$AG$42="Delivered"))</f>
        <v>0</v>
      </c>
      <c r="AW16">
        <f>SUMPRODUCT((('Jul 29'!$F$8:$F$42=$T16)*(0.5+0.5*('Jul 29'!$G$8:$G$42=""))+('Jul 29'!$G$8:$G$42=$T16)*0.5)*('Jul 29'!$AG$8:$AG$42="Delivered"))</f>
        <v>0</v>
      </c>
      <c r="AX16">
        <f>SUMPRODUCT((('Jul 30'!$F$8:$F$42=$T16)*(0.5+0.5*('Jul 30'!$G$8:$G$42=""))+('Jul 30'!$G$8:$G$42=$T16)*0.5)*('Jul 30'!$AG$8:$AG$42="Delivered"))</f>
        <v>0</v>
      </c>
      <c r="AY16">
        <f>SUMPRODUCT((('Jul 31'!$F$8:$F$42=$T16)*(0.5+0.5*('Jul 31'!$G$8:$G$42=""))+('Jul 31'!$G$8:$G$42=$T16)*0.5)*('Jul 31'!$AG$8:$AG$42="Delivered"))</f>
        <v>0</v>
      </c>
      <c r="BA16">
        <f t="shared" si="0"/>
        <v>0</v>
      </c>
      <c r="BB16">
        <f>MATCH(BD16,'Pay Plan'!$C$6:$C$12,1)</f>
        <v>1</v>
      </c>
      <c r="BC16">
        <f>SUMPRODUCT(('Jul 1'!$F$8:$F$42=$T16)*('Jul 1'!$AG$8:$AG$42="Delivered")*(('Jul 1'!$AM$8:$AM$42="Y")+('Jul 1'!$AN$8:$AN$42="Y")+('Jul 1'!$AO$8:$AO$42="Y")))+SUMPRODUCT(('Jul 2'!$F$8:$F$42=$T16)*('Jul 2'!$AG$8:$AG$42="Delivered")*(('Jul 2'!$AM$8:$AM$42="Y")+('Jul 2'!$AN$8:$AN$42="Y")+('Jul 2'!$AO$8:$AO$42="Y")))+SUMPRODUCT(('Jul 3'!$F$8:$F$42=$T16)*('Jul 3'!$AG$8:$AG$42="Delivered")*(('Jul 3'!$AM$8:$AM$42="Y")+('Jul 3'!$AN$8:$AN$42="Y")+('Jul 3'!$AO$8:$AO$42="Y")))+SUMPRODUCT(('Jul 4'!$F$8:$F$42=$T16)*('Jul 4'!$AG$8:$AG$42="Delivered")*(('Jul 4'!$AM$8:$AM$42="Y")+('Jul 4'!$AN$8:$AN$42="Y")+('Jul 4'!$AO$8:$AO$42="Y")))+SUMPRODUCT(('Jul 5'!$F$8:$F$42=$T16)*('Jul 5'!$AG$8:$AG$42="Delivered")*(('Jul 5'!$AM$8:$AM$42="Y")+('Jul 5'!$AN$8:$AN$42="Y")+('Jul 5'!$AO$8:$AO$42="Y")))+SUMPRODUCT(('Jul 6'!$F$8:$F$42=$T16)*('Jul 6'!$AG$8:$AG$42="Delivered")*(('Jul 6'!$AM$8:$AM$42="Y")+('Jul 6'!$AN$8:$AN$42="Y")+('Jul 6'!$AO$8:$AO$42="Y")))+SUMPRODUCT(('Jul 7'!$F$8:$F$42=$T16)*('Jul 7'!$AG$8:$AG$42="Delivered")*(('Jul 7'!$AM$8:$AM$42="Y")+('Jul 7'!$AN$8:$AN$42="Y")+('Jul 7'!$AO$8:$AO$42="Y")))+SUMPRODUCT(('Jul 8'!$F$8:$F$42=$T16)*('Jul 8'!$AG$8:$AG$42="Delivered")*(('Jul 8'!$AM$8:$AM$42="Y")+('Jul 8'!$AN$8:$AN$42="Y")+('Jul 8'!$AO$8:$AO$42="Y")))+SUMPRODUCT(('Jul 9'!$F$8:$F$42=$T16)*('Jul 9'!$AG$8:$AG$42="Delivered")*(('Jul 9'!$AM$8:$AM$42="Y")+('Jul 9'!$AN$8:$AN$42="Y")+('Jul 9'!$AO$8:$AO$42="Y")))+SUMPRODUCT(('Jul 10'!$F$8:$F$42=$T16)*('Jul 10'!$AG$8:$AG$42="Delivered")*(('Jul 10'!$AM$8:$AM$42="Y")+('Jul 10'!$AN$8:$AN$42="Y")+('Jul 10'!$AO$8:$AO$42="Y")))+SUMPRODUCT(('Jul 11'!$F$8:$F$42=$T16)*('Jul 11'!$AG$8:$AG$42="Delivered")*(('Jul 11'!$AM$8:$AM$42="Y")+('Jul 11'!$AN$8:$AN$42="Y")+('Jul 11'!$AO$8:$AO$42="Y")))+SUMPRODUCT(('Jul 12'!$F$8:$F$42=$T16)*('Jul 12'!$AG$8:$AG$42="Delivered")*(('Jul 12'!$AM$8:$AM$42="Y")+('Jul 12'!$AN$8:$AN$42="Y")+('Jul 12'!$AO$8:$AO$42="Y")))+SUMPRODUCT(('Jul 13'!$F$8:$F$42=$T16)*('Jul 13'!$AG$8:$AG$42="Delivered")*(('Jul 13'!$AM$8:$AM$42="Y")+('Jul 13'!$AN$8:$AN$42="Y")+('Jul 13'!$AO$8:$AO$42="Y")))+SUMPRODUCT(('Jul 14'!$F$8:$F$42=$T16)*('Jul 14'!$AG$8:$AG$42="Delivered")*(('Jul 14'!$AM$8:$AM$42="Y")+('Jul 14'!$AN$8:$AN$42="Y")+('Jul 14'!$AO$8:$AO$42="Y")))+SUMPRODUCT(('Jul 15'!$F$8:$F$42=$T16)*('Jul 15'!$AG$8:$AG$42="Delivered")*(('Jul 15'!$AM$8:$AM$42="Y")+('Jul 15'!$AN$8:$AN$42="Y")+('Jul 15'!$AO$8:$AO$42="Y")))+SUMPRODUCT(('Jul 16'!$F$8:$F$42=$T16)*('Jul 16'!$AG$8:$AG$42="Delivered")*(('Jul 16'!$AM$8:$AM$42="Y")+('Jul 16'!$AN$8:$AN$42="Y")+('Jul 16'!$AO$8:$AO$42="Y")))+SUMPRODUCT(('Jul 17'!$F$8:$F$42=$T16)*('Jul 17'!$AG$8:$AG$42="Delivered")*(('Jul 17'!$AM$8:$AM$42="Y")+('Jul 17'!$AN$8:$AN$42="Y")+('Jul 17'!$AO$8:$AO$42="Y")))+SUMPRODUCT(('Jul 18'!$F$8:$F$42=$T16)*('Jul 18'!$AG$8:$AG$42="Delivered")*(('Jul 18'!$AM$8:$AM$42="Y")+('Jul 18'!$AN$8:$AN$42="Y")+('Jul 18'!$AO$8:$AO$42="Y")))+SUMPRODUCT(('Jul 19'!$F$8:$F$42=$T16)*('Jul 19'!$AG$8:$AG$42="Delivered")*(('Jul 19'!$AM$8:$AM$42="Y")+('Jul 19'!$AN$8:$AN$42="Y")+('Jul 19'!$AO$8:$AO$42="Y")))+SUMPRODUCT(('Jul 20'!$F$8:$F$42=$T16)*('Jul 20'!$AG$8:$AG$42="Delivered")*(('Jul 20'!$AM$8:$AM$42="Y")+('Jul 20'!$AN$8:$AN$42="Y")+('Jul 20'!$AO$8:$AO$42="Y")))+SUMPRODUCT(('Jul 21'!$F$8:$F$42=$T16)*('Jul 21'!$AG$8:$AG$42="Delivered")*(('Jul 21'!$AM$8:$AM$42="Y")+('Jul 21'!$AN$8:$AN$42="Y")+('Jul 21'!$AO$8:$AO$42="Y")))+SUMPRODUCT(('Jul 22'!$F$8:$F$42=$T16)*('Jul 22'!$AG$8:$AG$42="Delivered")*(('Jul 22'!$AM$8:$AM$42="Y")+('Jul 22'!$AN$8:$AN$42="Y")+('Jul 22'!$AO$8:$AO$42="Y")))+SUMPRODUCT(('Jul 23'!$F$8:$F$42=$T16)*('Jul 23'!$AG$8:$AG$42="Delivered")*(('Jul 23'!$AM$8:$AM$42="Y")+('Jul 23'!$AN$8:$AN$42="Y")+('Jul 23'!$AO$8:$AO$42="Y")))+SUMPRODUCT(('Jul 24'!$F$8:$F$42=$T16)*('Jul 24'!$AG$8:$AG$42="Delivered")*(('Jul 24'!$AM$8:$AM$42="Y")+('Jul 24'!$AN$8:$AN$42="Y")+('Jul 24'!$AO$8:$AO$42="Y")))+SUMPRODUCT(('Jul 25'!$F$8:$F$42=$T16)*('Jul 25'!$AG$8:$AG$42="Delivered")*(('Jul 25'!$AM$8:$AM$42="Y")+('Jul 25'!$AN$8:$AN$42="Y")+('Jul 25'!$AO$8:$AO$42="Y")))+SUMPRODUCT(('Jul 26'!$F$8:$F$42=$T16)*('Jul 26'!$AG$8:$AG$42="Delivered")*(('Jul 26'!$AM$8:$AM$42="Y")+('Jul 26'!$AN$8:$AN$42="Y")+('Jul 26'!$AO$8:$AO$42="Y")))+SUMPRODUCT(('Jul 27'!$F$8:$F$42=$T16)*('Jul 27'!$AG$8:$AG$42="Delivered")*(('Jul 27'!$AM$8:$AM$42="Y")+('Jul 27'!$AN$8:$AN$42="Y")+('Jul 27'!$AO$8:$AO$42="Y")))+SUMPRODUCT(('Jul 28'!$F$8:$F$42=$T16)*('Jul 28'!$AG$8:$AG$42="Delivered")*(('Jul 28'!$AM$8:$AM$42="Y")+('Jul 28'!$AN$8:$AN$42="Y")+('Jul 28'!$AO$8:$AO$42="Y")))+SUMPRODUCT(('Jul 29'!$F$8:$F$42=$T16)*('Jul 29'!$AG$8:$AG$42="Delivered")*(('Jul 29'!$AM$8:$AM$42="Y")+('Jul 29'!$AN$8:$AN$42="Y")+('Jul 29'!$AO$8:$AO$42="Y")))+SUMPRODUCT(('Jul 30'!$F$8:$F$42=$T16)*('Jul 30'!$AG$8:$AG$42="Delivered")*(('Jul 30'!$AM$8:$AM$42="Y")+('Jul 30'!$AN$8:$AN$42="Y")+('Jul 30'!$AO$8:$AO$42="Y")))+SUMPRODUCT(('Jul 31'!$F$8:$F$42=$T16)*('Jul 31'!$AG$8:$AG$42="Delivered")*(('Jul 31'!$AM$8:$AM$42="Y")+('Jul 31'!$AN$8:$AN$42="Y")+('Jul 31'!$AO$8:$AO$42="Y")))</f>
        <v>0</v>
      </c>
      <c r="BD16">
        <f t="shared" si="1"/>
        <v>0</v>
      </c>
      <c r="BE16">
        <f t="shared" si="2"/>
        <v>0</v>
      </c>
      <c r="BF16">
        <f t="shared" si="3"/>
        <v>0</v>
      </c>
    </row>
    <row r="17" spans="1:58" ht="14.45" customHeight="1" x14ac:dyDescent="0.25">
      <c r="A17" s="51">
        <v>11</v>
      </c>
      <c r="B17" s="52" t="str">
        <f t="shared" si="4"/>
        <v>RAFAEL CAMPOS</v>
      </c>
      <c r="C17" s="53">
        <f t="shared" si="5"/>
        <v>0</v>
      </c>
      <c r="D17" s="54">
        <f t="shared" si="6"/>
        <v>0</v>
      </c>
      <c r="E17" s="54" t="str">
        <f t="shared" si="7"/>
        <v>—</v>
      </c>
      <c r="F17" s="51" t="str">
        <f>IF(BD14=0,"—",INDEX('Pay Plan'!$B$6:$B$12,BB14))</f>
        <v>—</v>
      </c>
      <c r="G17" s="54">
        <f t="shared" si="8"/>
        <v>0</v>
      </c>
      <c r="H17" s="54">
        <f>LOOKUP(BD14,'Pay Plan'!$B$15:$B$20,'Pay Plan'!$C$15:$C$20)</f>
        <v>0</v>
      </c>
      <c r="I17" s="54">
        <f>LOOKUP(BA14,'Pay Plan'!$E$15:$E$19,'Pay Plan'!$F$15:$F$19)</f>
        <v>0</v>
      </c>
      <c r="J17" s="54">
        <f>BC14*'Pay Plan'!$I$15</f>
        <v>0</v>
      </c>
      <c r="K17" s="130">
        <f t="shared" si="9"/>
        <v>0</v>
      </c>
      <c r="L17" s="111"/>
      <c r="M17" s="111"/>
      <c r="N17" s="55"/>
      <c r="O17" s="130">
        <f t="shared" si="10"/>
        <v>0</v>
      </c>
      <c r="P17" s="111"/>
      <c r="Q17" s="111"/>
      <c r="R17" s="111"/>
      <c r="T17" t="s">
        <v>103</v>
      </c>
      <c r="U17">
        <f>SUMPRODUCT((('Jul 1'!$F$8:$F$42=$T17)*(0.5+0.5*('Jul 1'!$G$8:$G$42=""))+('Jul 1'!$G$8:$G$42=$T17)*0.5)*('Jul 1'!$AG$8:$AG$42="Delivered"))</f>
        <v>0</v>
      </c>
      <c r="V17">
        <f>SUMPRODUCT((('Jul 2'!$F$8:$F$42=$T17)*(0.5+0.5*('Jul 2'!$G$8:$G$42=""))+('Jul 2'!$G$8:$G$42=$T17)*0.5)*('Jul 2'!$AG$8:$AG$42="Delivered"))</f>
        <v>0</v>
      </c>
      <c r="W17">
        <f>SUMPRODUCT((('Jul 3'!$F$8:$F$42=$T17)*(0.5+0.5*('Jul 3'!$G$8:$G$42=""))+('Jul 3'!$G$8:$G$42=$T17)*0.5)*('Jul 3'!$AG$8:$AG$42="Delivered"))</f>
        <v>0</v>
      </c>
      <c r="X17">
        <f>SUMPRODUCT((('Jul 4'!$F$8:$F$42=$T17)*(0.5+0.5*('Jul 4'!$G$8:$G$42=""))+('Jul 4'!$G$8:$G$42=$T17)*0.5)*('Jul 4'!$AG$8:$AG$42="Delivered"))</f>
        <v>0</v>
      </c>
      <c r="Y17">
        <f>SUMPRODUCT((('Jul 5'!$F$8:$F$42=$T17)*(0.5+0.5*('Jul 5'!$G$8:$G$42=""))+('Jul 5'!$G$8:$G$42=$T17)*0.5)*('Jul 5'!$AG$8:$AG$42="Delivered"))</f>
        <v>0</v>
      </c>
      <c r="Z17">
        <f>SUMPRODUCT((('Jul 6'!$F$8:$F$42=$T17)*(0.5+0.5*('Jul 6'!$G$8:$G$42=""))+('Jul 6'!$G$8:$G$42=$T17)*0.5)*('Jul 6'!$AG$8:$AG$42="Delivered"))</f>
        <v>0</v>
      </c>
      <c r="AA17">
        <f>SUMPRODUCT((('Jul 7'!$F$8:$F$42=$T17)*(0.5+0.5*('Jul 7'!$G$8:$G$42=""))+('Jul 7'!$G$8:$G$42=$T17)*0.5)*('Jul 7'!$AG$8:$AG$42="Delivered"))</f>
        <v>0</v>
      </c>
      <c r="AB17">
        <f>SUMPRODUCT((('Jul 8'!$F$8:$F$42=$T17)*(0.5+0.5*('Jul 8'!$G$8:$G$42=""))+('Jul 8'!$G$8:$G$42=$T17)*0.5)*('Jul 8'!$AG$8:$AG$42="Delivered"))</f>
        <v>0</v>
      </c>
      <c r="AC17">
        <f>SUMPRODUCT((('Jul 9'!$F$8:$F$42=$T17)*(0.5+0.5*('Jul 9'!$G$8:$G$42=""))+('Jul 9'!$G$8:$G$42=$T17)*0.5)*('Jul 9'!$AG$8:$AG$42="Delivered"))</f>
        <v>0</v>
      </c>
      <c r="AD17">
        <f>SUMPRODUCT((('Jul 10'!$F$8:$F$42=$T17)*(0.5+0.5*('Jul 10'!$G$8:$G$42=""))+('Jul 10'!$G$8:$G$42=$T17)*0.5)*('Jul 10'!$AG$8:$AG$42="Delivered"))</f>
        <v>0</v>
      </c>
      <c r="AE17">
        <f>SUMPRODUCT((('Jul 11'!$F$8:$F$42=$T17)*(0.5+0.5*('Jul 11'!$G$8:$G$42=""))+('Jul 11'!$G$8:$G$42=$T17)*0.5)*('Jul 11'!$AG$8:$AG$42="Delivered"))</f>
        <v>0</v>
      </c>
      <c r="AF17">
        <f>SUMPRODUCT((('Jul 12'!$F$8:$F$42=$T17)*(0.5+0.5*('Jul 12'!$G$8:$G$42=""))+('Jul 12'!$G$8:$G$42=$T17)*0.5)*('Jul 12'!$AG$8:$AG$42="Delivered"))</f>
        <v>0</v>
      </c>
      <c r="AG17">
        <f>SUMPRODUCT((('Jul 13'!$F$8:$F$42=$T17)*(0.5+0.5*('Jul 13'!$G$8:$G$42=""))+('Jul 13'!$G$8:$G$42=$T17)*0.5)*('Jul 13'!$AG$8:$AG$42="Delivered"))</f>
        <v>0</v>
      </c>
      <c r="AH17">
        <f>SUMPRODUCT((('Jul 14'!$F$8:$F$42=$T17)*(0.5+0.5*('Jul 14'!$G$8:$G$42=""))+('Jul 14'!$G$8:$G$42=$T17)*0.5)*('Jul 14'!$AG$8:$AG$42="Delivered"))</f>
        <v>0</v>
      </c>
      <c r="AI17">
        <f>SUMPRODUCT((('Jul 15'!$F$8:$F$42=$T17)*(0.5+0.5*('Jul 15'!$G$8:$G$42=""))+('Jul 15'!$G$8:$G$42=$T17)*0.5)*('Jul 15'!$AG$8:$AG$42="Delivered"))</f>
        <v>0</v>
      </c>
      <c r="AJ17">
        <f>SUMPRODUCT((('Jul 16'!$F$8:$F$42=$T17)*(0.5+0.5*('Jul 16'!$G$8:$G$42=""))+('Jul 16'!$G$8:$G$42=$T17)*0.5)*('Jul 16'!$AG$8:$AG$42="Delivered"))</f>
        <v>0</v>
      </c>
      <c r="AK17">
        <f>SUMPRODUCT((('Jul 17'!$F$8:$F$42=$T17)*(0.5+0.5*('Jul 17'!$G$8:$G$42=""))+('Jul 17'!$G$8:$G$42=$T17)*0.5)*('Jul 17'!$AG$8:$AG$42="Delivered"))</f>
        <v>0</v>
      </c>
      <c r="AL17">
        <f>SUMPRODUCT((('Jul 18'!$F$8:$F$42=$T17)*(0.5+0.5*('Jul 18'!$G$8:$G$42=""))+('Jul 18'!$G$8:$G$42=$T17)*0.5)*('Jul 18'!$AG$8:$AG$42="Delivered"))</f>
        <v>0</v>
      </c>
      <c r="AM17">
        <f>SUMPRODUCT((('Jul 19'!$F$8:$F$42=$T17)*(0.5+0.5*('Jul 19'!$G$8:$G$42=""))+('Jul 19'!$G$8:$G$42=$T17)*0.5)*('Jul 19'!$AG$8:$AG$42="Delivered"))</f>
        <v>0</v>
      </c>
      <c r="AN17">
        <f>SUMPRODUCT((('Jul 20'!$F$8:$F$42=$T17)*(0.5+0.5*('Jul 20'!$G$8:$G$42=""))+('Jul 20'!$G$8:$G$42=$T17)*0.5)*('Jul 20'!$AG$8:$AG$42="Delivered"))</f>
        <v>0</v>
      </c>
      <c r="AO17">
        <f>SUMPRODUCT((('Jul 21'!$F$8:$F$42=$T17)*(0.5+0.5*('Jul 21'!$G$8:$G$42=""))+('Jul 21'!$G$8:$G$42=$T17)*0.5)*('Jul 21'!$AG$8:$AG$42="Delivered"))</f>
        <v>0</v>
      </c>
      <c r="AP17">
        <f>SUMPRODUCT((('Jul 22'!$F$8:$F$42=$T17)*(0.5+0.5*('Jul 22'!$G$8:$G$42=""))+('Jul 22'!$G$8:$G$42=$T17)*0.5)*('Jul 22'!$AG$8:$AG$42="Delivered"))</f>
        <v>0</v>
      </c>
      <c r="AQ17">
        <f>SUMPRODUCT((('Jul 23'!$F$8:$F$42=$T17)*(0.5+0.5*('Jul 23'!$G$8:$G$42=""))+('Jul 23'!$G$8:$G$42=$T17)*0.5)*('Jul 23'!$AG$8:$AG$42="Delivered"))</f>
        <v>0</v>
      </c>
      <c r="AR17">
        <f>SUMPRODUCT((('Jul 24'!$F$8:$F$42=$T17)*(0.5+0.5*('Jul 24'!$G$8:$G$42=""))+('Jul 24'!$G$8:$G$42=$T17)*0.5)*('Jul 24'!$AG$8:$AG$42="Delivered"))</f>
        <v>0</v>
      </c>
      <c r="AS17">
        <f>SUMPRODUCT((('Jul 25'!$F$8:$F$42=$T17)*(0.5+0.5*('Jul 25'!$G$8:$G$42=""))+('Jul 25'!$G$8:$G$42=$T17)*0.5)*('Jul 25'!$AG$8:$AG$42="Delivered"))</f>
        <v>0</v>
      </c>
      <c r="AT17">
        <f>SUMPRODUCT((('Jul 26'!$F$8:$F$42=$T17)*(0.5+0.5*('Jul 26'!$G$8:$G$42=""))+('Jul 26'!$G$8:$G$42=$T17)*0.5)*('Jul 26'!$AG$8:$AG$42="Delivered"))</f>
        <v>0</v>
      </c>
      <c r="AU17">
        <f>SUMPRODUCT((('Jul 27'!$F$8:$F$42=$T17)*(0.5+0.5*('Jul 27'!$G$8:$G$42=""))+('Jul 27'!$G$8:$G$42=$T17)*0.5)*('Jul 27'!$AG$8:$AG$42="Delivered"))</f>
        <v>0</v>
      </c>
      <c r="AV17">
        <f>SUMPRODUCT((('Jul 28'!$F$8:$F$42=$T17)*(0.5+0.5*('Jul 28'!$G$8:$G$42=""))+('Jul 28'!$G$8:$G$42=$T17)*0.5)*('Jul 28'!$AG$8:$AG$42="Delivered"))</f>
        <v>0</v>
      </c>
      <c r="AW17">
        <f>SUMPRODUCT((('Jul 29'!$F$8:$F$42=$T17)*(0.5+0.5*('Jul 29'!$G$8:$G$42=""))+('Jul 29'!$G$8:$G$42=$T17)*0.5)*('Jul 29'!$AG$8:$AG$42="Delivered"))</f>
        <v>0</v>
      </c>
      <c r="AX17">
        <f>SUMPRODUCT((('Jul 30'!$F$8:$F$42=$T17)*(0.5+0.5*('Jul 30'!$G$8:$G$42=""))+('Jul 30'!$G$8:$G$42=$T17)*0.5)*('Jul 30'!$AG$8:$AG$42="Delivered"))</f>
        <v>0</v>
      </c>
      <c r="AY17">
        <f>SUMPRODUCT((('Jul 31'!$F$8:$F$42=$T17)*(0.5+0.5*('Jul 31'!$G$8:$G$42=""))+('Jul 31'!$G$8:$G$42=$T17)*0.5)*('Jul 31'!$AG$8:$AG$42="Delivered"))</f>
        <v>0</v>
      </c>
      <c r="BA17">
        <f t="shared" si="0"/>
        <v>0</v>
      </c>
      <c r="BB17">
        <f>MATCH(BD17,'Pay Plan'!$C$6:$C$12,1)</f>
        <v>1</v>
      </c>
      <c r="BC17">
        <f>SUMPRODUCT(('Jul 1'!$F$8:$F$42=$T17)*('Jul 1'!$AG$8:$AG$42="Delivered")*(('Jul 1'!$AM$8:$AM$42="Y")+('Jul 1'!$AN$8:$AN$42="Y")+('Jul 1'!$AO$8:$AO$42="Y")))+SUMPRODUCT(('Jul 2'!$F$8:$F$42=$T17)*('Jul 2'!$AG$8:$AG$42="Delivered")*(('Jul 2'!$AM$8:$AM$42="Y")+('Jul 2'!$AN$8:$AN$42="Y")+('Jul 2'!$AO$8:$AO$42="Y")))+SUMPRODUCT(('Jul 3'!$F$8:$F$42=$T17)*('Jul 3'!$AG$8:$AG$42="Delivered")*(('Jul 3'!$AM$8:$AM$42="Y")+('Jul 3'!$AN$8:$AN$42="Y")+('Jul 3'!$AO$8:$AO$42="Y")))+SUMPRODUCT(('Jul 4'!$F$8:$F$42=$T17)*('Jul 4'!$AG$8:$AG$42="Delivered")*(('Jul 4'!$AM$8:$AM$42="Y")+('Jul 4'!$AN$8:$AN$42="Y")+('Jul 4'!$AO$8:$AO$42="Y")))+SUMPRODUCT(('Jul 5'!$F$8:$F$42=$T17)*('Jul 5'!$AG$8:$AG$42="Delivered")*(('Jul 5'!$AM$8:$AM$42="Y")+('Jul 5'!$AN$8:$AN$42="Y")+('Jul 5'!$AO$8:$AO$42="Y")))+SUMPRODUCT(('Jul 6'!$F$8:$F$42=$T17)*('Jul 6'!$AG$8:$AG$42="Delivered")*(('Jul 6'!$AM$8:$AM$42="Y")+('Jul 6'!$AN$8:$AN$42="Y")+('Jul 6'!$AO$8:$AO$42="Y")))+SUMPRODUCT(('Jul 7'!$F$8:$F$42=$T17)*('Jul 7'!$AG$8:$AG$42="Delivered")*(('Jul 7'!$AM$8:$AM$42="Y")+('Jul 7'!$AN$8:$AN$42="Y")+('Jul 7'!$AO$8:$AO$42="Y")))+SUMPRODUCT(('Jul 8'!$F$8:$F$42=$T17)*('Jul 8'!$AG$8:$AG$42="Delivered")*(('Jul 8'!$AM$8:$AM$42="Y")+('Jul 8'!$AN$8:$AN$42="Y")+('Jul 8'!$AO$8:$AO$42="Y")))+SUMPRODUCT(('Jul 9'!$F$8:$F$42=$T17)*('Jul 9'!$AG$8:$AG$42="Delivered")*(('Jul 9'!$AM$8:$AM$42="Y")+('Jul 9'!$AN$8:$AN$42="Y")+('Jul 9'!$AO$8:$AO$42="Y")))+SUMPRODUCT(('Jul 10'!$F$8:$F$42=$T17)*('Jul 10'!$AG$8:$AG$42="Delivered")*(('Jul 10'!$AM$8:$AM$42="Y")+('Jul 10'!$AN$8:$AN$42="Y")+('Jul 10'!$AO$8:$AO$42="Y")))+SUMPRODUCT(('Jul 11'!$F$8:$F$42=$T17)*('Jul 11'!$AG$8:$AG$42="Delivered")*(('Jul 11'!$AM$8:$AM$42="Y")+('Jul 11'!$AN$8:$AN$42="Y")+('Jul 11'!$AO$8:$AO$42="Y")))+SUMPRODUCT(('Jul 12'!$F$8:$F$42=$T17)*('Jul 12'!$AG$8:$AG$42="Delivered")*(('Jul 12'!$AM$8:$AM$42="Y")+('Jul 12'!$AN$8:$AN$42="Y")+('Jul 12'!$AO$8:$AO$42="Y")))+SUMPRODUCT(('Jul 13'!$F$8:$F$42=$T17)*('Jul 13'!$AG$8:$AG$42="Delivered")*(('Jul 13'!$AM$8:$AM$42="Y")+('Jul 13'!$AN$8:$AN$42="Y")+('Jul 13'!$AO$8:$AO$42="Y")))+SUMPRODUCT(('Jul 14'!$F$8:$F$42=$T17)*('Jul 14'!$AG$8:$AG$42="Delivered")*(('Jul 14'!$AM$8:$AM$42="Y")+('Jul 14'!$AN$8:$AN$42="Y")+('Jul 14'!$AO$8:$AO$42="Y")))+SUMPRODUCT(('Jul 15'!$F$8:$F$42=$T17)*('Jul 15'!$AG$8:$AG$42="Delivered")*(('Jul 15'!$AM$8:$AM$42="Y")+('Jul 15'!$AN$8:$AN$42="Y")+('Jul 15'!$AO$8:$AO$42="Y")))+SUMPRODUCT(('Jul 16'!$F$8:$F$42=$T17)*('Jul 16'!$AG$8:$AG$42="Delivered")*(('Jul 16'!$AM$8:$AM$42="Y")+('Jul 16'!$AN$8:$AN$42="Y")+('Jul 16'!$AO$8:$AO$42="Y")))+SUMPRODUCT(('Jul 17'!$F$8:$F$42=$T17)*('Jul 17'!$AG$8:$AG$42="Delivered")*(('Jul 17'!$AM$8:$AM$42="Y")+('Jul 17'!$AN$8:$AN$42="Y")+('Jul 17'!$AO$8:$AO$42="Y")))+SUMPRODUCT(('Jul 18'!$F$8:$F$42=$T17)*('Jul 18'!$AG$8:$AG$42="Delivered")*(('Jul 18'!$AM$8:$AM$42="Y")+('Jul 18'!$AN$8:$AN$42="Y")+('Jul 18'!$AO$8:$AO$42="Y")))+SUMPRODUCT(('Jul 19'!$F$8:$F$42=$T17)*('Jul 19'!$AG$8:$AG$42="Delivered")*(('Jul 19'!$AM$8:$AM$42="Y")+('Jul 19'!$AN$8:$AN$42="Y")+('Jul 19'!$AO$8:$AO$42="Y")))+SUMPRODUCT(('Jul 20'!$F$8:$F$42=$T17)*('Jul 20'!$AG$8:$AG$42="Delivered")*(('Jul 20'!$AM$8:$AM$42="Y")+('Jul 20'!$AN$8:$AN$42="Y")+('Jul 20'!$AO$8:$AO$42="Y")))+SUMPRODUCT(('Jul 21'!$F$8:$F$42=$T17)*('Jul 21'!$AG$8:$AG$42="Delivered")*(('Jul 21'!$AM$8:$AM$42="Y")+('Jul 21'!$AN$8:$AN$42="Y")+('Jul 21'!$AO$8:$AO$42="Y")))+SUMPRODUCT(('Jul 22'!$F$8:$F$42=$T17)*('Jul 22'!$AG$8:$AG$42="Delivered")*(('Jul 22'!$AM$8:$AM$42="Y")+('Jul 22'!$AN$8:$AN$42="Y")+('Jul 22'!$AO$8:$AO$42="Y")))+SUMPRODUCT(('Jul 23'!$F$8:$F$42=$T17)*('Jul 23'!$AG$8:$AG$42="Delivered")*(('Jul 23'!$AM$8:$AM$42="Y")+('Jul 23'!$AN$8:$AN$42="Y")+('Jul 23'!$AO$8:$AO$42="Y")))+SUMPRODUCT(('Jul 24'!$F$8:$F$42=$T17)*('Jul 24'!$AG$8:$AG$42="Delivered")*(('Jul 24'!$AM$8:$AM$42="Y")+('Jul 24'!$AN$8:$AN$42="Y")+('Jul 24'!$AO$8:$AO$42="Y")))+SUMPRODUCT(('Jul 25'!$F$8:$F$42=$T17)*('Jul 25'!$AG$8:$AG$42="Delivered")*(('Jul 25'!$AM$8:$AM$42="Y")+('Jul 25'!$AN$8:$AN$42="Y")+('Jul 25'!$AO$8:$AO$42="Y")))+SUMPRODUCT(('Jul 26'!$F$8:$F$42=$T17)*('Jul 26'!$AG$8:$AG$42="Delivered")*(('Jul 26'!$AM$8:$AM$42="Y")+('Jul 26'!$AN$8:$AN$42="Y")+('Jul 26'!$AO$8:$AO$42="Y")))+SUMPRODUCT(('Jul 27'!$F$8:$F$42=$T17)*('Jul 27'!$AG$8:$AG$42="Delivered")*(('Jul 27'!$AM$8:$AM$42="Y")+('Jul 27'!$AN$8:$AN$42="Y")+('Jul 27'!$AO$8:$AO$42="Y")))+SUMPRODUCT(('Jul 28'!$F$8:$F$42=$T17)*('Jul 28'!$AG$8:$AG$42="Delivered")*(('Jul 28'!$AM$8:$AM$42="Y")+('Jul 28'!$AN$8:$AN$42="Y")+('Jul 28'!$AO$8:$AO$42="Y")))+SUMPRODUCT(('Jul 29'!$F$8:$F$42=$T17)*('Jul 29'!$AG$8:$AG$42="Delivered")*(('Jul 29'!$AM$8:$AM$42="Y")+('Jul 29'!$AN$8:$AN$42="Y")+('Jul 29'!$AO$8:$AO$42="Y")))+SUMPRODUCT(('Jul 30'!$F$8:$F$42=$T17)*('Jul 30'!$AG$8:$AG$42="Delivered")*(('Jul 30'!$AM$8:$AM$42="Y")+('Jul 30'!$AN$8:$AN$42="Y")+('Jul 30'!$AO$8:$AO$42="Y")))+SUMPRODUCT(('Jul 31'!$F$8:$F$42=$T17)*('Jul 31'!$AG$8:$AG$42="Delivered")*(('Jul 31'!$AM$8:$AM$42="Y")+('Jul 31'!$AN$8:$AN$42="Y")+('Jul 31'!$AO$8:$AO$42="Y")))</f>
        <v>0</v>
      </c>
      <c r="BD17">
        <f t="shared" si="1"/>
        <v>0</v>
      </c>
      <c r="BE17">
        <f t="shared" si="2"/>
        <v>0</v>
      </c>
      <c r="BF17">
        <f t="shared" si="3"/>
        <v>0</v>
      </c>
    </row>
    <row r="18" spans="1:58" ht="14.45" customHeight="1" x14ac:dyDescent="0.25">
      <c r="A18" s="56">
        <v>12</v>
      </c>
      <c r="B18" s="57" t="str">
        <f t="shared" si="4"/>
        <v>JACOB LICHTENSTRAHL</v>
      </c>
      <c r="C18" s="58">
        <f t="shared" si="5"/>
        <v>0</v>
      </c>
      <c r="D18" s="59">
        <f t="shared" si="6"/>
        <v>0</v>
      </c>
      <c r="E18" s="59" t="str">
        <f t="shared" si="7"/>
        <v>—</v>
      </c>
      <c r="F18" s="56" t="str">
        <f>IF(BD15=0,"—",INDEX('Pay Plan'!$B$6:$B$12,BB15))</f>
        <v>—</v>
      </c>
      <c r="G18" s="59">
        <f t="shared" si="8"/>
        <v>0</v>
      </c>
      <c r="H18" s="59">
        <f>LOOKUP(BD15,'Pay Plan'!$B$15:$B$20,'Pay Plan'!$C$15:$C$20)</f>
        <v>0</v>
      </c>
      <c r="I18" s="59">
        <f>LOOKUP(BA15,'Pay Plan'!$E$15:$E$19,'Pay Plan'!$F$15:$F$19)</f>
        <v>0</v>
      </c>
      <c r="J18" s="59">
        <f>BC15*'Pay Plan'!$I$15</f>
        <v>0</v>
      </c>
      <c r="K18" s="131">
        <f t="shared" si="9"/>
        <v>0</v>
      </c>
      <c r="L18" s="111"/>
      <c r="M18" s="111"/>
      <c r="N18" s="55"/>
      <c r="O18" s="131">
        <f t="shared" si="10"/>
        <v>0</v>
      </c>
      <c r="P18" s="111"/>
      <c r="Q18" s="111"/>
      <c r="R18" s="111"/>
      <c r="T18" t="s">
        <v>104</v>
      </c>
      <c r="U18">
        <f>SUMPRODUCT((('Jul 1'!$F$8:$F$42=$T18)*(0.5+0.5*('Jul 1'!$G$8:$G$42=""))+('Jul 1'!$G$8:$G$42=$T18)*0.5)*('Jul 1'!$AG$8:$AG$42="Delivered"))</f>
        <v>0</v>
      </c>
      <c r="V18">
        <f>SUMPRODUCT((('Jul 2'!$F$8:$F$42=$T18)*(0.5+0.5*('Jul 2'!$G$8:$G$42=""))+('Jul 2'!$G$8:$G$42=$T18)*0.5)*('Jul 2'!$AG$8:$AG$42="Delivered"))</f>
        <v>0</v>
      </c>
      <c r="W18">
        <f>SUMPRODUCT((('Jul 3'!$F$8:$F$42=$T18)*(0.5+0.5*('Jul 3'!$G$8:$G$42=""))+('Jul 3'!$G$8:$G$42=$T18)*0.5)*('Jul 3'!$AG$8:$AG$42="Delivered"))</f>
        <v>0</v>
      </c>
      <c r="X18">
        <f>SUMPRODUCT((('Jul 4'!$F$8:$F$42=$T18)*(0.5+0.5*('Jul 4'!$G$8:$G$42=""))+('Jul 4'!$G$8:$G$42=$T18)*0.5)*('Jul 4'!$AG$8:$AG$42="Delivered"))</f>
        <v>0</v>
      </c>
      <c r="Y18">
        <f>SUMPRODUCT((('Jul 5'!$F$8:$F$42=$T18)*(0.5+0.5*('Jul 5'!$G$8:$G$42=""))+('Jul 5'!$G$8:$G$42=$T18)*0.5)*('Jul 5'!$AG$8:$AG$42="Delivered"))</f>
        <v>0</v>
      </c>
      <c r="Z18">
        <f>SUMPRODUCT((('Jul 6'!$F$8:$F$42=$T18)*(0.5+0.5*('Jul 6'!$G$8:$G$42=""))+('Jul 6'!$G$8:$G$42=$T18)*0.5)*('Jul 6'!$AG$8:$AG$42="Delivered"))</f>
        <v>0</v>
      </c>
      <c r="AA18">
        <f>SUMPRODUCT((('Jul 7'!$F$8:$F$42=$T18)*(0.5+0.5*('Jul 7'!$G$8:$G$42=""))+('Jul 7'!$G$8:$G$42=$T18)*0.5)*('Jul 7'!$AG$8:$AG$42="Delivered"))</f>
        <v>0</v>
      </c>
      <c r="AB18">
        <f>SUMPRODUCT((('Jul 8'!$F$8:$F$42=$T18)*(0.5+0.5*('Jul 8'!$G$8:$G$42=""))+('Jul 8'!$G$8:$G$42=$T18)*0.5)*('Jul 8'!$AG$8:$AG$42="Delivered"))</f>
        <v>0</v>
      </c>
      <c r="AC18">
        <f>SUMPRODUCT((('Jul 9'!$F$8:$F$42=$T18)*(0.5+0.5*('Jul 9'!$G$8:$G$42=""))+('Jul 9'!$G$8:$G$42=$T18)*0.5)*('Jul 9'!$AG$8:$AG$42="Delivered"))</f>
        <v>0</v>
      </c>
      <c r="AD18">
        <f>SUMPRODUCT((('Jul 10'!$F$8:$F$42=$T18)*(0.5+0.5*('Jul 10'!$G$8:$G$42=""))+('Jul 10'!$G$8:$G$42=$T18)*0.5)*('Jul 10'!$AG$8:$AG$42="Delivered"))</f>
        <v>0</v>
      </c>
      <c r="AE18">
        <f>SUMPRODUCT((('Jul 11'!$F$8:$F$42=$T18)*(0.5+0.5*('Jul 11'!$G$8:$G$42=""))+('Jul 11'!$G$8:$G$42=$T18)*0.5)*('Jul 11'!$AG$8:$AG$42="Delivered"))</f>
        <v>0</v>
      </c>
      <c r="AF18">
        <f>SUMPRODUCT((('Jul 12'!$F$8:$F$42=$T18)*(0.5+0.5*('Jul 12'!$G$8:$G$42=""))+('Jul 12'!$G$8:$G$42=$T18)*0.5)*('Jul 12'!$AG$8:$AG$42="Delivered"))</f>
        <v>0</v>
      </c>
      <c r="AG18">
        <f>SUMPRODUCT((('Jul 13'!$F$8:$F$42=$T18)*(0.5+0.5*('Jul 13'!$G$8:$G$42=""))+('Jul 13'!$G$8:$G$42=$T18)*0.5)*('Jul 13'!$AG$8:$AG$42="Delivered"))</f>
        <v>0</v>
      </c>
      <c r="AH18">
        <f>SUMPRODUCT((('Jul 14'!$F$8:$F$42=$T18)*(0.5+0.5*('Jul 14'!$G$8:$G$42=""))+('Jul 14'!$G$8:$G$42=$T18)*0.5)*('Jul 14'!$AG$8:$AG$42="Delivered"))</f>
        <v>0</v>
      </c>
      <c r="AI18">
        <f>SUMPRODUCT((('Jul 15'!$F$8:$F$42=$T18)*(0.5+0.5*('Jul 15'!$G$8:$G$42=""))+('Jul 15'!$G$8:$G$42=$T18)*0.5)*('Jul 15'!$AG$8:$AG$42="Delivered"))</f>
        <v>0</v>
      </c>
      <c r="AJ18">
        <f>SUMPRODUCT((('Jul 16'!$F$8:$F$42=$T18)*(0.5+0.5*('Jul 16'!$G$8:$G$42=""))+('Jul 16'!$G$8:$G$42=$T18)*0.5)*('Jul 16'!$AG$8:$AG$42="Delivered"))</f>
        <v>0</v>
      </c>
      <c r="AK18">
        <f>SUMPRODUCT((('Jul 17'!$F$8:$F$42=$T18)*(0.5+0.5*('Jul 17'!$G$8:$G$42=""))+('Jul 17'!$G$8:$G$42=$T18)*0.5)*('Jul 17'!$AG$8:$AG$42="Delivered"))</f>
        <v>0</v>
      </c>
      <c r="AL18">
        <f>SUMPRODUCT((('Jul 18'!$F$8:$F$42=$T18)*(0.5+0.5*('Jul 18'!$G$8:$G$42=""))+('Jul 18'!$G$8:$G$42=$T18)*0.5)*('Jul 18'!$AG$8:$AG$42="Delivered"))</f>
        <v>0</v>
      </c>
      <c r="AM18">
        <f>SUMPRODUCT((('Jul 19'!$F$8:$F$42=$T18)*(0.5+0.5*('Jul 19'!$G$8:$G$42=""))+('Jul 19'!$G$8:$G$42=$T18)*0.5)*('Jul 19'!$AG$8:$AG$42="Delivered"))</f>
        <v>0</v>
      </c>
      <c r="AN18">
        <f>SUMPRODUCT((('Jul 20'!$F$8:$F$42=$T18)*(0.5+0.5*('Jul 20'!$G$8:$G$42=""))+('Jul 20'!$G$8:$G$42=$T18)*0.5)*('Jul 20'!$AG$8:$AG$42="Delivered"))</f>
        <v>0</v>
      </c>
      <c r="AO18">
        <f>SUMPRODUCT((('Jul 21'!$F$8:$F$42=$T18)*(0.5+0.5*('Jul 21'!$G$8:$G$42=""))+('Jul 21'!$G$8:$G$42=$T18)*0.5)*('Jul 21'!$AG$8:$AG$42="Delivered"))</f>
        <v>0</v>
      </c>
      <c r="AP18">
        <f>SUMPRODUCT((('Jul 22'!$F$8:$F$42=$T18)*(0.5+0.5*('Jul 22'!$G$8:$G$42=""))+('Jul 22'!$G$8:$G$42=$T18)*0.5)*('Jul 22'!$AG$8:$AG$42="Delivered"))</f>
        <v>0</v>
      </c>
      <c r="AQ18">
        <f>SUMPRODUCT((('Jul 23'!$F$8:$F$42=$T18)*(0.5+0.5*('Jul 23'!$G$8:$G$42=""))+('Jul 23'!$G$8:$G$42=$T18)*0.5)*('Jul 23'!$AG$8:$AG$42="Delivered"))</f>
        <v>0</v>
      </c>
      <c r="AR18">
        <f>SUMPRODUCT((('Jul 24'!$F$8:$F$42=$T18)*(0.5+0.5*('Jul 24'!$G$8:$G$42=""))+('Jul 24'!$G$8:$G$42=$T18)*0.5)*('Jul 24'!$AG$8:$AG$42="Delivered"))</f>
        <v>0</v>
      </c>
      <c r="AS18">
        <f>SUMPRODUCT((('Jul 25'!$F$8:$F$42=$T18)*(0.5+0.5*('Jul 25'!$G$8:$G$42=""))+('Jul 25'!$G$8:$G$42=$T18)*0.5)*('Jul 25'!$AG$8:$AG$42="Delivered"))</f>
        <v>0</v>
      </c>
      <c r="AT18">
        <f>SUMPRODUCT((('Jul 26'!$F$8:$F$42=$T18)*(0.5+0.5*('Jul 26'!$G$8:$G$42=""))+('Jul 26'!$G$8:$G$42=$T18)*0.5)*('Jul 26'!$AG$8:$AG$42="Delivered"))</f>
        <v>0</v>
      </c>
      <c r="AU18">
        <f>SUMPRODUCT((('Jul 27'!$F$8:$F$42=$T18)*(0.5+0.5*('Jul 27'!$G$8:$G$42=""))+('Jul 27'!$G$8:$G$42=$T18)*0.5)*('Jul 27'!$AG$8:$AG$42="Delivered"))</f>
        <v>0</v>
      </c>
      <c r="AV18">
        <f>SUMPRODUCT((('Jul 28'!$F$8:$F$42=$T18)*(0.5+0.5*('Jul 28'!$G$8:$G$42=""))+('Jul 28'!$G$8:$G$42=$T18)*0.5)*('Jul 28'!$AG$8:$AG$42="Delivered"))</f>
        <v>0</v>
      </c>
      <c r="AW18">
        <f>SUMPRODUCT((('Jul 29'!$F$8:$F$42=$T18)*(0.5+0.5*('Jul 29'!$G$8:$G$42=""))+('Jul 29'!$G$8:$G$42=$T18)*0.5)*('Jul 29'!$AG$8:$AG$42="Delivered"))</f>
        <v>0</v>
      </c>
      <c r="AX18">
        <f>SUMPRODUCT((('Jul 30'!$F$8:$F$42=$T18)*(0.5+0.5*('Jul 30'!$G$8:$G$42=""))+('Jul 30'!$G$8:$G$42=$T18)*0.5)*('Jul 30'!$AG$8:$AG$42="Delivered"))</f>
        <v>0</v>
      </c>
      <c r="AY18">
        <f>SUMPRODUCT((('Jul 31'!$F$8:$F$42=$T18)*(0.5+0.5*('Jul 31'!$G$8:$G$42=""))+('Jul 31'!$G$8:$G$42=$T18)*0.5)*('Jul 31'!$AG$8:$AG$42="Delivered"))</f>
        <v>0</v>
      </c>
      <c r="BA18">
        <f t="shared" si="0"/>
        <v>0</v>
      </c>
      <c r="BB18">
        <f>MATCH(BD18,'Pay Plan'!$C$6:$C$12,1)</f>
        <v>1</v>
      </c>
      <c r="BC18">
        <f>SUMPRODUCT(('Jul 1'!$F$8:$F$42=$T18)*('Jul 1'!$AG$8:$AG$42="Delivered")*(('Jul 1'!$AM$8:$AM$42="Y")+('Jul 1'!$AN$8:$AN$42="Y")+('Jul 1'!$AO$8:$AO$42="Y")))+SUMPRODUCT(('Jul 2'!$F$8:$F$42=$T18)*('Jul 2'!$AG$8:$AG$42="Delivered")*(('Jul 2'!$AM$8:$AM$42="Y")+('Jul 2'!$AN$8:$AN$42="Y")+('Jul 2'!$AO$8:$AO$42="Y")))+SUMPRODUCT(('Jul 3'!$F$8:$F$42=$T18)*('Jul 3'!$AG$8:$AG$42="Delivered")*(('Jul 3'!$AM$8:$AM$42="Y")+('Jul 3'!$AN$8:$AN$42="Y")+('Jul 3'!$AO$8:$AO$42="Y")))+SUMPRODUCT(('Jul 4'!$F$8:$F$42=$T18)*('Jul 4'!$AG$8:$AG$42="Delivered")*(('Jul 4'!$AM$8:$AM$42="Y")+('Jul 4'!$AN$8:$AN$42="Y")+('Jul 4'!$AO$8:$AO$42="Y")))+SUMPRODUCT(('Jul 5'!$F$8:$F$42=$T18)*('Jul 5'!$AG$8:$AG$42="Delivered")*(('Jul 5'!$AM$8:$AM$42="Y")+('Jul 5'!$AN$8:$AN$42="Y")+('Jul 5'!$AO$8:$AO$42="Y")))+SUMPRODUCT(('Jul 6'!$F$8:$F$42=$T18)*('Jul 6'!$AG$8:$AG$42="Delivered")*(('Jul 6'!$AM$8:$AM$42="Y")+('Jul 6'!$AN$8:$AN$42="Y")+('Jul 6'!$AO$8:$AO$42="Y")))+SUMPRODUCT(('Jul 7'!$F$8:$F$42=$T18)*('Jul 7'!$AG$8:$AG$42="Delivered")*(('Jul 7'!$AM$8:$AM$42="Y")+('Jul 7'!$AN$8:$AN$42="Y")+('Jul 7'!$AO$8:$AO$42="Y")))+SUMPRODUCT(('Jul 8'!$F$8:$F$42=$T18)*('Jul 8'!$AG$8:$AG$42="Delivered")*(('Jul 8'!$AM$8:$AM$42="Y")+('Jul 8'!$AN$8:$AN$42="Y")+('Jul 8'!$AO$8:$AO$42="Y")))+SUMPRODUCT(('Jul 9'!$F$8:$F$42=$T18)*('Jul 9'!$AG$8:$AG$42="Delivered")*(('Jul 9'!$AM$8:$AM$42="Y")+('Jul 9'!$AN$8:$AN$42="Y")+('Jul 9'!$AO$8:$AO$42="Y")))+SUMPRODUCT(('Jul 10'!$F$8:$F$42=$T18)*('Jul 10'!$AG$8:$AG$42="Delivered")*(('Jul 10'!$AM$8:$AM$42="Y")+('Jul 10'!$AN$8:$AN$42="Y")+('Jul 10'!$AO$8:$AO$42="Y")))+SUMPRODUCT(('Jul 11'!$F$8:$F$42=$T18)*('Jul 11'!$AG$8:$AG$42="Delivered")*(('Jul 11'!$AM$8:$AM$42="Y")+('Jul 11'!$AN$8:$AN$42="Y")+('Jul 11'!$AO$8:$AO$42="Y")))+SUMPRODUCT(('Jul 12'!$F$8:$F$42=$T18)*('Jul 12'!$AG$8:$AG$42="Delivered")*(('Jul 12'!$AM$8:$AM$42="Y")+('Jul 12'!$AN$8:$AN$42="Y")+('Jul 12'!$AO$8:$AO$42="Y")))+SUMPRODUCT(('Jul 13'!$F$8:$F$42=$T18)*('Jul 13'!$AG$8:$AG$42="Delivered")*(('Jul 13'!$AM$8:$AM$42="Y")+('Jul 13'!$AN$8:$AN$42="Y")+('Jul 13'!$AO$8:$AO$42="Y")))+SUMPRODUCT(('Jul 14'!$F$8:$F$42=$T18)*('Jul 14'!$AG$8:$AG$42="Delivered")*(('Jul 14'!$AM$8:$AM$42="Y")+('Jul 14'!$AN$8:$AN$42="Y")+('Jul 14'!$AO$8:$AO$42="Y")))+SUMPRODUCT(('Jul 15'!$F$8:$F$42=$T18)*('Jul 15'!$AG$8:$AG$42="Delivered")*(('Jul 15'!$AM$8:$AM$42="Y")+('Jul 15'!$AN$8:$AN$42="Y")+('Jul 15'!$AO$8:$AO$42="Y")))+SUMPRODUCT(('Jul 16'!$F$8:$F$42=$T18)*('Jul 16'!$AG$8:$AG$42="Delivered")*(('Jul 16'!$AM$8:$AM$42="Y")+('Jul 16'!$AN$8:$AN$42="Y")+('Jul 16'!$AO$8:$AO$42="Y")))+SUMPRODUCT(('Jul 17'!$F$8:$F$42=$T18)*('Jul 17'!$AG$8:$AG$42="Delivered")*(('Jul 17'!$AM$8:$AM$42="Y")+('Jul 17'!$AN$8:$AN$42="Y")+('Jul 17'!$AO$8:$AO$42="Y")))+SUMPRODUCT(('Jul 18'!$F$8:$F$42=$T18)*('Jul 18'!$AG$8:$AG$42="Delivered")*(('Jul 18'!$AM$8:$AM$42="Y")+('Jul 18'!$AN$8:$AN$42="Y")+('Jul 18'!$AO$8:$AO$42="Y")))+SUMPRODUCT(('Jul 19'!$F$8:$F$42=$T18)*('Jul 19'!$AG$8:$AG$42="Delivered")*(('Jul 19'!$AM$8:$AM$42="Y")+('Jul 19'!$AN$8:$AN$42="Y")+('Jul 19'!$AO$8:$AO$42="Y")))+SUMPRODUCT(('Jul 20'!$F$8:$F$42=$T18)*('Jul 20'!$AG$8:$AG$42="Delivered")*(('Jul 20'!$AM$8:$AM$42="Y")+('Jul 20'!$AN$8:$AN$42="Y")+('Jul 20'!$AO$8:$AO$42="Y")))+SUMPRODUCT(('Jul 21'!$F$8:$F$42=$T18)*('Jul 21'!$AG$8:$AG$42="Delivered")*(('Jul 21'!$AM$8:$AM$42="Y")+('Jul 21'!$AN$8:$AN$42="Y")+('Jul 21'!$AO$8:$AO$42="Y")))+SUMPRODUCT(('Jul 22'!$F$8:$F$42=$T18)*('Jul 22'!$AG$8:$AG$42="Delivered")*(('Jul 22'!$AM$8:$AM$42="Y")+('Jul 22'!$AN$8:$AN$42="Y")+('Jul 22'!$AO$8:$AO$42="Y")))+SUMPRODUCT(('Jul 23'!$F$8:$F$42=$T18)*('Jul 23'!$AG$8:$AG$42="Delivered")*(('Jul 23'!$AM$8:$AM$42="Y")+('Jul 23'!$AN$8:$AN$42="Y")+('Jul 23'!$AO$8:$AO$42="Y")))+SUMPRODUCT(('Jul 24'!$F$8:$F$42=$T18)*('Jul 24'!$AG$8:$AG$42="Delivered")*(('Jul 24'!$AM$8:$AM$42="Y")+('Jul 24'!$AN$8:$AN$42="Y")+('Jul 24'!$AO$8:$AO$42="Y")))+SUMPRODUCT(('Jul 25'!$F$8:$F$42=$T18)*('Jul 25'!$AG$8:$AG$42="Delivered")*(('Jul 25'!$AM$8:$AM$42="Y")+('Jul 25'!$AN$8:$AN$42="Y")+('Jul 25'!$AO$8:$AO$42="Y")))+SUMPRODUCT(('Jul 26'!$F$8:$F$42=$T18)*('Jul 26'!$AG$8:$AG$42="Delivered")*(('Jul 26'!$AM$8:$AM$42="Y")+('Jul 26'!$AN$8:$AN$42="Y")+('Jul 26'!$AO$8:$AO$42="Y")))+SUMPRODUCT(('Jul 27'!$F$8:$F$42=$T18)*('Jul 27'!$AG$8:$AG$42="Delivered")*(('Jul 27'!$AM$8:$AM$42="Y")+('Jul 27'!$AN$8:$AN$42="Y")+('Jul 27'!$AO$8:$AO$42="Y")))+SUMPRODUCT(('Jul 28'!$F$8:$F$42=$T18)*('Jul 28'!$AG$8:$AG$42="Delivered")*(('Jul 28'!$AM$8:$AM$42="Y")+('Jul 28'!$AN$8:$AN$42="Y")+('Jul 28'!$AO$8:$AO$42="Y")))+SUMPRODUCT(('Jul 29'!$F$8:$F$42=$T18)*('Jul 29'!$AG$8:$AG$42="Delivered")*(('Jul 29'!$AM$8:$AM$42="Y")+('Jul 29'!$AN$8:$AN$42="Y")+('Jul 29'!$AO$8:$AO$42="Y")))+SUMPRODUCT(('Jul 30'!$F$8:$F$42=$T18)*('Jul 30'!$AG$8:$AG$42="Delivered")*(('Jul 30'!$AM$8:$AM$42="Y")+('Jul 30'!$AN$8:$AN$42="Y")+('Jul 30'!$AO$8:$AO$42="Y")))+SUMPRODUCT(('Jul 31'!$F$8:$F$42=$T18)*('Jul 31'!$AG$8:$AG$42="Delivered")*(('Jul 31'!$AM$8:$AM$42="Y")+('Jul 31'!$AN$8:$AN$42="Y")+('Jul 31'!$AO$8:$AO$42="Y")))</f>
        <v>0</v>
      </c>
      <c r="BD18">
        <f t="shared" si="1"/>
        <v>0</v>
      </c>
      <c r="BE18">
        <f t="shared" si="2"/>
        <v>0</v>
      </c>
      <c r="BF18">
        <f t="shared" si="3"/>
        <v>0</v>
      </c>
    </row>
    <row r="19" spans="1:58" ht="14.45" customHeight="1" x14ac:dyDescent="0.25">
      <c r="A19" s="51">
        <v>13</v>
      </c>
      <c r="B19" s="52" t="str">
        <f t="shared" si="4"/>
        <v>BRAYDON JOHNSON</v>
      </c>
      <c r="C19" s="53">
        <f t="shared" si="5"/>
        <v>0</v>
      </c>
      <c r="D19" s="54">
        <f t="shared" si="6"/>
        <v>0</v>
      </c>
      <c r="E19" s="54" t="str">
        <f t="shared" si="7"/>
        <v>—</v>
      </c>
      <c r="F19" s="51" t="str">
        <f>IF(BD16=0,"—",INDEX('Pay Plan'!$B$6:$B$12,BB16))</f>
        <v>—</v>
      </c>
      <c r="G19" s="54">
        <f t="shared" si="8"/>
        <v>0</v>
      </c>
      <c r="H19" s="54">
        <f>LOOKUP(BD16,'Pay Plan'!$B$15:$B$20,'Pay Plan'!$C$15:$C$20)</f>
        <v>0</v>
      </c>
      <c r="I19" s="54">
        <f>LOOKUP(BA16,'Pay Plan'!$E$15:$E$19,'Pay Plan'!$F$15:$F$19)</f>
        <v>0</v>
      </c>
      <c r="J19" s="54">
        <f>BC16*'Pay Plan'!$I$15</f>
        <v>0</v>
      </c>
      <c r="K19" s="130">
        <f t="shared" si="9"/>
        <v>0</v>
      </c>
      <c r="L19" s="111"/>
      <c r="M19" s="111"/>
      <c r="N19" s="55"/>
      <c r="O19" s="130">
        <f t="shared" si="10"/>
        <v>0</v>
      </c>
      <c r="P19" s="111"/>
      <c r="Q19" s="111"/>
      <c r="R19" s="111"/>
      <c r="T19" t="s">
        <v>105</v>
      </c>
      <c r="U19">
        <f>SUMPRODUCT((('Jul 1'!$F$8:$F$42=$T19)*(0.5+0.5*('Jul 1'!$G$8:$G$42=""))+('Jul 1'!$G$8:$G$42=$T19)*0.5)*('Jul 1'!$AG$8:$AG$42="Delivered"))</f>
        <v>0</v>
      </c>
      <c r="V19">
        <f>SUMPRODUCT((('Jul 2'!$F$8:$F$42=$T19)*(0.5+0.5*('Jul 2'!$G$8:$G$42=""))+('Jul 2'!$G$8:$G$42=$T19)*0.5)*('Jul 2'!$AG$8:$AG$42="Delivered"))</f>
        <v>0</v>
      </c>
      <c r="W19">
        <f>SUMPRODUCT((('Jul 3'!$F$8:$F$42=$T19)*(0.5+0.5*('Jul 3'!$G$8:$G$42=""))+('Jul 3'!$G$8:$G$42=$T19)*0.5)*('Jul 3'!$AG$8:$AG$42="Delivered"))</f>
        <v>0</v>
      </c>
      <c r="X19">
        <f>SUMPRODUCT((('Jul 4'!$F$8:$F$42=$T19)*(0.5+0.5*('Jul 4'!$G$8:$G$42=""))+('Jul 4'!$G$8:$G$42=$T19)*0.5)*('Jul 4'!$AG$8:$AG$42="Delivered"))</f>
        <v>0</v>
      </c>
      <c r="Y19">
        <f>SUMPRODUCT((('Jul 5'!$F$8:$F$42=$T19)*(0.5+0.5*('Jul 5'!$G$8:$G$42=""))+('Jul 5'!$G$8:$G$42=$T19)*0.5)*('Jul 5'!$AG$8:$AG$42="Delivered"))</f>
        <v>0</v>
      </c>
      <c r="Z19">
        <f>SUMPRODUCT((('Jul 6'!$F$8:$F$42=$T19)*(0.5+0.5*('Jul 6'!$G$8:$G$42=""))+('Jul 6'!$G$8:$G$42=$T19)*0.5)*('Jul 6'!$AG$8:$AG$42="Delivered"))</f>
        <v>0</v>
      </c>
      <c r="AA19">
        <f>SUMPRODUCT((('Jul 7'!$F$8:$F$42=$T19)*(0.5+0.5*('Jul 7'!$G$8:$G$42=""))+('Jul 7'!$G$8:$G$42=$T19)*0.5)*('Jul 7'!$AG$8:$AG$42="Delivered"))</f>
        <v>0</v>
      </c>
      <c r="AB19">
        <f>SUMPRODUCT((('Jul 8'!$F$8:$F$42=$T19)*(0.5+0.5*('Jul 8'!$G$8:$G$42=""))+('Jul 8'!$G$8:$G$42=$T19)*0.5)*('Jul 8'!$AG$8:$AG$42="Delivered"))</f>
        <v>0</v>
      </c>
      <c r="AC19">
        <f>SUMPRODUCT((('Jul 9'!$F$8:$F$42=$T19)*(0.5+0.5*('Jul 9'!$G$8:$G$42=""))+('Jul 9'!$G$8:$G$42=$T19)*0.5)*('Jul 9'!$AG$8:$AG$42="Delivered"))</f>
        <v>0</v>
      </c>
      <c r="AD19">
        <f>SUMPRODUCT((('Jul 10'!$F$8:$F$42=$T19)*(0.5+0.5*('Jul 10'!$G$8:$G$42=""))+('Jul 10'!$G$8:$G$42=$T19)*0.5)*('Jul 10'!$AG$8:$AG$42="Delivered"))</f>
        <v>0</v>
      </c>
      <c r="AE19">
        <f>SUMPRODUCT((('Jul 11'!$F$8:$F$42=$T19)*(0.5+0.5*('Jul 11'!$G$8:$G$42=""))+('Jul 11'!$G$8:$G$42=$T19)*0.5)*('Jul 11'!$AG$8:$AG$42="Delivered"))</f>
        <v>0</v>
      </c>
      <c r="AF19">
        <f>SUMPRODUCT((('Jul 12'!$F$8:$F$42=$T19)*(0.5+0.5*('Jul 12'!$G$8:$G$42=""))+('Jul 12'!$G$8:$G$42=$T19)*0.5)*('Jul 12'!$AG$8:$AG$42="Delivered"))</f>
        <v>0</v>
      </c>
      <c r="AG19">
        <f>SUMPRODUCT((('Jul 13'!$F$8:$F$42=$T19)*(0.5+0.5*('Jul 13'!$G$8:$G$42=""))+('Jul 13'!$G$8:$G$42=$T19)*0.5)*('Jul 13'!$AG$8:$AG$42="Delivered"))</f>
        <v>0</v>
      </c>
      <c r="AH19">
        <f>SUMPRODUCT((('Jul 14'!$F$8:$F$42=$T19)*(0.5+0.5*('Jul 14'!$G$8:$G$42=""))+('Jul 14'!$G$8:$G$42=$T19)*0.5)*('Jul 14'!$AG$8:$AG$42="Delivered"))</f>
        <v>0</v>
      </c>
      <c r="AI19">
        <f>SUMPRODUCT((('Jul 15'!$F$8:$F$42=$T19)*(0.5+0.5*('Jul 15'!$G$8:$G$42=""))+('Jul 15'!$G$8:$G$42=$T19)*0.5)*('Jul 15'!$AG$8:$AG$42="Delivered"))</f>
        <v>0</v>
      </c>
      <c r="AJ19">
        <f>SUMPRODUCT((('Jul 16'!$F$8:$F$42=$T19)*(0.5+0.5*('Jul 16'!$G$8:$G$42=""))+('Jul 16'!$G$8:$G$42=$T19)*0.5)*('Jul 16'!$AG$8:$AG$42="Delivered"))</f>
        <v>0</v>
      </c>
      <c r="AK19">
        <f>SUMPRODUCT((('Jul 17'!$F$8:$F$42=$T19)*(0.5+0.5*('Jul 17'!$G$8:$G$42=""))+('Jul 17'!$G$8:$G$42=$T19)*0.5)*('Jul 17'!$AG$8:$AG$42="Delivered"))</f>
        <v>0</v>
      </c>
      <c r="AL19">
        <f>SUMPRODUCT((('Jul 18'!$F$8:$F$42=$T19)*(0.5+0.5*('Jul 18'!$G$8:$G$42=""))+('Jul 18'!$G$8:$G$42=$T19)*0.5)*('Jul 18'!$AG$8:$AG$42="Delivered"))</f>
        <v>0</v>
      </c>
      <c r="AM19">
        <f>SUMPRODUCT((('Jul 19'!$F$8:$F$42=$T19)*(0.5+0.5*('Jul 19'!$G$8:$G$42=""))+('Jul 19'!$G$8:$G$42=$T19)*0.5)*('Jul 19'!$AG$8:$AG$42="Delivered"))</f>
        <v>0</v>
      </c>
      <c r="AN19">
        <f>SUMPRODUCT((('Jul 20'!$F$8:$F$42=$T19)*(0.5+0.5*('Jul 20'!$G$8:$G$42=""))+('Jul 20'!$G$8:$G$42=$T19)*0.5)*('Jul 20'!$AG$8:$AG$42="Delivered"))</f>
        <v>0</v>
      </c>
      <c r="AO19">
        <f>SUMPRODUCT((('Jul 21'!$F$8:$F$42=$T19)*(0.5+0.5*('Jul 21'!$G$8:$G$42=""))+('Jul 21'!$G$8:$G$42=$T19)*0.5)*('Jul 21'!$AG$8:$AG$42="Delivered"))</f>
        <v>0</v>
      </c>
      <c r="AP19">
        <f>SUMPRODUCT((('Jul 22'!$F$8:$F$42=$T19)*(0.5+0.5*('Jul 22'!$G$8:$G$42=""))+('Jul 22'!$G$8:$G$42=$T19)*0.5)*('Jul 22'!$AG$8:$AG$42="Delivered"))</f>
        <v>0</v>
      </c>
      <c r="AQ19">
        <f>SUMPRODUCT((('Jul 23'!$F$8:$F$42=$T19)*(0.5+0.5*('Jul 23'!$G$8:$G$42=""))+('Jul 23'!$G$8:$G$42=$T19)*0.5)*('Jul 23'!$AG$8:$AG$42="Delivered"))</f>
        <v>0</v>
      </c>
      <c r="AR19">
        <f>SUMPRODUCT((('Jul 24'!$F$8:$F$42=$T19)*(0.5+0.5*('Jul 24'!$G$8:$G$42=""))+('Jul 24'!$G$8:$G$42=$T19)*0.5)*('Jul 24'!$AG$8:$AG$42="Delivered"))</f>
        <v>0</v>
      </c>
      <c r="AS19">
        <f>SUMPRODUCT((('Jul 25'!$F$8:$F$42=$T19)*(0.5+0.5*('Jul 25'!$G$8:$G$42=""))+('Jul 25'!$G$8:$G$42=$T19)*0.5)*('Jul 25'!$AG$8:$AG$42="Delivered"))</f>
        <v>0</v>
      </c>
      <c r="AT19">
        <f>SUMPRODUCT((('Jul 26'!$F$8:$F$42=$T19)*(0.5+0.5*('Jul 26'!$G$8:$G$42=""))+('Jul 26'!$G$8:$G$42=$T19)*0.5)*('Jul 26'!$AG$8:$AG$42="Delivered"))</f>
        <v>0</v>
      </c>
      <c r="AU19">
        <f>SUMPRODUCT((('Jul 27'!$F$8:$F$42=$T19)*(0.5+0.5*('Jul 27'!$G$8:$G$42=""))+('Jul 27'!$G$8:$G$42=$T19)*0.5)*('Jul 27'!$AG$8:$AG$42="Delivered"))</f>
        <v>0</v>
      </c>
      <c r="AV19">
        <f>SUMPRODUCT((('Jul 28'!$F$8:$F$42=$T19)*(0.5+0.5*('Jul 28'!$G$8:$G$42=""))+('Jul 28'!$G$8:$G$42=$T19)*0.5)*('Jul 28'!$AG$8:$AG$42="Delivered"))</f>
        <v>0</v>
      </c>
      <c r="AW19">
        <f>SUMPRODUCT((('Jul 29'!$F$8:$F$42=$T19)*(0.5+0.5*('Jul 29'!$G$8:$G$42=""))+('Jul 29'!$G$8:$G$42=$T19)*0.5)*('Jul 29'!$AG$8:$AG$42="Delivered"))</f>
        <v>0</v>
      </c>
      <c r="AX19">
        <f>SUMPRODUCT((('Jul 30'!$F$8:$F$42=$T19)*(0.5+0.5*('Jul 30'!$G$8:$G$42=""))+('Jul 30'!$G$8:$G$42=$T19)*0.5)*('Jul 30'!$AG$8:$AG$42="Delivered"))</f>
        <v>0</v>
      </c>
      <c r="AY19">
        <f>SUMPRODUCT((('Jul 31'!$F$8:$F$42=$T19)*(0.5+0.5*('Jul 31'!$G$8:$G$42=""))+('Jul 31'!$G$8:$G$42=$T19)*0.5)*('Jul 31'!$AG$8:$AG$42="Delivered"))</f>
        <v>0</v>
      </c>
      <c r="BA19">
        <f t="shared" si="0"/>
        <v>0</v>
      </c>
      <c r="BB19">
        <f>MATCH(BD19,'Pay Plan'!$C$6:$C$12,1)</f>
        <v>1</v>
      </c>
      <c r="BC19">
        <f>SUMPRODUCT(('Jul 1'!$F$8:$F$42=$T19)*('Jul 1'!$AG$8:$AG$42="Delivered")*(('Jul 1'!$AM$8:$AM$42="Y")+('Jul 1'!$AN$8:$AN$42="Y")+('Jul 1'!$AO$8:$AO$42="Y")))+SUMPRODUCT(('Jul 2'!$F$8:$F$42=$T19)*('Jul 2'!$AG$8:$AG$42="Delivered")*(('Jul 2'!$AM$8:$AM$42="Y")+('Jul 2'!$AN$8:$AN$42="Y")+('Jul 2'!$AO$8:$AO$42="Y")))+SUMPRODUCT(('Jul 3'!$F$8:$F$42=$T19)*('Jul 3'!$AG$8:$AG$42="Delivered")*(('Jul 3'!$AM$8:$AM$42="Y")+('Jul 3'!$AN$8:$AN$42="Y")+('Jul 3'!$AO$8:$AO$42="Y")))+SUMPRODUCT(('Jul 4'!$F$8:$F$42=$T19)*('Jul 4'!$AG$8:$AG$42="Delivered")*(('Jul 4'!$AM$8:$AM$42="Y")+('Jul 4'!$AN$8:$AN$42="Y")+('Jul 4'!$AO$8:$AO$42="Y")))+SUMPRODUCT(('Jul 5'!$F$8:$F$42=$T19)*('Jul 5'!$AG$8:$AG$42="Delivered")*(('Jul 5'!$AM$8:$AM$42="Y")+('Jul 5'!$AN$8:$AN$42="Y")+('Jul 5'!$AO$8:$AO$42="Y")))+SUMPRODUCT(('Jul 6'!$F$8:$F$42=$T19)*('Jul 6'!$AG$8:$AG$42="Delivered")*(('Jul 6'!$AM$8:$AM$42="Y")+('Jul 6'!$AN$8:$AN$42="Y")+('Jul 6'!$AO$8:$AO$42="Y")))+SUMPRODUCT(('Jul 7'!$F$8:$F$42=$T19)*('Jul 7'!$AG$8:$AG$42="Delivered")*(('Jul 7'!$AM$8:$AM$42="Y")+('Jul 7'!$AN$8:$AN$42="Y")+('Jul 7'!$AO$8:$AO$42="Y")))+SUMPRODUCT(('Jul 8'!$F$8:$F$42=$T19)*('Jul 8'!$AG$8:$AG$42="Delivered")*(('Jul 8'!$AM$8:$AM$42="Y")+('Jul 8'!$AN$8:$AN$42="Y")+('Jul 8'!$AO$8:$AO$42="Y")))+SUMPRODUCT(('Jul 9'!$F$8:$F$42=$T19)*('Jul 9'!$AG$8:$AG$42="Delivered")*(('Jul 9'!$AM$8:$AM$42="Y")+('Jul 9'!$AN$8:$AN$42="Y")+('Jul 9'!$AO$8:$AO$42="Y")))+SUMPRODUCT(('Jul 10'!$F$8:$F$42=$T19)*('Jul 10'!$AG$8:$AG$42="Delivered")*(('Jul 10'!$AM$8:$AM$42="Y")+('Jul 10'!$AN$8:$AN$42="Y")+('Jul 10'!$AO$8:$AO$42="Y")))+SUMPRODUCT(('Jul 11'!$F$8:$F$42=$T19)*('Jul 11'!$AG$8:$AG$42="Delivered")*(('Jul 11'!$AM$8:$AM$42="Y")+('Jul 11'!$AN$8:$AN$42="Y")+('Jul 11'!$AO$8:$AO$42="Y")))+SUMPRODUCT(('Jul 12'!$F$8:$F$42=$T19)*('Jul 12'!$AG$8:$AG$42="Delivered")*(('Jul 12'!$AM$8:$AM$42="Y")+('Jul 12'!$AN$8:$AN$42="Y")+('Jul 12'!$AO$8:$AO$42="Y")))+SUMPRODUCT(('Jul 13'!$F$8:$F$42=$T19)*('Jul 13'!$AG$8:$AG$42="Delivered")*(('Jul 13'!$AM$8:$AM$42="Y")+('Jul 13'!$AN$8:$AN$42="Y")+('Jul 13'!$AO$8:$AO$42="Y")))+SUMPRODUCT(('Jul 14'!$F$8:$F$42=$T19)*('Jul 14'!$AG$8:$AG$42="Delivered")*(('Jul 14'!$AM$8:$AM$42="Y")+('Jul 14'!$AN$8:$AN$42="Y")+('Jul 14'!$AO$8:$AO$42="Y")))+SUMPRODUCT(('Jul 15'!$F$8:$F$42=$T19)*('Jul 15'!$AG$8:$AG$42="Delivered")*(('Jul 15'!$AM$8:$AM$42="Y")+('Jul 15'!$AN$8:$AN$42="Y")+('Jul 15'!$AO$8:$AO$42="Y")))+SUMPRODUCT(('Jul 16'!$F$8:$F$42=$T19)*('Jul 16'!$AG$8:$AG$42="Delivered")*(('Jul 16'!$AM$8:$AM$42="Y")+('Jul 16'!$AN$8:$AN$42="Y")+('Jul 16'!$AO$8:$AO$42="Y")))+SUMPRODUCT(('Jul 17'!$F$8:$F$42=$T19)*('Jul 17'!$AG$8:$AG$42="Delivered")*(('Jul 17'!$AM$8:$AM$42="Y")+('Jul 17'!$AN$8:$AN$42="Y")+('Jul 17'!$AO$8:$AO$42="Y")))+SUMPRODUCT(('Jul 18'!$F$8:$F$42=$T19)*('Jul 18'!$AG$8:$AG$42="Delivered")*(('Jul 18'!$AM$8:$AM$42="Y")+('Jul 18'!$AN$8:$AN$42="Y")+('Jul 18'!$AO$8:$AO$42="Y")))+SUMPRODUCT(('Jul 19'!$F$8:$F$42=$T19)*('Jul 19'!$AG$8:$AG$42="Delivered")*(('Jul 19'!$AM$8:$AM$42="Y")+('Jul 19'!$AN$8:$AN$42="Y")+('Jul 19'!$AO$8:$AO$42="Y")))+SUMPRODUCT(('Jul 20'!$F$8:$F$42=$T19)*('Jul 20'!$AG$8:$AG$42="Delivered")*(('Jul 20'!$AM$8:$AM$42="Y")+('Jul 20'!$AN$8:$AN$42="Y")+('Jul 20'!$AO$8:$AO$42="Y")))+SUMPRODUCT(('Jul 21'!$F$8:$F$42=$T19)*('Jul 21'!$AG$8:$AG$42="Delivered")*(('Jul 21'!$AM$8:$AM$42="Y")+('Jul 21'!$AN$8:$AN$42="Y")+('Jul 21'!$AO$8:$AO$42="Y")))+SUMPRODUCT(('Jul 22'!$F$8:$F$42=$T19)*('Jul 22'!$AG$8:$AG$42="Delivered")*(('Jul 22'!$AM$8:$AM$42="Y")+('Jul 22'!$AN$8:$AN$42="Y")+('Jul 22'!$AO$8:$AO$42="Y")))+SUMPRODUCT(('Jul 23'!$F$8:$F$42=$T19)*('Jul 23'!$AG$8:$AG$42="Delivered")*(('Jul 23'!$AM$8:$AM$42="Y")+('Jul 23'!$AN$8:$AN$42="Y")+('Jul 23'!$AO$8:$AO$42="Y")))+SUMPRODUCT(('Jul 24'!$F$8:$F$42=$T19)*('Jul 24'!$AG$8:$AG$42="Delivered")*(('Jul 24'!$AM$8:$AM$42="Y")+('Jul 24'!$AN$8:$AN$42="Y")+('Jul 24'!$AO$8:$AO$42="Y")))+SUMPRODUCT(('Jul 25'!$F$8:$F$42=$T19)*('Jul 25'!$AG$8:$AG$42="Delivered")*(('Jul 25'!$AM$8:$AM$42="Y")+('Jul 25'!$AN$8:$AN$42="Y")+('Jul 25'!$AO$8:$AO$42="Y")))+SUMPRODUCT(('Jul 26'!$F$8:$F$42=$T19)*('Jul 26'!$AG$8:$AG$42="Delivered")*(('Jul 26'!$AM$8:$AM$42="Y")+('Jul 26'!$AN$8:$AN$42="Y")+('Jul 26'!$AO$8:$AO$42="Y")))+SUMPRODUCT(('Jul 27'!$F$8:$F$42=$T19)*('Jul 27'!$AG$8:$AG$42="Delivered")*(('Jul 27'!$AM$8:$AM$42="Y")+('Jul 27'!$AN$8:$AN$42="Y")+('Jul 27'!$AO$8:$AO$42="Y")))+SUMPRODUCT(('Jul 28'!$F$8:$F$42=$T19)*('Jul 28'!$AG$8:$AG$42="Delivered")*(('Jul 28'!$AM$8:$AM$42="Y")+('Jul 28'!$AN$8:$AN$42="Y")+('Jul 28'!$AO$8:$AO$42="Y")))+SUMPRODUCT(('Jul 29'!$F$8:$F$42=$T19)*('Jul 29'!$AG$8:$AG$42="Delivered")*(('Jul 29'!$AM$8:$AM$42="Y")+('Jul 29'!$AN$8:$AN$42="Y")+('Jul 29'!$AO$8:$AO$42="Y")))+SUMPRODUCT(('Jul 30'!$F$8:$F$42=$T19)*('Jul 30'!$AG$8:$AG$42="Delivered")*(('Jul 30'!$AM$8:$AM$42="Y")+('Jul 30'!$AN$8:$AN$42="Y")+('Jul 30'!$AO$8:$AO$42="Y")))+SUMPRODUCT(('Jul 31'!$F$8:$F$42=$T19)*('Jul 31'!$AG$8:$AG$42="Delivered")*(('Jul 31'!$AM$8:$AM$42="Y")+('Jul 31'!$AN$8:$AN$42="Y")+('Jul 31'!$AO$8:$AO$42="Y")))</f>
        <v>0</v>
      </c>
      <c r="BD19">
        <f t="shared" si="1"/>
        <v>0</v>
      </c>
      <c r="BE19">
        <f t="shared" si="2"/>
        <v>0</v>
      </c>
      <c r="BF19">
        <f t="shared" si="3"/>
        <v>0</v>
      </c>
    </row>
    <row r="20" spans="1:58" ht="14.45" customHeight="1" x14ac:dyDescent="0.25">
      <c r="A20" s="56">
        <v>14</v>
      </c>
      <c r="B20" s="57" t="str">
        <f t="shared" si="4"/>
        <v>CHRIS HORNE</v>
      </c>
      <c r="C20" s="58">
        <f t="shared" si="5"/>
        <v>0</v>
      </c>
      <c r="D20" s="59">
        <f t="shared" si="6"/>
        <v>0</v>
      </c>
      <c r="E20" s="59" t="str">
        <f t="shared" si="7"/>
        <v>—</v>
      </c>
      <c r="F20" s="56" t="str">
        <f>IF(BD17=0,"—",INDEX('Pay Plan'!$B$6:$B$12,BB17))</f>
        <v>—</v>
      </c>
      <c r="G20" s="59">
        <f t="shared" si="8"/>
        <v>0</v>
      </c>
      <c r="H20" s="59">
        <f>LOOKUP(BD17,'Pay Plan'!$B$15:$B$20,'Pay Plan'!$C$15:$C$20)</f>
        <v>0</v>
      </c>
      <c r="I20" s="59">
        <f>LOOKUP(BA17,'Pay Plan'!$E$15:$E$19,'Pay Plan'!$F$15:$F$19)</f>
        <v>0</v>
      </c>
      <c r="J20" s="59">
        <f>BC17*'Pay Plan'!$I$15</f>
        <v>0</v>
      </c>
      <c r="K20" s="131">
        <f t="shared" si="9"/>
        <v>0</v>
      </c>
      <c r="L20" s="111"/>
      <c r="M20" s="111"/>
      <c r="N20" s="55"/>
      <c r="O20" s="131">
        <f t="shared" si="10"/>
        <v>0</v>
      </c>
      <c r="P20" s="111"/>
      <c r="Q20" s="111"/>
      <c r="R20" s="111"/>
    </row>
    <row r="21" spans="1:58" ht="14.45" customHeight="1" x14ac:dyDescent="0.25">
      <c r="A21" s="51">
        <v>15</v>
      </c>
      <c r="B21" s="52" t="str">
        <f t="shared" si="4"/>
        <v>TIM CAMPBELL</v>
      </c>
      <c r="C21" s="53">
        <f t="shared" si="5"/>
        <v>0</v>
      </c>
      <c r="D21" s="54">
        <f t="shared" si="6"/>
        <v>0</v>
      </c>
      <c r="E21" s="54" t="str">
        <f t="shared" si="7"/>
        <v>—</v>
      </c>
      <c r="F21" s="51" t="str">
        <f>IF(BD18=0,"—",INDEX('Pay Plan'!$B$6:$B$12,BB18))</f>
        <v>—</v>
      </c>
      <c r="G21" s="54">
        <f t="shared" si="8"/>
        <v>0</v>
      </c>
      <c r="H21" s="54">
        <f>LOOKUP(BD18,'Pay Plan'!$B$15:$B$20,'Pay Plan'!$C$15:$C$20)</f>
        <v>0</v>
      </c>
      <c r="I21" s="54">
        <f>LOOKUP(BA18,'Pay Plan'!$E$15:$E$19,'Pay Plan'!$F$15:$F$19)</f>
        <v>0</v>
      </c>
      <c r="J21" s="54">
        <f>BC18*'Pay Plan'!$I$15</f>
        <v>0</v>
      </c>
      <c r="K21" s="130">
        <f t="shared" si="9"/>
        <v>0</v>
      </c>
      <c r="L21" s="111"/>
      <c r="M21" s="111"/>
      <c r="N21" s="55"/>
      <c r="O21" s="130">
        <f t="shared" si="10"/>
        <v>0</v>
      </c>
      <c r="P21" s="111"/>
      <c r="Q21" s="111"/>
      <c r="R21" s="111"/>
    </row>
    <row r="22" spans="1:58" ht="14.45" customHeight="1" x14ac:dyDescent="0.25">
      <c r="A22" s="56">
        <v>16</v>
      </c>
      <c r="B22" s="57" t="str">
        <f t="shared" si="4"/>
        <v>BILL RISKO</v>
      </c>
      <c r="C22" s="58">
        <f t="shared" si="5"/>
        <v>0</v>
      </c>
      <c r="D22" s="59">
        <f t="shared" si="6"/>
        <v>0</v>
      </c>
      <c r="E22" s="59" t="str">
        <f t="shared" si="7"/>
        <v>—</v>
      </c>
      <c r="F22" s="56" t="str">
        <f>IF(BD19=0,"—",INDEX('Pay Plan'!$B$6:$B$12,BB19))</f>
        <v>—</v>
      </c>
      <c r="G22" s="59">
        <f t="shared" si="8"/>
        <v>0</v>
      </c>
      <c r="H22" s="59">
        <f>LOOKUP(BD19,'Pay Plan'!$B$15:$B$20,'Pay Plan'!$C$15:$C$20)</f>
        <v>0</v>
      </c>
      <c r="I22" s="59">
        <f>LOOKUP(BA19,'Pay Plan'!$E$15:$E$19,'Pay Plan'!$F$15:$F$19)</f>
        <v>0</v>
      </c>
      <c r="J22" s="59">
        <f>BC19*'Pay Plan'!$I$15</f>
        <v>0</v>
      </c>
      <c r="K22" s="131">
        <f t="shared" si="9"/>
        <v>0</v>
      </c>
      <c r="L22" s="111"/>
      <c r="M22" s="111"/>
      <c r="N22" s="55"/>
      <c r="O22" s="131">
        <f t="shared" si="10"/>
        <v>0</v>
      </c>
      <c r="P22" s="111"/>
      <c r="Q22" s="111"/>
      <c r="R22" s="111"/>
    </row>
    <row r="23" spans="1:58" ht="15.95" customHeight="1" x14ac:dyDescent="0.25">
      <c r="A23" s="60"/>
      <c r="B23" s="61" t="s">
        <v>106</v>
      </c>
      <c r="C23" s="62">
        <f>SUM(C7:C22)</f>
        <v>0</v>
      </c>
      <c r="D23" s="63">
        <f>SUM(D7:D22)</f>
        <v>0</v>
      </c>
      <c r="E23" s="60"/>
      <c r="F23" s="60"/>
      <c r="G23" s="63">
        <f>SUM(G7:G22)</f>
        <v>0</v>
      </c>
      <c r="H23" s="63">
        <f>SUM(H7:H22)</f>
        <v>0</v>
      </c>
      <c r="I23" s="63">
        <f>SUM(I7:I22)</f>
        <v>0</v>
      </c>
      <c r="J23" s="63">
        <f>SUM(J7:J22)</f>
        <v>0</v>
      </c>
      <c r="K23" s="132">
        <f>SUM(K7:K22)</f>
        <v>0</v>
      </c>
      <c r="L23" s="133"/>
      <c r="M23" s="133"/>
      <c r="N23" s="63">
        <f>SUM(N7:N22)</f>
        <v>0</v>
      </c>
      <c r="O23" s="132">
        <f>SUM(O7:O22)</f>
        <v>0</v>
      </c>
      <c r="P23" s="133"/>
      <c r="Q23" s="133"/>
      <c r="R23" s="133"/>
      <c r="U23">
        <f>SUMPRODUCT((('Jul 1'!$F$8:$F$42=$T4)*(0.5+0.5*('Jul 1'!$G$8:$G$42=""))+('Jul 1'!$G$8:$G$42=$T4)*0.5)*('Jul 1'!$AG$8:$AG$42="Delivered")*('Jul 1'!$Q$8:$Q$42+'Jul 1'!$R$8:$R$42))</f>
        <v>0</v>
      </c>
      <c r="V23">
        <f>SUMPRODUCT((('Jul 2'!$F$8:$F$42=$T4)*(0.5+0.5*('Jul 2'!$G$8:$G$42=""))+('Jul 2'!$G$8:$G$42=$T4)*0.5)*('Jul 2'!$AG$8:$AG$42="Delivered")*('Jul 2'!$Q$8:$Q$42+'Jul 2'!$R$8:$R$42))</f>
        <v>0</v>
      </c>
      <c r="W23">
        <f>SUMPRODUCT((('Jul 3'!$F$8:$F$42=$T4)*(0.5+0.5*('Jul 3'!$G$8:$G$42=""))+('Jul 3'!$G$8:$G$42=$T4)*0.5)*('Jul 3'!$AG$8:$AG$42="Delivered")*('Jul 3'!$Q$8:$Q$42+'Jul 3'!$R$8:$R$42))</f>
        <v>0</v>
      </c>
      <c r="X23">
        <f>SUMPRODUCT((('Jul 4'!$F$8:$F$42=$T4)*(0.5+0.5*('Jul 4'!$G$8:$G$42=""))+('Jul 4'!$G$8:$G$42=$T4)*0.5)*('Jul 4'!$AG$8:$AG$42="Delivered")*('Jul 4'!$Q$8:$Q$42+'Jul 4'!$R$8:$R$42))</f>
        <v>0</v>
      </c>
      <c r="Y23">
        <f>SUMPRODUCT((('Jul 5'!$F$8:$F$42=$T4)*(0.5+0.5*('Jul 5'!$G$8:$G$42=""))+('Jul 5'!$G$8:$G$42=$T4)*0.5)*('Jul 5'!$AG$8:$AG$42="Delivered")*('Jul 5'!$Q$8:$Q$42+'Jul 5'!$R$8:$R$42))</f>
        <v>0</v>
      </c>
      <c r="Z23">
        <f>SUMPRODUCT((('Jul 6'!$F$8:$F$42=$T4)*(0.5+0.5*('Jul 6'!$G$8:$G$42=""))+('Jul 6'!$G$8:$G$42=$T4)*0.5)*('Jul 6'!$AG$8:$AG$42="Delivered")*('Jul 6'!$Q$8:$Q$42+'Jul 6'!$R$8:$R$42))</f>
        <v>0</v>
      </c>
      <c r="AA23">
        <f>SUMPRODUCT((('Jul 7'!$F$8:$F$42=$T4)*(0.5+0.5*('Jul 7'!$G$8:$G$42=""))+('Jul 7'!$G$8:$G$42=$T4)*0.5)*('Jul 7'!$AG$8:$AG$42="Delivered")*('Jul 7'!$Q$8:$Q$42+'Jul 7'!$R$8:$R$42))</f>
        <v>0</v>
      </c>
      <c r="AB23">
        <f>SUMPRODUCT((('Jul 8'!$F$8:$F$42=$T4)*(0.5+0.5*('Jul 8'!$G$8:$G$42=""))+('Jul 8'!$G$8:$G$42=$T4)*0.5)*('Jul 8'!$AG$8:$AG$42="Delivered")*('Jul 8'!$Q$8:$Q$42+'Jul 8'!$R$8:$R$42))</f>
        <v>0</v>
      </c>
      <c r="AC23">
        <f>SUMPRODUCT((('Jul 9'!$F$8:$F$42=$T4)*(0.5+0.5*('Jul 9'!$G$8:$G$42=""))+('Jul 9'!$G$8:$G$42=$T4)*0.5)*('Jul 9'!$AG$8:$AG$42="Delivered")*('Jul 9'!$Q$8:$Q$42+'Jul 9'!$R$8:$R$42))</f>
        <v>0</v>
      </c>
      <c r="AD23">
        <f>SUMPRODUCT((('Jul 10'!$F$8:$F$42=$T4)*(0.5+0.5*('Jul 10'!$G$8:$G$42=""))+('Jul 10'!$G$8:$G$42=$T4)*0.5)*('Jul 10'!$AG$8:$AG$42="Delivered")*('Jul 10'!$Q$8:$Q$42+'Jul 10'!$R$8:$R$42))</f>
        <v>0</v>
      </c>
      <c r="AE23">
        <f>SUMPRODUCT((('Jul 11'!$F$8:$F$42=$T4)*(0.5+0.5*('Jul 11'!$G$8:$G$42=""))+('Jul 11'!$G$8:$G$42=$T4)*0.5)*('Jul 11'!$AG$8:$AG$42="Delivered")*('Jul 11'!$Q$8:$Q$42+'Jul 11'!$R$8:$R$42))</f>
        <v>0</v>
      </c>
      <c r="AF23">
        <f>SUMPRODUCT((('Jul 12'!$F$8:$F$42=$T4)*(0.5+0.5*('Jul 12'!$G$8:$G$42=""))+('Jul 12'!$G$8:$G$42=$T4)*0.5)*('Jul 12'!$AG$8:$AG$42="Delivered")*('Jul 12'!$Q$8:$Q$42+'Jul 12'!$R$8:$R$42))</f>
        <v>0</v>
      </c>
      <c r="AG23">
        <f>SUMPRODUCT((('Jul 13'!$F$8:$F$42=$T4)*(0.5+0.5*('Jul 13'!$G$8:$G$42=""))+('Jul 13'!$G$8:$G$42=$T4)*0.5)*('Jul 13'!$AG$8:$AG$42="Delivered")*('Jul 13'!$Q$8:$Q$42+'Jul 13'!$R$8:$R$42))</f>
        <v>0</v>
      </c>
      <c r="AH23">
        <f>SUMPRODUCT((('Jul 14'!$F$8:$F$42=$T4)*(0.5+0.5*('Jul 14'!$G$8:$G$42=""))+('Jul 14'!$G$8:$G$42=$T4)*0.5)*('Jul 14'!$AG$8:$AG$42="Delivered")*('Jul 14'!$Q$8:$Q$42+'Jul 14'!$R$8:$R$42))</f>
        <v>0</v>
      </c>
      <c r="AI23">
        <f>SUMPRODUCT((('Jul 15'!$F$8:$F$42=$T4)*(0.5+0.5*('Jul 15'!$G$8:$G$42=""))+('Jul 15'!$G$8:$G$42=$T4)*0.5)*('Jul 15'!$AG$8:$AG$42="Delivered")*('Jul 15'!$Q$8:$Q$42+'Jul 15'!$R$8:$R$42))</f>
        <v>0</v>
      </c>
      <c r="AJ23">
        <f>SUMPRODUCT((('Jul 16'!$F$8:$F$42=$T4)*(0.5+0.5*('Jul 16'!$G$8:$G$42=""))+('Jul 16'!$G$8:$G$42=$T4)*0.5)*('Jul 16'!$AG$8:$AG$42="Delivered")*('Jul 16'!$Q$8:$Q$42+'Jul 16'!$R$8:$R$42))</f>
        <v>0</v>
      </c>
      <c r="AK23">
        <f>SUMPRODUCT((('Jul 17'!$F$8:$F$42=$T4)*(0.5+0.5*('Jul 17'!$G$8:$G$42=""))+('Jul 17'!$G$8:$G$42=$T4)*0.5)*('Jul 17'!$AG$8:$AG$42="Delivered")*('Jul 17'!$Q$8:$Q$42+'Jul 17'!$R$8:$R$42))</f>
        <v>0</v>
      </c>
      <c r="AL23">
        <f>SUMPRODUCT((('Jul 18'!$F$8:$F$42=$T4)*(0.5+0.5*('Jul 18'!$G$8:$G$42=""))+('Jul 18'!$G$8:$G$42=$T4)*0.5)*('Jul 18'!$AG$8:$AG$42="Delivered")*('Jul 18'!$Q$8:$Q$42+'Jul 18'!$R$8:$R$42))</f>
        <v>0</v>
      </c>
      <c r="AM23">
        <f>SUMPRODUCT((('Jul 19'!$F$8:$F$42=$T4)*(0.5+0.5*('Jul 19'!$G$8:$G$42=""))+('Jul 19'!$G$8:$G$42=$T4)*0.5)*('Jul 19'!$AG$8:$AG$42="Delivered")*('Jul 19'!$Q$8:$Q$42+'Jul 19'!$R$8:$R$42))</f>
        <v>0</v>
      </c>
      <c r="AN23">
        <f>SUMPRODUCT((('Jul 20'!$F$8:$F$42=$T4)*(0.5+0.5*('Jul 20'!$G$8:$G$42=""))+('Jul 20'!$G$8:$G$42=$T4)*0.5)*('Jul 20'!$AG$8:$AG$42="Delivered")*('Jul 20'!$Q$8:$Q$42+'Jul 20'!$R$8:$R$42))</f>
        <v>0</v>
      </c>
      <c r="AO23">
        <f>SUMPRODUCT((('Jul 21'!$F$8:$F$42=$T4)*(0.5+0.5*('Jul 21'!$G$8:$G$42=""))+('Jul 21'!$G$8:$G$42=$T4)*0.5)*('Jul 21'!$AG$8:$AG$42="Delivered")*('Jul 21'!$Q$8:$Q$42+'Jul 21'!$R$8:$R$42))</f>
        <v>0</v>
      </c>
      <c r="AP23">
        <f>SUMPRODUCT((('Jul 22'!$F$8:$F$42=$T4)*(0.5+0.5*('Jul 22'!$G$8:$G$42=""))+('Jul 22'!$G$8:$G$42=$T4)*0.5)*('Jul 22'!$AG$8:$AG$42="Delivered")*('Jul 22'!$Q$8:$Q$42+'Jul 22'!$R$8:$R$42))</f>
        <v>0</v>
      </c>
      <c r="AQ23">
        <f>SUMPRODUCT((('Jul 23'!$F$8:$F$42=$T4)*(0.5+0.5*('Jul 23'!$G$8:$G$42=""))+('Jul 23'!$G$8:$G$42=$T4)*0.5)*('Jul 23'!$AG$8:$AG$42="Delivered")*('Jul 23'!$Q$8:$Q$42+'Jul 23'!$R$8:$R$42))</f>
        <v>0</v>
      </c>
      <c r="AR23">
        <f>SUMPRODUCT((('Jul 24'!$F$8:$F$42=$T4)*(0.5+0.5*('Jul 24'!$G$8:$G$42=""))+('Jul 24'!$G$8:$G$42=$T4)*0.5)*('Jul 24'!$AG$8:$AG$42="Delivered")*('Jul 24'!$Q$8:$Q$42+'Jul 24'!$R$8:$R$42))</f>
        <v>0</v>
      </c>
      <c r="AS23">
        <f>SUMPRODUCT((('Jul 25'!$F$8:$F$42=$T4)*(0.5+0.5*('Jul 25'!$G$8:$G$42=""))+('Jul 25'!$G$8:$G$42=$T4)*0.5)*('Jul 25'!$AG$8:$AG$42="Delivered")*('Jul 25'!$Q$8:$Q$42+'Jul 25'!$R$8:$R$42))</f>
        <v>0</v>
      </c>
      <c r="AT23">
        <f>SUMPRODUCT((('Jul 26'!$F$8:$F$42=$T4)*(0.5+0.5*('Jul 26'!$G$8:$G$42=""))+('Jul 26'!$G$8:$G$42=$T4)*0.5)*('Jul 26'!$AG$8:$AG$42="Delivered")*('Jul 26'!$Q$8:$Q$42+'Jul 26'!$R$8:$R$42))</f>
        <v>0</v>
      </c>
      <c r="AU23">
        <f>SUMPRODUCT((('Jul 27'!$F$8:$F$42=$T4)*(0.5+0.5*('Jul 27'!$G$8:$G$42=""))+('Jul 27'!$G$8:$G$42=$T4)*0.5)*('Jul 27'!$AG$8:$AG$42="Delivered")*('Jul 27'!$Q$8:$Q$42+'Jul 27'!$R$8:$R$42))</f>
        <v>0</v>
      </c>
      <c r="AV23">
        <f>SUMPRODUCT((('Jul 28'!$F$8:$F$42=$T4)*(0.5+0.5*('Jul 28'!$G$8:$G$42=""))+('Jul 28'!$G$8:$G$42=$T4)*0.5)*('Jul 28'!$AG$8:$AG$42="Delivered")*('Jul 28'!$Q$8:$Q$42+'Jul 28'!$R$8:$R$42))</f>
        <v>0</v>
      </c>
      <c r="AW23">
        <f>SUMPRODUCT((('Jul 29'!$F$8:$F$42=$T4)*(0.5+0.5*('Jul 29'!$G$8:$G$42=""))+('Jul 29'!$G$8:$G$42=$T4)*0.5)*('Jul 29'!$AG$8:$AG$42="Delivered")*('Jul 29'!$Q$8:$Q$42+'Jul 29'!$R$8:$R$42))</f>
        <v>0</v>
      </c>
      <c r="AX23">
        <f>SUMPRODUCT((('Jul 30'!$F$8:$F$42=$T4)*(0.5+0.5*('Jul 30'!$G$8:$G$42=""))+('Jul 30'!$G$8:$G$42=$T4)*0.5)*('Jul 30'!$AG$8:$AG$42="Delivered")*('Jul 30'!$Q$8:$Q$42+'Jul 30'!$R$8:$R$42))</f>
        <v>0</v>
      </c>
      <c r="AY23">
        <f>SUMPRODUCT((('Jul 31'!$F$8:$F$42=$T4)*(0.5+0.5*('Jul 31'!$G$8:$G$42=""))+('Jul 31'!$G$8:$G$42=$T4)*0.5)*('Jul 31'!$AG$8:$AG$42="Delivered")*('Jul 31'!$Q$8:$Q$42+'Jul 31'!$R$8:$R$42))</f>
        <v>0</v>
      </c>
    </row>
    <row r="24" spans="1:58" x14ac:dyDescent="0.25">
      <c r="U24">
        <f>SUMPRODUCT((('Jul 1'!$F$8:$F$42=$T5)*(0.5+0.5*('Jul 1'!$G$8:$G$42=""))+('Jul 1'!$G$8:$G$42=$T5)*0.5)*('Jul 1'!$AG$8:$AG$42="Delivered")*('Jul 1'!$Q$8:$Q$42+'Jul 1'!$R$8:$R$42))</f>
        <v>0</v>
      </c>
      <c r="V24">
        <f>SUMPRODUCT((('Jul 2'!$F$8:$F$42=$T5)*(0.5+0.5*('Jul 2'!$G$8:$G$42=""))+('Jul 2'!$G$8:$G$42=$T5)*0.5)*('Jul 2'!$AG$8:$AG$42="Delivered")*('Jul 2'!$Q$8:$Q$42+'Jul 2'!$R$8:$R$42))</f>
        <v>0</v>
      </c>
      <c r="W24">
        <f>SUMPRODUCT((('Jul 3'!$F$8:$F$42=$T5)*(0.5+0.5*('Jul 3'!$G$8:$G$42=""))+('Jul 3'!$G$8:$G$42=$T5)*0.5)*('Jul 3'!$AG$8:$AG$42="Delivered")*('Jul 3'!$Q$8:$Q$42+'Jul 3'!$R$8:$R$42))</f>
        <v>0</v>
      </c>
      <c r="X24">
        <f>SUMPRODUCT((('Jul 4'!$F$8:$F$42=$T5)*(0.5+0.5*('Jul 4'!$G$8:$G$42=""))+('Jul 4'!$G$8:$G$42=$T5)*0.5)*('Jul 4'!$AG$8:$AG$42="Delivered")*('Jul 4'!$Q$8:$Q$42+'Jul 4'!$R$8:$R$42))</f>
        <v>0</v>
      </c>
      <c r="Y24">
        <f>SUMPRODUCT((('Jul 5'!$F$8:$F$42=$T5)*(0.5+0.5*('Jul 5'!$G$8:$G$42=""))+('Jul 5'!$G$8:$G$42=$T5)*0.5)*('Jul 5'!$AG$8:$AG$42="Delivered")*('Jul 5'!$Q$8:$Q$42+'Jul 5'!$R$8:$R$42))</f>
        <v>0</v>
      </c>
      <c r="Z24">
        <f>SUMPRODUCT((('Jul 6'!$F$8:$F$42=$T5)*(0.5+0.5*('Jul 6'!$G$8:$G$42=""))+('Jul 6'!$G$8:$G$42=$T5)*0.5)*('Jul 6'!$AG$8:$AG$42="Delivered")*('Jul 6'!$Q$8:$Q$42+'Jul 6'!$R$8:$R$42))</f>
        <v>0</v>
      </c>
      <c r="AA24">
        <f>SUMPRODUCT((('Jul 7'!$F$8:$F$42=$T5)*(0.5+0.5*('Jul 7'!$G$8:$G$42=""))+('Jul 7'!$G$8:$G$42=$T5)*0.5)*('Jul 7'!$AG$8:$AG$42="Delivered")*('Jul 7'!$Q$8:$Q$42+'Jul 7'!$R$8:$R$42))</f>
        <v>0</v>
      </c>
      <c r="AB24">
        <f>SUMPRODUCT((('Jul 8'!$F$8:$F$42=$T5)*(0.5+0.5*('Jul 8'!$G$8:$G$42=""))+('Jul 8'!$G$8:$G$42=$T5)*0.5)*('Jul 8'!$AG$8:$AG$42="Delivered")*('Jul 8'!$Q$8:$Q$42+'Jul 8'!$R$8:$R$42))</f>
        <v>0</v>
      </c>
      <c r="AC24">
        <f>SUMPRODUCT((('Jul 9'!$F$8:$F$42=$T5)*(0.5+0.5*('Jul 9'!$G$8:$G$42=""))+('Jul 9'!$G$8:$G$42=$T5)*0.5)*('Jul 9'!$AG$8:$AG$42="Delivered")*('Jul 9'!$Q$8:$Q$42+'Jul 9'!$R$8:$R$42))</f>
        <v>0</v>
      </c>
      <c r="AD24">
        <f>SUMPRODUCT((('Jul 10'!$F$8:$F$42=$T5)*(0.5+0.5*('Jul 10'!$G$8:$G$42=""))+('Jul 10'!$G$8:$G$42=$T5)*0.5)*('Jul 10'!$AG$8:$AG$42="Delivered")*('Jul 10'!$Q$8:$Q$42+'Jul 10'!$R$8:$R$42))</f>
        <v>0</v>
      </c>
      <c r="AE24">
        <f>SUMPRODUCT((('Jul 11'!$F$8:$F$42=$T5)*(0.5+0.5*('Jul 11'!$G$8:$G$42=""))+('Jul 11'!$G$8:$G$42=$T5)*0.5)*('Jul 11'!$AG$8:$AG$42="Delivered")*('Jul 11'!$Q$8:$Q$42+'Jul 11'!$R$8:$R$42))</f>
        <v>0</v>
      </c>
      <c r="AF24">
        <f>SUMPRODUCT((('Jul 12'!$F$8:$F$42=$T5)*(0.5+0.5*('Jul 12'!$G$8:$G$42=""))+('Jul 12'!$G$8:$G$42=$T5)*0.5)*('Jul 12'!$AG$8:$AG$42="Delivered")*('Jul 12'!$Q$8:$Q$42+'Jul 12'!$R$8:$R$42))</f>
        <v>0</v>
      </c>
      <c r="AG24">
        <f>SUMPRODUCT((('Jul 13'!$F$8:$F$42=$T5)*(0.5+0.5*('Jul 13'!$G$8:$G$42=""))+('Jul 13'!$G$8:$G$42=$T5)*0.5)*('Jul 13'!$AG$8:$AG$42="Delivered")*('Jul 13'!$Q$8:$Q$42+'Jul 13'!$R$8:$R$42))</f>
        <v>0</v>
      </c>
      <c r="AH24">
        <f>SUMPRODUCT((('Jul 14'!$F$8:$F$42=$T5)*(0.5+0.5*('Jul 14'!$G$8:$G$42=""))+('Jul 14'!$G$8:$G$42=$T5)*0.5)*('Jul 14'!$AG$8:$AG$42="Delivered")*('Jul 14'!$Q$8:$Q$42+'Jul 14'!$R$8:$R$42))</f>
        <v>0</v>
      </c>
      <c r="AI24">
        <f>SUMPRODUCT((('Jul 15'!$F$8:$F$42=$T5)*(0.5+0.5*('Jul 15'!$G$8:$G$42=""))+('Jul 15'!$G$8:$G$42=$T5)*0.5)*('Jul 15'!$AG$8:$AG$42="Delivered")*('Jul 15'!$Q$8:$Q$42+'Jul 15'!$R$8:$R$42))</f>
        <v>0</v>
      </c>
      <c r="AJ24">
        <f>SUMPRODUCT((('Jul 16'!$F$8:$F$42=$T5)*(0.5+0.5*('Jul 16'!$G$8:$G$42=""))+('Jul 16'!$G$8:$G$42=$T5)*0.5)*('Jul 16'!$AG$8:$AG$42="Delivered")*('Jul 16'!$Q$8:$Q$42+'Jul 16'!$R$8:$R$42))</f>
        <v>0</v>
      </c>
      <c r="AK24">
        <f>SUMPRODUCT((('Jul 17'!$F$8:$F$42=$T5)*(0.5+0.5*('Jul 17'!$G$8:$G$42=""))+('Jul 17'!$G$8:$G$42=$T5)*0.5)*('Jul 17'!$AG$8:$AG$42="Delivered")*('Jul 17'!$Q$8:$Q$42+'Jul 17'!$R$8:$R$42))</f>
        <v>0</v>
      </c>
      <c r="AL24">
        <f>SUMPRODUCT((('Jul 18'!$F$8:$F$42=$T5)*(0.5+0.5*('Jul 18'!$G$8:$G$42=""))+('Jul 18'!$G$8:$G$42=$T5)*0.5)*('Jul 18'!$AG$8:$AG$42="Delivered")*('Jul 18'!$Q$8:$Q$42+'Jul 18'!$R$8:$R$42))</f>
        <v>0</v>
      </c>
      <c r="AM24">
        <f>SUMPRODUCT((('Jul 19'!$F$8:$F$42=$T5)*(0.5+0.5*('Jul 19'!$G$8:$G$42=""))+('Jul 19'!$G$8:$G$42=$T5)*0.5)*('Jul 19'!$AG$8:$AG$42="Delivered")*('Jul 19'!$Q$8:$Q$42+'Jul 19'!$R$8:$R$42))</f>
        <v>0</v>
      </c>
      <c r="AN24">
        <f>SUMPRODUCT((('Jul 20'!$F$8:$F$42=$T5)*(0.5+0.5*('Jul 20'!$G$8:$G$42=""))+('Jul 20'!$G$8:$G$42=$T5)*0.5)*('Jul 20'!$AG$8:$AG$42="Delivered")*('Jul 20'!$Q$8:$Q$42+'Jul 20'!$R$8:$R$42))</f>
        <v>0</v>
      </c>
      <c r="AO24">
        <f>SUMPRODUCT((('Jul 21'!$F$8:$F$42=$T5)*(0.5+0.5*('Jul 21'!$G$8:$G$42=""))+('Jul 21'!$G$8:$G$42=$T5)*0.5)*('Jul 21'!$AG$8:$AG$42="Delivered")*('Jul 21'!$Q$8:$Q$42+'Jul 21'!$R$8:$R$42))</f>
        <v>0</v>
      </c>
      <c r="AP24">
        <f>SUMPRODUCT((('Jul 22'!$F$8:$F$42=$T5)*(0.5+0.5*('Jul 22'!$G$8:$G$42=""))+('Jul 22'!$G$8:$G$42=$T5)*0.5)*('Jul 22'!$AG$8:$AG$42="Delivered")*('Jul 22'!$Q$8:$Q$42+'Jul 22'!$R$8:$R$42))</f>
        <v>0</v>
      </c>
      <c r="AQ24">
        <f>SUMPRODUCT((('Jul 23'!$F$8:$F$42=$T5)*(0.5+0.5*('Jul 23'!$G$8:$G$42=""))+('Jul 23'!$G$8:$G$42=$T5)*0.5)*('Jul 23'!$AG$8:$AG$42="Delivered")*('Jul 23'!$Q$8:$Q$42+'Jul 23'!$R$8:$R$42))</f>
        <v>0</v>
      </c>
      <c r="AR24">
        <f>SUMPRODUCT((('Jul 24'!$F$8:$F$42=$T5)*(0.5+0.5*('Jul 24'!$G$8:$G$42=""))+('Jul 24'!$G$8:$G$42=$T5)*0.5)*('Jul 24'!$AG$8:$AG$42="Delivered")*('Jul 24'!$Q$8:$Q$42+'Jul 24'!$R$8:$R$42))</f>
        <v>0</v>
      </c>
      <c r="AS24">
        <f>SUMPRODUCT((('Jul 25'!$F$8:$F$42=$T5)*(0.5+0.5*('Jul 25'!$G$8:$G$42=""))+('Jul 25'!$G$8:$G$42=$T5)*0.5)*('Jul 25'!$AG$8:$AG$42="Delivered")*('Jul 25'!$Q$8:$Q$42+'Jul 25'!$R$8:$R$42))</f>
        <v>0</v>
      </c>
      <c r="AT24">
        <f>SUMPRODUCT((('Jul 26'!$F$8:$F$42=$T5)*(0.5+0.5*('Jul 26'!$G$8:$G$42=""))+('Jul 26'!$G$8:$G$42=$T5)*0.5)*('Jul 26'!$AG$8:$AG$42="Delivered")*('Jul 26'!$Q$8:$Q$42+'Jul 26'!$R$8:$R$42))</f>
        <v>0</v>
      </c>
      <c r="AU24">
        <f>SUMPRODUCT((('Jul 27'!$F$8:$F$42=$T5)*(0.5+0.5*('Jul 27'!$G$8:$G$42=""))+('Jul 27'!$G$8:$G$42=$T5)*0.5)*('Jul 27'!$AG$8:$AG$42="Delivered")*('Jul 27'!$Q$8:$Q$42+'Jul 27'!$R$8:$R$42))</f>
        <v>0</v>
      </c>
      <c r="AV24">
        <f>SUMPRODUCT((('Jul 28'!$F$8:$F$42=$T5)*(0.5+0.5*('Jul 28'!$G$8:$G$42=""))+('Jul 28'!$G$8:$G$42=$T5)*0.5)*('Jul 28'!$AG$8:$AG$42="Delivered")*('Jul 28'!$Q$8:$Q$42+'Jul 28'!$R$8:$R$42))</f>
        <v>0</v>
      </c>
      <c r="AW24">
        <f>SUMPRODUCT((('Jul 29'!$F$8:$F$42=$T5)*(0.5+0.5*('Jul 29'!$G$8:$G$42=""))+('Jul 29'!$G$8:$G$42=$T5)*0.5)*('Jul 29'!$AG$8:$AG$42="Delivered")*('Jul 29'!$Q$8:$Q$42+'Jul 29'!$R$8:$R$42))</f>
        <v>0</v>
      </c>
      <c r="AX24">
        <f>SUMPRODUCT((('Jul 30'!$F$8:$F$42=$T5)*(0.5+0.5*('Jul 30'!$G$8:$G$42=""))+('Jul 30'!$G$8:$G$42=$T5)*0.5)*('Jul 30'!$AG$8:$AG$42="Delivered")*('Jul 30'!$Q$8:$Q$42+'Jul 30'!$R$8:$R$42))</f>
        <v>0</v>
      </c>
      <c r="AY24">
        <f>SUMPRODUCT((('Jul 31'!$F$8:$F$42=$T5)*(0.5+0.5*('Jul 31'!$G$8:$G$42=""))+('Jul 31'!$G$8:$G$42=$T5)*0.5)*('Jul 31'!$AG$8:$AG$42="Delivered")*('Jul 31'!$Q$8:$Q$42+'Jul 31'!$R$8:$R$42))</f>
        <v>0</v>
      </c>
    </row>
    <row r="25" spans="1:58" x14ac:dyDescent="0.25">
      <c r="A25" s="135" t="s">
        <v>107</v>
      </c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U25">
        <f>SUMPRODUCT((('Jul 1'!$F$8:$F$42=$T6)*(0.5+0.5*('Jul 1'!$G$8:$G$42=""))+('Jul 1'!$G$8:$G$42=$T6)*0.5)*('Jul 1'!$AG$8:$AG$42="Delivered")*('Jul 1'!$Q$8:$Q$42+'Jul 1'!$R$8:$R$42))</f>
        <v>0</v>
      </c>
      <c r="V25">
        <f>SUMPRODUCT((('Jul 2'!$F$8:$F$42=$T6)*(0.5+0.5*('Jul 2'!$G$8:$G$42=""))+('Jul 2'!$G$8:$G$42=$T6)*0.5)*('Jul 2'!$AG$8:$AG$42="Delivered")*('Jul 2'!$Q$8:$Q$42+'Jul 2'!$R$8:$R$42))</f>
        <v>0</v>
      </c>
      <c r="W25">
        <f>SUMPRODUCT((('Jul 3'!$F$8:$F$42=$T6)*(0.5+0.5*('Jul 3'!$G$8:$G$42=""))+('Jul 3'!$G$8:$G$42=$T6)*0.5)*('Jul 3'!$AG$8:$AG$42="Delivered")*('Jul 3'!$Q$8:$Q$42+'Jul 3'!$R$8:$R$42))</f>
        <v>0</v>
      </c>
      <c r="X25">
        <f>SUMPRODUCT((('Jul 4'!$F$8:$F$42=$T6)*(0.5+0.5*('Jul 4'!$G$8:$G$42=""))+('Jul 4'!$G$8:$G$42=$T6)*0.5)*('Jul 4'!$AG$8:$AG$42="Delivered")*('Jul 4'!$Q$8:$Q$42+'Jul 4'!$R$8:$R$42))</f>
        <v>0</v>
      </c>
      <c r="Y25">
        <f>SUMPRODUCT((('Jul 5'!$F$8:$F$42=$T6)*(0.5+0.5*('Jul 5'!$G$8:$G$42=""))+('Jul 5'!$G$8:$G$42=$T6)*0.5)*('Jul 5'!$AG$8:$AG$42="Delivered")*('Jul 5'!$Q$8:$Q$42+'Jul 5'!$R$8:$R$42))</f>
        <v>0</v>
      </c>
      <c r="Z25">
        <f>SUMPRODUCT((('Jul 6'!$F$8:$F$42=$T6)*(0.5+0.5*('Jul 6'!$G$8:$G$42=""))+('Jul 6'!$G$8:$G$42=$T6)*0.5)*('Jul 6'!$AG$8:$AG$42="Delivered")*('Jul 6'!$Q$8:$Q$42+'Jul 6'!$R$8:$R$42))</f>
        <v>0</v>
      </c>
      <c r="AA25">
        <f>SUMPRODUCT((('Jul 7'!$F$8:$F$42=$T6)*(0.5+0.5*('Jul 7'!$G$8:$G$42=""))+('Jul 7'!$G$8:$G$42=$T6)*0.5)*('Jul 7'!$AG$8:$AG$42="Delivered")*('Jul 7'!$Q$8:$Q$42+'Jul 7'!$R$8:$R$42))</f>
        <v>0</v>
      </c>
      <c r="AB25">
        <f>SUMPRODUCT((('Jul 8'!$F$8:$F$42=$T6)*(0.5+0.5*('Jul 8'!$G$8:$G$42=""))+('Jul 8'!$G$8:$G$42=$T6)*0.5)*('Jul 8'!$AG$8:$AG$42="Delivered")*('Jul 8'!$Q$8:$Q$42+'Jul 8'!$R$8:$R$42))</f>
        <v>0</v>
      </c>
      <c r="AC25">
        <f>SUMPRODUCT((('Jul 9'!$F$8:$F$42=$T6)*(0.5+0.5*('Jul 9'!$G$8:$G$42=""))+('Jul 9'!$G$8:$G$42=$T6)*0.5)*('Jul 9'!$AG$8:$AG$42="Delivered")*('Jul 9'!$Q$8:$Q$42+'Jul 9'!$R$8:$R$42))</f>
        <v>0</v>
      </c>
      <c r="AD25">
        <f>SUMPRODUCT((('Jul 10'!$F$8:$F$42=$T6)*(0.5+0.5*('Jul 10'!$G$8:$G$42=""))+('Jul 10'!$G$8:$G$42=$T6)*0.5)*('Jul 10'!$AG$8:$AG$42="Delivered")*('Jul 10'!$Q$8:$Q$42+'Jul 10'!$R$8:$R$42))</f>
        <v>0</v>
      </c>
      <c r="AE25">
        <f>SUMPRODUCT((('Jul 11'!$F$8:$F$42=$T6)*(0.5+0.5*('Jul 11'!$G$8:$G$42=""))+('Jul 11'!$G$8:$G$42=$T6)*0.5)*('Jul 11'!$AG$8:$AG$42="Delivered")*('Jul 11'!$Q$8:$Q$42+'Jul 11'!$R$8:$R$42))</f>
        <v>0</v>
      </c>
      <c r="AF25">
        <f>SUMPRODUCT((('Jul 12'!$F$8:$F$42=$T6)*(0.5+0.5*('Jul 12'!$G$8:$G$42=""))+('Jul 12'!$G$8:$G$42=$T6)*0.5)*('Jul 12'!$AG$8:$AG$42="Delivered")*('Jul 12'!$Q$8:$Q$42+'Jul 12'!$R$8:$R$42))</f>
        <v>0</v>
      </c>
      <c r="AG25">
        <f>SUMPRODUCT((('Jul 13'!$F$8:$F$42=$T6)*(0.5+0.5*('Jul 13'!$G$8:$G$42=""))+('Jul 13'!$G$8:$G$42=$T6)*0.5)*('Jul 13'!$AG$8:$AG$42="Delivered")*('Jul 13'!$Q$8:$Q$42+'Jul 13'!$R$8:$R$42))</f>
        <v>0</v>
      </c>
      <c r="AH25">
        <f>SUMPRODUCT((('Jul 14'!$F$8:$F$42=$T6)*(0.5+0.5*('Jul 14'!$G$8:$G$42=""))+('Jul 14'!$G$8:$G$42=$T6)*0.5)*('Jul 14'!$AG$8:$AG$42="Delivered")*('Jul 14'!$Q$8:$Q$42+'Jul 14'!$R$8:$R$42))</f>
        <v>0</v>
      </c>
      <c r="AI25">
        <f>SUMPRODUCT((('Jul 15'!$F$8:$F$42=$T6)*(0.5+0.5*('Jul 15'!$G$8:$G$42=""))+('Jul 15'!$G$8:$G$42=$T6)*0.5)*('Jul 15'!$AG$8:$AG$42="Delivered")*('Jul 15'!$Q$8:$Q$42+'Jul 15'!$R$8:$R$42))</f>
        <v>0</v>
      </c>
      <c r="AJ25">
        <f>SUMPRODUCT((('Jul 16'!$F$8:$F$42=$T6)*(0.5+0.5*('Jul 16'!$G$8:$G$42=""))+('Jul 16'!$G$8:$G$42=$T6)*0.5)*('Jul 16'!$AG$8:$AG$42="Delivered")*('Jul 16'!$Q$8:$Q$42+'Jul 16'!$R$8:$R$42))</f>
        <v>0</v>
      </c>
      <c r="AK25">
        <f>SUMPRODUCT((('Jul 17'!$F$8:$F$42=$T6)*(0.5+0.5*('Jul 17'!$G$8:$G$42=""))+('Jul 17'!$G$8:$G$42=$T6)*0.5)*('Jul 17'!$AG$8:$AG$42="Delivered")*('Jul 17'!$Q$8:$Q$42+'Jul 17'!$R$8:$R$42))</f>
        <v>0</v>
      </c>
      <c r="AL25">
        <f>SUMPRODUCT((('Jul 18'!$F$8:$F$42=$T6)*(0.5+0.5*('Jul 18'!$G$8:$G$42=""))+('Jul 18'!$G$8:$G$42=$T6)*0.5)*('Jul 18'!$AG$8:$AG$42="Delivered")*('Jul 18'!$Q$8:$Q$42+'Jul 18'!$R$8:$R$42))</f>
        <v>0</v>
      </c>
      <c r="AM25">
        <f>SUMPRODUCT((('Jul 19'!$F$8:$F$42=$T6)*(0.5+0.5*('Jul 19'!$G$8:$G$42=""))+('Jul 19'!$G$8:$G$42=$T6)*0.5)*('Jul 19'!$AG$8:$AG$42="Delivered")*('Jul 19'!$Q$8:$Q$42+'Jul 19'!$R$8:$R$42))</f>
        <v>0</v>
      </c>
      <c r="AN25">
        <f>SUMPRODUCT((('Jul 20'!$F$8:$F$42=$T6)*(0.5+0.5*('Jul 20'!$G$8:$G$42=""))+('Jul 20'!$G$8:$G$42=$T6)*0.5)*('Jul 20'!$AG$8:$AG$42="Delivered")*('Jul 20'!$Q$8:$Q$42+'Jul 20'!$R$8:$R$42))</f>
        <v>0</v>
      </c>
      <c r="AO25">
        <f>SUMPRODUCT((('Jul 21'!$F$8:$F$42=$T6)*(0.5+0.5*('Jul 21'!$G$8:$G$42=""))+('Jul 21'!$G$8:$G$42=$T6)*0.5)*('Jul 21'!$AG$8:$AG$42="Delivered")*('Jul 21'!$Q$8:$Q$42+'Jul 21'!$R$8:$R$42))</f>
        <v>0</v>
      </c>
      <c r="AP25">
        <f>SUMPRODUCT((('Jul 22'!$F$8:$F$42=$T6)*(0.5+0.5*('Jul 22'!$G$8:$G$42=""))+('Jul 22'!$G$8:$G$42=$T6)*0.5)*('Jul 22'!$AG$8:$AG$42="Delivered")*('Jul 22'!$Q$8:$Q$42+'Jul 22'!$R$8:$R$42))</f>
        <v>0</v>
      </c>
      <c r="AQ25">
        <f>SUMPRODUCT((('Jul 23'!$F$8:$F$42=$T6)*(0.5+0.5*('Jul 23'!$G$8:$G$42=""))+('Jul 23'!$G$8:$G$42=$T6)*0.5)*('Jul 23'!$AG$8:$AG$42="Delivered")*('Jul 23'!$Q$8:$Q$42+'Jul 23'!$R$8:$R$42))</f>
        <v>0</v>
      </c>
      <c r="AR25">
        <f>SUMPRODUCT((('Jul 24'!$F$8:$F$42=$T6)*(0.5+0.5*('Jul 24'!$G$8:$G$42=""))+('Jul 24'!$G$8:$G$42=$T6)*0.5)*('Jul 24'!$AG$8:$AG$42="Delivered")*('Jul 24'!$Q$8:$Q$42+'Jul 24'!$R$8:$R$42))</f>
        <v>0</v>
      </c>
      <c r="AS25">
        <f>SUMPRODUCT((('Jul 25'!$F$8:$F$42=$T6)*(0.5+0.5*('Jul 25'!$G$8:$G$42=""))+('Jul 25'!$G$8:$G$42=$T6)*0.5)*('Jul 25'!$AG$8:$AG$42="Delivered")*('Jul 25'!$Q$8:$Q$42+'Jul 25'!$R$8:$R$42))</f>
        <v>0</v>
      </c>
      <c r="AT25">
        <f>SUMPRODUCT((('Jul 26'!$F$8:$F$42=$T6)*(0.5+0.5*('Jul 26'!$G$8:$G$42=""))+('Jul 26'!$G$8:$G$42=$T6)*0.5)*('Jul 26'!$AG$8:$AG$42="Delivered")*('Jul 26'!$Q$8:$Q$42+'Jul 26'!$R$8:$R$42))</f>
        <v>0</v>
      </c>
      <c r="AU25">
        <f>SUMPRODUCT((('Jul 27'!$F$8:$F$42=$T6)*(0.5+0.5*('Jul 27'!$G$8:$G$42=""))+('Jul 27'!$G$8:$G$42=$T6)*0.5)*('Jul 27'!$AG$8:$AG$42="Delivered")*('Jul 27'!$Q$8:$Q$42+'Jul 27'!$R$8:$R$42))</f>
        <v>0</v>
      </c>
      <c r="AV25">
        <f>SUMPRODUCT((('Jul 28'!$F$8:$F$42=$T6)*(0.5+0.5*('Jul 28'!$G$8:$G$42=""))+('Jul 28'!$G$8:$G$42=$T6)*0.5)*('Jul 28'!$AG$8:$AG$42="Delivered")*('Jul 28'!$Q$8:$Q$42+'Jul 28'!$R$8:$R$42))</f>
        <v>0</v>
      </c>
      <c r="AW25">
        <f>SUMPRODUCT((('Jul 29'!$F$8:$F$42=$T6)*(0.5+0.5*('Jul 29'!$G$8:$G$42=""))+('Jul 29'!$G$8:$G$42=$T6)*0.5)*('Jul 29'!$AG$8:$AG$42="Delivered")*('Jul 29'!$Q$8:$Q$42+'Jul 29'!$R$8:$R$42))</f>
        <v>0</v>
      </c>
      <c r="AX25">
        <f>SUMPRODUCT((('Jul 30'!$F$8:$F$42=$T6)*(0.5+0.5*('Jul 30'!$G$8:$G$42=""))+('Jul 30'!$G$8:$G$42=$T6)*0.5)*('Jul 30'!$AG$8:$AG$42="Delivered")*('Jul 30'!$Q$8:$Q$42+'Jul 30'!$R$8:$R$42))</f>
        <v>0</v>
      </c>
      <c r="AY25">
        <f>SUMPRODUCT((('Jul 31'!$F$8:$F$42=$T6)*(0.5+0.5*('Jul 31'!$G$8:$G$42=""))+('Jul 31'!$G$8:$G$42=$T6)*0.5)*('Jul 31'!$AG$8:$AG$42="Delivered")*('Jul 31'!$Q$8:$Q$42+'Jul 31'!$R$8:$R$42))</f>
        <v>0</v>
      </c>
    </row>
    <row r="26" spans="1:58" x14ac:dyDescent="0.25">
      <c r="A26" s="129" t="s">
        <v>108</v>
      </c>
      <c r="B26" s="100"/>
      <c r="C26" s="100"/>
      <c r="D26" s="100"/>
      <c r="E26" s="100"/>
      <c r="F26" s="100"/>
      <c r="G26" s="100"/>
      <c r="H26" s="100"/>
      <c r="I26" s="129" t="str">
        <f>IF(ABS(C23-BH4)&lt;=0.001,"✓ tie  "&amp;TEXT(C23,"0.0")&amp;" = "&amp;TEXT(BH4,"0"),"⚠ "&amp;TEXT(C23-BH4,"+0.0;-0.0")&amp;" orphan (delivered, no roster SP)")</f>
        <v>✓ tie  0.0 = 0</v>
      </c>
      <c r="J26" s="100"/>
      <c r="K26" s="100"/>
      <c r="L26" s="100"/>
      <c r="M26" s="100"/>
      <c r="N26" s="100"/>
      <c r="O26" s="100"/>
      <c r="P26" s="100"/>
      <c r="Q26" s="100"/>
      <c r="R26" s="100"/>
      <c r="U26">
        <f>SUMPRODUCT((('Jul 1'!$F$8:$F$42=$T7)*(0.5+0.5*('Jul 1'!$G$8:$G$42=""))+('Jul 1'!$G$8:$G$42=$T7)*0.5)*('Jul 1'!$AG$8:$AG$42="Delivered")*('Jul 1'!$Q$8:$Q$42+'Jul 1'!$R$8:$R$42))</f>
        <v>0</v>
      </c>
      <c r="V26">
        <f>SUMPRODUCT((('Jul 2'!$F$8:$F$42=$T7)*(0.5+0.5*('Jul 2'!$G$8:$G$42=""))+('Jul 2'!$G$8:$G$42=$T7)*0.5)*('Jul 2'!$AG$8:$AG$42="Delivered")*('Jul 2'!$Q$8:$Q$42+'Jul 2'!$R$8:$R$42))</f>
        <v>0</v>
      </c>
      <c r="W26">
        <f>SUMPRODUCT((('Jul 3'!$F$8:$F$42=$T7)*(0.5+0.5*('Jul 3'!$G$8:$G$42=""))+('Jul 3'!$G$8:$G$42=$T7)*0.5)*('Jul 3'!$AG$8:$AG$42="Delivered")*('Jul 3'!$Q$8:$Q$42+'Jul 3'!$R$8:$R$42))</f>
        <v>0</v>
      </c>
      <c r="X26">
        <f>SUMPRODUCT((('Jul 4'!$F$8:$F$42=$T7)*(0.5+0.5*('Jul 4'!$G$8:$G$42=""))+('Jul 4'!$G$8:$G$42=$T7)*0.5)*('Jul 4'!$AG$8:$AG$42="Delivered")*('Jul 4'!$Q$8:$Q$42+'Jul 4'!$R$8:$R$42))</f>
        <v>0</v>
      </c>
      <c r="Y26">
        <f>SUMPRODUCT((('Jul 5'!$F$8:$F$42=$T7)*(0.5+0.5*('Jul 5'!$G$8:$G$42=""))+('Jul 5'!$G$8:$G$42=$T7)*0.5)*('Jul 5'!$AG$8:$AG$42="Delivered")*('Jul 5'!$Q$8:$Q$42+'Jul 5'!$R$8:$R$42))</f>
        <v>0</v>
      </c>
      <c r="Z26">
        <f>SUMPRODUCT((('Jul 6'!$F$8:$F$42=$T7)*(0.5+0.5*('Jul 6'!$G$8:$G$42=""))+('Jul 6'!$G$8:$G$42=$T7)*0.5)*('Jul 6'!$AG$8:$AG$42="Delivered")*('Jul 6'!$Q$8:$Q$42+'Jul 6'!$R$8:$R$42))</f>
        <v>0</v>
      </c>
      <c r="AA26">
        <f>SUMPRODUCT((('Jul 7'!$F$8:$F$42=$T7)*(0.5+0.5*('Jul 7'!$G$8:$G$42=""))+('Jul 7'!$G$8:$G$42=$T7)*0.5)*('Jul 7'!$AG$8:$AG$42="Delivered")*('Jul 7'!$Q$8:$Q$42+'Jul 7'!$R$8:$R$42))</f>
        <v>0</v>
      </c>
      <c r="AB26">
        <f>SUMPRODUCT((('Jul 8'!$F$8:$F$42=$T7)*(0.5+0.5*('Jul 8'!$G$8:$G$42=""))+('Jul 8'!$G$8:$G$42=$T7)*0.5)*('Jul 8'!$AG$8:$AG$42="Delivered")*('Jul 8'!$Q$8:$Q$42+'Jul 8'!$R$8:$R$42))</f>
        <v>0</v>
      </c>
      <c r="AC26">
        <f>SUMPRODUCT((('Jul 9'!$F$8:$F$42=$T7)*(0.5+0.5*('Jul 9'!$G$8:$G$42=""))+('Jul 9'!$G$8:$G$42=$T7)*0.5)*('Jul 9'!$AG$8:$AG$42="Delivered")*('Jul 9'!$Q$8:$Q$42+'Jul 9'!$R$8:$R$42))</f>
        <v>0</v>
      </c>
      <c r="AD26">
        <f>SUMPRODUCT((('Jul 10'!$F$8:$F$42=$T7)*(0.5+0.5*('Jul 10'!$G$8:$G$42=""))+('Jul 10'!$G$8:$G$42=$T7)*0.5)*('Jul 10'!$AG$8:$AG$42="Delivered")*('Jul 10'!$Q$8:$Q$42+'Jul 10'!$R$8:$R$42))</f>
        <v>0</v>
      </c>
      <c r="AE26">
        <f>SUMPRODUCT((('Jul 11'!$F$8:$F$42=$T7)*(0.5+0.5*('Jul 11'!$G$8:$G$42=""))+('Jul 11'!$G$8:$G$42=$T7)*0.5)*('Jul 11'!$AG$8:$AG$42="Delivered")*('Jul 11'!$Q$8:$Q$42+'Jul 11'!$R$8:$R$42))</f>
        <v>0</v>
      </c>
      <c r="AF26">
        <f>SUMPRODUCT((('Jul 12'!$F$8:$F$42=$T7)*(0.5+0.5*('Jul 12'!$G$8:$G$42=""))+('Jul 12'!$G$8:$G$42=$T7)*0.5)*('Jul 12'!$AG$8:$AG$42="Delivered")*('Jul 12'!$Q$8:$Q$42+'Jul 12'!$R$8:$R$42))</f>
        <v>0</v>
      </c>
      <c r="AG26">
        <f>SUMPRODUCT((('Jul 13'!$F$8:$F$42=$T7)*(0.5+0.5*('Jul 13'!$G$8:$G$42=""))+('Jul 13'!$G$8:$G$42=$T7)*0.5)*('Jul 13'!$AG$8:$AG$42="Delivered")*('Jul 13'!$Q$8:$Q$42+'Jul 13'!$R$8:$R$42))</f>
        <v>0</v>
      </c>
      <c r="AH26">
        <f>SUMPRODUCT((('Jul 14'!$F$8:$F$42=$T7)*(0.5+0.5*('Jul 14'!$G$8:$G$42=""))+('Jul 14'!$G$8:$G$42=$T7)*0.5)*('Jul 14'!$AG$8:$AG$42="Delivered")*('Jul 14'!$Q$8:$Q$42+'Jul 14'!$R$8:$R$42))</f>
        <v>0</v>
      </c>
      <c r="AI26">
        <f>SUMPRODUCT((('Jul 15'!$F$8:$F$42=$T7)*(0.5+0.5*('Jul 15'!$G$8:$G$42=""))+('Jul 15'!$G$8:$G$42=$T7)*0.5)*('Jul 15'!$AG$8:$AG$42="Delivered")*('Jul 15'!$Q$8:$Q$42+'Jul 15'!$R$8:$R$42))</f>
        <v>0</v>
      </c>
      <c r="AJ26">
        <f>SUMPRODUCT((('Jul 16'!$F$8:$F$42=$T7)*(0.5+0.5*('Jul 16'!$G$8:$G$42=""))+('Jul 16'!$G$8:$G$42=$T7)*0.5)*('Jul 16'!$AG$8:$AG$42="Delivered")*('Jul 16'!$Q$8:$Q$42+'Jul 16'!$R$8:$R$42))</f>
        <v>0</v>
      </c>
      <c r="AK26">
        <f>SUMPRODUCT((('Jul 17'!$F$8:$F$42=$T7)*(0.5+0.5*('Jul 17'!$G$8:$G$42=""))+('Jul 17'!$G$8:$G$42=$T7)*0.5)*('Jul 17'!$AG$8:$AG$42="Delivered")*('Jul 17'!$Q$8:$Q$42+'Jul 17'!$R$8:$R$42))</f>
        <v>0</v>
      </c>
      <c r="AL26">
        <f>SUMPRODUCT((('Jul 18'!$F$8:$F$42=$T7)*(0.5+0.5*('Jul 18'!$G$8:$G$42=""))+('Jul 18'!$G$8:$G$42=$T7)*0.5)*('Jul 18'!$AG$8:$AG$42="Delivered")*('Jul 18'!$Q$8:$Q$42+'Jul 18'!$R$8:$R$42))</f>
        <v>0</v>
      </c>
      <c r="AM26">
        <f>SUMPRODUCT((('Jul 19'!$F$8:$F$42=$T7)*(0.5+0.5*('Jul 19'!$G$8:$G$42=""))+('Jul 19'!$G$8:$G$42=$T7)*0.5)*('Jul 19'!$AG$8:$AG$42="Delivered")*('Jul 19'!$Q$8:$Q$42+'Jul 19'!$R$8:$R$42))</f>
        <v>0</v>
      </c>
      <c r="AN26">
        <f>SUMPRODUCT((('Jul 20'!$F$8:$F$42=$T7)*(0.5+0.5*('Jul 20'!$G$8:$G$42=""))+('Jul 20'!$G$8:$G$42=$T7)*0.5)*('Jul 20'!$AG$8:$AG$42="Delivered")*('Jul 20'!$Q$8:$Q$42+'Jul 20'!$R$8:$R$42))</f>
        <v>0</v>
      </c>
      <c r="AO26">
        <f>SUMPRODUCT((('Jul 21'!$F$8:$F$42=$T7)*(0.5+0.5*('Jul 21'!$G$8:$G$42=""))+('Jul 21'!$G$8:$G$42=$T7)*0.5)*('Jul 21'!$AG$8:$AG$42="Delivered")*('Jul 21'!$Q$8:$Q$42+'Jul 21'!$R$8:$R$42))</f>
        <v>0</v>
      </c>
      <c r="AP26">
        <f>SUMPRODUCT((('Jul 22'!$F$8:$F$42=$T7)*(0.5+0.5*('Jul 22'!$G$8:$G$42=""))+('Jul 22'!$G$8:$G$42=$T7)*0.5)*('Jul 22'!$AG$8:$AG$42="Delivered")*('Jul 22'!$Q$8:$Q$42+'Jul 22'!$R$8:$R$42))</f>
        <v>0</v>
      </c>
      <c r="AQ26">
        <f>SUMPRODUCT((('Jul 23'!$F$8:$F$42=$T7)*(0.5+0.5*('Jul 23'!$G$8:$G$42=""))+('Jul 23'!$G$8:$G$42=$T7)*0.5)*('Jul 23'!$AG$8:$AG$42="Delivered")*('Jul 23'!$Q$8:$Q$42+'Jul 23'!$R$8:$R$42))</f>
        <v>0</v>
      </c>
      <c r="AR26">
        <f>SUMPRODUCT((('Jul 24'!$F$8:$F$42=$T7)*(0.5+0.5*('Jul 24'!$G$8:$G$42=""))+('Jul 24'!$G$8:$G$42=$T7)*0.5)*('Jul 24'!$AG$8:$AG$42="Delivered")*('Jul 24'!$Q$8:$Q$42+'Jul 24'!$R$8:$R$42))</f>
        <v>0</v>
      </c>
      <c r="AS26">
        <f>SUMPRODUCT((('Jul 25'!$F$8:$F$42=$T7)*(0.5+0.5*('Jul 25'!$G$8:$G$42=""))+('Jul 25'!$G$8:$G$42=$T7)*0.5)*('Jul 25'!$AG$8:$AG$42="Delivered")*('Jul 25'!$Q$8:$Q$42+'Jul 25'!$R$8:$R$42))</f>
        <v>0</v>
      </c>
      <c r="AT26">
        <f>SUMPRODUCT((('Jul 26'!$F$8:$F$42=$T7)*(0.5+0.5*('Jul 26'!$G$8:$G$42=""))+('Jul 26'!$G$8:$G$42=$T7)*0.5)*('Jul 26'!$AG$8:$AG$42="Delivered")*('Jul 26'!$Q$8:$Q$42+'Jul 26'!$R$8:$R$42))</f>
        <v>0</v>
      </c>
      <c r="AU26">
        <f>SUMPRODUCT((('Jul 27'!$F$8:$F$42=$T7)*(0.5+0.5*('Jul 27'!$G$8:$G$42=""))+('Jul 27'!$G$8:$G$42=$T7)*0.5)*('Jul 27'!$AG$8:$AG$42="Delivered")*('Jul 27'!$Q$8:$Q$42+'Jul 27'!$R$8:$R$42))</f>
        <v>0</v>
      </c>
      <c r="AV26">
        <f>SUMPRODUCT((('Jul 28'!$F$8:$F$42=$T7)*(0.5+0.5*('Jul 28'!$G$8:$G$42=""))+('Jul 28'!$G$8:$G$42=$T7)*0.5)*('Jul 28'!$AG$8:$AG$42="Delivered")*('Jul 28'!$Q$8:$Q$42+'Jul 28'!$R$8:$R$42))</f>
        <v>0</v>
      </c>
      <c r="AW26">
        <f>SUMPRODUCT((('Jul 29'!$F$8:$F$42=$T7)*(0.5+0.5*('Jul 29'!$G$8:$G$42=""))+('Jul 29'!$G$8:$G$42=$T7)*0.5)*('Jul 29'!$AG$8:$AG$42="Delivered")*('Jul 29'!$Q$8:$Q$42+'Jul 29'!$R$8:$R$42))</f>
        <v>0</v>
      </c>
      <c r="AX26">
        <f>SUMPRODUCT((('Jul 30'!$F$8:$F$42=$T7)*(0.5+0.5*('Jul 30'!$G$8:$G$42=""))+('Jul 30'!$G$8:$G$42=$T7)*0.5)*('Jul 30'!$AG$8:$AG$42="Delivered")*('Jul 30'!$Q$8:$Q$42+'Jul 30'!$R$8:$R$42))</f>
        <v>0</v>
      </c>
      <c r="AY26">
        <f>SUMPRODUCT((('Jul 31'!$F$8:$F$42=$T7)*(0.5+0.5*('Jul 31'!$G$8:$G$42=""))+('Jul 31'!$G$8:$G$42=$T7)*0.5)*('Jul 31'!$AG$8:$AG$42="Delivered")*('Jul 31'!$Q$8:$Q$42+'Jul 31'!$R$8:$R$42))</f>
        <v>0</v>
      </c>
    </row>
    <row r="27" spans="1:58" x14ac:dyDescent="0.25">
      <c r="A27" s="129" t="s">
        <v>109</v>
      </c>
      <c r="B27" s="100"/>
      <c r="C27" s="100"/>
      <c r="D27" s="100"/>
      <c r="E27" s="100"/>
      <c r="F27" s="100"/>
      <c r="G27" s="100"/>
      <c r="H27" s="100"/>
      <c r="I27" s="129" t="str">
        <f>IF(ABS(K23-(G23+H23+I23+J23))&lt;=2,"✓ foots","⚠ off by "&amp;TEXT(K23-(G23+H23+I23+J23),"$#,##0"))</f>
        <v>✓ foots</v>
      </c>
      <c r="J27" s="100"/>
      <c r="K27" s="100"/>
      <c r="L27" s="100"/>
      <c r="M27" s="100"/>
      <c r="N27" s="100"/>
      <c r="O27" s="100"/>
      <c r="P27" s="100"/>
      <c r="Q27" s="100"/>
      <c r="R27" s="100"/>
      <c r="U27">
        <f>SUMPRODUCT((('Jul 1'!$F$8:$F$42=$T8)*(0.5+0.5*('Jul 1'!$G$8:$G$42=""))+('Jul 1'!$G$8:$G$42=$T8)*0.5)*('Jul 1'!$AG$8:$AG$42="Delivered")*('Jul 1'!$Q$8:$Q$42+'Jul 1'!$R$8:$R$42))</f>
        <v>0</v>
      </c>
      <c r="V27">
        <f>SUMPRODUCT((('Jul 2'!$F$8:$F$42=$T8)*(0.5+0.5*('Jul 2'!$G$8:$G$42=""))+('Jul 2'!$G$8:$G$42=$T8)*0.5)*('Jul 2'!$AG$8:$AG$42="Delivered")*('Jul 2'!$Q$8:$Q$42+'Jul 2'!$R$8:$R$42))</f>
        <v>0</v>
      </c>
      <c r="W27">
        <f>SUMPRODUCT((('Jul 3'!$F$8:$F$42=$T8)*(0.5+0.5*('Jul 3'!$G$8:$G$42=""))+('Jul 3'!$G$8:$G$42=$T8)*0.5)*('Jul 3'!$AG$8:$AG$42="Delivered")*('Jul 3'!$Q$8:$Q$42+'Jul 3'!$R$8:$R$42))</f>
        <v>0</v>
      </c>
      <c r="X27">
        <f>SUMPRODUCT((('Jul 4'!$F$8:$F$42=$T8)*(0.5+0.5*('Jul 4'!$G$8:$G$42=""))+('Jul 4'!$G$8:$G$42=$T8)*0.5)*('Jul 4'!$AG$8:$AG$42="Delivered")*('Jul 4'!$Q$8:$Q$42+'Jul 4'!$R$8:$R$42))</f>
        <v>0</v>
      </c>
      <c r="Y27">
        <f>SUMPRODUCT((('Jul 5'!$F$8:$F$42=$T8)*(0.5+0.5*('Jul 5'!$G$8:$G$42=""))+('Jul 5'!$G$8:$G$42=$T8)*0.5)*('Jul 5'!$AG$8:$AG$42="Delivered")*('Jul 5'!$Q$8:$Q$42+'Jul 5'!$R$8:$R$42))</f>
        <v>0</v>
      </c>
      <c r="Z27">
        <f>SUMPRODUCT((('Jul 6'!$F$8:$F$42=$T8)*(0.5+0.5*('Jul 6'!$G$8:$G$42=""))+('Jul 6'!$G$8:$G$42=$T8)*0.5)*('Jul 6'!$AG$8:$AG$42="Delivered")*('Jul 6'!$Q$8:$Q$42+'Jul 6'!$R$8:$R$42))</f>
        <v>0</v>
      </c>
      <c r="AA27">
        <f>SUMPRODUCT((('Jul 7'!$F$8:$F$42=$T8)*(0.5+0.5*('Jul 7'!$G$8:$G$42=""))+('Jul 7'!$G$8:$G$42=$T8)*0.5)*('Jul 7'!$AG$8:$AG$42="Delivered")*('Jul 7'!$Q$8:$Q$42+'Jul 7'!$R$8:$R$42))</f>
        <v>0</v>
      </c>
      <c r="AB27">
        <f>SUMPRODUCT((('Jul 8'!$F$8:$F$42=$T8)*(0.5+0.5*('Jul 8'!$G$8:$G$42=""))+('Jul 8'!$G$8:$G$42=$T8)*0.5)*('Jul 8'!$AG$8:$AG$42="Delivered")*('Jul 8'!$Q$8:$Q$42+'Jul 8'!$R$8:$R$42))</f>
        <v>0</v>
      </c>
      <c r="AC27">
        <f>SUMPRODUCT((('Jul 9'!$F$8:$F$42=$T8)*(0.5+0.5*('Jul 9'!$G$8:$G$42=""))+('Jul 9'!$G$8:$G$42=$T8)*0.5)*('Jul 9'!$AG$8:$AG$42="Delivered")*('Jul 9'!$Q$8:$Q$42+'Jul 9'!$R$8:$R$42))</f>
        <v>0</v>
      </c>
      <c r="AD27">
        <f>SUMPRODUCT((('Jul 10'!$F$8:$F$42=$T8)*(0.5+0.5*('Jul 10'!$G$8:$G$42=""))+('Jul 10'!$G$8:$G$42=$T8)*0.5)*('Jul 10'!$AG$8:$AG$42="Delivered")*('Jul 10'!$Q$8:$Q$42+'Jul 10'!$R$8:$R$42))</f>
        <v>0</v>
      </c>
      <c r="AE27">
        <f>SUMPRODUCT((('Jul 11'!$F$8:$F$42=$T8)*(0.5+0.5*('Jul 11'!$G$8:$G$42=""))+('Jul 11'!$G$8:$G$42=$T8)*0.5)*('Jul 11'!$AG$8:$AG$42="Delivered")*('Jul 11'!$Q$8:$Q$42+'Jul 11'!$R$8:$R$42))</f>
        <v>0</v>
      </c>
      <c r="AF27">
        <f>SUMPRODUCT((('Jul 12'!$F$8:$F$42=$T8)*(0.5+0.5*('Jul 12'!$G$8:$G$42=""))+('Jul 12'!$G$8:$G$42=$T8)*0.5)*('Jul 12'!$AG$8:$AG$42="Delivered")*('Jul 12'!$Q$8:$Q$42+'Jul 12'!$R$8:$R$42))</f>
        <v>0</v>
      </c>
      <c r="AG27">
        <f>SUMPRODUCT((('Jul 13'!$F$8:$F$42=$T8)*(0.5+0.5*('Jul 13'!$G$8:$G$42=""))+('Jul 13'!$G$8:$G$42=$T8)*0.5)*('Jul 13'!$AG$8:$AG$42="Delivered")*('Jul 13'!$Q$8:$Q$42+'Jul 13'!$R$8:$R$42))</f>
        <v>0</v>
      </c>
      <c r="AH27">
        <f>SUMPRODUCT((('Jul 14'!$F$8:$F$42=$T8)*(0.5+0.5*('Jul 14'!$G$8:$G$42=""))+('Jul 14'!$G$8:$G$42=$T8)*0.5)*('Jul 14'!$AG$8:$AG$42="Delivered")*('Jul 14'!$Q$8:$Q$42+'Jul 14'!$R$8:$R$42))</f>
        <v>0</v>
      </c>
      <c r="AI27">
        <f>SUMPRODUCT((('Jul 15'!$F$8:$F$42=$T8)*(0.5+0.5*('Jul 15'!$G$8:$G$42=""))+('Jul 15'!$G$8:$G$42=$T8)*0.5)*('Jul 15'!$AG$8:$AG$42="Delivered")*('Jul 15'!$Q$8:$Q$42+'Jul 15'!$R$8:$R$42))</f>
        <v>0</v>
      </c>
      <c r="AJ27">
        <f>SUMPRODUCT((('Jul 16'!$F$8:$F$42=$T8)*(0.5+0.5*('Jul 16'!$G$8:$G$42=""))+('Jul 16'!$G$8:$G$42=$T8)*0.5)*('Jul 16'!$AG$8:$AG$42="Delivered")*('Jul 16'!$Q$8:$Q$42+'Jul 16'!$R$8:$R$42))</f>
        <v>0</v>
      </c>
      <c r="AK27">
        <f>SUMPRODUCT((('Jul 17'!$F$8:$F$42=$T8)*(0.5+0.5*('Jul 17'!$G$8:$G$42=""))+('Jul 17'!$G$8:$G$42=$T8)*0.5)*('Jul 17'!$AG$8:$AG$42="Delivered")*('Jul 17'!$Q$8:$Q$42+'Jul 17'!$R$8:$R$42))</f>
        <v>0</v>
      </c>
      <c r="AL27">
        <f>SUMPRODUCT((('Jul 18'!$F$8:$F$42=$T8)*(0.5+0.5*('Jul 18'!$G$8:$G$42=""))+('Jul 18'!$G$8:$G$42=$T8)*0.5)*('Jul 18'!$AG$8:$AG$42="Delivered")*('Jul 18'!$Q$8:$Q$42+'Jul 18'!$R$8:$R$42))</f>
        <v>0</v>
      </c>
      <c r="AM27">
        <f>SUMPRODUCT((('Jul 19'!$F$8:$F$42=$T8)*(0.5+0.5*('Jul 19'!$G$8:$G$42=""))+('Jul 19'!$G$8:$G$42=$T8)*0.5)*('Jul 19'!$AG$8:$AG$42="Delivered")*('Jul 19'!$Q$8:$Q$42+'Jul 19'!$R$8:$R$42))</f>
        <v>0</v>
      </c>
      <c r="AN27">
        <f>SUMPRODUCT((('Jul 20'!$F$8:$F$42=$T8)*(0.5+0.5*('Jul 20'!$G$8:$G$42=""))+('Jul 20'!$G$8:$G$42=$T8)*0.5)*('Jul 20'!$AG$8:$AG$42="Delivered")*('Jul 20'!$Q$8:$Q$42+'Jul 20'!$R$8:$R$42))</f>
        <v>0</v>
      </c>
      <c r="AO27">
        <f>SUMPRODUCT((('Jul 21'!$F$8:$F$42=$T8)*(0.5+0.5*('Jul 21'!$G$8:$G$42=""))+('Jul 21'!$G$8:$G$42=$T8)*0.5)*('Jul 21'!$AG$8:$AG$42="Delivered")*('Jul 21'!$Q$8:$Q$42+'Jul 21'!$R$8:$R$42))</f>
        <v>0</v>
      </c>
      <c r="AP27">
        <f>SUMPRODUCT((('Jul 22'!$F$8:$F$42=$T8)*(0.5+0.5*('Jul 22'!$G$8:$G$42=""))+('Jul 22'!$G$8:$G$42=$T8)*0.5)*('Jul 22'!$AG$8:$AG$42="Delivered")*('Jul 22'!$Q$8:$Q$42+'Jul 22'!$R$8:$R$42))</f>
        <v>0</v>
      </c>
      <c r="AQ27">
        <f>SUMPRODUCT((('Jul 23'!$F$8:$F$42=$T8)*(0.5+0.5*('Jul 23'!$G$8:$G$42=""))+('Jul 23'!$G$8:$G$42=$T8)*0.5)*('Jul 23'!$AG$8:$AG$42="Delivered")*('Jul 23'!$Q$8:$Q$42+'Jul 23'!$R$8:$R$42))</f>
        <v>0</v>
      </c>
      <c r="AR27">
        <f>SUMPRODUCT((('Jul 24'!$F$8:$F$42=$T8)*(0.5+0.5*('Jul 24'!$G$8:$G$42=""))+('Jul 24'!$G$8:$G$42=$T8)*0.5)*('Jul 24'!$AG$8:$AG$42="Delivered")*('Jul 24'!$Q$8:$Q$42+'Jul 24'!$R$8:$R$42))</f>
        <v>0</v>
      </c>
      <c r="AS27">
        <f>SUMPRODUCT((('Jul 25'!$F$8:$F$42=$T8)*(0.5+0.5*('Jul 25'!$G$8:$G$42=""))+('Jul 25'!$G$8:$G$42=$T8)*0.5)*('Jul 25'!$AG$8:$AG$42="Delivered")*('Jul 25'!$Q$8:$Q$42+'Jul 25'!$R$8:$R$42))</f>
        <v>0</v>
      </c>
      <c r="AT27">
        <f>SUMPRODUCT((('Jul 26'!$F$8:$F$42=$T8)*(0.5+0.5*('Jul 26'!$G$8:$G$42=""))+('Jul 26'!$G$8:$G$42=$T8)*0.5)*('Jul 26'!$AG$8:$AG$42="Delivered")*('Jul 26'!$Q$8:$Q$42+'Jul 26'!$R$8:$R$42))</f>
        <v>0</v>
      </c>
      <c r="AU27">
        <f>SUMPRODUCT((('Jul 27'!$F$8:$F$42=$T8)*(0.5+0.5*('Jul 27'!$G$8:$G$42=""))+('Jul 27'!$G$8:$G$42=$T8)*0.5)*('Jul 27'!$AG$8:$AG$42="Delivered")*('Jul 27'!$Q$8:$Q$42+'Jul 27'!$R$8:$R$42))</f>
        <v>0</v>
      </c>
      <c r="AV27">
        <f>SUMPRODUCT((('Jul 28'!$F$8:$F$42=$T8)*(0.5+0.5*('Jul 28'!$G$8:$G$42=""))+('Jul 28'!$G$8:$G$42=$T8)*0.5)*('Jul 28'!$AG$8:$AG$42="Delivered")*('Jul 28'!$Q$8:$Q$42+'Jul 28'!$R$8:$R$42))</f>
        <v>0</v>
      </c>
      <c r="AW27">
        <f>SUMPRODUCT((('Jul 29'!$F$8:$F$42=$T8)*(0.5+0.5*('Jul 29'!$G$8:$G$42=""))+('Jul 29'!$G$8:$G$42=$T8)*0.5)*('Jul 29'!$AG$8:$AG$42="Delivered")*('Jul 29'!$Q$8:$Q$42+'Jul 29'!$R$8:$R$42))</f>
        <v>0</v>
      </c>
      <c r="AX27">
        <f>SUMPRODUCT((('Jul 30'!$F$8:$F$42=$T8)*(0.5+0.5*('Jul 30'!$G$8:$G$42=""))+('Jul 30'!$G$8:$G$42=$T8)*0.5)*('Jul 30'!$AG$8:$AG$42="Delivered")*('Jul 30'!$Q$8:$Q$42+'Jul 30'!$R$8:$R$42))</f>
        <v>0</v>
      </c>
      <c r="AY27">
        <f>SUMPRODUCT((('Jul 31'!$F$8:$F$42=$T8)*(0.5+0.5*('Jul 31'!$G$8:$G$42=""))+('Jul 31'!$G$8:$G$42=$T8)*0.5)*('Jul 31'!$AG$8:$AG$42="Delivered")*('Jul 31'!$Q$8:$Q$42+'Jul 31'!$R$8:$R$42))</f>
        <v>0</v>
      </c>
    </row>
    <row r="28" spans="1:58" x14ac:dyDescent="0.25">
      <c r="A28" s="129" t="s">
        <v>110</v>
      </c>
      <c r="B28" s="100"/>
      <c r="C28" s="100"/>
      <c r="D28" s="100"/>
      <c r="E28" s="100"/>
      <c r="F28" s="100"/>
      <c r="G28" s="100"/>
      <c r="H28" s="100"/>
      <c r="I28" s="129" t="str">
        <f>IF(ABS(O23-(K23-N23))&lt;=2,"✓ foots","⚠ off by "&amp;TEXT(O23-(K23-N23),"$#,##0"))</f>
        <v>✓ foots</v>
      </c>
      <c r="J28" s="100"/>
      <c r="K28" s="100"/>
      <c r="L28" s="100"/>
      <c r="M28" s="100"/>
      <c r="N28" s="100"/>
      <c r="O28" s="100"/>
      <c r="P28" s="100"/>
      <c r="Q28" s="100"/>
      <c r="R28" s="100"/>
      <c r="U28">
        <f>SUMPRODUCT((('Jul 1'!$F$8:$F$42=$T9)*(0.5+0.5*('Jul 1'!$G$8:$G$42=""))+('Jul 1'!$G$8:$G$42=$T9)*0.5)*('Jul 1'!$AG$8:$AG$42="Delivered")*('Jul 1'!$Q$8:$Q$42+'Jul 1'!$R$8:$R$42))</f>
        <v>0</v>
      </c>
      <c r="V28">
        <f>SUMPRODUCT((('Jul 2'!$F$8:$F$42=$T9)*(0.5+0.5*('Jul 2'!$G$8:$G$42=""))+('Jul 2'!$G$8:$G$42=$T9)*0.5)*('Jul 2'!$AG$8:$AG$42="Delivered")*('Jul 2'!$Q$8:$Q$42+'Jul 2'!$R$8:$R$42))</f>
        <v>0</v>
      </c>
      <c r="W28">
        <f>SUMPRODUCT((('Jul 3'!$F$8:$F$42=$T9)*(0.5+0.5*('Jul 3'!$G$8:$G$42=""))+('Jul 3'!$G$8:$G$42=$T9)*0.5)*('Jul 3'!$AG$8:$AG$42="Delivered")*('Jul 3'!$Q$8:$Q$42+'Jul 3'!$R$8:$R$42))</f>
        <v>0</v>
      </c>
      <c r="X28">
        <f>SUMPRODUCT((('Jul 4'!$F$8:$F$42=$T9)*(0.5+0.5*('Jul 4'!$G$8:$G$42=""))+('Jul 4'!$G$8:$G$42=$T9)*0.5)*('Jul 4'!$AG$8:$AG$42="Delivered")*('Jul 4'!$Q$8:$Q$42+'Jul 4'!$R$8:$R$42))</f>
        <v>0</v>
      </c>
      <c r="Y28">
        <f>SUMPRODUCT((('Jul 5'!$F$8:$F$42=$T9)*(0.5+0.5*('Jul 5'!$G$8:$G$42=""))+('Jul 5'!$G$8:$G$42=$T9)*0.5)*('Jul 5'!$AG$8:$AG$42="Delivered")*('Jul 5'!$Q$8:$Q$42+'Jul 5'!$R$8:$R$42))</f>
        <v>0</v>
      </c>
      <c r="Z28">
        <f>SUMPRODUCT((('Jul 6'!$F$8:$F$42=$T9)*(0.5+0.5*('Jul 6'!$G$8:$G$42=""))+('Jul 6'!$G$8:$G$42=$T9)*0.5)*('Jul 6'!$AG$8:$AG$42="Delivered")*('Jul 6'!$Q$8:$Q$42+'Jul 6'!$R$8:$R$42))</f>
        <v>0</v>
      </c>
      <c r="AA28">
        <f>SUMPRODUCT((('Jul 7'!$F$8:$F$42=$T9)*(0.5+0.5*('Jul 7'!$G$8:$G$42=""))+('Jul 7'!$G$8:$G$42=$T9)*0.5)*('Jul 7'!$AG$8:$AG$42="Delivered")*('Jul 7'!$Q$8:$Q$42+'Jul 7'!$R$8:$R$42))</f>
        <v>0</v>
      </c>
      <c r="AB28">
        <f>SUMPRODUCT((('Jul 8'!$F$8:$F$42=$T9)*(0.5+0.5*('Jul 8'!$G$8:$G$42=""))+('Jul 8'!$G$8:$G$42=$T9)*0.5)*('Jul 8'!$AG$8:$AG$42="Delivered")*('Jul 8'!$Q$8:$Q$42+'Jul 8'!$R$8:$R$42))</f>
        <v>0</v>
      </c>
      <c r="AC28">
        <f>SUMPRODUCT((('Jul 9'!$F$8:$F$42=$T9)*(0.5+0.5*('Jul 9'!$G$8:$G$42=""))+('Jul 9'!$G$8:$G$42=$T9)*0.5)*('Jul 9'!$AG$8:$AG$42="Delivered")*('Jul 9'!$Q$8:$Q$42+'Jul 9'!$R$8:$R$42))</f>
        <v>0</v>
      </c>
      <c r="AD28">
        <f>SUMPRODUCT((('Jul 10'!$F$8:$F$42=$T9)*(0.5+0.5*('Jul 10'!$G$8:$G$42=""))+('Jul 10'!$G$8:$G$42=$T9)*0.5)*('Jul 10'!$AG$8:$AG$42="Delivered")*('Jul 10'!$Q$8:$Q$42+'Jul 10'!$R$8:$R$42))</f>
        <v>0</v>
      </c>
      <c r="AE28">
        <f>SUMPRODUCT((('Jul 11'!$F$8:$F$42=$T9)*(0.5+0.5*('Jul 11'!$G$8:$G$42=""))+('Jul 11'!$G$8:$G$42=$T9)*0.5)*('Jul 11'!$AG$8:$AG$42="Delivered")*('Jul 11'!$Q$8:$Q$42+'Jul 11'!$R$8:$R$42))</f>
        <v>0</v>
      </c>
      <c r="AF28">
        <f>SUMPRODUCT((('Jul 12'!$F$8:$F$42=$T9)*(0.5+0.5*('Jul 12'!$G$8:$G$42=""))+('Jul 12'!$G$8:$G$42=$T9)*0.5)*('Jul 12'!$AG$8:$AG$42="Delivered")*('Jul 12'!$Q$8:$Q$42+'Jul 12'!$R$8:$R$42))</f>
        <v>0</v>
      </c>
      <c r="AG28">
        <f>SUMPRODUCT((('Jul 13'!$F$8:$F$42=$T9)*(0.5+0.5*('Jul 13'!$G$8:$G$42=""))+('Jul 13'!$G$8:$G$42=$T9)*0.5)*('Jul 13'!$AG$8:$AG$42="Delivered")*('Jul 13'!$Q$8:$Q$42+'Jul 13'!$R$8:$R$42))</f>
        <v>0</v>
      </c>
      <c r="AH28">
        <f>SUMPRODUCT((('Jul 14'!$F$8:$F$42=$T9)*(0.5+0.5*('Jul 14'!$G$8:$G$42=""))+('Jul 14'!$G$8:$G$42=$T9)*0.5)*('Jul 14'!$AG$8:$AG$42="Delivered")*('Jul 14'!$Q$8:$Q$42+'Jul 14'!$R$8:$R$42))</f>
        <v>0</v>
      </c>
      <c r="AI28">
        <f>SUMPRODUCT((('Jul 15'!$F$8:$F$42=$T9)*(0.5+0.5*('Jul 15'!$G$8:$G$42=""))+('Jul 15'!$G$8:$G$42=$T9)*0.5)*('Jul 15'!$AG$8:$AG$42="Delivered")*('Jul 15'!$Q$8:$Q$42+'Jul 15'!$R$8:$R$42))</f>
        <v>0</v>
      </c>
      <c r="AJ28">
        <f>SUMPRODUCT((('Jul 16'!$F$8:$F$42=$T9)*(0.5+0.5*('Jul 16'!$G$8:$G$42=""))+('Jul 16'!$G$8:$G$42=$T9)*0.5)*('Jul 16'!$AG$8:$AG$42="Delivered")*('Jul 16'!$Q$8:$Q$42+'Jul 16'!$R$8:$R$42))</f>
        <v>0</v>
      </c>
      <c r="AK28">
        <f>SUMPRODUCT((('Jul 17'!$F$8:$F$42=$T9)*(0.5+0.5*('Jul 17'!$G$8:$G$42=""))+('Jul 17'!$G$8:$G$42=$T9)*0.5)*('Jul 17'!$AG$8:$AG$42="Delivered")*('Jul 17'!$Q$8:$Q$42+'Jul 17'!$R$8:$R$42))</f>
        <v>0</v>
      </c>
      <c r="AL28">
        <f>SUMPRODUCT((('Jul 18'!$F$8:$F$42=$T9)*(0.5+0.5*('Jul 18'!$G$8:$G$42=""))+('Jul 18'!$G$8:$G$42=$T9)*0.5)*('Jul 18'!$AG$8:$AG$42="Delivered")*('Jul 18'!$Q$8:$Q$42+'Jul 18'!$R$8:$R$42))</f>
        <v>0</v>
      </c>
      <c r="AM28">
        <f>SUMPRODUCT((('Jul 19'!$F$8:$F$42=$T9)*(0.5+0.5*('Jul 19'!$G$8:$G$42=""))+('Jul 19'!$G$8:$G$42=$T9)*0.5)*('Jul 19'!$AG$8:$AG$42="Delivered")*('Jul 19'!$Q$8:$Q$42+'Jul 19'!$R$8:$R$42))</f>
        <v>0</v>
      </c>
      <c r="AN28">
        <f>SUMPRODUCT((('Jul 20'!$F$8:$F$42=$T9)*(0.5+0.5*('Jul 20'!$G$8:$G$42=""))+('Jul 20'!$G$8:$G$42=$T9)*0.5)*('Jul 20'!$AG$8:$AG$42="Delivered")*('Jul 20'!$Q$8:$Q$42+'Jul 20'!$R$8:$R$42))</f>
        <v>0</v>
      </c>
      <c r="AO28">
        <f>SUMPRODUCT((('Jul 21'!$F$8:$F$42=$T9)*(0.5+0.5*('Jul 21'!$G$8:$G$42=""))+('Jul 21'!$G$8:$G$42=$T9)*0.5)*('Jul 21'!$AG$8:$AG$42="Delivered")*('Jul 21'!$Q$8:$Q$42+'Jul 21'!$R$8:$R$42))</f>
        <v>0</v>
      </c>
      <c r="AP28">
        <f>SUMPRODUCT((('Jul 22'!$F$8:$F$42=$T9)*(0.5+0.5*('Jul 22'!$G$8:$G$42=""))+('Jul 22'!$G$8:$G$42=$T9)*0.5)*('Jul 22'!$AG$8:$AG$42="Delivered")*('Jul 22'!$Q$8:$Q$42+'Jul 22'!$R$8:$R$42))</f>
        <v>0</v>
      </c>
      <c r="AQ28">
        <f>SUMPRODUCT((('Jul 23'!$F$8:$F$42=$T9)*(0.5+0.5*('Jul 23'!$G$8:$G$42=""))+('Jul 23'!$G$8:$G$42=$T9)*0.5)*('Jul 23'!$AG$8:$AG$42="Delivered")*('Jul 23'!$Q$8:$Q$42+'Jul 23'!$R$8:$R$42))</f>
        <v>0</v>
      </c>
      <c r="AR28">
        <f>SUMPRODUCT((('Jul 24'!$F$8:$F$42=$T9)*(0.5+0.5*('Jul 24'!$G$8:$G$42=""))+('Jul 24'!$G$8:$G$42=$T9)*0.5)*('Jul 24'!$AG$8:$AG$42="Delivered")*('Jul 24'!$Q$8:$Q$42+'Jul 24'!$R$8:$R$42))</f>
        <v>0</v>
      </c>
      <c r="AS28">
        <f>SUMPRODUCT((('Jul 25'!$F$8:$F$42=$T9)*(0.5+0.5*('Jul 25'!$G$8:$G$42=""))+('Jul 25'!$G$8:$G$42=$T9)*0.5)*('Jul 25'!$AG$8:$AG$42="Delivered")*('Jul 25'!$Q$8:$Q$42+'Jul 25'!$R$8:$R$42))</f>
        <v>0</v>
      </c>
      <c r="AT28">
        <f>SUMPRODUCT((('Jul 26'!$F$8:$F$42=$T9)*(0.5+0.5*('Jul 26'!$G$8:$G$42=""))+('Jul 26'!$G$8:$G$42=$T9)*0.5)*('Jul 26'!$AG$8:$AG$42="Delivered")*('Jul 26'!$Q$8:$Q$42+'Jul 26'!$R$8:$R$42))</f>
        <v>0</v>
      </c>
      <c r="AU28">
        <f>SUMPRODUCT((('Jul 27'!$F$8:$F$42=$T9)*(0.5+0.5*('Jul 27'!$G$8:$G$42=""))+('Jul 27'!$G$8:$G$42=$T9)*0.5)*('Jul 27'!$AG$8:$AG$42="Delivered")*('Jul 27'!$Q$8:$Q$42+'Jul 27'!$R$8:$R$42))</f>
        <v>0</v>
      </c>
      <c r="AV28">
        <f>SUMPRODUCT((('Jul 28'!$F$8:$F$42=$T9)*(0.5+0.5*('Jul 28'!$G$8:$G$42=""))+('Jul 28'!$G$8:$G$42=$T9)*0.5)*('Jul 28'!$AG$8:$AG$42="Delivered")*('Jul 28'!$Q$8:$Q$42+'Jul 28'!$R$8:$R$42))</f>
        <v>0</v>
      </c>
      <c r="AW28">
        <f>SUMPRODUCT((('Jul 29'!$F$8:$F$42=$T9)*(0.5+0.5*('Jul 29'!$G$8:$G$42=""))+('Jul 29'!$G$8:$G$42=$T9)*0.5)*('Jul 29'!$AG$8:$AG$42="Delivered")*('Jul 29'!$Q$8:$Q$42+'Jul 29'!$R$8:$R$42))</f>
        <v>0</v>
      </c>
      <c r="AX28">
        <f>SUMPRODUCT((('Jul 30'!$F$8:$F$42=$T9)*(0.5+0.5*('Jul 30'!$G$8:$G$42=""))+('Jul 30'!$G$8:$G$42=$T9)*0.5)*('Jul 30'!$AG$8:$AG$42="Delivered")*('Jul 30'!$Q$8:$Q$42+'Jul 30'!$R$8:$R$42))</f>
        <v>0</v>
      </c>
      <c r="AY28">
        <f>SUMPRODUCT((('Jul 31'!$F$8:$F$42=$T9)*(0.5+0.5*('Jul 31'!$G$8:$G$42=""))+('Jul 31'!$G$8:$G$42=$T9)*0.5)*('Jul 31'!$AG$8:$AG$42="Delivered")*('Jul 31'!$Q$8:$Q$42+'Jul 31'!$R$8:$R$42))</f>
        <v>0</v>
      </c>
    </row>
    <row r="29" spans="1:58" x14ac:dyDescent="0.25">
      <c r="A29" s="129" t="s">
        <v>111</v>
      </c>
      <c r="B29" s="100"/>
      <c r="C29" s="100"/>
      <c r="D29" s="100"/>
      <c r="E29" s="100"/>
      <c r="F29" s="100"/>
      <c r="G29" s="100"/>
      <c r="H29" s="100"/>
      <c r="I29" s="129" t="str">
        <f>IF(ABS(J23-BH5*'Pay Plan'!$I$15)&lt;=2,"✓ tie  "&amp;TEXT(BH5,"0")&amp;" prod × "&amp;TEXT('Pay Plan'!$I$15,"$0"),"⚠ "&amp;TEXT(J23-BH5*'Pay Plan'!$I$15,"$#,##0"))</f>
        <v>✓ tie  0 prod × $25</v>
      </c>
      <c r="J29" s="100"/>
      <c r="K29" s="100"/>
      <c r="L29" s="100"/>
      <c r="M29" s="100"/>
      <c r="N29" s="100"/>
      <c r="O29" s="100"/>
      <c r="P29" s="100"/>
      <c r="Q29" s="100"/>
      <c r="R29" s="100"/>
      <c r="U29">
        <f>SUMPRODUCT((('Jul 1'!$F$8:$F$42=$T10)*(0.5+0.5*('Jul 1'!$G$8:$G$42=""))+('Jul 1'!$G$8:$G$42=$T10)*0.5)*('Jul 1'!$AG$8:$AG$42="Delivered")*('Jul 1'!$Q$8:$Q$42+'Jul 1'!$R$8:$R$42))</f>
        <v>0</v>
      </c>
      <c r="V29">
        <f>SUMPRODUCT((('Jul 2'!$F$8:$F$42=$T10)*(0.5+0.5*('Jul 2'!$G$8:$G$42=""))+('Jul 2'!$G$8:$G$42=$T10)*0.5)*('Jul 2'!$AG$8:$AG$42="Delivered")*('Jul 2'!$Q$8:$Q$42+'Jul 2'!$R$8:$R$42))</f>
        <v>0</v>
      </c>
      <c r="W29">
        <f>SUMPRODUCT((('Jul 3'!$F$8:$F$42=$T10)*(0.5+0.5*('Jul 3'!$G$8:$G$42=""))+('Jul 3'!$G$8:$G$42=$T10)*0.5)*('Jul 3'!$AG$8:$AG$42="Delivered")*('Jul 3'!$Q$8:$Q$42+'Jul 3'!$R$8:$R$42))</f>
        <v>0</v>
      </c>
      <c r="X29">
        <f>SUMPRODUCT((('Jul 4'!$F$8:$F$42=$T10)*(0.5+0.5*('Jul 4'!$G$8:$G$42=""))+('Jul 4'!$G$8:$G$42=$T10)*0.5)*('Jul 4'!$AG$8:$AG$42="Delivered")*('Jul 4'!$Q$8:$Q$42+'Jul 4'!$R$8:$R$42))</f>
        <v>0</v>
      </c>
      <c r="Y29">
        <f>SUMPRODUCT((('Jul 5'!$F$8:$F$42=$T10)*(0.5+0.5*('Jul 5'!$G$8:$G$42=""))+('Jul 5'!$G$8:$G$42=$T10)*0.5)*('Jul 5'!$AG$8:$AG$42="Delivered")*('Jul 5'!$Q$8:$Q$42+'Jul 5'!$R$8:$R$42))</f>
        <v>0</v>
      </c>
      <c r="Z29">
        <f>SUMPRODUCT((('Jul 6'!$F$8:$F$42=$T10)*(0.5+0.5*('Jul 6'!$G$8:$G$42=""))+('Jul 6'!$G$8:$G$42=$T10)*0.5)*('Jul 6'!$AG$8:$AG$42="Delivered")*('Jul 6'!$Q$8:$Q$42+'Jul 6'!$R$8:$R$42))</f>
        <v>0</v>
      </c>
      <c r="AA29">
        <f>SUMPRODUCT((('Jul 7'!$F$8:$F$42=$T10)*(0.5+0.5*('Jul 7'!$G$8:$G$42=""))+('Jul 7'!$G$8:$G$42=$T10)*0.5)*('Jul 7'!$AG$8:$AG$42="Delivered")*('Jul 7'!$Q$8:$Q$42+'Jul 7'!$R$8:$R$42))</f>
        <v>0</v>
      </c>
      <c r="AB29">
        <f>SUMPRODUCT((('Jul 8'!$F$8:$F$42=$T10)*(0.5+0.5*('Jul 8'!$G$8:$G$42=""))+('Jul 8'!$G$8:$G$42=$T10)*0.5)*('Jul 8'!$AG$8:$AG$42="Delivered")*('Jul 8'!$Q$8:$Q$42+'Jul 8'!$R$8:$R$42))</f>
        <v>0</v>
      </c>
      <c r="AC29">
        <f>SUMPRODUCT((('Jul 9'!$F$8:$F$42=$T10)*(0.5+0.5*('Jul 9'!$G$8:$G$42=""))+('Jul 9'!$G$8:$G$42=$T10)*0.5)*('Jul 9'!$AG$8:$AG$42="Delivered")*('Jul 9'!$Q$8:$Q$42+'Jul 9'!$R$8:$R$42))</f>
        <v>0</v>
      </c>
      <c r="AD29">
        <f>SUMPRODUCT((('Jul 10'!$F$8:$F$42=$T10)*(0.5+0.5*('Jul 10'!$G$8:$G$42=""))+('Jul 10'!$G$8:$G$42=$T10)*0.5)*('Jul 10'!$AG$8:$AG$42="Delivered")*('Jul 10'!$Q$8:$Q$42+'Jul 10'!$R$8:$R$42))</f>
        <v>0</v>
      </c>
      <c r="AE29">
        <f>SUMPRODUCT((('Jul 11'!$F$8:$F$42=$T10)*(0.5+0.5*('Jul 11'!$G$8:$G$42=""))+('Jul 11'!$G$8:$G$42=$T10)*0.5)*('Jul 11'!$AG$8:$AG$42="Delivered")*('Jul 11'!$Q$8:$Q$42+'Jul 11'!$R$8:$R$42))</f>
        <v>0</v>
      </c>
      <c r="AF29">
        <f>SUMPRODUCT((('Jul 12'!$F$8:$F$42=$T10)*(0.5+0.5*('Jul 12'!$G$8:$G$42=""))+('Jul 12'!$G$8:$G$42=$T10)*0.5)*('Jul 12'!$AG$8:$AG$42="Delivered")*('Jul 12'!$Q$8:$Q$42+'Jul 12'!$R$8:$R$42))</f>
        <v>0</v>
      </c>
      <c r="AG29">
        <f>SUMPRODUCT((('Jul 13'!$F$8:$F$42=$T10)*(0.5+0.5*('Jul 13'!$G$8:$G$42=""))+('Jul 13'!$G$8:$G$42=$T10)*0.5)*('Jul 13'!$AG$8:$AG$42="Delivered")*('Jul 13'!$Q$8:$Q$42+'Jul 13'!$R$8:$R$42))</f>
        <v>0</v>
      </c>
      <c r="AH29">
        <f>SUMPRODUCT((('Jul 14'!$F$8:$F$42=$T10)*(0.5+0.5*('Jul 14'!$G$8:$G$42=""))+('Jul 14'!$G$8:$G$42=$T10)*0.5)*('Jul 14'!$AG$8:$AG$42="Delivered")*('Jul 14'!$Q$8:$Q$42+'Jul 14'!$R$8:$R$42))</f>
        <v>0</v>
      </c>
      <c r="AI29">
        <f>SUMPRODUCT((('Jul 15'!$F$8:$F$42=$T10)*(0.5+0.5*('Jul 15'!$G$8:$G$42=""))+('Jul 15'!$G$8:$G$42=$T10)*0.5)*('Jul 15'!$AG$8:$AG$42="Delivered")*('Jul 15'!$Q$8:$Q$42+'Jul 15'!$R$8:$R$42))</f>
        <v>0</v>
      </c>
      <c r="AJ29">
        <f>SUMPRODUCT((('Jul 16'!$F$8:$F$42=$T10)*(0.5+0.5*('Jul 16'!$G$8:$G$42=""))+('Jul 16'!$G$8:$G$42=$T10)*0.5)*('Jul 16'!$AG$8:$AG$42="Delivered")*('Jul 16'!$Q$8:$Q$42+'Jul 16'!$R$8:$R$42))</f>
        <v>0</v>
      </c>
      <c r="AK29">
        <f>SUMPRODUCT((('Jul 17'!$F$8:$F$42=$T10)*(0.5+0.5*('Jul 17'!$G$8:$G$42=""))+('Jul 17'!$G$8:$G$42=$T10)*0.5)*('Jul 17'!$AG$8:$AG$42="Delivered")*('Jul 17'!$Q$8:$Q$42+'Jul 17'!$R$8:$R$42))</f>
        <v>0</v>
      </c>
      <c r="AL29">
        <f>SUMPRODUCT((('Jul 18'!$F$8:$F$42=$T10)*(0.5+0.5*('Jul 18'!$G$8:$G$42=""))+('Jul 18'!$G$8:$G$42=$T10)*0.5)*('Jul 18'!$AG$8:$AG$42="Delivered")*('Jul 18'!$Q$8:$Q$42+'Jul 18'!$R$8:$R$42))</f>
        <v>0</v>
      </c>
      <c r="AM29">
        <f>SUMPRODUCT((('Jul 19'!$F$8:$F$42=$T10)*(0.5+0.5*('Jul 19'!$G$8:$G$42=""))+('Jul 19'!$G$8:$G$42=$T10)*0.5)*('Jul 19'!$AG$8:$AG$42="Delivered")*('Jul 19'!$Q$8:$Q$42+'Jul 19'!$R$8:$R$42))</f>
        <v>0</v>
      </c>
      <c r="AN29">
        <f>SUMPRODUCT((('Jul 20'!$F$8:$F$42=$T10)*(0.5+0.5*('Jul 20'!$G$8:$G$42=""))+('Jul 20'!$G$8:$G$42=$T10)*0.5)*('Jul 20'!$AG$8:$AG$42="Delivered")*('Jul 20'!$Q$8:$Q$42+'Jul 20'!$R$8:$R$42))</f>
        <v>0</v>
      </c>
      <c r="AO29">
        <f>SUMPRODUCT((('Jul 21'!$F$8:$F$42=$T10)*(0.5+0.5*('Jul 21'!$G$8:$G$42=""))+('Jul 21'!$G$8:$G$42=$T10)*0.5)*('Jul 21'!$AG$8:$AG$42="Delivered")*('Jul 21'!$Q$8:$Q$42+'Jul 21'!$R$8:$R$42))</f>
        <v>0</v>
      </c>
      <c r="AP29">
        <f>SUMPRODUCT((('Jul 22'!$F$8:$F$42=$T10)*(0.5+0.5*('Jul 22'!$G$8:$G$42=""))+('Jul 22'!$G$8:$G$42=$T10)*0.5)*('Jul 22'!$AG$8:$AG$42="Delivered")*('Jul 22'!$Q$8:$Q$42+'Jul 22'!$R$8:$R$42))</f>
        <v>0</v>
      </c>
      <c r="AQ29">
        <f>SUMPRODUCT((('Jul 23'!$F$8:$F$42=$T10)*(0.5+0.5*('Jul 23'!$G$8:$G$42=""))+('Jul 23'!$G$8:$G$42=$T10)*0.5)*('Jul 23'!$AG$8:$AG$42="Delivered")*('Jul 23'!$Q$8:$Q$42+'Jul 23'!$R$8:$R$42))</f>
        <v>0</v>
      </c>
      <c r="AR29">
        <f>SUMPRODUCT((('Jul 24'!$F$8:$F$42=$T10)*(0.5+0.5*('Jul 24'!$G$8:$G$42=""))+('Jul 24'!$G$8:$G$42=$T10)*0.5)*('Jul 24'!$AG$8:$AG$42="Delivered")*('Jul 24'!$Q$8:$Q$42+'Jul 24'!$R$8:$R$42))</f>
        <v>0</v>
      </c>
      <c r="AS29">
        <f>SUMPRODUCT((('Jul 25'!$F$8:$F$42=$T10)*(0.5+0.5*('Jul 25'!$G$8:$G$42=""))+('Jul 25'!$G$8:$G$42=$T10)*0.5)*('Jul 25'!$AG$8:$AG$42="Delivered")*('Jul 25'!$Q$8:$Q$42+'Jul 25'!$R$8:$R$42))</f>
        <v>0</v>
      </c>
      <c r="AT29">
        <f>SUMPRODUCT((('Jul 26'!$F$8:$F$42=$T10)*(0.5+0.5*('Jul 26'!$G$8:$G$42=""))+('Jul 26'!$G$8:$G$42=$T10)*0.5)*('Jul 26'!$AG$8:$AG$42="Delivered")*('Jul 26'!$Q$8:$Q$42+'Jul 26'!$R$8:$R$42))</f>
        <v>0</v>
      </c>
      <c r="AU29">
        <f>SUMPRODUCT((('Jul 27'!$F$8:$F$42=$T10)*(0.5+0.5*('Jul 27'!$G$8:$G$42=""))+('Jul 27'!$G$8:$G$42=$T10)*0.5)*('Jul 27'!$AG$8:$AG$42="Delivered")*('Jul 27'!$Q$8:$Q$42+'Jul 27'!$R$8:$R$42))</f>
        <v>0</v>
      </c>
      <c r="AV29">
        <f>SUMPRODUCT((('Jul 28'!$F$8:$F$42=$T10)*(0.5+0.5*('Jul 28'!$G$8:$G$42=""))+('Jul 28'!$G$8:$G$42=$T10)*0.5)*('Jul 28'!$AG$8:$AG$42="Delivered")*('Jul 28'!$Q$8:$Q$42+'Jul 28'!$R$8:$R$42))</f>
        <v>0</v>
      </c>
      <c r="AW29">
        <f>SUMPRODUCT((('Jul 29'!$F$8:$F$42=$T10)*(0.5+0.5*('Jul 29'!$G$8:$G$42=""))+('Jul 29'!$G$8:$G$42=$T10)*0.5)*('Jul 29'!$AG$8:$AG$42="Delivered")*('Jul 29'!$Q$8:$Q$42+'Jul 29'!$R$8:$R$42))</f>
        <v>0</v>
      </c>
      <c r="AX29">
        <f>SUMPRODUCT((('Jul 30'!$F$8:$F$42=$T10)*(0.5+0.5*('Jul 30'!$G$8:$G$42=""))+('Jul 30'!$G$8:$G$42=$T10)*0.5)*('Jul 30'!$AG$8:$AG$42="Delivered")*('Jul 30'!$Q$8:$Q$42+'Jul 30'!$R$8:$R$42))</f>
        <v>0</v>
      </c>
      <c r="AY29">
        <f>SUMPRODUCT((('Jul 31'!$F$8:$F$42=$T10)*(0.5+0.5*('Jul 31'!$G$8:$G$42=""))+('Jul 31'!$G$8:$G$42=$T10)*0.5)*('Jul 31'!$AG$8:$AG$42="Delivered")*('Jul 31'!$Q$8:$Q$42+'Jul 31'!$R$8:$R$42))</f>
        <v>0</v>
      </c>
    </row>
    <row r="30" spans="1:58" x14ac:dyDescent="0.25">
      <c r="A30" s="129" t="s">
        <v>112</v>
      </c>
      <c r="B30" s="100"/>
      <c r="C30" s="100"/>
      <c r="D30" s="100"/>
      <c r="E30" s="100"/>
      <c r="F30" s="100"/>
      <c r="G30" s="100"/>
      <c r="H30" s="100"/>
      <c r="I30" s="129" t="str">
        <f>IF(AND(BH6&gt;=0,BH7&gt;=0),"✓ clean","⚠ negative value present")</f>
        <v>✓ clean</v>
      </c>
      <c r="J30" s="100"/>
      <c r="K30" s="100"/>
      <c r="L30" s="100"/>
      <c r="M30" s="100"/>
      <c r="N30" s="100"/>
      <c r="O30" s="100"/>
      <c r="P30" s="100"/>
      <c r="Q30" s="100"/>
      <c r="R30" s="100"/>
      <c r="U30">
        <f>SUMPRODUCT((('Jul 1'!$F$8:$F$42=$T11)*(0.5+0.5*('Jul 1'!$G$8:$G$42=""))+('Jul 1'!$G$8:$G$42=$T11)*0.5)*('Jul 1'!$AG$8:$AG$42="Delivered")*('Jul 1'!$Q$8:$Q$42+'Jul 1'!$R$8:$R$42))</f>
        <v>0</v>
      </c>
      <c r="V30">
        <f>SUMPRODUCT((('Jul 2'!$F$8:$F$42=$T11)*(0.5+0.5*('Jul 2'!$G$8:$G$42=""))+('Jul 2'!$G$8:$G$42=$T11)*0.5)*('Jul 2'!$AG$8:$AG$42="Delivered")*('Jul 2'!$Q$8:$Q$42+'Jul 2'!$R$8:$R$42))</f>
        <v>0</v>
      </c>
      <c r="W30">
        <f>SUMPRODUCT((('Jul 3'!$F$8:$F$42=$T11)*(0.5+0.5*('Jul 3'!$G$8:$G$42=""))+('Jul 3'!$G$8:$G$42=$T11)*0.5)*('Jul 3'!$AG$8:$AG$42="Delivered")*('Jul 3'!$Q$8:$Q$42+'Jul 3'!$R$8:$R$42))</f>
        <v>0</v>
      </c>
      <c r="X30">
        <f>SUMPRODUCT((('Jul 4'!$F$8:$F$42=$T11)*(0.5+0.5*('Jul 4'!$G$8:$G$42=""))+('Jul 4'!$G$8:$G$42=$T11)*0.5)*('Jul 4'!$AG$8:$AG$42="Delivered")*('Jul 4'!$Q$8:$Q$42+'Jul 4'!$R$8:$R$42))</f>
        <v>0</v>
      </c>
      <c r="Y30">
        <f>SUMPRODUCT((('Jul 5'!$F$8:$F$42=$T11)*(0.5+0.5*('Jul 5'!$G$8:$G$42=""))+('Jul 5'!$G$8:$G$42=$T11)*0.5)*('Jul 5'!$AG$8:$AG$42="Delivered")*('Jul 5'!$Q$8:$Q$42+'Jul 5'!$R$8:$R$42))</f>
        <v>0</v>
      </c>
      <c r="Z30">
        <f>SUMPRODUCT((('Jul 6'!$F$8:$F$42=$T11)*(0.5+0.5*('Jul 6'!$G$8:$G$42=""))+('Jul 6'!$G$8:$G$42=$T11)*0.5)*('Jul 6'!$AG$8:$AG$42="Delivered")*('Jul 6'!$Q$8:$Q$42+'Jul 6'!$R$8:$R$42))</f>
        <v>0</v>
      </c>
      <c r="AA30">
        <f>SUMPRODUCT((('Jul 7'!$F$8:$F$42=$T11)*(0.5+0.5*('Jul 7'!$G$8:$G$42=""))+('Jul 7'!$G$8:$G$42=$T11)*0.5)*('Jul 7'!$AG$8:$AG$42="Delivered")*('Jul 7'!$Q$8:$Q$42+'Jul 7'!$R$8:$R$42))</f>
        <v>0</v>
      </c>
      <c r="AB30">
        <f>SUMPRODUCT((('Jul 8'!$F$8:$F$42=$T11)*(0.5+0.5*('Jul 8'!$G$8:$G$42=""))+('Jul 8'!$G$8:$G$42=$T11)*0.5)*('Jul 8'!$AG$8:$AG$42="Delivered")*('Jul 8'!$Q$8:$Q$42+'Jul 8'!$R$8:$R$42))</f>
        <v>0</v>
      </c>
      <c r="AC30">
        <f>SUMPRODUCT((('Jul 9'!$F$8:$F$42=$T11)*(0.5+0.5*('Jul 9'!$G$8:$G$42=""))+('Jul 9'!$G$8:$G$42=$T11)*0.5)*('Jul 9'!$AG$8:$AG$42="Delivered")*('Jul 9'!$Q$8:$Q$42+'Jul 9'!$R$8:$R$42))</f>
        <v>0</v>
      </c>
      <c r="AD30">
        <f>SUMPRODUCT((('Jul 10'!$F$8:$F$42=$T11)*(0.5+0.5*('Jul 10'!$G$8:$G$42=""))+('Jul 10'!$G$8:$G$42=$T11)*0.5)*('Jul 10'!$AG$8:$AG$42="Delivered")*('Jul 10'!$Q$8:$Q$42+'Jul 10'!$R$8:$R$42))</f>
        <v>0</v>
      </c>
      <c r="AE30">
        <f>SUMPRODUCT((('Jul 11'!$F$8:$F$42=$T11)*(0.5+0.5*('Jul 11'!$G$8:$G$42=""))+('Jul 11'!$G$8:$G$42=$T11)*0.5)*('Jul 11'!$AG$8:$AG$42="Delivered")*('Jul 11'!$Q$8:$Q$42+'Jul 11'!$R$8:$R$42))</f>
        <v>0</v>
      </c>
      <c r="AF30">
        <f>SUMPRODUCT((('Jul 12'!$F$8:$F$42=$T11)*(0.5+0.5*('Jul 12'!$G$8:$G$42=""))+('Jul 12'!$G$8:$G$42=$T11)*0.5)*('Jul 12'!$AG$8:$AG$42="Delivered")*('Jul 12'!$Q$8:$Q$42+'Jul 12'!$R$8:$R$42))</f>
        <v>0</v>
      </c>
      <c r="AG30">
        <f>SUMPRODUCT((('Jul 13'!$F$8:$F$42=$T11)*(0.5+0.5*('Jul 13'!$G$8:$G$42=""))+('Jul 13'!$G$8:$G$42=$T11)*0.5)*('Jul 13'!$AG$8:$AG$42="Delivered")*('Jul 13'!$Q$8:$Q$42+'Jul 13'!$R$8:$R$42))</f>
        <v>0</v>
      </c>
      <c r="AH30">
        <f>SUMPRODUCT((('Jul 14'!$F$8:$F$42=$T11)*(0.5+0.5*('Jul 14'!$G$8:$G$42=""))+('Jul 14'!$G$8:$G$42=$T11)*0.5)*('Jul 14'!$AG$8:$AG$42="Delivered")*('Jul 14'!$Q$8:$Q$42+'Jul 14'!$R$8:$R$42))</f>
        <v>0</v>
      </c>
      <c r="AI30">
        <f>SUMPRODUCT((('Jul 15'!$F$8:$F$42=$T11)*(0.5+0.5*('Jul 15'!$G$8:$G$42=""))+('Jul 15'!$G$8:$G$42=$T11)*0.5)*('Jul 15'!$AG$8:$AG$42="Delivered")*('Jul 15'!$Q$8:$Q$42+'Jul 15'!$R$8:$R$42))</f>
        <v>0</v>
      </c>
      <c r="AJ30">
        <f>SUMPRODUCT((('Jul 16'!$F$8:$F$42=$T11)*(0.5+0.5*('Jul 16'!$G$8:$G$42=""))+('Jul 16'!$G$8:$G$42=$T11)*0.5)*('Jul 16'!$AG$8:$AG$42="Delivered")*('Jul 16'!$Q$8:$Q$42+'Jul 16'!$R$8:$R$42))</f>
        <v>0</v>
      </c>
      <c r="AK30">
        <f>SUMPRODUCT((('Jul 17'!$F$8:$F$42=$T11)*(0.5+0.5*('Jul 17'!$G$8:$G$42=""))+('Jul 17'!$G$8:$G$42=$T11)*0.5)*('Jul 17'!$AG$8:$AG$42="Delivered")*('Jul 17'!$Q$8:$Q$42+'Jul 17'!$R$8:$R$42))</f>
        <v>0</v>
      </c>
      <c r="AL30">
        <f>SUMPRODUCT((('Jul 18'!$F$8:$F$42=$T11)*(0.5+0.5*('Jul 18'!$G$8:$G$42=""))+('Jul 18'!$G$8:$G$42=$T11)*0.5)*('Jul 18'!$AG$8:$AG$42="Delivered")*('Jul 18'!$Q$8:$Q$42+'Jul 18'!$R$8:$R$42))</f>
        <v>0</v>
      </c>
      <c r="AM30">
        <f>SUMPRODUCT((('Jul 19'!$F$8:$F$42=$T11)*(0.5+0.5*('Jul 19'!$G$8:$G$42=""))+('Jul 19'!$G$8:$G$42=$T11)*0.5)*('Jul 19'!$AG$8:$AG$42="Delivered")*('Jul 19'!$Q$8:$Q$42+'Jul 19'!$R$8:$R$42))</f>
        <v>0</v>
      </c>
      <c r="AN30">
        <f>SUMPRODUCT((('Jul 20'!$F$8:$F$42=$T11)*(0.5+0.5*('Jul 20'!$G$8:$G$42=""))+('Jul 20'!$G$8:$G$42=$T11)*0.5)*('Jul 20'!$AG$8:$AG$42="Delivered")*('Jul 20'!$Q$8:$Q$42+'Jul 20'!$R$8:$R$42))</f>
        <v>0</v>
      </c>
      <c r="AO30">
        <f>SUMPRODUCT((('Jul 21'!$F$8:$F$42=$T11)*(0.5+0.5*('Jul 21'!$G$8:$G$42=""))+('Jul 21'!$G$8:$G$42=$T11)*0.5)*('Jul 21'!$AG$8:$AG$42="Delivered")*('Jul 21'!$Q$8:$Q$42+'Jul 21'!$R$8:$R$42))</f>
        <v>0</v>
      </c>
      <c r="AP30">
        <f>SUMPRODUCT((('Jul 22'!$F$8:$F$42=$T11)*(0.5+0.5*('Jul 22'!$G$8:$G$42=""))+('Jul 22'!$G$8:$G$42=$T11)*0.5)*('Jul 22'!$AG$8:$AG$42="Delivered")*('Jul 22'!$Q$8:$Q$42+'Jul 22'!$R$8:$R$42))</f>
        <v>0</v>
      </c>
      <c r="AQ30">
        <f>SUMPRODUCT((('Jul 23'!$F$8:$F$42=$T11)*(0.5+0.5*('Jul 23'!$G$8:$G$42=""))+('Jul 23'!$G$8:$G$42=$T11)*0.5)*('Jul 23'!$AG$8:$AG$42="Delivered")*('Jul 23'!$Q$8:$Q$42+'Jul 23'!$R$8:$R$42))</f>
        <v>0</v>
      </c>
      <c r="AR30">
        <f>SUMPRODUCT((('Jul 24'!$F$8:$F$42=$T11)*(0.5+0.5*('Jul 24'!$G$8:$G$42=""))+('Jul 24'!$G$8:$G$42=$T11)*0.5)*('Jul 24'!$AG$8:$AG$42="Delivered")*('Jul 24'!$Q$8:$Q$42+'Jul 24'!$R$8:$R$42))</f>
        <v>0</v>
      </c>
      <c r="AS30">
        <f>SUMPRODUCT((('Jul 25'!$F$8:$F$42=$T11)*(0.5+0.5*('Jul 25'!$G$8:$G$42=""))+('Jul 25'!$G$8:$G$42=$T11)*0.5)*('Jul 25'!$AG$8:$AG$42="Delivered")*('Jul 25'!$Q$8:$Q$42+'Jul 25'!$R$8:$R$42))</f>
        <v>0</v>
      </c>
      <c r="AT30">
        <f>SUMPRODUCT((('Jul 26'!$F$8:$F$42=$T11)*(0.5+0.5*('Jul 26'!$G$8:$G$42=""))+('Jul 26'!$G$8:$G$42=$T11)*0.5)*('Jul 26'!$AG$8:$AG$42="Delivered")*('Jul 26'!$Q$8:$Q$42+'Jul 26'!$R$8:$R$42))</f>
        <v>0</v>
      </c>
      <c r="AU30">
        <f>SUMPRODUCT((('Jul 27'!$F$8:$F$42=$T11)*(0.5+0.5*('Jul 27'!$G$8:$G$42=""))+('Jul 27'!$G$8:$G$42=$T11)*0.5)*('Jul 27'!$AG$8:$AG$42="Delivered")*('Jul 27'!$Q$8:$Q$42+'Jul 27'!$R$8:$R$42))</f>
        <v>0</v>
      </c>
      <c r="AV30">
        <f>SUMPRODUCT((('Jul 28'!$F$8:$F$42=$T11)*(0.5+0.5*('Jul 28'!$G$8:$G$42=""))+('Jul 28'!$G$8:$G$42=$T11)*0.5)*('Jul 28'!$AG$8:$AG$42="Delivered")*('Jul 28'!$Q$8:$Q$42+'Jul 28'!$R$8:$R$42))</f>
        <v>0</v>
      </c>
      <c r="AW30">
        <f>SUMPRODUCT((('Jul 29'!$F$8:$F$42=$T11)*(0.5+0.5*('Jul 29'!$G$8:$G$42=""))+('Jul 29'!$G$8:$G$42=$T11)*0.5)*('Jul 29'!$AG$8:$AG$42="Delivered")*('Jul 29'!$Q$8:$Q$42+'Jul 29'!$R$8:$R$42))</f>
        <v>0</v>
      </c>
      <c r="AX30">
        <f>SUMPRODUCT((('Jul 30'!$F$8:$F$42=$T11)*(0.5+0.5*('Jul 30'!$G$8:$G$42=""))+('Jul 30'!$G$8:$G$42=$T11)*0.5)*('Jul 30'!$AG$8:$AG$42="Delivered")*('Jul 30'!$Q$8:$Q$42+'Jul 30'!$R$8:$R$42))</f>
        <v>0</v>
      </c>
      <c r="AY30">
        <f>SUMPRODUCT((('Jul 31'!$F$8:$F$42=$T11)*(0.5+0.5*('Jul 31'!$G$8:$G$42=""))+('Jul 31'!$G$8:$G$42=$T11)*0.5)*('Jul 31'!$AG$8:$AG$42="Delivered")*('Jul 31'!$Q$8:$Q$42+'Jul 31'!$R$8:$R$42))</f>
        <v>0</v>
      </c>
    </row>
    <row r="31" spans="1:58" x14ac:dyDescent="0.25">
      <c r="A31" s="129" t="s">
        <v>113</v>
      </c>
      <c r="B31" s="100"/>
      <c r="C31" s="100"/>
      <c r="D31" s="100"/>
      <c r="E31" s="100"/>
      <c r="F31" s="100"/>
      <c r="G31" s="100"/>
      <c r="H31" s="100"/>
      <c r="I31" s="129" t="str">
        <f>IF(BH8=0,"✓ all tiers resolved","⚠ "&amp;TEXT(BH8,"0")&amp;" SP without tier")</f>
        <v>✓ all tiers resolved</v>
      </c>
      <c r="J31" s="100"/>
      <c r="K31" s="100"/>
      <c r="L31" s="100"/>
      <c r="M31" s="100"/>
      <c r="N31" s="100"/>
      <c r="O31" s="100"/>
      <c r="P31" s="100"/>
      <c r="Q31" s="100"/>
      <c r="R31" s="100"/>
      <c r="U31">
        <f>SUMPRODUCT((('Jul 1'!$F$8:$F$42=$T12)*(0.5+0.5*('Jul 1'!$G$8:$G$42=""))+('Jul 1'!$G$8:$G$42=$T12)*0.5)*('Jul 1'!$AG$8:$AG$42="Delivered")*('Jul 1'!$Q$8:$Q$42+'Jul 1'!$R$8:$R$42))</f>
        <v>0</v>
      </c>
      <c r="V31">
        <f>SUMPRODUCT((('Jul 2'!$F$8:$F$42=$T12)*(0.5+0.5*('Jul 2'!$G$8:$G$42=""))+('Jul 2'!$G$8:$G$42=$T12)*0.5)*('Jul 2'!$AG$8:$AG$42="Delivered")*('Jul 2'!$Q$8:$Q$42+'Jul 2'!$R$8:$R$42))</f>
        <v>0</v>
      </c>
      <c r="W31">
        <f>SUMPRODUCT((('Jul 3'!$F$8:$F$42=$T12)*(0.5+0.5*('Jul 3'!$G$8:$G$42=""))+('Jul 3'!$G$8:$G$42=$T12)*0.5)*('Jul 3'!$AG$8:$AG$42="Delivered")*('Jul 3'!$Q$8:$Q$42+'Jul 3'!$R$8:$R$42))</f>
        <v>0</v>
      </c>
      <c r="X31">
        <f>SUMPRODUCT((('Jul 4'!$F$8:$F$42=$T12)*(0.5+0.5*('Jul 4'!$G$8:$G$42=""))+('Jul 4'!$G$8:$G$42=$T12)*0.5)*('Jul 4'!$AG$8:$AG$42="Delivered")*('Jul 4'!$Q$8:$Q$42+'Jul 4'!$R$8:$R$42))</f>
        <v>0</v>
      </c>
      <c r="Y31">
        <f>SUMPRODUCT((('Jul 5'!$F$8:$F$42=$T12)*(0.5+0.5*('Jul 5'!$G$8:$G$42=""))+('Jul 5'!$G$8:$G$42=$T12)*0.5)*('Jul 5'!$AG$8:$AG$42="Delivered")*('Jul 5'!$Q$8:$Q$42+'Jul 5'!$R$8:$R$42))</f>
        <v>0</v>
      </c>
      <c r="Z31">
        <f>SUMPRODUCT((('Jul 6'!$F$8:$F$42=$T12)*(0.5+0.5*('Jul 6'!$G$8:$G$42=""))+('Jul 6'!$G$8:$G$42=$T12)*0.5)*('Jul 6'!$AG$8:$AG$42="Delivered")*('Jul 6'!$Q$8:$Q$42+'Jul 6'!$R$8:$R$42))</f>
        <v>0</v>
      </c>
      <c r="AA31">
        <f>SUMPRODUCT((('Jul 7'!$F$8:$F$42=$T12)*(0.5+0.5*('Jul 7'!$G$8:$G$42=""))+('Jul 7'!$G$8:$G$42=$T12)*0.5)*('Jul 7'!$AG$8:$AG$42="Delivered")*('Jul 7'!$Q$8:$Q$42+'Jul 7'!$R$8:$R$42))</f>
        <v>0</v>
      </c>
      <c r="AB31">
        <f>SUMPRODUCT((('Jul 8'!$F$8:$F$42=$T12)*(0.5+0.5*('Jul 8'!$G$8:$G$42=""))+('Jul 8'!$G$8:$G$42=$T12)*0.5)*('Jul 8'!$AG$8:$AG$42="Delivered")*('Jul 8'!$Q$8:$Q$42+'Jul 8'!$R$8:$R$42))</f>
        <v>0</v>
      </c>
      <c r="AC31">
        <f>SUMPRODUCT((('Jul 9'!$F$8:$F$42=$T12)*(0.5+0.5*('Jul 9'!$G$8:$G$42=""))+('Jul 9'!$G$8:$G$42=$T12)*0.5)*('Jul 9'!$AG$8:$AG$42="Delivered")*('Jul 9'!$Q$8:$Q$42+'Jul 9'!$R$8:$R$42))</f>
        <v>0</v>
      </c>
      <c r="AD31">
        <f>SUMPRODUCT((('Jul 10'!$F$8:$F$42=$T12)*(0.5+0.5*('Jul 10'!$G$8:$G$42=""))+('Jul 10'!$G$8:$G$42=$T12)*0.5)*('Jul 10'!$AG$8:$AG$42="Delivered")*('Jul 10'!$Q$8:$Q$42+'Jul 10'!$R$8:$R$42))</f>
        <v>0</v>
      </c>
      <c r="AE31">
        <f>SUMPRODUCT((('Jul 11'!$F$8:$F$42=$T12)*(0.5+0.5*('Jul 11'!$G$8:$G$42=""))+('Jul 11'!$G$8:$G$42=$T12)*0.5)*('Jul 11'!$AG$8:$AG$42="Delivered")*('Jul 11'!$Q$8:$Q$42+'Jul 11'!$R$8:$R$42))</f>
        <v>0</v>
      </c>
      <c r="AF31">
        <f>SUMPRODUCT((('Jul 12'!$F$8:$F$42=$T12)*(0.5+0.5*('Jul 12'!$G$8:$G$42=""))+('Jul 12'!$G$8:$G$42=$T12)*0.5)*('Jul 12'!$AG$8:$AG$42="Delivered")*('Jul 12'!$Q$8:$Q$42+'Jul 12'!$R$8:$R$42))</f>
        <v>0</v>
      </c>
      <c r="AG31">
        <f>SUMPRODUCT((('Jul 13'!$F$8:$F$42=$T12)*(0.5+0.5*('Jul 13'!$G$8:$G$42=""))+('Jul 13'!$G$8:$G$42=$T12)*0.5)*('Jul 13'!$AG$8:$AG$42="Delivered")*('Jul 13'!$Q$8:$Q$42+'Jul 13'!$R$8:$R$42))</f>
        <v>0</v>
      </c>
      <c r="AH31">
        <f>SUMPRODUCT((('Jul 14'!$F$8:$F$42=$T12)*(0.5+0.5*('Jul 14'!$G$8:$G$42=""))+('Jul 14'!$G$8:$G$42=$T12)*0.5)*('Jul 14'!$AG$8:$AG$42="Delivered")*('Jul 14'!$Q$8:$Q$42+'Jul 14'!$R$8:$R$42))</f>
        <v>0</v>
      </c>
      <c r="AI31">
        <f>SUMPRODUCT((('Jul 15'!$F$8:$F$42=$T12)*(0.5+0.5*('Jul 15'!$G$8:$G$42=""))+('Jul 15'!$G$8:$G$42=$T12)*0.5)*('Jul 15'!$AG$8:$AG$42="Delivered")*('Jul 15'!$Q$8:$Q$42+'Jul 15'!$R$8:$R$42))</f>
        <v>0</v>
      </c>
      <c r="AJ31">
        <f>SUMPRODUCT((('Jul 16'!$F$8:$F$42=$T12)*(0.5+0.5*('Jul 16'!$G$8:$G$42=""))+('Jul 16'!$G$8:$G$42=$T12)*0.5)*('Jul 16'!$AG$8:$AG$42="Delivered")*('Jul 16'!$Q$8:$Q$42+'Jul 16'!$R$8:$R$42))</f>
        <v>0</v>
      </c>
      <c r="AK31">
        <f>SUMPRODUCT((('Jul 17'!$F$8:$F$42=$T12)*(0.5+0.5*('Jul 17'!$G$8:$G$42=""))+('Jul 17'!$G$8:$G$42=$T12)*0.5)*('Jul 17'!$AG$8:$AG$42="Delivered")*('Jul 17'!$Q$8:$Q$42+'Jul 17'!$R$8:$R$42))</f>
        <v>0</v>
      </c>
      <c r="AL31">
        <f>SUMPRODUCT((('Jul 18'!$F$8:$F$42=$T12)*(0.5+0.5*('Jul 18'!$G$8:$G$42=""))+('Jul 18'!$G$8:$G$42=$T12)*0.5)*('Jul 18'!$AG$8:$AG$42="Delivered")*('Jul 18'!$Q$8:$Q$42+'Jul 18'!$R$8:$R$42))</f>
        <v>0</v>
      </c>
      <c r="AM31">
        <f>SUMPRODUCT((('Jul 19'!$F$8:$F$42=$T12)*(0.5+0.5*('Jul 19'!$G$8:$G$42=""))+('Jul 19'!$G$8:$G$42=$T12)*0.5)*('Jul 19'!$AG$8:$AG$42="Delivered")*('Jul 19'!$Q$8:$Q$42+'Jul 19'!$R$8:$R$42))</f>
        <v>0</v>
      </c>
      <c r="AN31">
        <f>SUMPRODUCT((('Jul 20'!$F$8:$F$42=$T12)*(0.5+0.5*('Jul 20'!$G$8:$G$42=""))+('Jul 20'!$G$8:$G$42=$T12)*0.5)*('Jul 20'!$AG$8:$AG$42="Delivered")*('Jul 20'!$Q$8:$Q$42+'Jul 20'!$R$8:$R$42))</f>
        <v>0</v>
      </c>
      <c r="AO31">
        <f>SUMPRODUCT((('Jul 21'!$F$8:$F$42=$T12)*(0.5+0.5*('Jul 21'!$G$8:$G$42=""))+('Jul 21'!$G$8:$G$42=$T12)*0.5)*('Jul 21'!$AG$8:$AG$42="Delivered")*('Jul 21'!$Q$8:$Q$42+'Jul 21'!$R$8:$R$42))</f>
        <v>0</v>
      </c>
      <c r="AP31">
        <f>SUMPRODUCT((('Jul 22'!$F$8:$F$42=$T12)*(0.5+0.5*('Jul 22'!$G$8:$G$42=""))+('Jul 22'!$G$8:$G$42=$T12)*0.5)*('Jul 22'!$AG$8:$AG$42="Delivered")*('Jul 22'!$Q$8:$Q$42+'Jul 22'!$R$8:$R$42))</f>
        <v>0</v>
      </c>
      <c r="AQ31">
        <f>SUMPRODUCT((('Jul 23'!$F$8:$F$42=$T12)*(0.5+0.5*('Jul 23'!$G$8:$G$42=""))+('Jul 23'!$G$8:$G$42=$T12)*0.5)*('Jul 23'!$AG$8:$AG$42="Delivered")*('Jul 23'!$Q$8:$Q$42+'Jul 23'!$R$8:$R$42))</f>
        <v>0</v>
      </c>
      <c r="AR31">
        <f>SUMPRODUCT((('Jul 24'!$F$8:$F$42=$T12)*(0.5+0.5*('Jul 24'!$G$8:$G$42=""))+('Jul 24'!$G$8:$G$42=$T12)*0.5)*('Jul 24'!$AG$8:$AG$42="Delivered")*('Jul 24'!$Q$8:$Q$42+'Jul 24'!$R$8:$R$42))</f>
        <v>0</v>
      </c>
      <c r="AS31">
        <f>SUMPRODUCT((('Jul 25'!$F$8:$F$42=$T12)*(0.5+0.5*('Jul 25'!$G$8:$G$42=""))+('Jul 25'!$G$8:$G$42=$T12)*0.5)*('Jul 25'!$AG$8:$AG$42="Delivered")*('Jul 25'!$Q$8:$Q$42+'Jul 25'!$R$8:$R$42))</f>
        <v>0</v>
      </c>
      <c r="AT31">
        <f>SUMPRODUCT((('Jul 26'!$F$8:$F$42=$T12)*(0.5+0.5*('Jul 26'!$G$8:$G$42=""))+('Jul 26'!$G$8:$G$42=$T12)*0.5)*('Jul 26'!$AG$8:$AG$42="Delivered")*('Jul 26'!$Q$8:$Q$42+'Jul 26'!$R$8:$R$42))</f>
        <v>0</v>
      </c>
      <c r="AU31">
        <f>SUMPRODUCT((('Jul 27'!$F$8:$F$42=$T12)*(0.5+0.5*('Jul 27'!$G$8:$G$42=""))+('Jul 27'!$G$8:$G$42=$T12)*0.5)*('Jul 27'!$AG$8:$AG$42="Delivered")*('Jul 27'!$Q$8:$Q$42+'Jul 27'!$R$8:$R$42))</f>
        <v>0</v>
      </c>
      <c r="AV31">
        <f>SUMPRODUCT((('Jul 28'!$F$8:$F$42=$T12)*(0.5+0.5*('Jul 28'!$G$8:$G$42=""))+('Jul 28'!$G$8:$G$42=$T12)*0.5)*('Jul 28'!$AG$8:$AG$42="Delivered")*('Jul 28'!$Q$8:$Q$42+'Jul 28'!$R$8:$R$42))</f>
        <v>0</v>
      </c>
      <c r="AW31">
        <f>SUMPRODUCT((('Jul 29'!$F$8:$F$42=$T12)*(0.5+0.5*('Jul 29'!$G$8:$G$42=""))+('Jul 29'!$G$8:$G$42=$T12)*0.5)*('Jul 29'!$AG$8:$AG$42="Delivered")*('Jul 29'!$Q$8:$Q$42+'Jul 29'!$R$8:$R$42))</f>
        <v>0</v>
      </c>
      <c r="AX31">
        <f>SUMPRODUCT((('Jul 30'!$F$8:$F$42=$T12)*(0.5+0.5*('Jul 30'!$G$8:$G$42=""))+('Jul 30'!$G$8:$G$42=$T12)*0.5)*('Jul 30'!$AG$8:$AG$42="Delivered")*('Jul 30'!$Q$8:$Q$42+'Jul 30'!$R$8:$R$42))</f>
        <v>0</v>
      </c>
      <c r="AY31">
        <f>SUMPRODUCT((('Jul 31'!$F$8:$F$42=$T12)*(0.5+0.5*('Jul 31'!$G$8:$G$42=""))+('Jul 31'!$G$8:$G$42=$T12)*0.5)*('Jul 31'!$AG$8:$AG$42="Delivered")*('Jul 31'!$Q$8:$Q$42+'Jul 31'!$R$8:$R$42))</f>
        <v>0</v>
      </c>
    </row>
    <row r="32" spans="1:58" x14ac:dyDescent="0.25">
      <c r="U32">
        <f>SUMPRODUCT((('Jul 1'!$F$8:$F$42=$T13)*(0.5+0.5*('Jul 1'!$G$8:$G$42=""))+('Jul 1'!$G$8:$G$42=$T13)*0.5)*('Jul 1'!$AG$8:$AG$42="Delivered")*('Jul 1'!$Q$8:$Q$42+'Jul 1'!$R$8:$R$42))</f>
        <v>0</v>
      </c>
      <c r="V32">
        <f>SUMPRODUCT((('Jul 2'!$F$8:$F$42=$T13)*(0.5+0.5*('Jul 2'!$G$8:$G$42=""))+('Jul 2'!$G$8:$G$42=$T13)*0.5)*('Jul 2'!$AG$8:$AG$42="Delivered")*('Jul 2'!$Q$8:$Q$42+'Jul 2'!$R$8:$R$42))</f>
        <v>0</v>
      </c>
      <c r="W32">
        <f>SUMPRODUCT((('Jul 3'!$F$8:$F$42=$T13)*(0.5+0.5*('Jul 3'!$G$8:$G$42=""))+('Jul 3'!$G$8:$G$42=$T13)*0.5)*('Jul 3'!$AG$8:$AG$42="Delivered")*('Jul 3'!$Q$8:$Q$42+'Jul 3'!$R$8:$R$42))</f>
        <v>0</v>
      </c>
      <c r="X32">
        <f>SUMPRODUCT((('Jul 4'!$F$8:$F$42=$T13)*(0.5+0.5*('Jul 4'!$G$8:$G$42=""))+('Jul 4'!$G$8:$G$42=$T13)*0.5)*('Jul 4'!$AG$8:$AG$42="Delivered")*('Jul 4'!$Q$8:$Q$42+'Jul 4'!$R$8:$R$42))</f>
        <v>0</v>
      </c>
      <c r="Y32">
        <f>SUMPRODUCT((('Jul 5'!$F$8:$F$42=$T13)*(0.5+0.5*('Jul 5'!$G$8:$G$42=""))+('Jul 5'!$G$8:$G$42=$T13)*0.5)*('Jul 5'!$AG$8:$AG$42="Delivered")*('Jul 5'!$Q$8:$Q$42+'Jul 5'!$R$8:$R$42))</f>
        <v>0</v>
      </c>
      <c r="Z32">
        <f>SUMPRODUCT((('Jul 6'!$F$8:$F$42=$T13)*(0.5+0.5*('Jul 6'!$G$8:$G$42=""))+('Jul 6'!$G$8:$G$42=$T13)*0.5)*('Jul 6'!$AG$8:$AG$42="Delivered")*('Jul 6'!$Q$8:$Q$42+'Jul 6'!$R$8:$R$42))</f>
        <v>0</v>
      </c>
      <c r="AA32">
        <f>SUMPRODUCT((('Jul 7'!$F$8:$F$42=$T13)*(0.5+0.5*('Jul 7'!$G$8:$G$42=""))+('Jul 7'!$G$8:$G$42=$T13)*0.5)*('Jul 7'!$AG$8:$AG$42="Delivered")*('Jul 7'!$Q$8:$Q$42+'Jul 7'!$R$8:$R$42))</f>
        <v>0</v>
      </c>
      <c r="AB32">
        <f>SUMPRODUCT((('Jul 8'!$F$8:$F$42=$T13)*(0.5+0.5*('Jul 8'!$G$8:$G$42=""))+('Jul 8'!$G$8:$G$42=$T13)*0.5)*('Jul 8'!$AG$8:$AG$42="Delivered")*('Jul 8'!$Q$8:$Q$42+'Jul 8'!$R$8:$R$42))</f>
        <v>0</v>
      </c>
      <c r="AC32">
        <f>SUMPRODUCT((('Jul 9'!$F$8:$F$42=$T13)*(0.5+0.5*('Jul 9'!$G$8:$G$42=""))+('Jul 9'!$G$8:$G$42=$T13)*0.5)*('Jul 9'!$AG$8:$AG$42="Delivered")*('Jul 9'!$Q$8:$Q$42+'Jul 9'!$R$8:$R$42))</f>
        <v>0</v>
      </c>
      <c r="AD32">
        <f>SUMPRODUCT((('Jul 10'!$F$8:$F$42=$T13)*(0.5+0.5*('Jul 10'!$G$8:$G$42=""))+('Jul 10'!$G$8:$G$42=$T13)*0.5)*('Jul 10'!$AG$8:$AG$42="Delivered")*('Jul 10'!$Q$8:$Q$42+'Jul 10'!$R$8:$R$42))</f>
        <v>0</v>
      </c>
      <c r="AE32">
        <f>SUMPRODUCT((('Jul 11'!$F$8:$F$42=$T13)*(0.5+0.5*('Jul 11'!$G$8:$G$42=""))+('Jul 11'!$G$8:$G$42=$T13)*0.5)*('Jul 11'!$AG$8:$AG$42="Delivered")*('Jul 11'!$Q$8:$Q$42+'Jul 11'!$R$8:$R$42))</f>
        <v>0</v>
      </c>
      <c r="AF32">
        <f>SUMPRODUCT((('Jul 12'!$F$8:$F$42=$T13)*(0.5+0.5*('Jul 12'!$G$8:$G$42=""))+('Jul 12'!$G$8:$G$42=$T13)*0.5)*('Jul 12'!$AG$8:$AG$42="Delivered")*('Jul 12'!$Q$8:$Q$42+'Jul 12'!$R$8:$R$42))</f>
        <v>0</v>
      </c>
      <c r="AG32">
        <f>SUMPRODUCT((('Jul 13'!$F$8:$F$42=$T13)*(0.5+0.5*('Jul 13'!$G$8:$G$42=""))+('Jul 13'!$G$8:$G$42=$T13)*0.5)*('Jul 13'!$AG$8:$AG$42="Delivered")*('Jul 13'!$Q$8:$Q$42+'Jul 13'!$R$8:$R$42))</f>
        <v>0</v>
      </c>
      <c r="AH32">
        <f>SUMPRODUCT((('Jul 14'!$F$8:$F$42=$T13)*(0.5+0.5*('Jul 14'!$G$8:$G$42=""))+('Jul 14'!$G$8:$G$42=$T13)*0.5)*('Jul 14'!$AG$8:$AG$42="Delivered")*('Jul 14'!$Q$8:$Q$42+'Jul 14'!$R$8:$R$42))</f>
        <v>0</v>
      </c>
      <c r="AI32">
        <f>SUMPRODUCT((('Jul 15'!$F$8:$F$42=$T13)*(0.5+0.5*('Jul 15'!$G$8:$G$42=""))+('Jul 15'!$G$8:$G$42=$T13)*0.5)*('Jul 15'!$AG$8:$AG$42="Delivered")*('Jul 15'!$Q$8:$Q$42+'Jul 15'!$R$8:$R$42))</f>
        <v>0</v>
      </c>
      <c r="AJ32">
        <f>SUMPRODUCT((('Jul 16'!$F$8:$F$42=$T13)*(0.5+0.5*('Jul 16'!$G$8:$G$42=""))+('Jul 16'!$G$8:$G$42=$T13)*0.5)*('Jul 16'!$AG$8:$AG$42="Delivered")*('Jul 16'!$Q$8:$Q$42+'Jul 16'!$R$8:$R$42))</f>
        <v>0</v>
      </c>
      <c r="AK32">
        <f>SUMPRODUCT((('Jul 17'!$F$8:$F$42=$T13)*(0.5+0.5*('Jul 17'!$G$8:$G$42=""))+('Jul 17'!$G$8:$G$42=$T13)*0.5)*('Jul 17'!$AG$8:$AG$42="Delivered")*('Jul 17'!$Q$8:$Q$42+'Jul 17'!$R$8:$R$42))</f>
        <v>0</v>
      </c>
      <c r="AL32">
        <f>SUMPRODUCT((('Jul 18'!$F$8:$F$42=$T13)*(0.5+0.5*('Jul 18'!$G$8:$G$42=""))+('Jul 18'!$G$8:$G$42=$T13)*0.5)*('Jul 18'!$AG$8:$AG$42="Delivered")*('Jul 18'!$Q$8:$Q$42+'Jul 18'!$R$8:$R$42))</f>
        <v>0</v>
      </c>
      <c r="AM32">
        <f>SUMPRODUCT((('Jul 19'!$F$8:$F$42=$T13)*(0.5+0.5*('Jul 19'!$G$8:$G$42=""))+('Jul 19'!$G$8:$G$42=$T13)*0.5)*('Jul 19'!$AG$8:$AG$42="Delivered")*('Jul 19'!$Q$8:$Q$42+'Jul 19'!$R$8:$R$42))</f>
        <v>0</v>
      </c>
      <c r="AN32">
        <f>SUMPRODUCT((('Jul 20'!$F$8:$F$42=$T13)*(0.5+0.5*('Jul 20'!$G$8:$G$42=""))+('Jul 20'!$G$8:$G$42=$T13)*0.5)*('Jul 20'!$AG$8:$AG$42="Delivered")*('Jul 20'!$Q$8:$Q$42+'Jul 20'!$R$8:$R$42))</f>
        <v>0</v>
      </c>
      <c r="AO32">
        <f>SUMPRODUCT((('Jul 21'!$F$8:$F$42=$T13)*(0.5+0.5*('Jul 21'!$G$8:$G$42=""))+('Jul 21'!$G$8:$G$42=$T13)*0.5)*('Jul 21'!$AG$8:$AG$42="Delivered")*('Jul 21'!$Q$8:$Q$42+'Jul 21'!$R$8:$R$42))</f>
        <v>0</v>
      </c>
      <c r="AP32">
        <f>SUMPRODUCT((('Jul 22'!$F$8:$F$42=$T13)*(0.5+0.5*('Jul 22'!$G$8:$G$42=""))+('Jul 22'!$G$8:$G$42=$T13)*0.5)*('Jul 22'!$AG$8:$AG$42="Delivered")*('Jul 22'!$Q$8:$Q$42+'Jul 22'!$R$8:$R$42))</f>
        <v>0</v>
      </c>
      <c r="AQ32">
        <f>SUMPRODUCT((('Jul 23'!$F$8:$F$42=$T13)*(0.5+0.5*('Jul 23'!$G$8:$G$42=""))+('Jul 23'!$G$8:$G$42=$T13)*0.5)*('Jul 23'!$AG$8:$AG$42="Delivered")*('Jul 23'!$Q$8:$Q$42+'Jul 23'!$R$8:$R$42))</f>
        <v>0</v>
      </c>
      <c r="AR32">
        <f>SUMPRODUCT((('Jul 24'!$F$8:$F$42=$T13)*(0.5+0.5*('Jul 24'!$G$8:$G$42=""))+('Jul 24'!$G$8:$G$42=$T13)*0.5)*('Jul 24'!$AG$8:$AG$42="Delivered")*('Jul 24'!$Q$8:$Q$42+'Jul 24'!$R$8:$R$42))</f>
        <v>0</v>
      </c>
      <c r="AS32">
        <f>SUMPRODUCT((('Jul 25'!$F$8:$F$42=$T13)*(0.5+0.5*('Jul 25'!$G$8:$G$42=""))+('Jul 25'!$G$8:$G$42=$T13)*0.5)*('Jul 25'!$AG$8:$AG$42="Delivered")*('Jul 25'!$Q$8:$Q$42+'Jul 25'!$R$8:$R$42))</f>
        <v>0</v>
      </c>
      <c r="AT32">
        <f>SUMPRODUCT((('Jul 26'!$F$8:$F$42=$T13)*(0.5+0.5*('Jul 26'!$G$8:$G$42=""))+('Jul 26'!$G$8:$G$42=$T13)*0.5)*('Jul 26'!$AG$8:$AG$42="Delivered")*('Jul 26'!$Q$8:$Q$42+'Jul 26'!$R$8:$R$42))</f>
        <v>0</v>
      </c>
      <c r="AU32">
        <f>SUMPRODUCT((('Jul 27'!$F$8:$F$42=$T13)*(0.5+0.5*('Jul 27'!$G$8:$G$42=""))+('Jul 27'!$G$8:$G$42=$T13)*0.5)*('Jul 27'!$AG$8:$AG$42="Delivered")*('Jul 27'!$Q$8:$Q$42+'Jul 27'!$R$8:$R$42))</f>
        <v>0</v>
      </c>
      <c r="AV32">
        <f>SUMPRODUCT((('Jul 28'!$F$8:$F$42=$T13)*(0.5+0.5*('Jul 28'!$G$8:$G$42=""))+('Jul 28'!$G$8:$G$42=$T13)*0.5)*('Jul 28'!$AG$8:$AG$42="Delivered")*('Jul 28'!$Q$8:$Q$42+'Jul 28'!$R$8:$R$42))</f>
        <v>0</v>
      </c>
      <c r="AW32">
        <f>SUMPRODUCT((('Jul 29'!$F$8:$F$42=$T13)*(0.5+0.5*('Jul 29'!$G$8:$G$42=""))+('Jul 29'!$G$8:$G$42=$T13)*0.5)*('Jul 29'!$AG$8:$AG$42="Delivered")*('Jul 29'!$Q$8:$Q$42+'Jul 29'!$R$8:$R$42))</f>
        <v>0</v>
      </c>
      <c r="AX32">
        <f>SUMPRODUCT((('Jul 30'!$F$8:$F$42=$T13)*(0.5+0.5*('Jul 30'!$G$8:$G$42=""))+('Jul 30'!$G$8:$G$42=$T13)*0.5)*('Jul 30'!$AG$8:$AG$42="Delivered")*('Jul 30'!$Q$8:$Q$42+'Jul 30'!$R$8:$R$42))</f>
        <v>0</v>
      </c>
      <c r="AY32">
        <f>SUMPRODUCT((('Jul 31'!$F$8:$F$42=$T13)*(0.5+0.5*('Jul 31'!$G$8:$G$42=""))+('Jul 31'!$G$8:$G$42=$T13)*0.5)*('Jul 31'!$AG$8:$AG$42="Delivered")*('Jul 31'!$Q$8:$Q$42+'Jul 31'!$R$8:$R$42))</f>
        <v>0</v>
      </c>
    </row>
    <row r="33" spans="21:51" x14ac:dyDescent="0.25">
      <c r="U33">
        <f>SUMPRODUCT((('Jul 1'!$F$8:$F$42=$T14)*(0.5+0.5*('Jul 1'!$G$8:$G$42=""))+('Jul 1'!$G$8:$G$42=$T14)*0.5)*('Jul 1'!$AG$8:$AG$42="Delivered")*('Jul 1'!$Q$8:$Q$42+'Jul 1'!$R$8:$R$42))</f>
        <v>0</v>
      </c>
      <c r="V33">
        <f>SUMPRODUCT((('Jul 2'!$F$8:$F$42=$T14)*(0.5+0.5*('Jul 2'!$G$8:$G$42=""))+('Jul 2'!$G$8:$G$42=$T14)*0.5)*('Jul 2'!$AG$8:$AG$42="Delivered")*('Jul 2'!$Q$8:$Q$42+'Jul 2'!$R$8:$R$42))</f>
        <v>0</v>
      </c>
      <c r="W33">
        <f>SUMPRODUCT((('Jul 3'!$F$8:$F$42=$T14)*(0.5+0.5*('Jul 3'!$G$8:$G$42=""))+('Jul 3'!$G$8:$G$42=$T14)*0.5)*('Jul 3'!$AG$8:$AG$42="Delivered")*('Jul 3'!$Q$8:$Q$42+'Jul 3'!$R$8:$R$42))</f>
        <v>0</v>
      </c>
      <c r="X33">
        <f>SUMPRODUCT((('Jul 4'!$F$8:$F$42=$T14)*(0.5+0.5*('Jul 4'!$G$8:$G$42=""))+('Jul 4'!$G$8:$G$42=$T14)*0.5)*('Jul 4'!$AG$8:$AG$42="Delivered")*('Jul 4'!$Q$8:$Q$42+'Jul 4'!$R$8:$R$42))</f>
        <v>0</v>
      </c>
      <c r="Y33">
        <f>SUMPRODUCT((('Jul 5'!$F$8:$F$42=$T14)*(0.5+0.5*('Jul 5'!$G$8:$G$42=""))+('Jul 5'!$G$8:$G$42=$T14)*0.5)*('Jul 5'!$AG$8:$AG$42="Delivered")*('Jul 5'!$Q$8:$Q$42+'Jul 5'!$R$8:$R$42))</f>
        <v>0</v>
      </c>
      <c r="Z33">
        <f>SUMPRODUCT((('Jul 6'!$F$8:$F$42=$T14)*(0.5+0.5*('Jul 6'!$G$8:$G$42=""))+('Jul 6'!$G$8:$G$42=$T14)*0.5)*('Jul 6'!$AG$8:$AG$42="Delivered")*('Jul 6'!$Q$8:$Q$42+'Jul 6'!$R$8:$R$42))</f>
        <v>0</v>
      </c>
      <c r="AA33">
        <f>SUMPRODUCT((('Jul 7'!$F$8:$F$42=$T14)*(0.5+0.5*('Jul 7'!$G$8:$G$42=""))+('Jul 7'!$G$8:$G$42=$T14)*0.5)*('Jul 7'!$AG$8:$AG$42="Delivered")*('Jul 7'!$Q$8:$Q$42+'Jul 7'!$R$8:$R$42))</f>
        <v>0</v>
      </c>
      <c r="AB33">
        <f>SUMPRODUCT((('Jul 8'!$F$8:$F$42=$T14)*(0.5+0.5*('Jul 8'!$G$8:$G$42=""))+('Jul 8'!$G$8:$G$42=$T14)*0.5)*('Jul 8'!$AG$8:$AG$42="Delivered")*('Jul 8'!$Q$8:$Q$42+'Jul 8'!$R$8:$R$42))</f>
        <v>0</v>
      </c>
      <c r="AC33">
        <f>SUMPRODUCT((('Jul 9'!$F$8:$F$42=$T14)*(0.5+0.5*('Jul 9'!$G$8:$G$42=""))+('Jul 9'!$G$8:$G$42=$T14)*0.5)*('Jul 9'!$AG$8:$AG$42="Delivered")*('Jul 9'!$Q$8:$Q$42+'Jul 9'!$R$8:$R$42))</f>
        <v>0</v>
      </c>
      <c r="AD33">
        <f>SUMPRODUCT((('Jul 10'!$F$8:$F$42=$T14)*(0.5+0.5*('Jul 10'!$G$8:$G$42=""))+('Jul 10'!$G$8:$G$42=$T14)*0.5)*('Jul 10'!$AG$8:$AG$42="Delivered")*('Jul 10'!$Q$8:$Q$42+'Jul 10'!$R$8:$R$42))</f>
        <v>0</v>
      </c>
      <c r="AE33">
        <f>SUMPRODUCT((('Jul 11'!$F$8:$F$42=$T14)*(0.5+0.5*('Jul 11'!$G$8:$G$42=""))+('Jul 11'!$G$8:$G$42=$T14)*0.5)*('Jul 11'!$AG$8:$AG$42="Delivered")*('Jul 11'!$Q$8:$Q$42+'Jul 11'!$R$8:$R$42))</f>
        <v>0</v>
      </c>
      <c r="AF33">
        <f>SUMPRODUCT((('Jul 12'!$F$8:$F$42=$T14)*(0.5+0.5*('Jul 12'!$G$8:$G$42=""))+('Jul 12'!$G$8:$G$42=$T14)*0.5)*('Jul 12'!$AG$8:$AG$42="Delivered")*('Jul 12'!$Q$8:$Q$42+'Jul 12'!$R$8:$R$42))</f>
        <v>0</v>
      </c>
      <c r="AG33">
        <f>SUMPRODUCT((('Jul 13'!$F$8:$F$42=$T14)*(0.5+0.5*('Jul 13'!$G$8:$G$42=""))+('Jul 13'!$G$8:$G$42=$T14)*0.5)*('Jul 13'!$AG$8:$AG$42="Delivered")*('Jul 13'!$Q$8:$Q$42+'Jul 13'!$R$8:$R$42))</f>
        <v>0</v>
      </c>
      <c r="AH33">
        <f>SUMPRODUCT((('Jul 14'!$F$8:$F$42=$T14)*(0.5+0.5*('Jul 14'!$G$8:$G$42=""))+('Jul 14'!$G$8:$G$42=$T14)*0.5)*('Jul 14'!$AG$8:$AG$42="Delivered")*('Jul 14'!$Q$8:$Q$42+'Jul 14'!$R$8:$R$42))</f>
        <v>0</v>
      </c>
      <c r="AI33">
        <f>SUMPRODUCT((('Jul 15'!$F$8:$F$42=$T14)*(0.5+0.5*('Jul 15'!$G$8:$G$42=""))+('Jul 15'!$G$8:$G$42=$T14)*0.5)*('Jul 15'!$AG$8:$AG$42="Delivered")*('Jul 15'!$Q$8:$Q$42+'Jul 15'!$R$8:$R$42))</f>
        <v>0</v>
      </c>
      <c r="AJ33">
        <f>SUMPRODUCT((('Jul 16'!$F$8:$F$42=$T14)*(0.5+0.5*('Jul 16'!$G$8:$G$42=""))+('Jul 16'!$G$8:$G$42=$T14)*0.5)*('Jul 16'!$AG$8:$AG$42="Delivered")*('Jul 16'!$Q$8:$Q$42+'Jul 16'!$R$8:$R$42))</f>
        <v>0</v>
      </c>
      <c r="AK33">
        <f>SUMPRODUCT((('Jul 17'!$F$8:$F$42=$T14)*(0.5+0.5*('Jul 17'!$G$8:$G$42=""))+('Jul 17'!$G$8:$G$42=$T14)*0.5)*('Jul 17'!$AG$8:$AG$42="Delivered")*('Jul 17'!$Q$8:$Q$42+'Jul 17'!$R$8:$R$42))</f>
        <v>0</v>
      </c>
      <c r="AL33">
        <f>SUMPRODUCT((('Jul 18'!$F$8:$F$42=$T14)*(0.5+0.5*('Jul 18'!$G$8:$G$42=""))+('Jul 18'!$G$8:$G$42=$T14)*0.5)*('Jul 18'!$AG$8:$AG$42="Delivered")*('Jul 18'!$Q$8:$Q$42+'Jul 18'!$R$8:$R$42))</f>
        <v>0</v>
      </c>
      <c r="AM33">
        <f>SUMPRODUCT((('Jul 19'!$F$8:$F$42=$T14)*(0.5+0.5*('Jul 19'!$G$8:$G$42=""))+('Jul 19'!$G$8:$G$42=$T14)*0.5)*('Jul 19'!$AG$8:$AG$42="Delivered")*('Jul 19'!$Q$8:$Q$42+'Jul 19'!$R$8:$R$42))</f>
        <v>0</v>
      </c>
      <c r="AN33">
        <f>SUMPRODUCT((('Jul 20'!$F$8:$F$42=$T14)*(0.5+0.5*('Jul 20'!$G$8:$G$42=""))+('Jul 20'!$G$8:$G$42=$T14)*0.5)*('Jul 20'!$AG$8:$AG$42="Delivered")*('Jul 20'!$Q$8:$Q$42+'Jul 20'!$R$8:$R$42))</f>
        <v>0</v>
      </c>
      <c r="AO33">
        <f>SUMPRODUCT((('Jul 21'!$F$8:$F$42=$T14)*(0.5+0.5*('Jul 21'!$G$8:$G$42=""))+('Jul 21'!$G$8:$G$42=$T14)*0.5)*('Jul 21'!$AG$8:$AG$42="Delivered")*('Jul 21'!$Q$8:$Q$42+'Jul 21'!$R$8:$R$42))</f>
        <v>0</v>
      </c>
      <c r="AP33">
        <f>SUMPRODUCT((('Jul 22'!$F$8:$F$42=$T14)*(0.5+0.5*('Jul 22'!$G$8:$G$42=""))+('Jul 22'!$G$8:$G$42=$T14)*0.5)*('Jul 22'!$AG$8:$AG$42="Delivered")*('Jul 22'!$Q$8:$Q$42+'Jul 22'!$R$8:$R$42))</f>
        <v>0</v>
      </c>
      <c r="AQ33">
        <f>SUMPRODUCT((('Jul 23'!$F$8:$F$42=$T14)*(0.5+0.5*('Jul 23'!$G$8:$G$42=""))+('Jul 23'!$G$8:$G$42=$T14)*0.5)*('Jul 23'!$AG$8:$AG$42="Delivered")*('Jul 23'!$Q$8:$Q$42+'Jul 23'!$R$8:$R$42))</f>
        <v>0</v>
      </c>
      <c r="AR33">
        <f>SUMPRODUCT((('Jul 24'!$F$8:$F$42=$T14)*(0.5+0.5*('Jul 24'!$G$8:$G$42=""))+('Jul 24'!$G$8:$G$42=$T14)*0.5)*('Jul 24'!$AG$8:$AG$42="Delivered")*('Jul 24'!$Q$8:$Q$42+'Jul 24'!$R$8:$R$42))</f>
        <v>0</v>
      </c>
      <c r="AS33">
        <f>SUMPRODUCT((('Jul 25'!$F$8:$F$42=$T14)*(0.5+0.5*('Jul 25'!$G$8:$G$42=""))+('Jul 25'!$G$8:$G$42=$T14)*0.5)*('Jul 25'!$AG$8:$AG$42="Delivered")*('Jul 25'!$Q$8:$Q$42+'Jul 25'!$R$8:$R$42))</f>
        <v>0</v>
      </c>
      <c r="AT33">
        <f>SUMPRODUCT((('Jul 26'!$F$8:$F$42=$T14)*(0.5+0.5*('Jul 26'!$G$8:$G$42=""))+('Jul 26'!$G$8:$G$42=$T14)*0.5)*('Jul 26'!$AG$8:$AG$42="Delivered")*('Jul 26'!$Q$8:$Q$42+'Jul 26'!$R$8:$R$42))</f>
        <v>0</v>
      </c>
      <c r="AU33">
        <f>SUMPRODUCT((('Jul 27'!$F$8:$F$42=$T14)*(0.5+0.5*('Jul 27'!$G$8:$G$42=""))+('Jul 27'!$G$8:$G$42=$T14)*0.5)*('Jul 27'!$AG$8:$AG$42="Delivered")*('Jul 27'!$Q$8:$Q$42+'Jul 27'!$R$8:$R$42))</f>
        <v>0</v>
      </c>
      <c r="AV33">
        <f>SUMPRODUCT((('Jul 28'!$F$8:$F$42=$T14)*(0.5+0.5*('Jul 28'!$G$8:$G$42=""))+('Jul 28'!$G$8:$G$42=$T14)*0.5)*('Jul 28'!$AG$8:$AG$42="Delivered")*('Jul 28'!$Q$8:$Q$42+'Jul 28'!$R$8:$R$42))</f>
        <v>0</v>
      </c>
      <c r="AW33">
        <f>SUMPRODUCT((('Jul 29'!$F$8:$F$42=$T14)*(0.5+0.5*('Jul 29'!$G$8:$G$42=""))+('Jul 29'!$G$8:$G$42=$T14)*0.5)*('Jul 29'!$AG$8:$AG$42="Delivered")*('Jul 29'!$Q$8:$Q$42+'Jul 29'!$R$8:$R$42))</f>
        <v>0</v>
      </c>
      <c r="AX33">
        <f>SUMPRODUCT((('Jul 30'!$F$8:$F$42=$T14)*(0.5+0.5*('Jul 30'!$G$8:$G$42=""))+('Jul 30'!$G$8:$G$42=$T14)*0.5)*('Jul 30'!$AG$8:$AG$42="Delivered")*('Jul 30'!$Q$8:$Q$42+'Jul 30'!$R$8:$R$42))</f>
        <v>0</v>
      </c>
      <c r="AY33">
        <f>SUMPRODUCT((('Jul 31'!$F$8:$F$42=$T14)*(0.5+0.5*('Jul 31'!$G$8:$G$42=""))+('Jul 31'!$G$8:$G$42=$T14)*0.5)*('Jul 31'!$AG$8:$AG$42="Delivered")*('Jul 31'!$Q$8:$Q$42+'Jul 31'!$R$8:$R$42))</f>
        <v>0</v>
      </c>
    </row>
    <row r="34" spans="21:51" x14ac:dyDescent="0.25">
      <c r="U34">
        <f>SUMPRODUCT((('Jul 1'!$F$8:$F$42=$T15)*(0.5+0.5*('Jul 1'!$G$8:$G$42=""))+('Jul 1'!$G$8:$G$42=$T15)*0.5)*('Jul 1'!$AG$8:$AG$42="Delivered")*('Jul 1'!$Q$8:$Q$42+'Jul 1'!$R$8:$R$42))</f>
        <v>0</v>
      </c>
      <c r="V34">
        <f>SUMPRODUCT((('Jul 2'!$F$8:$F$42=$T15)*(0.5+0.5*('Jul 2'!$G$8:$G$42=""))+('Jul 2'!$G$8:$G$42=$T15)*0.5)*('Jul 2'!$AG$8:$AG$42="Delivered")*('Jul 2'!$Q$8:$Q$42+'Jul 2'!$R$8:$R$42))</f>
        <v>0</v>
      </c>
      <c r="W34">
        <f>SUMPRODUCT((('Jul 3'!$F$8:$F$42=$T15)*(0.5+0.5*('Jul 3'!$G$8:$G$42=""))+('Jul 3'!$G$8:$G$42=$T15)*0.5)*('Jul 3'!$AG$8:$AG$42="Delivered")*('Jul 3'!$Q$8:$Q$42+'Jul 3'!$R$8:$R$42))</f>
        <v>0</v>
      </c>
      <c r="X34">
        <f>SUMPRODUCT((('Jul 4'!$F$8:$F$42=$T15)*(0.5+0.5*('Jul 4'!$G$8:$G$42=""))+('Jul 4'!$G$8:$G$42=$T15)*0.5)*('Jul 4'!$AG$8:$AG$42="Delivered")*('Jul 4'!$Q$8:$Q$42+'Jul 4'!$R$8:$R$42))</f>
        <v>0</v>
      </c>
      <c r="Y34">
        <f>SUMPRODUCT((('Jul 5'!$F$8:$F$42=$T15)*(0.5+0.5*('Jul 5'!$G$8:$G$42=""))+('Jul 5'!$G$8:$G$42=$T15)*0.5)*('Jul 5'!$AG$8:$AG$42="Delivered")*('Jul 5'!$Q$8:$Q$42+'Jul 5'!$R$8:$R$42))</f>
        <v>0</v>
      </c>
      <c r="Z34">
        <f>SUMPRODUCT((('Jul 6'!$F$8:$F$42=$T15)*(0.5+0.5*('Jul 6'!$G$8:$G$42=""))+('Jul 6'!$G$8:$G$42=$T15)*0.5)*('Jul 6'!$AG$8:$AG$42="Delivered")*('Jul 6'!$Q$8:$Q$42+'Jul 6'!$R$8:$R$42))</f>
        <v>0</v>
      </c>
      <c r="AA34">
        <f>SUMPRODUCT((('Jul 7'!$F$8:$F$42=$T15)*(0.5+0.5*('Jul 7'!$G$8:$G$42=""))+('Jul 7'!$G$8:$G$42=$T15)*0.5)*('Jul 7'!$AG$8:$AG$42="Delivered")*('Jul 7'!$Q$8:$Q$42+'Jul 7'!$R$8:$R$42))</f>
        <v>0</v>
      </c>
      <c r="AB34">
        <f>SUMPRODUCT((('Jul 8'!$F$8:$F$42=$T15)*(0.5+0.5*('Jul 8'!$G$8:$G$42=""))+('Jul 8'!$G$8:$G$42=$T15)*0.5)*('Jul 8'!$AG$8:$AG$42="Delivered")*('Jul 8'!$Q$8:$Q$42+'Jul 8'!$R$8:$R$42))</f>
        <v>0</v>
      </c>
      <c r="AC34">
        <f>SUMPRODUCT((('Jul 9'!$F$8:$F$42=$T15)*(0.5+0.5*('Jul 9'!$G$8:$G$42=""))+('Jul 9'!$G$8:$G$42=$T15)*0.5)*('Jul 9'!$AG$8:$AG$42="Delivered")*('Jul 9'!$Q$8:$Q$42+'Jul 9'!$R$8:$R$42))</f>
        <v>0</v>
      </c>
      <c r="AD34">
        <f>SUMPRODUCT((('Jul 10'!$F$8:$F$42=$T15)*(0.5+0.5*('Jul 10'!$G$8:$G$42=""))+('Jul 10'!$G$8:$G$42=$T15)*0.5)*('Jul 10'!$AG$8:$AG$42="Delivered")*('Jul 10'!$Q$8:$Q$42+'Jul 10'!$R$8:$R$42))</f>
        <v>0</v>
      </c>
      <c r="AE34">
        <f>SUMPRODUCT((('Jul 11'!$F$8:$F$42=$T15)*(0.5+0.5*('Jul 11'!$G$8:$G$42=""))+('Jul 11'!$G$8:$G$42=$T15)*0.5)*('Jul 11'!$AG$8:$AG$42="Delivered")*('Jul 11'!$Q$8:$Q$42+'Jul 11'!$R$8:$R$42))</f>
        <v>0</v>
      </c>
      <c r="AF34">
        <f>SUMPRODUCT((('Jul 12'!$F$8:$F$42=$T15)*(0.5+0.5*('Jul 12'!$G$8:$G$42=""))+('Jul 12'!$G$8:$G$42=$T15)*0.5)*('Jul 12'!$AG$8:$AG$42="Delivered")*('Jul 12'!$Q$8:$Q$42+'Jul 12'!$R$8:$R$42))</f>
        <v>0</v>
      </c>
      <c r="AG34">
        <f>SUMPRODUCT((('Jul 13'!$F$8:$F$42=$T15)*(0.5+0.5*('Jul 13'!$G$8:$G$42=""))+('Jul 13'!$G$8:$G$42=$T15)*0.5)*('Jul 13'!$AG$8:$AG$42="Delivered")*('Jul 13'!$Q$8:$Q$42+'Jul 13'!$R$8:$R$42))</f>
        <v>0</v>
      </c>
      <c r="AH34">
        <f>SUMPRODUCT((('Jul 14'!$F$8:$F$42=$T15)*(0.5+0.5*('Jul 14'!$G$8:$G$42=""))+('Jul 14'!$G$8:$G$42=$T15)*0.5)*('Jul 14'!$AG$8:$AG$42="Delivered")*('Jul 14'!$Q$8:$Q$42+'Jul 14'!$R$8:$R$42))</f>
        <v>0</v>
      </c>
      <c r="AI34">
        <f>SUMPRODUCT((('Jul 15'!$F$8:$F$42=$T15)*(0.5+0.5*('Jul 15'!$G$8:$G$42=""))+('Jul 15'!$G$8:$G$42=$T15)*0.5)*('Jul 15'!$AG$8:$AG$42="Delivered")*('Jul 15'!$Q$8:$Q$42+'Jul 15'!$R$8:$R$42))</f>
        <v>0</v>
      </c>
      <c r="AJ34">
        <f>SUMPRODUCT((('Jul 16'!$F$8:$F$42=$T15)*(0.5+0.5*('Jul 16'!$G$8:$G$42=""))+('Jul 16'!$G$8:$G$42=$T15)*0.5)*('Jul 16'!$AG$8:$AG$42="Delivered")*('Jul 16'!$Q$8:$Q$42+'Jul 16'!$R$8:$R$42))</f>
        <v>0</v>
      </c>
      <c r="AK34">
        <f>SUMPRODUCT((('Jul 17'!$F$8:$F$42=$T15)*(0.5+0.5*('Jul 17'!$G$8:$G$42=""))+('Jul 17'!$G$8:$G$42=$T15)*0.5)*('Jul 17'!$AG$8:$AG$42="Delivered")*('Jul 17'!$Q$8:$Q$42+'Jul 17'!$R$8:$R$42))</f>
        <v>0</v>
      </c>
      <c r="AL34">
        <f>SUMPRODUCT((('Jul 18'!$F$8:$F$42=$T15)*(0.5+0.5*('Jul 18'!$G$8:$G$42=""))+('Jul 18'!$G$8:$G$42=$T15)*0.5)*('Jul 18'!$AG$8:$AG$42="Delivered")*('Jul 18'!$Q$8:$Q$42+'Jul 18'!$R$8:$R$42))</f>
        <v>0</v>
      </c>
      <c r="AM34">
        <f>SUMPRODUCT((('Jul 19'!$F$8:$F$42=$T15)*(0.5+0.5*('Jul 19'!$G$8:$G$42=""))+('Jul 19'!$G$8:$G$42=$T15)*0.5)*('Jul 19'!$AG$8:$AG$42="Delivered")*('Jul 19'!$Q$8:$Q$42+'Jul 19'!$R$8:$R$42))</f>
        <v>0</v>
      </c>
      <c r="AN34">
        <f>SUMPRODUCT((('Jul 20'!$F$8:$F$42=$T15)*(0.5+0.5*('Jul 20'!$G$8:$G$42=""))+('Jul 20'!$G$8:$G$42=$T15)*0.5)*('Jul 20'!$AG$8:$AG$42="Delivered")*('Jul 20'!$Q$8:$Q$42+'Jul 20'!$R$8:$R$42))</f>
        <v>0</v>
      </c>
      <c r="AO34">
        <f>SUMPRODUCT((('Jul 21'!$F$8:$F$42=$T15)*(0.5+0.5*('Jul 21'!$G$8:$G$42=""))+('Jul 21'!$G$8:$G$42=$T15)*0.5)*('Jul 21'!$AG$8:$AG$42="Delivered")*('Jul 21'!$Q$8:$Q$42+'Jul 21'!$R$8:$R$42))</f>
        <v>0</v>
      </c>
      <c r="AP34">
        <f>SUMPRODUCT((('Jul 22'!$F$8:$F$42=$T15)*(0.5+0.5*('Jul 22'!$G$8:$G$42=""))+('Jul 22'!$G$8:$G$42=$T15)*0.5)*('Jul 22'!$AG$8:$AG$42="Delivered")*('Jul 22'!$Q$8:$Q$42+'Jul 22'!$R$8:$R$42))</f>
        <v>0</v>
      </c>
      <c r="AQ34">
        <f>SUMPRODUCT((('Jul 23'!$F$8:$F$42=$T15)*(0.5+0.5*('Jul 23'!$G$8:$G$42=""))+('Jul 23'!$G$8:$G$42=$T15)*0.5)*('Jul 23'!$AG$8:$AG$42="Delivered")*('Jul 23'!$Q$8:$Q$42+'Jul 23'!$R$8:$R$42))</f>
        <v>0</v>
      </c>
      <c r="AR34">
        <f>SUMPRODUCT((('Jul 24'!$F$8:$F$42=$T15)*(0.5+0.5*('Jul 24'!$G$8:$G$42=""))+('Jul 24'!$G$8:$G$42=$T15)*0.5)*('Jul 24'!$AG$8:$AG$42="Delivered")*('Jul 24'!$Q$8:$Q$42+'Jul 24'!$R$8:$R$42))</f>
        <v>0</v>
      </c>
      <c r="AS34">
        <f>SUMPRODUCT((('Jul 25'!$F$8:$F$42=$T15)*(0.5+0.5*('Jul 25'!$G$8:$G$42=""))+('Jul 25'!$G$8:$G$42=$T15)*0.5)*('Jul 25'!$AG$8:$AG$42="Delivered")*('Jul 25'!$Q$8:$Q$42+'Jul 25'!$R$8:$R$42))</f>
        <v>0</v>
      </c>
      <c r="AT34">
        <f>SUMPRODUCT((('Jul 26'!$F$8:$F$42=$T15)*(0.5+0.5*('Jul 26'!$G$8:$G$42=""))+('Jul 26'!$G$8:$G$42=$T15)*0.5)*('Jul 26'!$AG$8:$AG$42="Delivered")*('Jul 26'!$Q$8:$Q$42+'Jul 26'!$R$8:$R$42))</f>
        <v>0</v>
      </c>
      <c r="AU34">
        <f>SUMPRODUCT((('Jul 27'!$F$8:$F$42=$T15)*(0.5+0.5*('Jul 27'!$G$8:$G$42=""))+('Jul 27'!$G$8:$G$42=$T15)*0.5)*('Jul 27'!$AG$8:$AG$42="Delivered")*('Jul 27'!$Q$8:$Q$42+'Jul 27'!$R$8:$R$42))</f>
        <v>0</v>
      </c>
      <c r="AV34">
        <f>SUMPRODUCT((('Jul 28'!$F$8:$F$42=$T15)*(0.5+0.5*('Jul 28'!$G$8:$G$42=""))+('Jul 28'!$G$8:$G$42=$T15)*0.5)*('Jul 28'!$AG$8:$AG$42="Delivered")*('Jul 28'!$Q$8:$Q$42+'Jul 28'!$R$8:$R$42))</f>
        <v>0</v>
      </c>
      <c r="AW34">
        <f>SUMPRODUCT((('Jul 29'!$F$8:$F$42=$T15)*(0.5+0.5*('Jul 29'!$G$8:$G$42=""))+('Jul 29'!$G$8:$G$42=$T15)*0.5)*('Jul 29'!$AG$8:$AG$42="Delivered")*('Jul 29'!$Q$8:$Q$42+'Jul 29'!$R$8:$R$42))</f>
        <v>0</v>
      </c>
      <c r="AX34">
        <f>SUMPRODUCT((('Jul 30'!$F$8:$F$42=$T15)*(0.5+0.5*('Jul 30'!$G$8:$G$42=""))+('Jul 30'!$G$8:$G$42=$T15)*0.5)*('Jul 30'!$AG$8:$AG$42="Delivered")*('Jul 30'!$Q$8:$Q$42+'Jul 30'!$R$8:$R$42))</f>
        <v>0</v>
      </c>
      <c r="AY34">
        <f>SUMPRODUCT((('Jul 31'!$F$8:$F$42=$T15)*(0.5+0.5*('Jul 31'!$G$8:$G$42=""))+('Jul 31'!$G$8:$G$42=$T15)*0.5)*('Jul 31'!$AG$8:$AG$42="Delivered")*('Jul 31'!$Q$8:$Q$42+'Jul 31'!$R$8:$R$42))</f>
        <v>0</v>
      </c>
    </row>
    <row r="35" spans="21:51" x14ac:dyDescent="0.25">
      <c r="U35">
        <f>SUMPRODUCT((('Jul 1'!$F$8:$F$42=$T16)*(0.5+0.5*('Jul 1'!$G$8:$G$42=""))+('Jul 1'!$G$8:$G$42=$T16)*0.5)*('Jul 1'!$AG$8:$AG$42="Delivered")*('Jul 1'!$Q$8:$Q$42+'Jul 1'!$R$8:$R$42))</f>
        <v>0</v>
      </c>
      <c r="V35">
        <f>SUMPRODUCT((('Jul 2'!$F$8:$F$42=$T16)*(0.5+0.5*('Jul 2'!$G$8:$G$42=""))+('Jul 2'!$G$8:$G$42=$T16)*0.5)*('Jul 2'!$AG$8:$AG$42="Delivered")*('Jul 2'!$Q$8:$Q$42+'Jul 2'!$R$8:$R$42))</f>
        <v>0</v>
      </c>
      <c r="W35">
        <f>SUMPRODUCT((('Jul 3'!$F$8:$F$42=$T16)*(0.5+0.5*('Jul 3'!$G$8:$G$42=""))+('Jul 3'!$G$8:$G$42=$T16)*0.5)*('Jul 3'!$AG$8:$AG$42="Delivered")*('Jul 3'!$Q$8:$Q$42+'Jul 3'!$R$8:$R$42))</f>
        <v>0</v>
      </c>
      <c r="X35">
        <f>SUMPRODUCT((('Jul 4'!$F$8:$F$42=$T16)*(0.5+0.5*('Jul 4'!$G$8:$G$42=""))+('Jul 4'!$G$8:$G$42=$T16)*0.5)*('Jul 4'!$AG$8:$AG$42="Delivered")*('Jul 4'!$Q$8:$Q$42+'Jul 4'!$R$8:$R$42))</f>
        <v>0</v>
      </c>
      <c r="Y35">
        <f>SUMPRODUCT((('Jul 5'!$F$8:$F$42=$T16)*(0.5+0.5*('Jul 5'!$G$8:$G$42=""))+('Jul 5'!$G$8:$G$42=$T16)*0.5)*('Jul 5'!$AG$8:$AG$42="Delivered")*('Jul 5'!$Q$8:$Q$42+'Jul 5'!$R$8:$R$42))</f>
        <v>0</v>
      </c>
      <c r="Z35">
        <f>SUMPRODUCT((('Jul 6'!$F$8:$F$42=$T16)*(0.5+0.5*('Jul 6'!$G$8:$G$42=""))+('Jul 6'!$G$8:$G$42=$T16)*0.5)*('Jul 6'!$AG$8:$AG$42="Delivered")*('Jul 6'!$Q$8:$Q$42+'Jul 6'!$R$8:$R$42))</f>
        <v>0</v>
      </c>
      <c r="AA35">
        <f>SUMPRODUCT((('Jul 7'!$F$8:$F$42=$T16)*(0.5+0.5*('Jul 7'!$G$8:$G$42=""))+('Jul 7'!$G$8:$G$42=$T16)*0.5)*('Jul 7'!$AG$8:$AG$42="Delivered")*('Jul 7'!$Q$8:$Q$42+'Jul 7'!$R$8:$R$42))</f>
        <v>0</v>
      </c>
      <c r="AB35">
        <f>SUMPRODUCT((('Jul 8'!$F$8:$F$42=$T16)*(0.5+0.5*('Jul 8'!$G$8:$G$42=""))+('Jul 8'!$G$8:$G$42=$T16)*0.5)*('Jul 8'!$AG$8:$AG$42="Delivered")*('Jul 8'!$Q$8:$Q$42+'Jul 8'!$R$8:$R$42))</f>
        <v>0</v>
      </c>
      <c r="AC35">
        <f>SUMPRODUCT((('Jul 9'!$F$8:$F$42=$T16)*(0.5+0.5*('Jul 9'!$G$8:$G$42=""))+('Jul 9'!$G$8:$G$42=$T16)*0.5)*('Jul 9'!$AG$8:$AG$42="Delivered")*('Jul 9'!$Q$8:$Q$42+'Jul 9'!$R$8:$R$42))</f>
        <v>0</v>
      </c>
      <c r="AD35">
        <f>SUMPRODUCT((('Jul 10'!$F$8:$F$42=$T16)*(0.5+0.5*('Jul 10'!$G$8:$G$42=""))+('Jul 10'!$G$8:$G$42=$T16)*0.5)*('Jul 10'!$AG$8:$AG$42="Delivered")*('Jul 10'!$Q$8:$Q$42+'Jul 10'!$R$8:$R$42))</f>
        <v>0</v>
      </c>
      <c r="AE35">
        <f>SUMPRODUCT((('Jul 11'!$F$8:$F$42=$T16)*(0.5+0.5*('Jul 11'!$G$8:$G$42=""))+('Jul 11'!$G$8:$G$42=$T16)*0.5)*('Jul 11'!$AG$8:$AG$42="Delivered")*('Jul 11'!$Q$8:$Q$42+'Jul 11'!$R$8:$R$42))</f>
        <v>0</v>
      </c>
      <c r="AF35">
        <f>SUMPRODUCT((('Jul 12'!$F$8:$F$42=$T16)*(0.5+0.5*('Jul 12'!$G$8:$G$42=""))+('Jul 12'!$G$8:$G$42=$T16)*0.5)*('Jul 12'!$AG$8:$AG$42="Delivered")*('Jul 12'!$Q$8:$Q$42+'Jul 12'!$R$8:$R$42))</f>
        <v>0</v>
      </c>
      <c r="AG35">
        <f>SUMPRODUCT((('Jul 13'!$F$8:$F$42=$T16)*(0.5+0.5*('Jul 13'!$G$8:$G$42=""))+('Jul 13'!$G$8:$G$42=$T16)*0.5)*('Jul 13'!$AG$8:$AG$42="Delivered")*('Jul 13'!$Q$8:$Q$42+'Jul 13'!$R$8:$R$42))</f>
        <v>0</v>
      </c>
      <c r="AH35">
        <f>SUMPRODUCT((('Jul 14'!$F$8:$F$42=$T16)*(0.5+0.5*('Jul 14'!$G$8:$G$42=""))+('Jul 14'!$G$8:$G$42=$T16)*0.5)*('Jul 14'!$AG$8:$AG$42="Delivered")*('Jul 14'!$Q$8:$Q$42+'Jul 14'!$R$8:$R$42))</f>
        <v>0</v>
      </c>
      <c r="AI35">
        <f>SUMPRODUCT((('Jul 15'!$F$8:$F$42=$T16)*(0.5+0.5*('Jul 15'!$G$8:$G$42=""))+('Jul 15'!$G$8:$G$42=$T16)*0.5)*('Jul 15'!$AG$8:$AG$42="Delivered")*('Jul 15'!$Q$8:$Q$42+'Jul 15'!$R$8:$R$42))</f>
        <v>0</v>
      </c>
      <c r="AJ35">
        <f>SUMPRODUCT((('Jul 16'!$F$8:$F$42=$T16)*(0.5+0.5*('Jul 16'!$G$8:$G$42=""))+('Jul 16'!$G$8:$G$42=$T16)*0.5)*('Jul 16'!$AG$8:$AG$42="Delivered")*('Jul 16'!$Q$8:$Q$42+'Jul 16'!$R$8:$R$42))</f>
        <v>0</v>
      </c>
      <c r="AK35">
        <f>SUMPRODUCT((('Jul 17'!$F$8:$F$42=$T16)*(0.5+0.5*('Jul 17'!$G$8:$G$42=""))+('Jul 17'!$G$8:$G$42=$T16)*0.5)*('Jul 17'!$AG$8:$AG$42="Delivered")*('Jul 17'!$Q$8:$Q$42+'Jul 17'!$R$8:$R$42))</f>
        <v>0</v>
      </c>
      <c r="AL35">
        <f>SUMPRODUCT((('Jul 18'!$F$8:$F$42=$T16)*(0.5+0.5*('Jul 18'!$G$8:$G$42=""))+('Jul 18'!$G$8:$G$42=$T16)*0.5)*('Jul 18'!$AG$8:$AG$42="Delivered")*('Jul 18'!$Q$8:$Q$42+'Jul 18'!$R$8:$R$42))</f>
        <v>0</v>
      </c>
      <c r="AM35">
        <f>SUMPRODUCT((('Jul 19'!$F$8:$F$42=$T16)*(0.5+0.5*('Jul 19'!$G$8:$G$42=""))+('Jul 19'!$G$8:$G$42=$T16)*0.5)*('Jul 19'!$AG$8:$AG$42="Delivered")*('Jul 19'!$Q$8:$Q$42+'Jul 19'!$R$8:$R$42))</f>
        <v>0</v>
      </c>
      <c r="AN35">
        <f>SUMPRODUCT((('Jul 20'!$F$8:$F$42=$T16)*(0.5+0.5*('Jul 20'!$G$8:$G$42=""))+('Jul 20'!$G$8:$G$42=$T16)*0.5)*('Jul 20'!$AG$8:$AG$42="Delivered")*('Jul 20'!$Q$8:$Q$42+'Jul 20'!$R$8:$R$42))</f>
        <v>0</v>
      </c>
      <c r="AO35">
        <f>SUMPRODUCT((('Jul 21'!$F$8:$F$42=$T16)*(0.5+0.5*('Jul 21'!$G$8:$G$42=""))+('Jul 21'!$G$8:$G$42=$T16)*0.5)*('Jul 21'!$AG$8:$AG$42="Delivered")*('Jul 21'!$Q$8:$Q$42+'Jul 21'!$R$8:$R$42))</f>
        <v>0</v>
      </c>
      <c r="AP35">
        <f>SUMPRODUCT((('Jul 22'!$F$8:$F$42=$T16)*(0.5+0.5*('Jul 22'!$G$8:$G$42=""))+('Jul 22'!$G$8:$G$42=$T16)*0.5)*('Jul 22'!$AG$8:$AG$42="Delivered")*('Jul 22'!$Q$8:$Q$42+'Jul 22'!$R$8:$R$42))</f>
        <v>0</v>
      </c>
      <c r="AQ35">
        <f>SUMPRODUCT((('Jul 23'!$F$8:$F$42=$T16)*(0.5+0.5*('Jul 23'!$G$8:$G$42=""))+('Jul 23'!$G$8:$G$42=$T16)*0.5)*('Jul 23'!$AG$8:$AG$42="Delivered")*('Jul 23'!$Q$8:$Q$42+'Jul 23'!$R$8:$R$42))</f>
        <v>0</v>
      </c>
      <c r="AR35">
        <f>SUMPRODUCT((('Jul 24'!$F$8:$F$42=$T16)*(0.5+0.5*('Jul 24'!$G$8:$G$42=""))+('Jul 24'!$G$8:$G$42=$T16)*0.5)*('Jul 24'!$AG$8:$AG$42="Delivered")*('Jul 24'!$Q$8:$Q$42+'Jul 24'!$R$8:$R$42))</f>
        <v>0</v>
      </c>
      <c r="AS35">
        <f>SUMPRODUCT((('Jul 25'!$F$8:$F$42=$T16)*(0.5+0.5*('Jul 25'!$G$8:$G$42=""))+('Jul 25'!$G$8:$G$42=$T16)*0.5)*('Jul 25'!$AG$8:$AG$42="Delivered")*('Jul 25'!$Q$8:$Q$42+'Jul 25'!$R$8:$R$42))</f>
        <v>0</v>
      </c>
      <c r="AT35">
        <f>SUMPRODUCT((('Jul 26'!$F$8:$F$42=$T16)*(0.5+0.5*('Jul 26'!$G$8:$G$42=""))+('Jul 26'!$G$8:$G$42=$T16)*0.5)*('Jul 26'!$AG$8:$AG$42="Delivered")*('Jul 26'!$Q$8:$Q$42+'Jul 26'!$R$8:$R$42))</f>
        <v>0</v>
      </c>
      <c r="AU35">
        <f>SUMPRODUCT((('Jul 27'!$F$8:$F$42=$T16)*(0.5+0.5*('Jul 27'!$G$8:$G$42=""))+('Jul 27'!$G$8:$G$42=$T16)*0.5)*('Jul 27'!$AG$8:$AG$42="Delivered")*('Jul 27'!$Q$8:$Q$42+'Jul 27'!$R$8:$R$42))</f>
        <v>0</v>
      </c>
      <c r="AV35">
        <f>SUMPRODUCT((('Jul 28'!$F$8:$F$42=$T16)*(0.5+0.5*('Jul 28'!$G$8:$G$42=""))+('Jul 28'!$G$8:$G$42=$T16)*0.5)*('Jul 28'!$AG$8:$AG$42="Delivered")*('Jul 28'!$Q$8:$Q$42+'Jul 28'!$R$8:$R$42))</f>
        <v>0</v>
      </c>
      <c r="AW35">
        <f>SUMPRODUCT((('Jul 29'!$F$8:$F$42=$T16)*(0.5+0.5*('Jul 29'!$G$8:$G$42=""))+('Jul 29'!$G$8:$G$42=$T16)*0.5)*('Jul 29'!$AG$8:$AG$42="Delivered")*('Jul 29'!$Q$8:$Q$42+'Jul 29'!$R$8:$R$42))</f>
        <v>0</v>
      </c>
      <c r="AX35">
        <f>SUMPRODUCT((('Jul 30'!$F$8:$F$42=$T16)*(0.5+0.5*('Jul 30'!$G$8:$G$42=""))+('Jul 30'!$G$8:$G$42=$T16)*0.5)*('Jul 30'!$AG$8:$AG$42="Delivered")*('Jul 30'!$Q$8:$Q$42+'Jul 30'!$R$8:$R$42))</f>
        <v>0</v>
      </c>
      <c r="AY35">
        <f>SUMPRODUCT((('Jul 31'!$F$8:$F$42=$T16)*(0.5+0.5*('Jul 31'!$G$8:$G$42=""))+('Jul 31'!$G$8:$G$42=$T16)*0.5)*('Jul 31'!$AG$8:$AG$42="Delivered")*('Jul 31'!$Q$8:$Q$42+'Jul 31'!$R$8:$R$42))</f>
        <v>0</v>
      </c>
    </row>
    <row r="36" spans="21:51" x14ac:dyDescent="0.25">
      <c r="U36">
        <f>SUMPRODUCT((('Jul 1'!$F$8:$F$42=$T17)*(0.5+0.5*('Jul 1'!$G$8:$G$42=""))+('Jul 1'!$G$8:$G$42=$T17)*0.5)*('Jul 1'!$AG$8:$AG$42="Delivered")*('Jul 1'!$Q$8:$Q$42+'Jul 1'!$R$8:$R$42))</f>
        <v>0</v>
      </c>
      <c r="V36">
        <f>SUMPRODUCT((('Jul 2'!$F$8:$F$42=$T17)*(0.5+0.5*('Jul 2'!$G$8:$G$42=""))+('Jul 2'!$G$8:$G$42=$T17)*0.5)*('Jul 2'!$AG$8:$AG$42="Delivered")*('Jul 2'!$Q$8:$Q$42+'Jul 2'!$R$8:$R$42))</f>
        <v>0</v>
      </c>
      <c r="W36">
        <f>SUMPRODUCT((('Jul 3'!$F$8:$F$42=$T17)*(0.5+0.5*('Jul 3'!$G$8:$G$42=""))+('Jul 3'!$G$8:$G$42=$T17)*0.5)*('Jul 3'!$AG$8:$AG$42="Delivered")*('Jul 3'!$Q$8:$Q$42+'Jul 3'!$R$8:$R$42))</f>
        <v>0</v>
      </c>
      <c r="X36">
        <f>SUMPRODUCT((('Jul 4'!$F$8:$F$42=$T17)*(0.5+0.5*('Jul 4'!$G$8:$G$42=""))+('Jul 4'!$G$8:$G$42=$T17)*0.5)*('Jul 4'!$AG$8:$AG$42="Delivered")*('Jul 4'!$Q$8:$Q$42+'Jul 4'!$R$8:$R$42))</f>
        <v>0</v>
      </c>
      <c r="Y36">
        <f>SUMPRODUCT((('Jul 5'!$F$8:$F$42=$T17)*(0.5+0.5*('Jul 5'!$G$8:$G$42=""))+('Jul 5'!$G$8:$G$42=$T17)*0.5)*('Jul 5'!$AG$8:$AG$42="Delivered")*('Jul 5'!$Q$8:$Q$42+'Jul 5'!$R$8:$R$42))</f>
        <v>0</v>
      </c>
      <c r="Z36">
        <f>SUMPRODUCT((('Jul 6'!$F$8:$F$42=$T17)*(0.5+0.5*('Jul 6'!$G$8:$G$42=""))+('Jul 6'!$G$8:$G$42=$T17)*0.5)*('Jul 6'!$AG$8:$AG$42="Delivered")*('Jul 6'!$Q$8:$Q$42+'Jul 6'!$R$8:$R$42))</f>
        <v>0</v>
      </c>
      <c r="AA36">
        <f>SUMPRODUCT((('Jul 7'!$F$8:$F$42=$T17)*(0.5+0.5*('Jul 7'!$G$8:$G$42=""))+('Jul 7'!$G$8:$G$42=$T17)*0.5)*('Jul 7'!$AG$8:$AG$42="Delivered")*('Jul 7'!$Q$8:$Q$42+'Jul 7'!$R$8:$R$42))</f>
        <v>0</v>
      </c>
      <c r="AB36">
        <f>SUMPRODUCT((('Jul 8'!$F$8:$F$42=$T17)*(0.5+0.5*('Jul 8'!$G$8:$G$42=""))+('Jul 8'!$G$8:$G$42=$T17)*0.5)*('Jul 8'!$AG$8:$AG$42="Delivered")*('Jul 8'!$Q$8:$Q$42+'Jul 8'!$R$8:$R$42))</f>
        <v>0</v>
      </c>
      <c r="AC36">
        <f>SUMPRODUCT((('Jul 9'!$F$8:$F$42=$T17)*(0.5+0.5*('Jul 9'!$G$8:$G$42=""))+('Jul 9'!$G$8:$G$42=$T17)*0.5)*('Jul 9'!$AG$8:$AG$42="Delivered")*('Jul 9'!$Q$8:$Q$42+'Jul 9'!$R$8:$R$42))</f>
        <v>0</v>
      </c>
      <c r="AD36">
        <f>SUMPRODUCT((('Jul 10'!$F$8:$F$42=$T17)*(0.5+0.5*('Jul 10'!$G$8:$G$42=""))+('Jul 10'!$G$8:$G$42=$T17)*0.5)*('Jul 10'!$AG$8:$AG$42="Delivered")*('Jul 10'!$Q$8:$Q$42+'Jul 10'!$R$8:$R$42))</f>
        <v>0</v>
      </c>
      <c r="AE36">
        <f>SUMPRODUCT((('Jul 11'!$F$8:$F$42=$T17)*(0.5+0.5*('Jul 11'!$G$8:$G$42=""))+('Jul 11'!$G$8:$G$42=$T17)*0.5)*('Jul 11'!$AG$8:$AG$42="Delivered")*('Jul 11'!$Q$8:$Q$42+'Jul 11'!$R$8:$R$42))</f>
        <v>0</v>
      </c>
      <c r="AF36">
        <f>SUMPRODUCT((('Jul 12'!$F$8:$F$42=$T17)*(0.5+0.5*('Jul 12'!$G$8:$G$42=""))+('Jul 12'!$G$8:$G$42=$T17)*0.5)*('Jul 12'!$AG$8:$AG$42="Delivered")*('Jul 12'!$Q$8:$Q$42+'Jul 12'!$R$8:$R$42))</f>
        <v>0</v>
      </c>
      <c r="AG36">
        <f>SUMPRODUCT((('Jul 13'!$F$8:$F$42=$T17)*(0.5+0.5*('Jul 13'!$G$8:$G$42=""))+('Jul 13'!$G$8:$G$42=$T17)*0.5)*('Jul 13'!$AG$8:$AG$42="Delivered")*('Jul 13'!$Q$8:$Q$42+'Jul 13'!$R$8:$R$42))</f>
        <v>0</v>
      </c>
      <c r="AH36">
        <f>SUMPRODUCT((('Jul 14'!$F$8:$F$42=$T17)*(0.5+0.5*('Jul 14'!$G$8:$G$42=""))+('Jul 14'!$G$8:$G$42=$T17)*0.5)*('Jul 14'!$AG$8:$AG$42="Delivered")*('Jul 14'!$Q$8:$Q$42+'Jul 14'!$R$8:$R$42))</f>
        <v>0</v>
      </c>
      <c r="AI36">
        <f>SUMPRODUCT((('Jul 15'!$F$8:$F$42=$T17)*(0.5+0.5*('Jul 15'!$G$8:$G$42=""))+('Jul 15'!$G$8:$G$42=$T17)*0.5)*('Jul 15'!$AG$8:$AG$42="Delivered")*('Jul 15'!$Q$8:$Q$42+'Jul 15'!$R$8:$R$42))</f>
        <v>0</v>
      </c>
      <c r="AJ36">
        <f>SUMPRODUCT((('Jul 16'!$F$8:$F$42=$T17)*(0.5+0.5*('Jul 16'!$G$8:$G$42=""))+('Jul 16'!$G$8:$G$42=$T17)*0.5)*('Jul 16'!$AG$8:$AG$42="Delivered")*('Jul 16'!$Q$8:$Q$42+'Jul 16'!$R$8:$R$42))</f>
        <v>0</v>
      </c>
      <c r="AK36">
        <f>SUMPRODUCT((('Jul 17'!$F$8:$F$42=$T17)*(0.5+0.5*('Jul 17'!$G$8:$G$42=""))+('Jul 17'!$G$8:$G$42=$T17)*0.5)*('Jul 17'!$AG$8:$AG$42="Delivered")*('Jul 17'!$Q$8:$Q$42+'Jul 17'!$R$8:$R$42))</f>
        <v>0</v>
      </c>
      <c r="AL36">
        <f>SUMPRODUCT((('Jul 18'!$F$8:$F$42=$T17)*(0.5+0.5*('Jul 18'!$G$8:$G$42=""))+('Jul 18'!$G$8:$G$42=$T17)*0.5)*('Jul 18'!$AG$8:$AG$42="Delivered")*('Jul 18'!$Q$8:$Q$42+'Jul 18'!$R$8:$R$42))</f>
        <v>0</v>
      </c>
      <c r="AM36">
        <f>SUMPRODUCT((('Jul 19'!$F$8:$F$42=$T17)*(0.5+0.5*('Jul 19'!$G$8:$G$42=""))+('Jul 19'!$G$8:$G$42=$T17)*0.5)*('Jul 19'!$AG$8:$AG$42="Delivered")*('Jul 19'!$Q$8:$Q$42+'Jul 19'!$R$8:$R$42))</f>
        <v>0</v>
      </c>
      <c r="AN36">
        <f>SUMPRODUCT((('Jul 20'!$F$8:$F$42=$T17)*(0.5+0.5*('Jul 20'!$G$8:$G$42=""))+('Jul 20'!$G$8:$G$42=$T17)*0.5)*('Jul 20'!$AG$8:$AG$42="Delivered")*('Jul 20'!$Q$8:$Q$42+'Jul 20'!$R$8:$R$42))</f>
        <v>0</v>
      </c>
      <c r="AO36">
        <f>SUMPRODUCT((('Jul 21'!$F$8:$F$42=$T17)*(0.5+0.5*('Jul 21'!$G$8:$G$42=""))+('Jul 21'!$G$8:$G$42=$T17)*0.5)*('Jul 21'!$AG$8:$AG$42="Delivered")*('Jul 21'!$Q$8:$Q$42+'Jul 21'!$R$8:$R$42))</f>
        <v>0</v>
      </c>
      <c r="AP36">
        <f>SUMPRODUCT((('Jul 22'!$F$8:$F$42=$T17)*(0.5+0.5*('Jul 22'!$G$8:$G$42=""))+('Jul 22'!$G$8:$G$42=$T17)*0.5)*('Jul 22'!$AG$8:$AG$42="Delivered")*('Jul 22'!$Q$8:$Q$42+'Jul 22'!$R$8:$R$42))</f>
        <v>0</v>
      </c>
      <c r="AQ36">
        <f>SUMPRODUCT((('Jul 23'!$F$8:$F$42=$T17)*(0.5+0.5*('Jul 23'!$G$8:$G$42=""))+('Jul 23'!$G$8:$G$42=$T17)*0.5)*('Jul 23'!$AG$8:$AG$42="Delivered")*('Jul 23'!$Q$8:$Q$42+'Jul 23'!$R$8:$R$42))</f>
        <v>0</v>
      </c>
      <c r="AR36">
        <f>SUMPRODUCT((('Jul 24'!$F$8:$F$42=$T17)*(0.5+0.5*('Jul 24'!$G$8:$G$42=""))+('Jul 24'!$G$8:$G$42=$T17)*0.5)*('Jul 24'!$AG$8:$AG$42="Delivered")*('Jul 24'!$Q$8:$Q$42+'Jul 24'!$R$8:$R$42))</f>
        <v>0</v>
      </c>
      <c r="AS36">
        <f>SUMPRODUCT((('Jul 25'!$F$8:$F$42=$T17)*(0.5+0.5*('Jul 25'!$G$8:$G$42=""))+('Jul 25'!$G$8:$G$42=$T17)*0.5)*('Jul 25'!$AG$8:$AG$42="Delivered")*('Jul 25'!$Q$8:$Q$42+'Jul 25'!$R$8:$R$42))</f>
        <v>0</v>
      </c>
      <c r="AT36">
        <f>SUMPRODUCT((('Jul 26'!$F$8:$F$42=$T17)*(0.5+0.5*('Jul 26'!$G$8:$G$42=""))+('Jul 26'!$G$8:$G$42=$T17)*0.5)*('Jul 26'!$AG$8:$AG$42="Delivered")*('Jul 26'!$Q$8:$Q$42+'Jul 26'!$R$8:$R$42))</f>
        <v>0</v>
      </c>
      <c r="AU36">
        <f>SUMPRODUCT((('Jul 27'!$F$8:$F$42=$T17)*(0.5+0.5*('Jul 27'!$G$8:$G$42=""))+('Jul 27'!$G$8:$G$42=$T17)*0.5)*('Jul 27'!$AG$8:$AG$42="Delivered")*('Jul 27'!$Q$8:$Q$42+'Jul 27'!$R$8:$R$42))</f>
        <v>0</v>
      </c>
      <c r="AV36">
        <f>SUMPRODUCT((('Jul 28'!$F$8:$F$42=$T17)*(0.5+0.5*('Jul 28'!$G$8:$G$42=""))+('Jul 28'!$G$8:$G$42=$T17)*0.5)*('Jul 28'!$AG$8:$AG$42="Delivered")*('Jul 28'!$Q$8:$Q$42+'Jul 28'!$R$8:$R$42))</f>
        <v>0</v>
      </c>
      <c r="AW36">
        <f>SUMPRODUCT((('Jul 29'!$F$8:$F$42=$T17)*(0.5+0.5*('Jul 29'!$G$8:$G$42=""))+('Jul 29'!$G$8:$G$42=$T17)*0.5)*('Jul 29'!$AG$8:$AG$42="Delivered")*('Jul 29'!$Q$8:$Q$42+'Jul 29'!$R$8:$R$42))</f>
        <v>0</v>
      </c>
      <c r="AX36">
        <f>SUMPRODUCT((('Jul 30'!$F$8:$F$42=$T17)*(0.5+0.5*('Jul 30'!$G$8:$G$42=""))+('Jul 30'!$G$8:$G$42=$T17)*0.5)*('Jul 30'!$AG$8:$AG$42="Delivered")*('Jul 30'!$Q$8:$Q$42+'Jul 30'!$R$8:$R$42))</f>
        <v>0</v>
      </c>
      <c r="AY36">
        <f>SUMPRODUCT((('Jul 31'!$F$8:$F$42=$T17)*(0.5+0.5*('Jul 31'!$G$8:$G$42=""))+('Jul 31'!$G$8:$G$42=$T17)*0.5)*('Jul 31'!$AG$8:$AG$42="Delivered")*('Jul 31'!$Q$8:$Q$42+'Jul 31'!$R$8:$R$42))</f>
        <v>0</v>
      </c>
    </row>
    <row r="37" spans="21:51" x14ac:dyDescent="0.25">
      <c r="U37">
        <f>SUMPRODUCT((('Jul 1'!$F$8:$F$42=$T18)*(0.5+0.5*('Jul 1'!$G$8:$G$42=""))+('Jul 1'!$G$8:$G$42=$T18)*0.5)*('Jul 1'!$AG$8:$AG$42="Delivered")*('Jul 1'!$Q$8:$Q$42+'Jul 1'!$R$8:$R$42))</f>
        <v>0</v>
      </c>
      <c r="V37">
        <f>SUMPRODUCT((('Jul 2'!$F$8:$F$42=$T18)*(0.5+0.5*('Jul 2'!$G$8:$G$42=""))+('Jul 2'!$G$8:$G$42=$T18)*0.5)*('Jul 2'!$AG$8:$AG$42="Delivered")*('Jul 2'!$Q$8:$Q$42+'Jul 2'!$R$8:$R$42))</f>
        <v>0</v>
      </c>
      <c r="W37">
        <f>SUMPRODUCT((('Jul 3'!$F$8:$F$42=$T18)*(0.5+0.5*('Jul 3'!$G$8:$G$42=""))+('Jul 3'!$G$8:$G$42=$T18)*0.5)*('Jul 3'!$AG$8:$AG$42="Delivered")*('Jul 3'!$Q$8:$Q$42+'Jul 3'!$R$8:$R$42))</f>
        <v>0</v>
      </c>
      <c r="X37">
        <f>SUMPRODUCT((('Jul 4'!$F$8:$F$42=$T18)*(0.5+0.5*('Jul 4'!$G$8:$G$42=""))+('Jul 4'!$G$8:$G$42=$T18)*0.5)*('Jul 4'!$AG$8:$AG$42="Delivered")*('Jul 4'!$Q$8:$Q$42+'Jul 4'!$R$8:$R$42))</f>
        <v>0</v>
      </c>
      <c r="Y37">
        <f>SUMPRODUCT((('Jul 5'!$F$8:$F$42=$T18)*(0.5+0.5*('Jul 5'!$G$8:$G$42=""))+('Jul 5'!$G$8:$G$42=$T18)*0.5)*('Jul 5'!$AG$8:$AG$42="Delivered")*('Jul 5'!$Q$8:$Q$42+'Jul 5'!$R$8:$R$42))</f>
        <v>0</v>
      </c>
      <c r="Z37">
        <f>SUMPRODUCT((('Jul 6'!$F$8:$F$42=$T18)*(0.5+0.5*('Jul 6'!$G$8:$G$42=""))+('Jul 6'!$G$8:$G$42=$T18)*0.5)*('Jul 6'!$AG$8:$AG$42="Delivered")*('Jul 6'!$Q$8:$Q$42+'Jul 6'!$R$8:$R$42))</f>
        <v>0</v>
      </c>
      <c r="AA37">
        <f>SUMPRODUCT((('Jul 7'!$F$8:$F$42=$T18)*(0.5+0.5*('Jul 7'!$G$8:$G$42=""))+('Jul 7'!$G$8:$G$42=$T18)*0.5)*('Jul 7'!$AG$8:$AG$42="Delivered")*('Jul 7'!$Q$8:$Q$42+'Jul 7'!$R$8:$R$42))</f>
        <v>0</v>
      </c>
      <c r="AB37">
        <f>SUMPRODUCT((('Jul 8'!$F$8:$F$42=$T18)*(0.5+0.5*('Jul 8'!$G$8:$G$42=""))+('Jul 8'!$G$8:$G$42=$T18)*0.5)*('Jul 8'!$AG$8:$AG$42="Delivered")*('Jul 8'!$Q$8:$Q$42+'Jul 8'!$R$8:$R$42))</f>
        <v>0</v>
      </c>
      <c r="AC37">
        <f>SUMPRODUCT((('Jul 9'!$F$8:$F$42=$T18)*(0.5+0.5*('Jul 9'!$G$8:$G$42=""))+('Jul 9'!$G$8:$G$42=$T18)*0.5)*('Jul 9'!$AG$8:$AG$42="Delivered")*('Jul 9'!$Q$8:$Q$42+'Jul 9'!$R$8:$R$42))</f>
        <v>0</v>
      </c>
      <c r="AD37">
        <f>SUMPRODUCT((('Jul 10'!$F$8:$F$42=$T18)*(0.5+0.5*('Jul 10'!$G$8:$G$42=""))+('Jul 10'!$G$8:$G$42=$T18)*0.5)*('Jul 10'!$AG$8:$AG$42="Delivered")*('Jul 10'!$Q$8:$Q$42+'Jul 10'!$R$8:$R$42))</f>
        <v>0</v>
      </c>
      <c r="AE37">
        <f>SUMPRODUCT((('Jul 11'!$F$8:$F$42=$T18)*(0.5+0.5*('Jul 11'!$G$8:$G$42=""))+('Jul 11'!$G$8:$G$42=$T18)*0.5)*('Jul 11'!$AG$8:$AG$42="Delivered")*('Jul 11'!$Q$8:$Q$42+'Jul 11'!$R$8:$R$42))</f>
        <v>0</v>
      </c>
      <c r="AF37">
        <f>SUMPRODUCT((('Jul 12'!$F$8:$F$42=$T18)*(0.5+0.5*('Jul 12'!$G$8:$G$42=""))+('Jul 12'!$G$8:$G$42=$T18)*0.5)*('Jul 12'!$AG$8:$AG$42="Delivered")*('Jul 12'!$Q$8:$Q$42+'Jul 12'!$R$8:$R$42))</f>
        <v>0</v>
      </c>
      <c r="AG37">
        <f>SUMPRODUCT((('Jul 13'!$F$8:$F$42=$T18)*(0.5+0.5*('Jul 13'!$G$8:$G$42=""))+('Jul 13'!$G$8:$G$42=$T18)*0.5)*('Jul 13'!$AG$8:$AG$42="Delivered")*('Jul 13'!$Q$8:$Q$42+'Jul 13'!$R$8:$R$42))</f>
        <v>0</v>
      </c>
      <c r="AH37">
        <f>SUMPRODUCT((('Jul 14'!$F$8:$F$42=$T18)*(0.5+0.5*('Jul 14'!$G$8:$G$42=""))+('Jul 14'!$G$8:$G$42=$T18)*0.5)*('Jul 14'!$AG$8:$AG$42="Delivered")*('Jul 14'!$Q$8:$Q$42+'Jul 14'!$R$8:$R$42))</f>
        <v>0</v>
      </c>
      <c r="AI37">
        <f>SUMPRODUCT((('Jul 15'!$F$8:$F$42=$T18)*(0.5+0.5*('Jul 15'!$G$8:$G$42=""))+('Jul 15'!$G$8:$G$42=$T18)*0.5)*('Jul 15'!$AG$8:$AG$42="Delivered")*('Jul 15'!$Q$8:$Q$42+'Jul 15'!$R$8:$R$42))</f>
        <v>0</v>
      </c>
      <c r="AJ37">
        <f>SUMPRODUCT((('Jul 16'!$F$8:$F$42=$T18)*(0.5+0.5*('Jul 16'!$G$8:$G$42=""))+('Jul 16'!$G$8:$G$42=$T18)*0.5)*('Jul 16'!$AG$8:$AG$42="Delivered")*('Jul 16'!$Q$8:$Q$42+'Jul 16'!$R$8:$R$42))</f>
        <v>0</v>
      </c>
      <c r="AK37">
        <f>SUMPRODUCT((('Jul 17'!$F$8:$F$42=$T18)*(0.5+0.5*('Jul 17'!$G$8:$G$42=""))+('Jul 17'!$G$8:$G$42=$T18)*0.5)*('Jul 17'!$AG$8:$AG$42="Delivered")*('Jul 17'!$Q$8:$Q$42+'Jul 17'!$R$8:$R$42))</f>
        <v>0</v>
      </c>
      <c r="AL37">
        <f>SUMPRODUCT((('Jul 18'!$F$8:$F$42=$T18)*(0.5+0.5*('Jul 18'!$G$8:$G$42=""))+('Jul 18'!$G$8:$G$42=$T18)*0.5)*('Jul 18'!$AG$8:$AG$42="Delivered")*('Jul 18'!$Q$8:$Q$42+'Jul 18'!$R$8:$R$42))</f>
        <v>0</v>
      </c>
      <c r="AM37">
        <f>SUMPRODUCT((('Jul 19'!$F$8:$F$42=$T18)*(0.5+0.5*('Jul 19'!$G$8:$G$42=""))+('Jul 19'!$G$8:$G$42=$T18)*0.5)*('Jul 19'!$AG$8:$AG$42="Delivered")*('Jul 19'!$Q$8:$Q$42+'Jul 19'!$R$8:$R$42))</f>
        <v>0</v>
      </c>
      <c r="AN37">
        <f>SUMPRODUCT((('Jul 20'!$F$8:$F$42=$T18)*(0.5+0.5*('Jul 20'!$G$8:$G$42=""))+('Jul 20'!$G$8:$G$42=$T18)*0.5)*('Jul 20'!$AG$8:$AG$42="Delivered")*('Jul 20'!$Q$8:$Q$42+'Jul 20'!$R$8:$R$42))</f>
        <v>0</v>
      </c>
      <c r="AO37">
        <f>SUMPRODUCT((('Jul 21'!$F$8:$F$42=$T18)*(0.5+0.5*('Jul 21'!$G$8:$G$42=""))+('Jul 21'!$G$8:$G$42=$T18)*0.5)*('Jul 21'!$AG$8:$AG$42="Delivered")*('Jul 21'!$Q$8:$Q$42+'Jul 21'!$R$8:$R$42))</f>
        <v>0</v>
      </c>
      <c r="AP37">
        <f>SUMPRODUCT((('Jul 22'!$F$8:$F$42=$T18)*(0.5+0.5*('Jul 22'!$G$8:$G$42=""))+('Jul 22'!$G$8:$G$42=$T18)*0.5)*('Jul 22'!$AG$8:$AG$42="Delivered")*('Jul 22'!$Q$8:$Q$42+'Jul 22'!$R$8:$R$42))</f>
        <v>0</v>
      </c>
      <c r="AQ37">
        <f>SUMPRODUCT((('Jul 23'!$F$8:$F$42=$T18)*(0.5+0.5*('Jul 23'!$G$8:$G$42=""))+('Jul 23'!$G$8:$G$42=$T18)*0.5)*('Jul 23'!$AG$8:$AG$42="Delivered")*('Jul 23'!$Q$8:$Q$42+'Jul 23'!$R$8:$R$42))</f>
        <v>0</v>
      </c>
      <c r="AR37">
        <f>SUMPRODUCT((('Jul 24'!$F$8:$F$42=$T18)*(0.5+0.5*('Jul 24'!$G$8:$G$42=""))+('Jul 24'!$G$8:$G$42=$T18)*0.5)*('Jul 24'!$AG$8:$AG$42="Delivered")*('Jul 24'!$Q$8:$Q$42+'Jul 24'!$R$8:$R$42))</f>
        <v>0</v>
      </c>
      <c r="AS37">
        <f>SUMPRODUCT((('Jul 25'!$F$8:$F$42=$T18)*(0.5+0.5*('Jul 25'!$G$8:$G$42=""))+('Jul 25'!$G$8:$G$42=$T18)*0.5)*('Jul 25'!$AG$8:$AG$42="Delivered")*('Jul 25'!$Q$8:$Q$42+'Jul 25'!$R$8:$R$42))</f>
        <v>0</v>
      </c>
      <c r="AT37">
        <f>SUMPRODUCT((('Jul 26'!$F$8:$F$42=$T18)*(0.5+0.5*('Jul 26'!$G$8:$G$42=""))+('Jul 26'!$G$8:$G$42=$T18)*0.5)*('Jul 26'!$AG$8:$AG$42="Delivered")*('Jul 26'!$Q$8:$Q$42+'Jul 26'!$R$8:$R$42))</f>
        <v>0</v>
      </c>
      <c r="AU37">
        <f>SUMPRODUCT((('Jul 27'!$F$8:$F$42=$T18)*(0.5+0.5*('Jul 27'!$G$8:$G$42=""))+('Jul 27'!$G$8:$G$42=$T18)*0.5)*('Jul 27'!$AG$8:$AG$42="Delivered")*('Jul 27'!$Q$8:$Q$42+'Jul 27'!$R$8:$R$42))</f>
        <v>0</v>
      </c>
      <c r="AV37">
        <f>SUMPRODUCT((('Jul 28'!$F$8:$F$42=$T18)*(0.5+0.5*('Jul 28'!$G$8:$G$42=""))+('Jul 28'!$G$8:$G$42=$T18)*0.5)*('Jul 28'!$AG$8:$AG$42="Delivered")*('Jul 28'!$Q$8:$Q$42+'Jul 28'!$R$8:$R$42))</f>
        <v>0</v>
      </c>
      <c r="AW37">
        <f>SUMPRODUCT((('Jul 29'!$F$8:$F$42=$T18)*(0.5+0.5*('Jul 29'!$G$8:$G$42=""))+('Jul 29'!$G$8:$G$42=$T18)*0.5)*('Jul 29'!$AG$8:$AG$42="Delivered")*('Jul 29'!$Q$8:$Q$42+'Jul 29'!$R$8:$R$42))</f>
        <v>0</v>
      </c>
      <c r="AX37">
        <f>SUMPRODUCT((('Jul 30'!$F$8:$F$42=$T18)*(0.5+0.5*('Jul 30'!$G$8:$G$42=""))+('Jul 30'!$G$8:$G$42=$T18)*0.5)*('Jul 30'!$AG$8:$AG$42="Delivered")*('Jul 30'!$Q$8:$Q$42+'Jul 30'!$R$8:$R$42))</f>
        <v>0</v>
      </c>
      <c r="AY37">
        <f>SUMPRODUCT((('Jul 31'!$F$8:$F$42=$T18)*(0.5+0.5*('Jul 31'!$G$8:$G$42=""))+('Jul 31'!$G$8:$G$42=$T18)*0.5)*('Jul 31'!$AG$8:$AG$42="Delivered")*('Jul 31'!$Q$8:$Q$42+'Jul 31'!$R$8:$R$42))</f>
        <v>0</v>
      </c>
    </row>
    <row r="38" spans="21:51" x14ac:dyDescent="0.25">
      <c r="U38">
        <f>SUMPRODUCT((('Jul 1'!$F$8:$F$42=$T19)*(0.5+0.5*('Jul 1'!$G$8:$G$42=""))+('Jul 1'!$G$8:$G$42=$T19)*0.5)*('Jul 1'!$AG$8:$AG$42="Delivered")*('Jul 1'!$Q$8:$Q$42+'Jul 1'!$R$8:$R$42))</f>
        <v>0</v>
      </c>
      <c r="V38">
        <f>SUMPRODUCT((('Jul 2'!$F$8:$F$42=$T19)*(0.5+0.5*('Jul 2'!$G$8:$G$42=""))+('Jul 2'!$G$8:$G$42=$T19)*0.5)*('Jul 2'!$AG$8:$AG$42="Delivered")*('Jul 2'!$Q$8:$Q$42+'Jul 2'!$R$8:$R$42))</f>
        <v>0</v>
      </c>
      <c r="W38">
        <f>SUMPRODUCT((('Jul 3'!$F$8:$F$42=$T19)*(0.5+0.5*('Jul 3'!$G$8:$G$42=""))+('Jul 3'!$G$8:$G$42=$T19)*0.5)*('Jul 3'!$AG$8:$AG$42="Delivered")*('Jul 3'!$Q$8:$Q$42+'Jul 3'!$R$8:$R$42))</f>
        <v>0</v>
      </c>
      <c r="X38">
        <f>SUMPRODUCT((('Jul 4'!$F$8:$F$42=$T19)*(0.5+0.5*('Jul 4'!$G$8:$G$42=""))+('Jul 4'!$G$8:$G$42=$T19)*0.5)*('Jul 4'!$AG$8:$AG$42="Delivered")*('Jul 4'!$Q$8:$Q$42+'Jul 4'!$R$8:$R$42))</f>
        <v>0</v>
      </c>
      <c r="Y38">
        <f>SUMPRODUCT((('Jul 5'!$F$8:$F$42=$T19)*(0.5+0.5*('Jul 5'!$G$8:$G$42=""))+('Jul 5'!$G$8:$G$42=$T19)*0.5)*('Jul 5'!$AG$8:$AG$42="Delivered")*('Jul 5'!$Q$8:$Q$42+'Jul 5'!$R$8:$R$42))</f>
        <v>0</v>
      </c>
      <c r="Z38">
        <f>SUMPRODUCT((('Jul 6'!$F$8:$F$42=$T19)*(0.5+0.5*('Jul 6'!$G$8:$G$42=""))+('Jul 6'!$G$8:$G$42=$T19)*0.5)*('Jul 6'!$AG$8:$AG$42="Delivered")*('Jul 6'!$Q$8:$Q$42+'Jul 6'!$R$8:$R$42))</f>
        <v>0</v>
      </c>
      <c r="AA38">
        <f>SUMPRODUCT((('Jul 7'!$F$8:$F$42=$T19)*(0.5+0.5*('Jul 7'!$G$8:$G$42=""))+('Jul 7'!$G$8:$G$42=$T19)*0.5)*('Jul 7'!$AG$8:$AG$42="Delivered")*('Jul 7'!$Q$8:$Q$42+'Jul 7'!$R$8:$R$42))</f>
        <v>0</v>
      </c>
      <c r="AB38">
        <f>SUMPRODUCT((('Jul 8'!$F$8:$F$42=$T19)*(0.5+0.5*('Jul 8'!$G$8:$G$42=""))+('Jul 8'!$G$8:$G$42=$T19)*0.5)*('Jul 8'!$AG$8:$AG$42="Delivered")*('Jul 8'!$Q$8:$Q$42+'Jul 8'!$R$8:$R$42))</f>
        <v>0</v>
      </c>
      <c r="AC38">
        <f>SUMPRODUCT((('Jul 9'!$F$8:$F$42=$T19)*(0.5+0.5*('Jul 9'!$G$8:$G$42=""))+('Jul 9'!$G$8:$G$42=$T19)*0.5)*('Jul 9'!$AG$8:$AG$42="Delivered")*('Jul 9'!$Q$8:$Q$42+'Jul 9'!$R$8:$R$42))</f>
        <v>0</v>
      </c>
      <c r="AD38">
        <f>SUMPRODUCT((('Jul 10'!$F$8:$F$42=$T19)*(0.5+0.5*('Jul 10'!$G$8:$G$42=""))+('Jul 10'!$G$8:$G$42=$T19)*0.5)*('Jul 10'!$AG$8:$AG$42="Delivered")*('Jul 10'!$Q$8:$Q$42+'Jul 10'!$R$8:$R$42))</f>
        <v>0</v>
      </c>
      <c r="AE38">
        <f>SUMPRODUCT((('Jul 11'!$F$8:$F$42=$T19)*(0.5+0.5*('Jul 11'!$G$8:$G$42=""))+('Jul 11'!$G$8:$G$42=$T19)*0.5)*('Jul 11'!$AG$8:$AG$42="Delivered")*('Jul 11'!$Q$8:$Q$42+'Jul 11'!$R$8:$R$42))</f>
        <v>0</v>
      </c>
      <c r="AF38">
        <f>SUMPRODUCT((('Jul 12'!$F$8:$F$42=$T19)*(0.5+0.5*('Jul 12'!$G$8:$G$42=""))+('Jul 12'!$G$8:$G$42=$T19)*0.5)*('Jul 12'!$AG$8:$AG$42="Delivered")*('Jul 12'!$Q$8:$Q$42+'Jul 12'!$R$8:$R$42))</f>
        <v>0</v>
      </c>
      <c r="AG38">
        <f>SUMPRODUCT((('Jul 13'!$F$8:$F$42=$T19)*(0.5+0.5*('Jul 13'!$G$8:$G$42=""))+('Jul 13'!$G$8:$G$42=$T19)*0.5)*('Jul 13'!$AG$8:$AG$42="Delivered")*('Jul 13'!$Q$8:$Q$42+'Jul 13'!$R$8:$R$42))</f>
        <v>0</v>
      </c>
      <c r="AH38">
        <f>SUMPRODUCT((('Jul 14'!$F$8:$F$42=$T19)*(0.5+0.5*('Jul 14'!$G$8:$G$42=""))+('Jul 14'!$G$8:$G$42=$T19)*0.5)*('Jul 14'!$AG$8:$AG$42="Delivered")*('Jul 14'!$Q$8:$Q$42+'Jul 14'!$R$8:$R$42))</f>
        <v>0</v>
      </c>
      <c r="AI38">
        <f>SUMPRODUCT((('Jul 15'!$F$8:$F$42=$T19)*(0.5+0.5*('Jul 15'!$G$8:$G$42=""))+('Jul 15'!$G$8:$G$42=$T19)*0.5)*('Jul 15'!$AG$8:$AG$42="Delivered")*('Jul 15'!$Q$8:$Q$42+'Jul 15'!$R$8:$R$42))</f>
        <v>0</v>
      </c>
      <c r="AJ38">
        <f>SUMPRODUCT((('Jul 16'!$F$8:$F$42=$T19)*(0.5+0.5*('Jul 16'!$G$8:$G$42=""))+('Jul 16'!$G$8:$G$42=$T19)*0.5)*('Jul 16'!$AG$8:$AG$42="Delivered")*('Jul 16'!$Q$8:$Q$42+'Jul 16'!$R$8:$R$42))</f>
        <v>0</v>
      </c>
      <c r="AK38">
        <f>SUMPRODUCT((('Jul 17'!$F$8:$F$42=$T19)*(0.5+0.5*('Jul 17'!$G$8:$G$42=""))+('Jul 17'!$G$8:$G$42=$T19)*0.5)*('Jul 17'!$AG$8:$AG$42="Delivered")*('Jul 17'!$Q$8:$Q$42+'Jul 17'!$R$8:$R$42))</f>
        <v>0</v>
      </c>
      <c r="AL38">
        <f>SUMPRODUCT((('Jul 18'!$F$8:$F$42=$T19)*(0.5+0.5*('Jul 18'!$G$8:$G$42=""))+('Jul 18'!$G$8:$G$42=$T19)*0.5)*('Jul 18'!$AG$8:$AG$42="Delivered")*('Jul 18'!$Q$8:$Q$42+'Jul 18'!$R$8:$R$42))</f>
        <v>0</v>
      </c>
      <c r="AM38">
        <f>SUMPRODUCT((('Jul 19'!$F$8:$F$42=$T19)*(0.5+0.5*('Jul 19'!$G$8:$G$42=""))+('Jul 19'!$G$8:$G$42=$T19)*0.5)*('Jul 19'!$AG$8:$AG$42="Delivered")*('Jul 19'!$Q$8:$Q$42+'Jul 19'!$R$8:$R$42))</f>
        <v>0</v>
      </c>
      <c r="AN38">
        <f>SUMPRODUCT((('Jul 20'!$F$8:$F$42=$T19)*(0.5+0.5*('Jul 20'!$G$8:$G$42=""))+('Jul 20'!$G$8:$G$42=$T19)*0.5)*('Jul 20'!$AG$8:$AG$42="Delivered")*('Jul 20'!$Q$8:$Q$42+'Jul 20'!$R$8:$R$42))</f>
        <v>0</v>
      </c>
      <c r="AO38">
        <f>SUMPRODUCT((('Jul 21'!$F$8:$F$42=$T19)*(0.5+0.5*('Jul 21'!$G$8:$G$42=""))+('Jul 21'!$G$8:$G$42=$T19)*0.5)*('Jul 21'!$AG$8:$AG$42="Delivered")*('Jul 21'!$Q$8:$Q$42+'Jul 21'!$R$8:$R$42))</f>
        <v>0</v>
      </c>
      <c r="AP38">
        <f>SUMPRODUCT((('Jul 22'!$F$8:$F$42=$T19)*(0.5+0.5*('Jul 22'!$G$8:$G$42=""))+('Jul 22'!$G$8:$G$42=$T19)*0.5)*('Jul 22'!$AG$8:$AG$42="Delivered")*('Jul 22'!$Q$8:$Q$42+'Jul 22'!$R$8:$R$42))</f>
        <v>0</v>
      </c>
      <c r="AQ38">
        <f>SUMPRODUCT((('Jul 23'!$F$8:$F$42=$T19)*(0.5+0.5*('Jul 23'!$G$8:$G$42=""))+('Jul 23'!$G$8:$G$42=$T19)*0.5)*('Jul 23'!$AG$8:$AG$42="Delivered")*('Jul 23'!$Q$8:$Q$42+'Jul 23'!$R$8:$R$42))</f>
        <v>0</v>
      </c>
      <c r="AR38">
        <f>SUMPRODUCT((('Jul 24'!$F$8:$F$42=$T19)*(0.5+0.5*('Jul 24'!$G$8:$G$42=""))+('Jul 24'!$G$8:$G$42=$T19)*0.5)*('Jul 24'!$AG$8:$AG$42="Delivered")*('Jul 24'!$Q$8:$Q$42+'Jul 24'!$R$8:$R$42))</f>
        <v>0</v>
      </c>
      <c r="AS38">
        <f>SUMPRODUCT((('Jul 25'!$F$8:$F$42=$T19)*(0.5+0.5*('Jul 25'!$G$8:$G$42=""))+('Jul 25'!$G$8:$G$42=$T19)*0.5)*('Jul 25'!$AG$8:$AG$42="Delivered")*('Jul 25'!$Q$8:$Q$42+'Jul 25'!$R$8:$R$42))</f>
        <v>0</v>
      </c>
      <c r="AT38">
        <f>SUMPRODUCT((('Jul 26'!$F$8:$F$42=$T19)*(0.5+0.5*('Jul 26'!$G$8:$G$42=""))+('Jul 26'!$G$8:$G$42=$T19)*0.5)*('Jul 26'!$AG$8:$AG$42="Delivered")*('Jul 26'!$Q$8:$Q$42+'Jul 26'!$R$8:$R$42))</f>
        <v>0</v>
      </c>
      <c r="AU38">
        <f>SUMPRODUCT((('Jul 27'!$F$8:$F$42=$T19)*(0.5+0.5*('Jul 27'!$G$8:$G$42=""))+('Jul 27'!$G$8:$G$42=$T19)*0.5)*('Jul 27'!$AG$8:$AG$42="Delivered")*('Jul 27'!$Q$8:$Q$42+'Jul 27'!$R$8:$R$42))</f>
        <v>0</v>
      </c>
      <c r="AV38">
        <f>SUMPRODUCT((('Jul 28'!$F$8:$F$42=$T19)*(0.5+0.5*('Jul 28'!$G$8:$G$42=""))+('Jul 28'!$G$8:$G$42=$T19)*0.5)*('Jul 28'!$AG$8:$AG$42="Delivered")*('Jul 28'!$Q$8:$Q$42+'Jul 28'!$R$8:$R$42))</f>
        <v>0</v>
      </c>
      <c r="AW38">
        <f>SUMPRODUCT((('Jul 29'!$F$8:$F$42=$T19)*(0.5+0.5*('Jul 29'!$G$8:$G$42=""))+('Jul 29'!$G$8:$G$42=$T19)*0.5)*('Jul 29'!$AG$8:$AG$42="Delivered")*('Jul 29'!$Q$8:$Q$42+'Jul 29'!$R$8:$R$42))</f>
        <v>0</v>
      </c>
      <c r="AX38">
        <f>SUMPRODUCT((('Jul 30'!$F$8:$F$42=$T19)*(0.5+0.5*('Jul 30'!$G$8:$G$42=""))+('Jul 30'!$G$8:$G$42=$T19)*0.5)*('Jul 30'!$AG$8:$AG$42="Delivered")*('Jul 30'!$Q$8:$Q$42+'Jul 30'!$R$8:$R$42))</f>
        <v>0</v>
      </c>
      <c r="AY38">
        <f>SUMPRODUCT((('Jul 31'!$F$8:$F$42=$T19)*(0.5+0.5*('Jul 31'!$G$8:$G$42=""))+('Jul 31'!$G$8:$G$42=$T19)*0.5)*('Jul 31'!$AG$8:$AG$42="Delivered")*('Jul 31'!$Q$8:$Q$42+'Jul 31'!$R$8:$R$42))</f>
        <v>0</v>
      </c>
    </row>
    <row r="42" spans="21:51" x14ac:dyDescent="0.25">
      <c r="U42">
        <f>SUMPRODUCT((('Jul 1'!$F$8:$F$42=$T4)*(0.5+0.5*('Jul 1'!$G$8:$G$42=""))+('Jul 1'!$G$8:$G$42=$T4)*0.5)*('Jul 1'!$AG$8:$AG$42="Delivered")*LOOKUP((('Jul 1'!$Q$8:$Q$42+'Jul 1'!$R$8:$R$42)*(('Jul 1'!$Q$8:$Q$42+'Jul 1'!$R$8:$R$42)&gt;0)),'Pay Plan'!$D$5:$K$5,INDEX('Pay Plan'!$D$6:$K$12,$BB4,0)))</f>
        <v>0</v>
      </c>
      <c r="V42">
        <f>SUMPRODUCT((('Jul 2'!$F$8:$F$42=$T4)*(0.5+0.5*('Jul 2'!$G$8:$G$42=""))+('Jul 2'!$G$8:$G$42=$T4)*0.5)*('Jul 2'!$AG$8:$AG$42="Delivered")*LOOKUP((('Jul 2'!$Q$8:$Q$42+'Jul 2'!$R$8:$R$42)*(('Jul 2'!$Q$8:$Q$42+'Jul 2'!$R$8:$R$42)&gt;0)),'Pay Plan'!$D$5:$K$5,INDEX('Pay Plan'!$D$6:$K$12,$BB4,0)))</f>
        <v>0</v>
      </c>
      <c r="W42">
        <f>SUMPRODUCT((('Jul 3'!$F$8:$F$42=$T4)*(0.5+0.5*('Jul 3'!$G$8:$G$42=""))+('Jul 3'!$G$8:$G$42=$T4)*0.5)*('Jul 3'!$AG$8:$AG$42="Delivered")*LOOKUP((('Jul 3'!$Q$8:$Q$42+'Jul 3'!$R$8:$R$42)*(('Jul 3'!$Q$8:$Q$42+'Jul 3'!$R$8:$R$42)&gt;0)),'Pay Plan'!$D$5:$K$5,INDEX('Pay Plan'!$D$6:$K$12,$BB4,0)))</f>
        <v>0</v>
      </c>
      <c r="X42">
        <f>SUMPRODUCT((('Jul 4'!$F$8:$F$42=$T4)*(0.5+0.5*('Jul 4'!$G$8:$G$42=""))+('Jul 4'!$G$8:$G$42=$T4)*0.5)*('Jul 4'!$AG$8:$AG$42="Delivered")*LOOKUP((('Jul 4'!$Q$8:$Q$42+'Jul 4'!$R$8:$R$42)*(('Jul 4'!$Q$8:$Q$42+'Jul 4'!$R$8:$R$42)&gt;0)),'Pay Plan'!$D$5:$K$5,INDEX('Pay Plan'!$D$6:$K$12,$BB4,0)))</f>
        <v>0</v>
      </c>
      <c r="Y42">
        <f>SUMPRODUCT((('Jul 5'!$F$8:$F$42=$T4)*(0.5+0.5*('Jul 5'!$G$8:$G$42=""))+('Jul 5'!$G$8:$G$42=$T4)*0.5)*('Jul 5'!$AG$8:$AG$42="Delivered")*LOOKUP((('Jul 5'!$Q$8:$Q$42+'Jul 5'!$R$8:$R$42)*(('Jul 5'!$Q$8:$Q$42+'Jul 5'!$R$8:$R$42)&gt;0)),'Pay Plan'!$D$5:$K$5,INDEX('Pay Plan'!$D$6:$K$12,$BB4,0)))</f>
        <v>0</v>
      </c>
      <c r="Z42">
        <f>SUMPRODUCT((('Jul 6'!$F$8:$F$42=$T4)*(0.5+0.5*('Jul 6'!$G$8:$G$42=""))+('Jul 6'!$G$8:$G$42=$T4)*0.5)*('Jul 6'!$AG$8:$AG$42="Delivered")*LOOKUP((('Jul 6'!$Q$8:$Q$42+'Jul 6'!$R$8:$R$42)*(('Jul 6'!$Q$8:$Q$42+'Jul 6'!$R$8:$R$42)&gt;0)),'Pay Plan'!$D$5:$K$5,INDEX('Pay Plan'!$D$6:$K$12,$BB4,0)))</f>
        <v>0</v>
      </c>
      <c r="AA42">
        <f>SUMPRODUCT((('Jul 7'!$F$8:$F$42=$T4)*(0.5+0.5*('Jul 7'!$G$8:$G$42=""))+('Jul 7'!$G$8:$G$42=$T4)*0.5)*('Jul 7'!$AG$8:$AG$42="Delivered")*LOOKUP((('Jul 7'!$Q$8:$Q$42+'Jul 7'!$R$8:$R$42)*(('Jul 7'!$Q$8:$Q$42+'Jul 7'!$R$8:$R$42)&gt;0)),'Pay Plan'!$D$5:$K$5,INDEX('Pay Plan'!$D$6:$K$12,$BB4,0)))</f>
        <v>0</v>
      </c>
      <c r="AB42">
        <f>SUMPRODUCT((('Jul 8'!$F$8:$F$42=$T4)*(0.5+0.5*('Jul 8'!$G$8:$G$42=""))+('Jul 8'!$G$8:$G$42=$T4)*0.5)*('Jul 8'!$AG$8:$AG$42="Delivered")*LOOKUP((('Jul 8'!$Q$8:$Q$42+'Jul 8'!$R$8:$R$42)*(('Jul 8'!$Q$8:$Q$42+'Jul 8'!$R$8:$R$42)&gt;0)),'Pay Plan'!$D$5:$K$5,INDEX('Pay Plan'!$D$6:$K$12,$BB4,0)))</f>
        <v>0</v>
      </c>
      <c r="AC42">
        <f>SUMPRODUCT((('Jul 9'!$F$8:$F$42=$T4)*(0.5+0.5*('Jul 9'!$G$8:$G$42=""))+('Jul 9'!$G$8:$G$42=$T4)*0.5)*('Jul 9'!$AG$8:$AG$42="Delivered")*LOOKUP((('Jul 9'!$Q$8:$Q$42+'Jul 9'!$R$8:$R$42)*(('Jul 9'!$Q$8:$Q$42+'Jul 9'!$R$8:$R$42)&gt;0)),'Pay Plan'!$D$5:$K$5,INDEX('Pay Plan'!$D$6:$K$12,$BB4,0)))</f>
        <v>0</v>
      </c>
      <c r="AD42">
        <f>SUMPRODUCT((('Jul 10'!$F$8:$F$42=$T4)*(0.5+0.5*('Jul 10'!$G$8:$G$42=""))+('Jul 10'!$G$8:$G$42=$T4)*0.5)*('Jul 10'!$AG$8:$AG$42="Delivered")*LOOKUP((('Jul 10'!$Q$8:$Q$42+'Jul 10'!$R$8:$R$42)*(('Jul 10'!$Q$8:$Q$42+'Jul 10'!$R$8:$R$42)&gt;0)),'Pay Plan'!$D$5:$K$5,INDEX('Pay Plan'!$D$6:$K$12,$BB4,0)))</f>
        <v>0</v>
      </c>
      <c r="AE42">
        <f>SUMPRODUCT((('Jul 11'!$F$8:$F$42=$T4)*(0.5+0.5*('Jul 11'!$G$8:$G$42=""))+('Jul 11'!$G$8:$G$42=$T4)*0.5)*('Jul 11'!$AG$8:$AG$42="Delivered")*LOOKUP((('Jul 11'!$Q$8:$Q$42+'Jul 11'!$R$8:$R$42)*(('Jul 11'!$Q$8:$Q$42+'Jul 11'!$R$8:$R$42)&gt;0)),'Pay Plan'!$D$5:$K$5,INDEX('Pay Plan'!$D$6:$K$12,$BB4,0)))</f>
        <v>0</v>
      </c>
      <c r="AF42">
        <f>SUMPRODUCT((('Jul 12'!$F$8:$F$42=$T4)*(0.5+0.5*('Jul 12'!$G$8:$G$42=""))+('Jul 12'!$G$8:$G$42=$T4)*0.5)*('Jul 12'!$AG$8:$AG$42="Delivered")*LOOKUP((('Jul 12'!$Q$8:$Q$42+'Jul 12'!$R$8:$R$42)*(('Jul 12'!$Q$8:$Q$42+'Jul 12'!$R$8:$R$42)&gt;0)),'Pay Plan'!$D$5:$K$5,INDEX('Pay Plan'!$D$6:$K$12,$BB4,0)))</f>
        <v>0</v>
      </c>
      <c r="AG42">
        <f>SUMPRODUCT((('Jul 13'!$F$8:$F$42=$T4)*(0.5+0.5*('Jul 13'!$G$8:$G$42=""))+('Jul 13'!$G$8:$G$42=$T4)*0.5)*('Jul 13'!$AG$8:$AG$42="Delivered")*LOOKUP((('Jul 13'!$Q$8:$Q$42+'Jul 13'!$R$8:$R$42)*(('Jul 13'!$Q$8:$Q$42+'Jul 13'!$R$8:$R$42)&gt;0)),'Pay Plan'!$D$5:$K$5,INDEX('Pay Plan'!$D$6:$K$12,$BB4,0)))</f>
        <v>0</v>
      </c>
      <c r="AH42">
        <f>SUMPRODUCT((('Jul 14'!$F$8:$F$42=$T4)*(0.5+0.5*('Jul 14'!$G$8:$G$42=""))+('Jul 14'!$G$8:$G$42=$T4)*0.5)*('Jul 14'!$AG$8:$AG$42="Delivered")*LOOKUP((('Jul 14'!$Q$8:$Q$42+'Jul 14'!$R$8:$R$42)*(('Jul 14'!$Q$8:$Q$42+'Jul 14'!$R$8:$R$42)&gt;0)),'Pay Plan'!$D$5:$K$5,INDEX('Pay Plan'!$D$6:$K$12,$BB4,0)))</f>
        <v>0</v>
      </c>
      <c r="AI42">
        <f>SUMPRODUCT((('Jul 15'!$F$8:$F$42=$T4)*(0.5+0.5*('Jul 15'!$G$8:$G$42=""))+('Jul 15'!$G$8:$G$42=$T4)*0.5)*('Jul 15'!$AG$8:$AG$42="Delivered")*LOOKUP((('Jul 15'!$Q$8:$Q$42+'Jul 15'!$R$8:$R$42)*(('Jul 15'!$Q$8:$Q$42+'Jul 15'!$R$8:$R$42)&gt;0)),'Pay Plan'!$D$5:$K$5,INDEX('Pay Plan'!$D$6:$K$12,$BB4,0)))</f>
        <v>0</v>
      </c>
      <c r="AJ42">
        <f>SUMPRODUCT((('Jul 16'!$F$8:$F$42=$T4)*(0.5+0.5*('Jul 16'!$G$8:$G$42=""))+('Jul 16'!$G$8:$G$42=$T4)*0.5)*('Jul 16'!$AG$8:$AG$42="Delivered")*LOOKUP((('Jul 16'!$Q$8:$Q$42+'Jul 16'!$R$8:$R$42)*(('Jul 16'!$Q$8:$Q$42+'Jul 16'!$R$8:$R$42)&gt;0)),'Pay Plan'!$D$5:$K$5,INDEX('Pay Plan'!$D$6:$K$12,$BB4,0)))</f>
        <v>0</v>
      </c>
      <c r="AK42">
        <f>SUMPRODUCT((('Jul 17'!$F$8:$F$42=$T4)*(0.5+0.5*('Jul 17'!$G$8:$G$42=""))+('Jul 17'!$G$8:$G$42=$T4)*0.5)*('Jul 17'!$AG$8:$AG$42="Delivered")*LOOKUP((('Jul 17'!$Q$8:$Q$42+'Jul 17'!$R$8:$R$42)*(('Jul 17'!$Q$8:$Q$42+'Jul 17'!$R$8:$R$42)&gt;0)),'Pay Plan'!$D$5:$K$5,INDEX('Pay Plan'!$D$6:$K$12,$BB4,0)))</f>
        <v>0</v>
      </c>
      <c r="AL42">
        <f>SUMPRODUCT((('Jul 18'!$F$8:$F$42=$T4)*(0.5+0.5*('Jul 18'!$G$8:$G$42=""))+('Jul 18'!$G$8:$G$42=$T4)*0.5)*('Jul 18'!$AG$8:$AG$42="Delivered")*LOOKUP((('Jul 18'!$Q$8:$Q$42+'Jul 18'!$R$8:$R$42)*(('Jul 18'!$Q$8:$Q$42+'Jul 18'!$R$8:$R$42)&gt;0)),'Pay Plan'!$D$5:$K$5,INDEX('Pay Plan'!$D$6:$K$12,$BB4,0)))</f>
        <v>0</v>
      </c>
      <c r="AM42">
        <f>SUMPRODUCT((('Jul 19'!$F$8:$F$42=$T4)*(0.5+0.5*('Jul 19'!$G$8:$G$42=""))+('Jul 19'!$G$8:$G$42=$T4)*0.5)*('Jul 19'!$AG$8:$AG$42="Delivered")*LOOKUP((('Jul 19'!$Q$8:$Q$42+'Jul 19'!$R$8:$R$42)*(('Jul 19'!$Q$8:$Q$42+'Jul 19'!$R$8:$R$42)&gt;0)),'Pay Plan'!$D$5:$K$5,INDEX('Pay Plan'!$D$6:$K$12,$BB4,0)))</f>
        <v>0</v>
      </c>
      <c r="AN42">
        <f>SUMPRODUCT((('Jul 20'!$F$8:$F$42=$T4)*(0.5+0.5*('Jul 20'!$G$8:$G$42=""))+('Jul 20'!$G$8:$G$42=$T4)*0.5)*('Jul 20'!$AG$8:$AG$42="Delivered")*LOOKUP((('Jul 20'!$Q$8:$Q$42+'Jul 20'!$R$8:$R$42)*(('Jul 20'!$Q$8:$Q$42+'Jul 20'!$R$8:$R$42)&gt;0)),'Pay Plan'!$D$5:$K$5,INDEX('Pay Plan'!$D$6:$K$12,$BB4,0)))</f>
        <v>0</v>
      </c>
      <c r="AO42">
        <f>SUMPRODUCT((('Jul 21'!$F$8:$F$42=$T4)*(0.5+0.5*('Jul 21'!$G$8:$G$42=""))+('Jul 21'!$G$8:$G$42=$T4)*0.5)*('Jul 21'!$AG$8:$AG$42="Delivered")*LOOKUP((('Jul 21'!$Q$8:$Q$42+'Jul 21'!$R$8:$R$42)*(('Jul 21'!$Q$8:$Q$42+'Jul 21'!$R$8:$R$42)&gt;0)),'Pay Plan'!$D$5:$K$5,INDEX('Pay Plan'!$D$6:$K$12,$BB4,0)))</f>
        <v>0</v>
      </c>
      <c r="AP42">
        <f>SUMPRODUCT((('Jul 22'!$F$8:$F$42=$T4)*(0.5+0.5*('Jul 22'!$G$8:$G$42=""))+('Jul 22'!$G$8:$G$42=$T4)*0.5)*('Jul 22'!$AG$8:$AG$42="Delivered")*LOOKUP((('Jul 22'!$Q$8:$Q$42+'Jul 22'!$R$8:$R$42)*(('Jul 22'!$Q$8:$Q$42+'Jul 22'!$R$8:$R$42)&gt;0)),'Pay Plan'!$D$5:$K$5,INDEX('Pay Plan'!$D$6:$K$12,$BB4,0)))</f>
        <v>0</v>
      </c>
      <c r="AQ42">
        <f>SUMPRODUCT((('Jul 23'!$F$8:$F$42=$T4)*(0.5+0.5*('Jul 23'!$G$8:$G$42=""))+('Jul 23'!$G$8:$G$42=$T4)*0.5)*('Jul 23'!$AG$8:$AG$42="Delivered")*LOOKUP((('Jul 23'!$Q$8:$Q$42+'Jul 23'!$R$8:$R$42)*(('Jul 23'!$Q$8:$Q$42+'Jul 23'!$R$8:$R$42)&gt;0)),'Pay Plan'!$D$5:$K$5,INDEX('Pay Plan'!$D$6:$K$12,$BB4,0)))</f>
        <v>0</v>
      </c>
      <c r="AR42">
        <f>SUMPRODUCT((('Jul 24'!$F$8:$F$42=$T4)*(0.5+0.5*('Jul 24'!$G$8:$G$42=""))+('Jul 24'!$G$8:$G$42=$T4)*0.5)*('Jul 24'!$AG$8:$AG$42="Delivered")*LOOKUP((('Jul 24'!$Q$8:$Q$42+'Jul 24'!$R$8:$R$42)*(('Jul 24'!$Q$8:$Q$42+'Jul 24'!$R$8:$R$42)&gt;0)),'Pay Plan'!$D$5:$K$5,INDEX('Pay Plan'!$D$6:$K$12,$BB4,0)))</f>
        <v>0</v>
      </c>
      <c r="AS42">
        <f>SUMPRODUCT((('Jul 25'!$F$8:$F$42=$T4)*(0.5+0.5*('Jul 25'!$G$8:$G$42=""))+('Jul 25'!$G$8:$G$42=$T4)*0.5)*('Jul 25'!$AG$8:$AG$42="Delivered")*LOOKUP((('Jul 25'!$Q$8:$Q$42+'Jul 25'!$R$8:$R$42)*(('Jul 25'!$Q$8:$Q$42+'Jul 25'!$R$8:$R$42)&gt;0)),'Pay Plan'!$D$5:$K$5,INDEX('Pay Plan'!$D$6:$K$12,$BB4,0)))</f>
        <v>0</v>
      </c>
      <c r="AT42">
        <f>SUMPRODUCT((('Jul 26'!$F$8:$F$42=$T4)*(0.5+0.5*('Jul 26'!$G$8:$G$42=""))+('Jul 26'!$G$8:$G$42=$T4)*0.5)*('Jul 26'!$AG$8:$AG$42="Delivered")*LOOKUP((('Jul 26'!$Q$8:$Q$42+'Jul 26'!$R$8:$R$42)*(('Jul 26'!$Q$8:$Q$42+'Jul 26'!$R$8:$R$42)&gt;0)),'Pay Plan'!$D$5:$K$5,INDEX('Pay Plan'!$D$6:$K$12,$BB4,0)))</f>
        <v>0</v>
      </c>
      <c r="AU42">
        <f>SUMPRODUCT((('Jul 27'!$F$8:$F$42=$T4)*(0.5+0.5*('Jul 27'!$G$8:$G$42=""))+('Jul 27'!$G$8:$G$42=$T4)*0.5)*('Jul 27'!$AG$8:$AG$42="Delivered")*LOOKUP((('Jul 27'!$Q$8:$Q$42+'Jul 27'!$R$8:$R$42)*(('Jul 27'!$Q$8:$Q$42+'Jul 27'!$R$8:$R$42)&gt;0)),'Pay Plan'!$D$5:$K$5,INDEX('Pay Plan'!$D$6:$K$12,$BB4,0)))</f>
        <v>0</v>
      </c>
      <c r="AV42">
        <f>SUMPRODUCT((('Jul 28'!$F$8:$F$42=$T4)*(0.5+0.5*('Jul 28'!$G$8:$G$42=""))+('Jul 28'!$G$8:$G$42=$T4)*0.5)*('Jul 28'!$AG$8:$AG$42="Delivered")*LOOKUP((('Jul 28'!$Q$8:$Q$42+'Jul 28'!$R$8:$R$42)*(('Jul 28'!$Q$8:$Q$42+'Jul 28'!$R$8:$R$42)&gt;0)),'Pay Plan'!$D$5:$K$5,INDEX('Pay Plan'!$D$6:$K$12,$BB4,0)))</f>
        <v>0</v>
      </c>
      <c r="AW42">
        <f>SUMPRODUCT((('Jul 29'!$F$8:$F$42=$T4)*(0.5+0.5*('Jul 29'!$G$8:$G$42=""))+('Jul 29'!$G$8:$G$42=$T4)*0.5)*('Jul 29'!$AG$8:$AG$42="Delivered")*LOOKUP((('Jul 29'!$Q$8:$Q$42+'Jul 29'!$R$8:$R$42)*(('Jul 29'!$Q$8:$Q$42+'Jul 29'!$R$8:$R$42)&gt;0)),'Pay Plan'!$D$5:$K$5,INDEX('Pay Plan'!$D$6:$K$12,$BB4,0)))</f>
        <v>0</v>
      </c>
      <c r="AX42">
        <f>SUMPRODUCT((('Jul 30'!$F$8:$F$42=$T4)*(0.5+0.5*('Jul 30'!$G$8:$G$42=""))+('Jul 30'!$G$8:$G$42=$T4)*0.5)*('Jul 30'!$AG$8:$AG$42="Delivered")*LOOKUP((('Jul 30'!$Q$8:$Q$42+'Jul 30'!$R$8:$R$42)*(('Jul 30'!$Q$8:$Q$42+'Jul 30'!$R$8:$R$42)&gt;0)),'Pay Plan'!$D$5:$K$5,INDEX('Pay Plan'!$D$6:$K$12,$BB4,0)))</f>
        <v>0</v>
      </c>
      <c r="AY42">
        <f>SUMPRODUCT((('Jul 31'!$F$8:$F$42=$T4)*(0.5+0.5*('Jul 31'!$G$8:$G$42=""))+('Jul 31'!$G$8:$G$42=$T4)*0.5)*('Jul 31'!$AG$8:$AG$42="Delivered")*LOOKUP((('Jul 31'!$Q$8:$Q$42+'Jul 31'!$R$8:$R$42)*(('Jul 31'!$Q$8:$Q$42+'Jul 31'!$R$8:$R$42)&gt;0)),'Pay Plan'!$D$5:$K$5,INDEX('Pay Plan'!$D$6:$K$12,$BB4,0)))</f>
        <v>0</v>
      </c>
    </row>
    <row r="43" spans="21:51" x14ac:dyDescent="0.25">
      <c r="U43">
        <f>SUMPRODUCT((('Jul 1'!$F$8:$F$42=$T5)*(0.5+0.5*('Jul 1'!$G$8:$G$42=""))+('Jul 1'!$G$8:$G$42=$T5)*0.5)*('Jul 1'!$AG$8:$AG$42="Delivered")*LOOKUP((('Jul 1'!$Q$8:$Q$42+'Jul 1'!$R$8:$R$42)*(('Jul 1'!$Q$8:$Q$42+'Jul 1'!$R$8:$R$42)&gt;0)),'Pay Plan'!$D$5:$K$5,INDEX('Pay Plan'!$D$6:$K$12,$BB5,0)))</f>
        <v>0</v>
      </c>
      <c r="V43">
        <f>SUMPRODUCT((('Jul 2'!$F$8:$F$42=$T5)*(0.5+0.5*('Jul 2'!$G$8:$G$42=""))+('Jul 2'!$G$8:$G$42=$T5)*0.5)*('Jul 2'!$AG$8:$AG$42="Delivered")*LOOKUP((('Jul 2'!$Q$8:$Q$42+'Jul 2'!$R$8:$R$42)*(('Jul 2'!$Q$8:$Q$42+'Jul 2'!$R$8:$R$42)&gt;0)),'Pay Plan'!$D$5:$K$5,INDEX('Pay Plan'!$D$6:$K$12,$BB5,0)))</f>
        <v>0</v>
      </c>
      <c r="W43">
        <f>SUMPRODUCT((('Jul 3'!$F$8:$F$42=$T5)*(0.5+0.5*('Jul 3'!$G$8:$G$42=""))+('Jul 3'!$G$8:$G$42=$T5)*0.5)*('Jul 3'!$AG$8:$AG$42="Delivered")*LOOKUP((('Jul 3'!$Q$8:$Q$42+'Jul 3'!$R$8:$R$42)*(('Jul 3'!$Q$8:$Q$42+'Jul 3'!$R$8:$R$42)&gt;0)),'Pay Plan'!$D$5:$K$5,INDEX('Pay Plan'!$D$6:$K$12,$BB5,0)))</f>
        <v>0</v>
      </c>
      <c r="X43">
        <f>SUMPRODUCT((('Jul 4'!$F$8:$F$42=$T5)*(0.5+0.5*('Jul 4'!$G$8:$G$42=""))+('Jul 4'!$G$8:$G$42=$T5)*0.5)*('Jul 4'!$AG$8:$AG$42="Delivered")*LOOKUP((('Jul 4'!$Q$8:$Q$42+'Jul 4'!$R$8:$R$42)*(('Jul 4'!$Q$8:$Q$42+'Jul 4'!$R$8:$R$42)&gt;0)),'Pay Plan'!$D$5:$K$5,INDEX('Pay Plan'!$D$6:$K$12,$BB5,0)))</f>
        <v>0</v>
      </c>
      <c r="Y43">
        <f>SUMPRODUCT((('Jul 5'!$F$8:$F$42=$T5)*(0.5+0.5*('Jul 5'!$G$8:$G$42=""))+('Jul 5'!$G$8:$G$42=$T5)*0.5)*('Jul 5'!$AG$8:$AG$42="Delivered")*LOOKUP((('Jul 5'!$Q$8:$Q$42+'Jul 5'!$R$8:$R$42)*(('Jul 5'!$Q$8:$Q$42+'Jul 5'!$R$8:$R$42)&gt;0)),'Pay Plan'!$D$5:$K$5,INDEX('Pay Plan'!$D$6:$K$12,$BB5,0)))</f>
        <v>0</v>
      </c>
      <c r="Z43">
        <f>SUMPRODUCT((('Jul 6'!$F$8:$F$42=$T5)*(0.5+0.5*('Jul 6'!$G$8:$G$42=""))+('Jul 6'!$G$8:$G$42=$T5)*0.5)*('Jul 6'!$AG$8:$AG$42="Delivered")*LOOKUP((('Jul 6'!$Q$8:$Q$42+'Jul 6'!$R$8:$R$42)*(('Jul 6'!$Q$8:$Q$42+'Jul 6'!$R$8:$R$42)&gt;0)),'Pay Plan'!$D$5:$K$5,INDEX('Pay Plan'!$D$6:$K$12,$BB5,0)))</f>
        <v>0</v>
      </c>
      <c r="AA43">
        <f>SUMPRODUCT((('Jul 7'!$F$8:$F$42=$T5)*(0.5+0.5*('Jul 7'!$G$8:$G$42=""))+('Jul 7'!$G$8:$G$42=$T5)*0.5)*('Jul 7'!$AG$8:$AG$42="Delivered")*LOOKUP((('Jul 7'!$Q$8:$Q$42+'Jul 7'!$R$8:$R$42)*(('Jul 7'!$Q$8:$Q$42+'Jul 7'!$R$8:$R$42)&gt;0)),'Pay Plan'!$D$5:$K$5,INDEX('Pay Plan'!$D$6:$K$12,$BB5,0)))</f>
        <v>0</v>
      </c>
      <c r="AB43">
        <f>SUMPRODUCT((('Jul 8'!$F$8:$F$42=$T5)*(0.5+0.5*('Jul 8'!$G$8:$G$42=""))+('Jul 8'!$G$8:$G$42=$T5)*0.5)*('Jul 8'!$AG$8:$AG$42="Delivered")*LOOKUP((('Jul 8'!$Q$8:$Q$42+'Jul 8'!$R$8:$R$42)*(('Jul 8'!$Q$8:$Q$42+'Jul 8'!$R$8:$R$42)&gt;0)),'Pay Plan'!$D$5:$K$5,INDEX('Pay Plan'!$D$6:$K$12,$BB5,0)))</f>
        <v>0</v>
      </c>
      <c r="AC43">
        <f>SUMPRODUCT((('Jul 9'!$F$8:$F$42=$T5)*(0.5+0.5*('Jul 9'!$G$8:$G$42=""))+('Jul 9'!$G$8:$G$42=$T5)*0.5)*('Jul 9'!$AG$8:$AG$42="Delivered")*LOOKUP((('Jul 9'!$Q$8:$Q$42+'Jul 9'!$R$8:$R$42)*(('Jul 9'!$Q$8:$Q$42+'Jul 9'!$R$8:$R$42)&gt;0)),'Pay Plan'!$D$5:$K$5,INDEX('Pay Plan'!$D$6:$K$12,$BB5,0)))</f>
        <v>0</v>
      </c>
      <c r="AD43">
        <f>SUMPRODUCT((('Jul 10'!$F$8:$F$42=$T5)*(0.5+0.5*('Jul 10'!$G$8:$G$42=""))+('Jul 10'!$G$8:$G$42=$T5)*0.5)*('Jul 10'!$AG$8:$AG$42="Delivered")*LOOKUP((('Jul 10'!$Q$8:$Q$42+'Jul 10'!$R$8:$R$42)*(('Jul 10'!$Q$8:$Q$42+'Jul 10'!$R$8:$R$42)&gt;0)),'Pay Plan'!$D$5:$K$5,INDEX('Pay Plan'!$D$6:$K$12,$BB5,0)))</f>
        <v>0</v>
      </c>
      <c r="AE43">
        <f>SUMPRODUCT((('Jul 11'!$F$8:$F$42=$T5)*(0.5+0.5*('Jul 11'!$G$8:$G$42=""))+('Jul 11'!$G$8:$G$42=$T5)*0.5)*('Jul 11'!$AG$8:$AG$42="Delivered")*LOOKUP((('Jul 11'!$Q$8:$Q$42+'Jul 11'!$R$8:$R$42)*(('Jul 11'!$Q$8:$Q$42+'Jul 11'!$R$8:$R$42)&gt;0)),'Pay Plan'!$D$5:$K$5,INDEX('Pay Plan'!$D$6:$K$12,$BB5,0)))</f>
        <v>0</v>
      </c>
      <c r="AF43">
        <f>SUMPRODUCT((('Jul 12'!$F$8:$F$42=$T5)*(0.5+0.5*('Jul 12'!$G$8:$G$42=""))+('Jul 12'!$G$8:$G$42=$T5)*0.5)*('Jul 12'!$AG$8:$AG$42="Delivered")*LOOKUP((('Jul 12'!$Q$8:$Q$42+'Jul 12'!$R$8:$R$42)*(('Jul 12'!$Q$8:$Q$42+'Jul 12'!$R$8:$R$42)&gt;0)),'Pay Plan'!$D$5:$K$5,INDEX('Pay Plan'!$D$6:$K$12,$BB5,0)))</f>
        <v>0</v>
      </c>
      <c r="AG43">
        <f>SUMPRODUCT((('Jul 13'!$F$8:$F$42=$T5)*(0.5+0.5*('Jul 13'!$G$8:$G$42=""))+('Jul 13'!$G$8:$G$42=$T5)*0.5)*('Jul 13'!$AG$8:$AG$42="Delivered")*LOOKUP((('Jul 13'!$Q$8:$Q$42+'Jul 13'!$R$8:$R$42)*(('Jul 13'!$Q$8:$Q$42+'Jul 13'!$R$8:$R$42)&gt;0)),'Pay Plan'!$D$5:$K$5,INDEX('Pay Plan'!$D$6:$K$12,$BB5,0)))</f>
        <v>0</v>
      </c>
      <c r="AH43">
        <f>SUMPRODUCT((('Jul 14'!$F$8:$F$42=$T5)*(0.5+0.5*('Jul 14'!$G$8:$G$42=""))+('Jul 14'!$G$8:$G$42=$T5)*0.5)*('Jul 14'!$AG$8:$AG$42="Delivered")*LOOKUP((('Jul 14'!$Q$8:$Q$42+'Jul 14'!$R$8:$R$42)*(('Jul 14'!$Q$8:$Q$42+'Jul 14'!$R$8:$R$42)&gt;0)),'Pay Plan'!$D$5:$K$5,INDEX('Pay Plan'!$D$6:$K$12,$BB5,0)))</f>
        <v>0</v>
      </c>
      <c r="AI43">
        <f>SUMPRODUCT((('Jul 15'!$F$8:$F$42=$T5)*(0.5+0.5*('Jul 15'!$G$8:$G$42=""))+('Jul 15'!$G$8:$G$42=$T5)*0.5)*('Jul 15'!$AG$8:$AG$42="Delivered")*LOOKUP((('Jul 15'!$Q$8:$Q$42+'Jul 15'!$R$8:$R$42)*(('Jul 15'!$Q$8:$Q$42+'Jul 15'!$R$8:$R$42)&gt;0)),'Pay Plan'!$D$5:$K$5,INDEX('Pay Plan'!$D$6:$K$12,$BB5,0)))</f>
        <v>0</v>
      </c>
      <c r="AJ43">
        <f>SUMPRODUCT((('Jul 16'!$F$8:$F$42=$T5)*(0.5+0.5*('Jul 16'!$G$8:$G$42=""))+('Jul 16'!$G$8:$G$42=$T5)*0.5)*('Jul 16'!$AG$8:$AG$42="Delivered")*LOOKUP((('Jul 16'!$Q$8:$Q$42+'Jul 16'!$R$8:$R$42)*(('Jul 16'!$Q$8:$Q$42+'Jul 16'!$R$8:$R$42)&gt;0)),'Pay Plan'!$D$5:$K$5,INDEX('Pay Plan'!$D$6:$K$12,$BB5,0)))</f>
        <v>0</v>
      </c>
      <c r="AK43">
        <f>SUMPRODUCT((('Jul 17'!$F$8:$F$42=$T5)*(0.5+0.5*('Jul 17'!$G$8:$G$42=""))+('Jul 17'!$G$8:$G$42=$T5)*0.5)*('Jul 17'!$AG$8:$AG$42="Delivered")*LOOKUP((('Jul 17'!$Q$8:$Q$42+'Jul 17'!$R$8:$R$42)*(('Jul 17'!$Q$8:$Q$42+'Jul 17'!$R$8:$R$42)&gt;0)),'Pay Plan'!$D$5:$K$5,INDEX('Pay Plan'!$D$6:$K$12,$BB5,0)))</f>
        <v>0</v>
      </c>
      <c r="AL43">
        <f>SUMPRODUCT((('Jul 18'!$F$8:$F$42=$T5)*(0.5+0.5*('Jul 18'!$G$8:$G$42=""))+('Jul 18'!$G$8:$G$42=$T5)*0.5)*('Jul 18'!$AG$8:$AG$42="Delivered")*LOOKUP((('Jul 18'!$Q$8:$Q$42+'Jul 18'!$R$8:$R$42)*(('Jul 18'!$Q$8:$Q$42+'Jul 18'!$R$8:$R$42)&gt;0)),'Pay Plan'!$D$5:$K$5,INDEX('Pay Plan'!$D$6:$K$12,$BB5,0)))</f>
        <v>0</v>
      </c>
      <c r="AM43">
        <f>SUMPRODUCT((('Jul 19'!$F$8:$F$42=$T5)*(0.5+0.5*('Jul 19'!$G$8:$G$42=""))+('Jul 19'!$G$8:$G$42=$T5)*0.5)*('Jul 19'!$AG$8:$AG$42="Delivered")*LOOKUP((('Jul 19'!$Q$8:$Q$42+'Jul 19'!$R$8:$R$42)*(('Jul 19'!$Q$8:$Q$42+'Jul 19'!$R$8:$R$42)&gt;0)),'Pay Plan'!$D$5:$K$5,INDEX('Pay Plan'!$D$6:$K$12,$BB5,0)))</f>
        <v>0</v>
      </c>
      <c r="AN43">
        <f>SUMPRODUCT((('Jul 20'!$F$8:$F$42=$T5)*(0.5+0.5*('Jul 20'!$G$8:$G$42=""))+('Jul 20'!$G$8:$G$42=$T5)*0.5)*('Jul 20'!$AG$8:$AG$42="Delivered")*LOOKUP((('Jul 20'!$Q$8:$Q$42+'Jul 20'!$R$8:$R$42)*(('Jul 20'!$Q$8:$Q$42+'Jul 20'!$R$8:$R$42)&gt;0)),'Pay Plan'!$D$5:$K$5,INDEX('Pay Plan'!$D$6:$K$12,$BB5,0)))</f>
        <v>0</v>
      </c>
      <c r="AO43">
        <f>SUMPRODUCT((('Jul 21'!$F$8:$F$42=$T5)*(0.5+0.5*('Jul 21'!$G$8:$G$42=""))+('Jul 21'!$G$8:$G$42=$T5)*0.5)*('Jul 21'!$AG$8:$AG$42="Delivered")*LOOKUP((('Jul 21'!$Q$8:$Q$42+'Jul 21'!$R$8:$R$42)*(('Jul 21'!$Q$8:$Q$42+'Jul 21'!$R$8:$R$42)&gt;0)),'Pay Plan'!$D$5:$K$5,INDEX('Pay Plan'!$D$6:$K$12,$BB5,0)))</f>
        <v>0</v>
      </c>
      <c r="AP43">
        <f>SUMPRODUCT((('Jul 22'!$F$8:$F$42=$T5)*(0.5+0.5*('Jul 22'!$G$8:$G$42=""))+('Jul 22'!$G$8:$G$42=$T5)*0.5)*('Jul 22'!$AG$8:$AG$42="Delivered")*LOOKUP((('Jul 22'!$Q$8:$Q$42+'Jul 22'!$R$8:$R$42)*(('Jul 22'!$Q$8:$Q$42+'Jul 22'!$R$8:$R$42)&gt;0)),'Pay Plan'!$D$5:$K$5,INDEX('Pay Plan'!$D$6:$K$12,$BB5,0)))</f>
        <v>0</v>
      </c>
      <c r="AQ43">
        <f>SUMPRODUCT((('Jul 23'!$F$8:$F$42=$T5)*(0.5+0.5*('Jul 23'!$G$8:$G$42=""))+('Jul 23'!$G$8:$G$42=$T5)*0.5)*('Jul 23'!$AG$8:$AG$42="Delivered")*LOOKUP((('Jul 23'!$Q$8:$Q$42+'Jul 23'!$R$8:$R$42)*(('Jul 23'!$Q$8:$Q$42+'Jul 23'!$R$8:$R$42)&gt;0)),'Pay Plan'!$D$5:$K$5,INDEX('Pay Plan'!$D$6:$K$12,$BB5,0)))</f>
        <v>0</v>
      </c>
      <c r="AR43">
        <f>SUMPRODUCT((('Jul 24'!$F$8:$F$42=$T5)*(0.5+0.5*('Jul 24'!$G$8:$G$42=""))+('Jul 24'!$G$8:$G$42=$T5)*0.5)*('Jul 24'!$AG$8:$AG$42="Delivered")*LOOKUP((('Jul 24'!$Q$8:$Q$42+'Jul 24'!$R$8:$R$42)*(('Jul 24'!$Q$8:$Q$42+'Jul 24'!$R$8:$R$42)&gt;0)),'Pay Plan'!$D$5:$K$5,INDEX('Pay Plan'!$D$6:$K$12,$BB5,0)))</f>
        <v>0</v>
      </c>
      <c r="AS43">
        <f>SUMPRODUCT((('Jul 25'!$F$8:$F$42=$T5)*(0.5+0.5*('Jul 25'!$G$8:$G$42=""))+('Jul 25'!$G$8:$G$42=$T5)*0.5)*('Jul 25'!$AG$8:$AG$42="Delivered")*LOOKUP((('Jul 25'!$Q$8:$Q$42+'Jul 25'!$R$8:$R$42)*(('Jul 25'!$Q$8:$Q$42+'Jul 25'!$R$8:$R$42)&gt;0)),'Pay Plan'!$D$5:$K$5,INDEX('Pay Plan'!$D$6:$K$12,$BB5,0)))</f>
        <v>0</v>
      </c>
      <c r="AT43">
        <f>SUMPRODUCT((('Jul 26'!$F$8:$F$42=$T5)*(0.5+0.5*('Jul 26'!$G$8:$G$42=""))+('Jul 26'!$G$8:$G$42=$T5)*0.5)*('Jul 26'!$AG$8:$AG$42="Delivered")*LOOKUP((('Jul 26'!$Q$8:$Q$42+'Jul 26'!$R$8:$R$42)*(('Jul 26'!$Q$8:$Q$42+'Jul 26'!$R$8:$R$42)&gt;0)),'Pay Plan'!$D$5:$K$5,INDEX('Pay Plan'!$D$6:$K$12,$BB5,0)))</f>
        <v>0</v>
      </c>
      <c r="AU43">
        <f>SUMPRODUCT((('Jul 27'!$F$8:$F$42=$T5)*(0.5+0.5*('Jul 27'!$G$8:$G$42=""))+('Jul 27'!$G$8:$G$42=$T5)*0.5)*('Jul 27'!$AG$8:$AG$42="Delivered")*LOOKUP((('Jul 27'!$Q$8:$Q$42+'Jul 27'!$R$8:$R$42)*(('Jul 27'!$Q$8:$Q$42+'Jul 27'!$R$8:$R$42)&gt;0)),'Pay Plan'!$D$5:$K$5,INDEX('Pay Plan'!$D$6:$K$12,$BB5,0)))</f>
        <v>0</v>
      </c>
      <c r="AV43">
        <f>SUMPRODUCT((('Jul 28'!$F$8:$F$42=$T5)*(0.5+0.5*('Jul 28'!$G$8:$G$42=""))+('Jul 28'!$G$8:$G$42=$T5)*0.5)*('Jul 28'!$AG$8:$AG$42="Delivered")*LOOKUP((('Jul 28'!$Q$8:$Q$42+'Jul 28'!$R$8:$R$42)*(('Jul 28'!$Q$8:$Q$42+'Jul 28'!$R$8:$R$42)&gt;0)),'Pay Plan'!$D$5:$K$5,INDEX('Pay Plan'!$D$6:$K$12,$BB5,0)))</f>
        <v>0</v>
      </c>
      <c r="AW43">
        <f>SUMPRODUCT((('Jul 29'!$F$8:$F$42=$T5)*(0.5+0.5*('Jul 29'!$G$8:$G$42=""))+('Jul 29'!$G$8:$G$42=$T5)*0.5)*('Jul 29'!$AG$8:$AG$42="Delivered")*LOOKUP((('Jul 29'!$Q$8:$Q$42+'Jul 29'!$R$8:$R$42)*(('Jul 29'!$Q$8:$Q$42+'Jul 29'!$R$8:$R$42)&gt;0)),'Pay Plan'!$D$5:$K$5,INDEX('Pay Plan'!$D$6:$K$12,$BB5,0)))</f>
        <v>0</v>
      </c>
      <c r="AX43">
        <f>SUMPRODUCT((('Jul 30'!$F$8:$F$42=$T5)*(0.5+0.5*('Jul 30'!$G$8:$G$42=""))+('Jul 30'!$G$8:$G$42=$T5)*0.5)*('Jul 30'!$AG$8:$AG$42="Delivered")*LOOKUP((('Jul 30'!$Q$8:$Q$42+'Jul 30'!$R$8:$R$42)*(('Jul 30'!$Q$8:$Q$42+'Jul 30'!$R$8:$R$42)&gt;0)),'Pay Plan'!$D$5:$K$5,INDEX('Pay Plan'!$D$6:$K$12,$BB5,0)))</f>
        <v>0</v>
      </c>
      <c r="AY43">
        <f>SUMPRODUCT((('Jul 31'!$F$8:$F$42=$T5)*(0.5+0.5*('Jul 31'!$G$8:$G$42=""))+('Jul 31'!$G$8:$G$42=$T5)*0.5)*('Jul 31'!$AG$8:$AG$42="Delivered")*LOOKUP((('Jul 31'!$Q$8:$Q$42+'Jul 31'!$R$8:$R$42)*(('Jul 31'!$Q$8:$Q$42+'Jul 31'!$R$8:$R$42)&gt;0)),'Pay Plan'!$D$5:$K$5,INDEX('Pay Plan'!$D$6:$K$12,$BB5,0)))</f>
        <v>0</v>
      </c>
    </row>
    <row r="44" spans="21:51" x14ac:dyDescent="0.25">
      <c r="U44">
        <f>SUMPRODUCT((('Jul 1'!$F$8:$F$42=$T6)*(0.5+0.5*('Jul 1'!$G$8:$G$42=""))+('Jul 1'!$G$8:$G$42=$T6)*0.5)*('Jul 1'!$AG$8:$AG$42="Delivered")*LOOKUP((('Jul 1'!$Q$8:$Q$42+'Jul 1'!$R$8:$R$42)*(('Jul 1'!$Q$8:$Q$42+'Jul 1'!$R$8:$R$42)&gt;0)),'Pay Plan'!$D$5:$K$5,INDEX('Pay Plan'!$D$6:$K$12,$BB6,0)))</f>
        <v>0</v>
      </c>
      <c r="V44">
        <f>SUMPRODUCT((('Jul 2'!$F$8:$F$42=$T6)*(0.5+0.5*('Jul 2'!$G$8:$G$42=""))+('Jul 2'!$G$8:$G$42=$T6)*0.5)*('Jul 2'!$AG$8:$AG$42="Delivered")*LOOKUP((('Jul 2'!$Q$8:$Q$42+'Jul 2'!$R$8:$R$42)*(('Jul 2'!$Q$8:$Q$42+'Jul 2'!$R$8:$R$42)&gt;0)),'Pay Plan'!$D$5:$K$5,INDEX('Pay Plan'!$D$6:$K$12,$BB6,0)))</f>
        <v>0</v>
      </c>
      <c r="W44">
        <f>SUMPRODUCT((('Jul 3'!$F$8:$F$42=$T6)*(0.5+0.5*('Jul 3'!$G$8:$G$42=""))+('Jul 3'!$G$8:$G$42=$T6)*0.5)*('Jul 3'!$AG$8:$AG$42="Delivered")*LOOKUP((('Jul 3'!$Q$8:$Q$42+'Jul 3'!$R$8:$R$42)*(('Jul 3'!$Q$8:$Q$42+'Jul 3'!$R$8:$R$42)&gt;0)),'Pay Plan'!$D$5:$K$5,INDEX('Pay Plan'!$D$6:$K$12,$BB6,0)))</f>
        <v>0</v>
      </c>
      <c r="X44">
        <f>SUMPRODUCT((('Jul 4'!$F$8:$F$42=$T6)*(0.5+0.5*('Jul 4'!$G$8:$G$42=""))+('Jul 4'!$G$8:$G$42=$T6)*0.5)*('Jul 4'!$AG$8:$AG$42="Delivered")*LOOKUP((('Jul 4'!$Q$8:$Q$42+'Jul 4'!$R$8:$R$42)*(('Jul 4'!$Q$8:$Q$42+'Jul 4'!$R$8:$R$42)&gt;0)),'Pay Plan'!$D$5:$K$5,INDEX('Pay Plan'!$D$6:$K$12,$BB6,0)))</f>
        <v>0</v>
      </c>
      <c r="Y44">
        <f>SUMPRODUCT((('Jul 5'!$F$8:$F$42=$T6)*(0.5+0.5*('Jul 5'!$G$8:$G$42=""))+('Jul 5'!$G$8:$G$42=$T6)*0.5)*('Jul 5'!$AG$8:$AG$42="Delivered")*LOOKUP((('Jul 5'!$Q$8:$Q$42+'Jul 5'!$R$8:$R$42)*(('Jul 5'!$Q$8:$Q$42+'Jul 5'!$R$8:$R$42)&gt;0)),'Pay Plan'!$D$5:$K$5,INDEX('Pay Plan'!$D$6:$K$12,$BB6,0)))</f>
        <v>0</v>
      </c>
      <c r="Z44">
        <f>SUMPRODUCT((('Jul 6'!$F$8:$F$42=$T6)*(0.5+0.5*('Jul 6'!$G$8:$G$42=""))+('Jul 6'!$G$8:$G$42=$T6)*0.5)*('Jul 6'!$AG$8:$AG$42="Delivered")*LOOKUP((('Jul 6'!$Q$8:$Q$42+'Jul 6'!$R$8:$R$42)*(('Jul 6'!$Q$8:$Q$42+'Jul 6'!$R$8:$R$42)&gt;0)),'Pay Plan'!$D$5:$K$5,INDEX('Pay Plan'!$D$6:$K$12,$BB6,0)))</f>
        <v>0</v>
      </c>
      <c r="AA44">
        <f>SUMPRODUCT((('Jul 7'!$F$8:$F$42=$T6)*(0.5+0.5*('Jul 7'!$G$8:$G$42=""))+('Jul 7'!$G$8:$G$42=$T6)*0.5)*('Jul 7'!$AG$8:$AG$42="Delivered")*LOOKUP((('Jul 7'!$Q$8:$Q$42+'Jul 7'!$R$8:$R$42)*(('Jul 7'!$Q$8:$Q$42+'Jul 7'!$R$8:$R$42)&gt;0)),'Pay Plan'!$D$5:$K$5,INDEX('Pay Plan'!$D$6:$K$12,$BB6,0)))</f>
        <v>0</v>
      </c>
      <c r="AB44">
        <f>SUMPRODUCT((('Jul 8'!$F$8:$F$42=$T6)*(0.5+0.5*('Jul 8'!$G$8:$G$42=""))+('Jul 8'!$G$8:$G$42=$T6)*0.5)*('Jul 8'!$AG$8:$AG$42="Delivered")*LOOKUP((('Jul 8'!$Q$8:$Q$42+'Jul 8'!$R$8:$R$42)*(('Jul 8'!$Q$8:$Q$42+'Jul 8'!$R$8:$R$42)&gt;0)),'Pay Plan'!$D$5:$K$5,INDEX('Pay Plan'!$D$6:$K$12,$BB6,0)))</f>
        <v>0</v>
      </c>
      <c r="AC44">
        <f>SUMPRODUCT((('Jul 9'!$F$8:$F$42=$T6)*(0.5+0.5*('Jul 9'!$G$8:$G$42=""))+('Jul 9'!$G$8:$G$42=$T6)*0.5)*('Jul 9'!$AG$8:$AG$42="Delivered")*LOOKUP((('Jul 9'!$Q$8:$Q$42+'Jul 9'!$R$8:$R$42)*(('Jul 9'!$Q$8:$Q$42+'Jul 9'!$R$8:$R$42)&gt;0)),'Pay Plan'!$D$5:$K$5,INDEX('Pay Plan'!$D$6:$K$12,$BB6,0)))</f>
        <v>0</v>
      </c>
      <c r="AD44">
        <f>SUMPRODUCT((('Jul 10'!$F$8:$F$42=$T6)*(0.5+0.5*('Jul 10'!$G$8:$G$42=""))+('Jul 10'!$G$8:$G$42=$T6)*0.5)*('Jul 10'!$AG$8:$AG$42="Delivered")*LOOKUP((('Jul 10'!$Q$8:$Q$42+'Jul 10'!$R$8:$R$42)*(('Jul 10'!$Q$8:$Q$42+'Jul 10'!$R$8:$R$42)&gt;0)),'Pay Plan'!$D$5:$K$5,INDEX('Pay Plan'!$D$6:$K$12,$BB6,0)))</f>
        <v>0</v>
      </c>
      <c r="AE44">
        <f>SUMPRODUCT((('Jul 11'!$F$8:$F$42=$T6)*(0.5+0.5*('Jul 11'!$G$8:$G$42=""))+('Jul 11'!$G$8:$G$42=$T6)*0.5)*('Jul 11'!$AG$8:$AG$42="Delivered")*LOOKUP((('Jul 11'!$Q$8:$Q$42+'Jul 11'!$R$8:$R$42)*(('Jul 11'!$Q$8:$Q$42+'Jul 11'!$R$8:$R$42)&gt;0)),'Pay Plan'!$D$5:$K$5,INDEX('Pay Plan'!$D$6:$K$12,$BB6,0)))</f>
        <v>0</v>
      </c>
      <c r="AF44">
        <f>SUMPRODUCT((('Jul 12'!$F$8:$F$42=$T6)*(0.5+0.5*('Jul 12'!$G$8:$G$42=""))+('Jul 12'!$G$8:$G$42=$T6)*0.5)*('Jul 12'!$AG$8:$AG$42="Delivered")*LOOKUP((('Jul 12'!$Q$8:$Q$42+'Jul 12'!$R$8:$R$42)*(('Jul 12'!$Q$8:$Q$42+'Jul 12'!$R$8:$R$42)&gt;0)),'Pay Plan'!$D$5:$K$5,INDEX('Pay Plan'!$D$6:$K$12,$BB6,0)))</f>
        <v>0</v>
      </c>
      <c r="AG44">
        <f>SUMPRODUCT((('Jul 13'!$F$8:$F$42=$T6)*(0.5+0.5*('Jul 13'!$G$8:$G$42=""))+('Jul 13'!$G$8:$G$42=$T6)*0.5)*('Jul 13'!$AG$8:$AG$42="Delivered")*LOOKUP((('Jul 13'!$Q$8:$Q$42+'Jul 13'!$R$8:$R$42)*(('Jul 13'!$Q$8:$Q$42+'Jul 13'!$R$8:$R$42)&gt;0)),'Pay Plan'!$D$5:$K$5,INDEX('Pay Plan'!$D$6:$K$12,$BB6,0)))</f>
        <v>0</v>
      </c>
      <c r="AH44">
        <f>SUMPRODUCT((('Jul 14'!$F$8:$F$42=$T6)*(0.5+0.5*('Jul 14'!$G$8:$G$42=""))+('Jul 14'!$G$8:$G$42=$T6)*0.5)*('Jul 14'!$AG$8:$AG$42="Delivered")*LOOKUP((('Jul 14'!$Q$8:$Q$42+'Jul 14'!$R$8:$R$42)*(('Jul 14'!$Q$8:$Q$42+'Jul 14'!$R$8:$R$42)&gt;0)),'Pay Plan'!$D$5:$K$5,INDEX('Pay Plan'!$D$6:$K$12,$BB6,0)))</f>
        <v>0</v>
      </c>
      <c r="AI44">
        <f>SUMPRODUCT((('Jul 15'!$F$8:$F$42=$T6)*(0.5+0.5*('Jul 15'!$G$8:$G$42=""))+('Jul 15'!$G$8:$G$42=$T6)*0.5)*('Jul 15'!$AG$8:$AG$42="Delivered")*LOOKUP((('Jul 15'!$Q$8:$Q$42+'Jul 15'!$R$8:$R$42)*(('Jul 15'!$Q$8:$Q$42+'Jul 15'!$R$8:$R$42)&gt;0)),'Pay Plan'!$D$5:$K$5,INDEX('Pay Plan'!$D$6:$K$12,$BB6,0)))</f>
        <v>0</v>
      </c>
      <c r="AJ44">
        <f>SUMPRODUCT((('Jul 16'!$F$8:$F$42=$T6)*(0.5+0.5*('Jul 16'!$G$8:$G$42=""))+('Jul 16'!$G$8:$G$42=$T6)*0.5)*('Jul 16'!$AG$8:$AG$42="Delivered")*LOOKUP((('Jul 16'!$Q$8:$Q$42+'Jul 16'!$R$8:$R$42)*(('Jul 16'!$Q$8:$Q$42+'Jul 16'!$R$8:$R$42)&gt;0)),'Pay Plan'!$D$5:$K$5,INDEX('Pay Plan'!$D$6:$K$12,$BB6,0)))</f>
        <v>0</v>
      </c>
      <c r="AK44">
        <f>SUMPRODUCT((('Jul 17'!$F$8:$F$42=$T6)*(0.5+0.5*('Jul 17'!$G$8:$G$42=""))+('Jul 17'!$G$8:$G$42=$T6)*0.5)*('Jul 17'!$AG$8:$AG$42="Delivered")*LOOKUP((('Jul 17'!$Q$8:$Q$42+'Jul 17'!$R$8:$R$42)*(('Jul 17'!$Q$8:$Q$42+'Jul 17'!$R$8:$R$42)&gt;0)),'Pay Plan'!$D$5:$K$5,INDEX('Pay Plan'!$D$6:$K$12,$BB6,0)))</f>
        <v>0</v>
      </c>
      <c r="AL44">
        <f>SUMPRODUCT((('Jul 18'!$F$8:$F$42=$T6)*(0.5+0.5*('Jul 18'!$G$8:$G$42=""))+('Jul 18'!$G$8:$G$42=$T6)*0.5)*('Jul 18'!$AG$8:$AG$42="Delivered")*LOOKUP((('Jul 18'!$Q$8:$Q$42+'Jul 18'!$R$8:$R$42)*(('Jul 18'!$Q$8:$Q$42+'Jul 18'!$R$8:$R$42)&gt;0)),'Pay Plan'!$D$5:$K$5,INDEX('Pay Plan'!$D$6:$K$12,$BB6,0)))</f>
        <v>0</v>
      </c>
      <c r="AM44">
        <f>SUMPRODUCT((('Jul 19'!$F$8:$F$42=$T6)*(0.5+0.5*('Jul 19'!$G$8:$G$42=""))+('Jul 19'!$G$8:$G$42=$T6)*0.5)*('Jul 19'!$AG$8:$AG$42="Delivered")*LOOKUP((('Jul 19'!$Q$8:$Q$42+'Jul 19'!$R$8:$R$42)*(('Jul 19'!$Q$8:$Q$42+'Jul 19'!$R$8:$R$42)&gt;0)),'Pay Plan'!$D$5:$K$5,INDEX('Pay Plan'!$D$6:$K$12,$BB6,0)))</f>
        <v>0</v>
      </c>
      <c r="AN44">
        <f>SUMPRODUCT((('Jul 20'!$F$8:$F$42=$T6)*(0.5+0.5*('Jul 20'!$G$8:$G$42=""))+('Jul 20'!$G$8:$G$42=$T6)*0.5)*('Jul 20'!$AG$8:$AG$42="Delivered")*LOOKUP((('Jul 20'!$Q$8:$Q$42+'Jul 20'!$R$8:$R$42)*(('Jul 20'!$Q$8:$Q$42+'Jul 20'!$R$8:$R$42)&gt;0)),'Pay Plan'!$D$5:$K$5,INDEX('Pay Plan'!$D$6:$K$12,$BB6,0)))</f>
        <v>0</v>
      </c>
      <c r="AO44">
        <f>SUMPRODUCT((('Jul 21'!$F$8:$F$42=$T6)*(0.5+0.5*('Jul 21'!$G$8:$G$42=""))+('Jul 21'!$G$8:$G$42=$T6)*0.5)*('Jul 21'!$AG$8:$AG$42="Delivered")*LOOKUP((('Jul 21'!$Q$8:$Q$42+'Jul 21'!$R$8:$R$42)*(('Jul 21'!$Q$8:$Q$42+'Jul 21'!$R$8:$R$42)&gt;0)),'Pay Plan'!$D$5:$K$5,INDEX('Pay Plan'!$D$6:$K$12,$BB6,0)))</f>
        <v>0</v>
      </c>
      <c r="AP44">
        <f>SUMPRODUCT((('Jul 22'!$F$8:$F$42=$T6)*(0.5+0.5*('Jul 22'!$G$8:$G$42=""))+('Jul 22'!$G$8:$G$42=$T6)*0.5)*('Jul 22'!$AG$8:$AG$42="Delivered")*LOOKUP((('Jul 22'!$Q$8:$Q$42+'Jul 22'!$R$8:$R$42)*(('Jul 22'!$Q$8:$Q$42+'Jul 22'!$R$8:$R$42)&gt;0)),'Pay Plan'!$D$5:$K$5,INDEX('Pay Plan'!$D$6:$K$12,$BB6,0)))</f>
        <v>0</v>
      </c>
      <c r="AQ44">
        <f>SUMPRODUCT((('Jul 23'!$F$8:$F$42=$T6)*(0.5+0.5*('Jul 23'!$G$8:$G$42=""))+('Jul 23'!$G$8:$G$42=$T6)*0.5)*('Jul 23'!$AG$8:$AG$42="Delivered")*LOOKUP((('Jul 23'!$Q$8:$Q$42+'Jul 23'!$R$8:$R$42)*(('Jul 23'!$Q$8:$Q$42+'Jul 23'!$R$8:$R$42)&gt;0)),'Pay Plan'!$D$5:$K$5,INDEX('Pay Plan'!$D$6:$K$12,$BB6,0)))</f>
        <v>0</v>
      </c>
      <c r="AR44">
        <f>SUMPRODUCT((('Jul 24'!$F$8:$F$42=$T6)*(0.5+0.5*('Jul 24'!$G$8:$G$42=""))+('Jul 24'!$G$8:$G$42=$T6)*0.5)*('Jul 24'!$AG$8:$AG$42="Delivered")*LOOKUP((('Jul 24'!$Q$8:$Q$42+'Jul 24'!$R$8:$R$42)*(('Jul 24'!$Q$8:$Q$42+'Jul 24'!$R$8:$R$42)&gt;0)),'Pay Plan'!$D$5:$K$5,INDEX('Pay Plan'!$D$6:$K$12,$BB6,0)))</f>
        <v>0</v>
      </c>
      <c r="AS44">
        <f>SUMPRODUCT((('Jul 25'!$F$8:$F$42=$T6)*(0.5+0.5*('Jul 25'!$G$8:$G$42=""))+('Jul 25'!$G$8:$G$42=$T6)*0.5)*('Jul 25'!$AG$8:$AG$42="Delivered")*LOOKUP((('Jul 25'!$Q$8:$Q$42+'Jul 25'!$R$8:$R$42)*(('Jul 25'!$Q$8:$Q$42+'Jul 25'!$R$8:$R$42)&gt;0)),'Pay Plan'!$D$5:$K$5,INDEX('Pay Plan'!$D$6:$K$12,$BB6,0)))</f>
        <v>0</v>
      </c>
      <c r="AT44">
        <f>SUMPRODUCT((('Jul 26'!$F$8:$F$42=$T6)*(0.5+0.5*('Jul 26'!$G$8:$G$42=""))+('Jul 26'!$G$8:$G$42=$T6)*0.5)*('Jul 26'!$AG$8:$AG$42="Delivered")*LOOKUP((('Jul 26'!$Q$8:$Q$42+'Jul 26'!$R$8:$R$42)*(('Jul 26'!$Q$8:$Q$42+'Jul 26'!$R$8:$R$42)&gt;0)),'Pay Plan'!$D$5:$K$5,INDEX('Pay Plan'!$D$6:$K$12,$BB6,0)))</f>
        <v>0</v>
      </c>
      <c r="AU44">
        <f>SUMPRODUCT((('Jul 27'!$F$8:$F$42=$T6)*(0.5+0.5*('Jul 27'!$G$8:$G$42=""))+('Jul 27'!$G$8:$G$42=$T6)*0.5)*('Jul 27'!$AG$8:$AG$42="Delivered")*LOOKUP((('Jul 27'!$Q$8:$Q$42+'Jul 27'!$R$8:$R$42)*(('Jul 27'!$Q$8:$Q$42+'Jul 27'!$R$8:$R$42)&gt;0)),'Pay Plan'!$D$5:$K$5,INDEX('Pay Plan'!$D$6:$K$12,$BB6,0)))</f>
        <v>0</v>
      </c>
      <c r="AV44">
        <f>SUMPRODUCT((('Jul 28'!$F$8:$F$42=$T6)*(0.5+0.5*('Jul 28'!$G$8:$G$42=""))+('Jul 28'!$G$8:$G$42=$T6)*0.5)*('Jul 28'!$AG$8:$AG$42="Delivered")*LOOKUP((('Jul 28'!$Q$8:$Q$42+'Jul 28'!$R$8:$R$42)*(('Jul 28'!$Q$8:$Q$42+'Jul 28'!$R$8:$R$42)&gt;0)),'Pay Plan'!$D$5:$K$5,INDEX('Pay Plan'!$D$6:$K$12,$BB6,0)))</f>
        <v>0</v>
      </c>
      <c r="AW44">
        <f>SUMPRODUCT((('Jul 29'!$F$8:$F$42=$T6)*(0.5+0.5*('Jul 29'!$G$8:$G$42=""))+('Jul 29'!$G$8:$G$42=$T6)*0.5)*('Jul 29'!$AG$8:$AG$42="Delivered")*LOOKUP((('Jul 29'!$Q$8:$Q$42+'Jul 29'!$R$8:$R$42)*(('Jul 29'!$Q$8:$Q$42+'Jul 29'!$R$8:$R$42)&gt;0)),'Pay Plan'!$D$5:$K$5,INDEX('Pay Plan'!$D$6:$K$12,$BB6,0)))</f>
        <v>0</v>
      </c>
      <c r="AX44">
        <f>SUMPRODUCT((('Jul 30'!$F$8:$F$42=$T6)*(0.5+0.5*('Jul 30'!$G$8:$G$42=""))+('Jul 30'!$G$8:$G$42=$T6)*0.5)*('Jul 30'!$AG$8:$AG$42="Delivered")*LOOKUP((('Jul 30'!$Q$8:$Q$42+'Jul 30'!$R$8:$R$42)*(('Jul 30'!$Q$8:$Q$42+'Jul 30'!$R$8:$R$42)&gt;0)),'Pay Plan'!$D$5:$K$5,INDEX('Pay Plan'!$D$6:$K$12,$BB6,0)))</f>
        <v>0</v>
      </c>
      <c r="AY44">
        <f>SUMPRODUCT((('Jul 31'!$F$8:$F$42=$T6)*(0.5+0.5*('Jul 31'!$G$8:$G$42=""))+('Jul 31'!$G$8:$G$42=$T6)*0.5)*('Jul 31'!$AG$8:$AG$42="Delivered")*LOOKUP((('Jul 31'!$Q$8:$Q$42+'Jul 31'!$R$8:$R$42)*(('Jul 31'!$Q$8:$Q$42+'Jul 31'!$R$8:$R$42)&gt;0)),'Pay Plan'!$D$5:$K$5,INDEX('Pay Plan'!$D$6:$K$12,$BB6,0)))</f>
        <v>0</v>
      </c>
    </row>
    <row r="45" spans="21:51" x14ac:dyDescent="0.25">
      <c r="U45">
        <f>SUMPRODUCT((('Jul 1'!$F$8:$F$42=$T7)*(0.5+0.5*('Jul 1'!$G$8:$G$42=""))+('Jul 1'!$G$8:$G$42=$T7)*0.5)*('Jul 1'!$AG$8:$AG$42="Delivered")*LOOKUP((('Jul 1'!$Q$8:$Q$42+'Jul 1'!$R$8:$R$42)*(('Jul 1'!$Q$8:$Q$42+'Jul 1'!$R$8:$R$42)&gt;0)),'Pay Plan'!$D$5:$K$5,INDEX('Pay Plan'!$D$6:$K$12,$BB7,0)))</f>
        <v>0</v>
      </c>
      <c r="V45">
        <f>SUMPRODUCT((('Jul 2'!$F$8:$F$42=$T7)*(0.5+0.5*('Jul 2'!$G$8:$G$42=""))+('Jul 2'!$G$8:$G$42=$T7)*0.5)*('Jul 2'!$AG$8:$AG$42="Delivered")*LOOKUP((('Jul 2'!$Q$8:$Q$42+'Jul 2'!$R$8:$R$42)*(('Jul 2'!$Q$8:$Q$42+'Jul 2'!$R$8:$R$42)&gt;0)),'Pay Plan'!$D$5:$K$5,INDEX('Pay Plan'!$D$6:$K$12,$BB7,0)))</f>
        <v>0</v>
      </c>
      <c r="W45">
        <f>SUMPRODUCT((('Jul 3'!$F$8:$F$42=$T7)*(0.5+0.5*('Jul 3'!$G$8:$G$42=""))+('Jul 3'!$G$8:$G$42=$T7)*0.5)*('Jul 3'!$AG$8:$AG$42="Delivered")*LOOKUP((('Jul 3'!$Q$8:$Q$42+'Jul 3'!$R$8:$R$42)*(('Jul 3'!$Q$8:$Q$42+'Jul 3'!$R$8:$R$42)&gt;0)),'Pay Plan'!$D$5:$K$5,INDEX('Pay Plan'!$D$6:$K$12,$BB7,0)))</f>
        <v>0</v>
      </c>
      <c r="X45">
        <f>SUMPRODUCT((('Jul 4'!$F$8:$F$42=$T7)*(0.5+0.5*('Jul 4'!$G$8:$G$42=""))+('Jul 4'!$G$8:$G$42=$T7)*0.5)*('Jul 4'!$AG$8:$AG$42="Delivered")*LOOKUP((('Jul 4'!$Q$8:$Q$42+'Jul 4'!$R$8:$R$42)*(('Jul 4'!$Q$8:$Q$42+'Jul 4'!$R$8:$R$42)&gt;0)),'Pay Plan'!$D$5:$K$5,INDEX('Pay Plan'!$D$6:$K$12,$BB7,0)))</f>
        <v>0</v>
      </c>
      <c r="Y45">
        <f>SUMPRODUCT((('Jul 5'!$F$8:$F$42=$T7)*(0.5+0.5*('Jul 5'!$G$8:$G$42=""))+('Jul 5'!$G$8:$G$42=$T7)*0.5)*('Jul 5'!$AG$8:$AG$42="Delivered")*LOOKUP((('Jul 5'!$Q$8:$Q$42+'Jul 5'!$R$8:$R$42)*(('Jul 5'!$Q$8:$Q$42+'Jul 5'!$R$8:$R$42)&gt;0)),'Pay Plan'!$D$5:$K$5,INDEX('Pay Plan'!$D$6:$K$12,$BB7,0)))</f>
        <v>0</v>
      </c>
      <c r="Z45">
        <f>SUMPRODUCT((('Jul 6'!$F$8:$F$42=$T7)*(0.5+0.5*('Jul 6'!$G$8:$G$42=""))+('Jul 6'!$G$8:$G$42=$T7)*0.5)*('Jul 6'!$AG$8:$AG$42="Delivered")*LOOKUP((('Jul 6'!$Q$8:$Q$42+'Jul 6'!$R$8:$R$42)*(('Jul 6'!$Q$8:$Q$42+'Jul 6'!$R$8:$R$42)&gt;0)),'Pay Plan'!$D$5:$K$5,INDEX('Pay Plan'!$D$6:$K$12,$BB7,0)))</f>
        <v>0</v>
      </c>
      <c r="AA45">
        <f>SUMPRODUCT((('Jul 7'!$F$8:$F$42=$T7)*(0.5+0.5*('Jul 7'!$G$8:$G$42=""))+('Jul 7'!$G$8:$G$42=$T7)*0.5)*('Jul 7'!$AG$8:$AG$42="Delivered")*LOOKUP((('Jul 7'!$Q$8:$Q$42+'Jul 7'!$R$8:$R$42)*(('Jul 7'!$Q$8:$Q$42+'Jul 7'!$R$8:$R$42)&gt;0)),'Pay Plan'!$D$5:$K$5,INDEX('Pay Plan'!$D$6:$K$12,$BB7,0)))</f>
        <v>0</v>
      </c>
      <c r="AB45">
        <f>SUMPRODUCT((('Jul 8'!$F$8:$F$42=$T7)*(0.5+0.5*('Jul 8'!$G$8:$G$42=""))+('Jul 8'!$G$8:$G$42=$T7)*0.5)*('Jul 8'!$AG$8:$AG$42="Delivered")*LOOKUP((('Jul 8'!$Q$8:$Q$42+'Jul 8'!$R$8:$R$42)*(('Jul 8'!$Q$8:$Q$42+'Jul 8'!$R$8:$R$42)&gt;0)),'Pay Plan'!$D$5:$K$5,INDEX('Pay Plan'!$D$6:$K$12,$BB7,0)))</f>
        <v>0</v>
      </c>
      <c r="AC45">
        <f>SUMPRODUCT((('Jul 9'!$F$8:$F$42=$T7)*(0.5+0.5*('Jul 9'!$G$8:$G$42=""))+('Jul 9'!$G$8:$G$42=$T7)*0.5)*('Jul 9'!$AG$8:$AG$42="Delivered")*LOOKUP((('Jul 9'!$Q$8:$Q$42+'Jul 9'!$R$8:$R$42)*(('Jul 9'!$Q$8:$Q$42+'Jul 9'!$R$8:$R$42)&gt;0)),'Pay Plan'!$D$5:$K$5,INDEX('Pay Plan'!$D$6:$K$12,$BB7,0)))</f>
        <v>0</v>
      </c>
      <c r="AD45">
        <f>SUMPRODUCT((('Jul 10'!$F$8:$F$42=$T7)*(0.5+0.5*('Jul 10'!$G$8:$G$42=""))+('Jul 10'!$G$8:$G$42=$T7)*0.5)*('Jul 10'!$AG$8:$AG$42="Delivered")*LOOKUP((('Jul 10'!$Q$8:$Q$42+'Jul 10'!$R$8:$R$42)*(('Jul 10'!$Q$8:$Q$42+'Jul 10'!$R$8:$R$42)&gt;0)),'Pay Plan'!$D$5:$K$5,INDEX('Pay Plan'!$D$6:$K$12,$BB7,0)))</f>
        <v>0</v>
      </c>
      <c r="AE45">
        <f>SUMPRODUCT((('Jul 11'!$F$8:$F$42=$T7)*(0.5+0.5*('Jul 11'!$G$8:$G$42=""))+('Jul 11'!$G$8:$G$42=$T7)*0.5)*('Jul 11'!$AG$8:$AG$42="Delivered")*LOOKUP((('Jul 11'!$Q$8:$Q$42+'Jul 11'!$R$8:$R$42)*(('Jul 11'!$Q$8:$Q$42+'Jul 11'!$R$8:$R$42)&gt;0)),'Pay Plan'!$D$5:$K$5,INDEX('Pay Plan'!$D$6:$K$12,$BB7,0)))</f>
        <v>0</v>
      </c>
      <c r="AF45">
        <f>SUMPRODUCT((('Jul 12'!$F$8:$F$42=$T7)*(0.5+0.5*('Jul 12'!$G$8:$G$42=""))+('Jul 12'!$G$8:$G$42=$T7)*0.5)*('Jul 12'!$AG$8:$AG$42="Delivered")*LOOKUP((('Jul 12'!$Q$8:$Q$42+'Jul 12'!$R$8:$R$42)*(('Jul 12'!$Q$8:$Q$42+'Jul 12'!$R$8:$R$42)&gt;0)),'Pay Plan'!$D$5:$K$5,INDEX('Pay Plan'!$D$6:$K$12,$BB7,0)))</f>
        <v>0</v>
      </c>
      <c r="AG45">
        <f>SUMPRODUCT((('Jul 13'!$F$8:$F$42=$T7)*(0.5+0.5*('Jul 13'!$G$8:$G$42=""))+('Jul 13'!$G$8:$G$42=$T7)*0.5)*('Jul 13'!$AG$8:$AG$42="Delivered")*LOOKUP((('Jul 13'!$Q$8:$Q$42+'Jul 13'!$R$8:$R$42)*(('Jul 13'!$Q$8:$Q$42+'Jul 13'!$R$8:$R$42)&gt;0)),'Pay Plan'!$D$5:$K$5,INDEX('Pay Plan'!$D$6:$K$12,$BB7,0)))</f>
        <v>0</v>
      </c>
      <c r="AH45">
        <f>SUMPRODUCT((('Jul 14'!$F$8:$F$42=$T7)*(0.5+0.5*('Jul 14'!$G$8:$G$42=""))+('Jul 14'!$G$8:$G$42=$T7)*0.5)*('Jul 14'!$AG$8:$AG$42="Delivered")*LOOKUP((('Jul 14'!$Q$8:$Q$42+'Jul 14'!$R$8:$R$42)*(('Jul 14'!$Q$8:$Q$42+'Jul 14'!$R$8:$R$42)&gt;0)),'Pay Plan'!$D$5:$K$5,INDEX('Pay Plan'!$D$6:$K$12,$BB7,0)))</f>
        <v>0</v>
      </c>
      <c r="AI45">
        <f>SUMPRODUCT((('Jul 15'!$F$8:$F$42=$T7)*(0.5+0.5*('Jul 15'!$G$8:$G$42=""))+('Jul 15'!$G$8:$G$42=$T7)*0.5)*('Jul 15'!$AG$8:$AG$42="Delivered")*LOOKUP((('Jul 15'!$Q$8:$Q$42+'Jul 15'!$R$8:$R$42)*(('Jul 15'!$Q$8:$Q$42+'Jul 15'!$R$8:$R$42)&gt;0)),'Pay Plan'!$D$5:$K$5,INDEX('Pay Plan'!$D$6:$K$12,$BB7,0)))</f>
        <v>0</v>
      </c>
      <c r="AJ45">
        <f>SUMPRODUCT((('Jul 16'!$F$8:$F$42=$T7)*(0.5+0.5*('Jul 16'!$G$8:$G$42=""))+('Jul 16'!$G$8:$G$42=$T7)*0.5)*('Jul 16'!$AG$8:$AG$42="Delivered")*LOOKUP((('Jul 16'!$Q$8:$Q$42+'Jul 16'!$R$8:$R$42)*(('Jul 16'!$Q$8:$Q$42+'Jul 16'!$R$8:$R$42)&gt;0)),'Pay Plan'!$D$5:$K$5,INDEX('Pay Plan'!$D$6:$K$12,$BB7,0)))</f>
        <v>0</v>
      </c>
      <c r="AK45">
        <f>SUMPRODUCT((('Jul 17'!$F$8:$F$42=$T7)*(0.5+0.5*('Jul 17'!$G$8:$G$42=""))+('Jul 17'!$G$8:$G$42=$T7)*0.5)*('Jul 17'!$AG$8:$AG$42="Delivered")*LOOKUP((('Jul 17'!$Q$8:$Q$42+'Jul 17'!$R$8:$R$42)*(('Jul 17'!$Q$8:$Q$42+'Jul 17'!$R$8:$R$42)&gt;0)),'Pay Plan'!$D$5:$K$5,INDEX('Pay Plan'!$D$6:$K$12,$BB7,0)))</f>
        <v>0</v>
      </c>
      <c r="AL45">
        <f>SUMPRODUCT((('Jul 18'!$F$8:$F$42=$T7)*(0.5+0.5*('Jul 18'!$G$8:$G$42=""))+('Jul 18'!$G$8:$G$42=$T7)*0.5)*('Jul 18'!$AG$8:$AG$42="Delivered")*LOOKUP((('Jul 18'!$Q$8:$Q$42+'Jul 18'!$R$8:$R$42)*(('Jul 18'!$Q$8:$Q$42+'Jul 18'!$R$8:$R$42)&gt;0)),'Pay Plan'!$D$5:$K$5,INDEX('Pay Plan'!$D$6:$K$12,$BB7,0)))</f>
        <v>0</v>
      </c>
      <c r="AM45">
        <f>SUMPRODUCT((('Jul 19'!$F$8:$F$42=$T7)*(0.5+0.5*('Jul 19'!$G$8:$G$42=""))+('Jul 19'!$G$8:$G$42=$T7)*0.5)*('Jul 19'!$AG$8:$AG$42="Delivered")*LOOKUP((('Jul 19'!$Q$8:$Q$42+'Jul 19'!$R$8:$R$42)*(('Jul 19'!$Q$8:$Q$42+'Jul 19'!$R$8:$R$42)&gt;0)),'Pay Plan'!$D$5:$K$5,INDEX('Pay Plan'!$D$6:$K$12,$BB7,0)))</f>
        <v>0</v>
      </c>
      <c r="AN45">
        <f>SUMPRODUCT((('Jul 20'!$F$8:$F$42=$T7)*(0.5+0.5*('Jul 20'!$G$8:$G$42=""))+('Jul 20'!$G$8:$G$42=$T7)*0.5)*('Jul 20'!$AG$8:$AG$42="Delivered")*LOOKUP((('Jul 20'!$Q$8:$Q$42+'Jul 20'!$R$8:$R$42)*(('Jul 20'!$Q$8:$Q$42+'Jul 20'!$R$8:$R$42)&gt;0)),'Pay Plan'!$D$5:$K$5,INDEX('Pay Plan'!$D$6:$K$12,$BB7,0)))</f>
        <v>0</v>
      </c>
      <c r="AO45">
        <f>SUMPRODUCT((('Jul 21'!$F$8:$F$42=$T7)*(0.5+0.5*('Jul 21'!$G$8:$G$42=""))+('Jul 21'!$G$8:$G$42=$T7)*0.5)*('Jul 21'!$AG$8:$AG$42="Delivered")*LOOKUP((('Jul 21'!$Q$8:$Q$42+'Jul 21'!$R$8:$R$42)*(('Jul 21'!$Q$8:$Q$42+'Jul 21'!$R$8:$R$42)&gt;0)),'Pay Plan'!$D$5:$K$5,INDEX('Pay Plan'!$D$6:$K$12,$BB7,0)))</f>
        <v>0</v>
      </c>
      <c r="AP45">
        <f>SUMPRODUCT((('Jul 22'!$F$8:$F$42=$T7)*(0.5+0.5*('Jul 22'!$G$8:$G$42=""))+('Jul 22'!$G$8:$G$42=$T7)*0.5)*('Jul 22'!$AG$8:$AG$42="Delivered")*LOOKUP((('Jul 22'!$Q$8:$Q$42+'Jul 22'!$R$8:$R$42)*(('Jul 22'!$Q$8:$Q$42+'Jul 22'!$R$8:$R$42)&gt;0)),'Pay Plan'!$D$5:$K$5,INDEX('Pay Plan'!$D$6:$K$12,$BB7,0)))</f>
        <v>0</v>
      </c>
      <c r="AQ45">
        <f>SUMPRODUCT((('Jul 23'!$F$8:$F$42=$T7)*(0.5+0.5*('Jul 23'!$G$8:$G$42=""))+('Jul 23'!$G$8:$G$42=$T7)*0.5)*('Jul 23'!$AG$8:$AG$42="Delivered")*LOOKUP((('Jul 23'!$Q$8:$Q$42+'Jul 23'!$R$8:$R$42)*(('Jul 23'!$Q$8:$Q$42+'Jul 23'!$R$8:$R$42)&gt;0)),'Pay Plan'!$D$5:$K$5,INDEX('Pay Plan'!$D$6:$K$12,$BB7,0)))</f>
        <v>0</v>
      </c>
      <c r="AR45">
        <f>SUMPRODUCT((('Jul 24'!$F$8:$F$42=$T7)*(0.5+0.5*('Jul 24'!$G$8:$G$42=""))+('Jul 24'!$G$8:$G$42=$T7)*0.5)*('Jul 24'!$AG$8:$AG$42="Delivered")*LOOKUP((('Jul 24'!$Q$8:$Q$42+'Jul 24'!$R$8:$R$42)*(('Jul 24'!$Q$8:$Q$42+'Jul 24'!$R$8:$R$42)&gt;0)),'Pay Plan'!$D$5:$K$5,INDEX('Pay Plan'!$D$6:$K$12,$BB7,0)))</f>
        <v>0</v>
      </c>
      <c r="AS45">
        <f>SUMPRODUCT((('Jul 25'!$F$8:$F$42=$T7)*(0.5+0.5*('Jul 25'!$G$8:$G$42=""))+('Jul 25'!$G$8:$G$42=$T7)*0.5)*('Jul 25'!$AG$8:$AG$42="Delivered")*LOOKUP((('Jul 25'!$Q$8:$Q$42+'Jul 25'!$R$8:$R$42)*(('Jul 25'!$Q$8:$Q$42+'Jul 25'!$R$8:$R$42)&gt;0)),'Pay Plan'!$D$5:$K$5,INDEX('Pay Plan'!$D$6:$K$12,$BB7,0)))</f>
        <v>0</v>
      </c>
      <c r="AT45">
        <f>SUMPRODUCT((('Jul 26'!$F$8:$F$42=$T7)*(0.5+0.5*('Jul 26'!$G$8:$G$42=""))+('Jul 26'!$G$8:$G$42=$T7)*0.5)*('Jul 26'!$AG$8:$AG$42="Delivered")*LOOKUP((('Jul 26'!$Q$8:$Q$42+'Jul 26'!$R$8:$R$42)*(('Jul 26'!$Q$8:$Q$42+'Jul 26'!$R$8:$R$42)&gt;0)),'Pay Plan'!$D$5:$K$5,INDEX('Pay Plan'!$D$6:$K$12,$BB7,0)))</f>
        <v>0</v>
      </c>
      <c r="AU45">
        <f>SUMPRODUCT((('Jul 27'!$F$8:$F$42=$T7)*(0.5+0.5*('Jul 27'!$G$8:$G$42=""))+('Jul 27'!$G$8:$G$42=$T7)*0.5)*('Jul 27'!$AG$8:$AG$42="Delivered")*LOOKUP((('Jul 27'!$Q$8:$Q$42+'Jul 27'!$R$8:$R$42)*(('Jul 27'!$Q$8:$Q$42+'Jul 27'!$R$8:$R$42)&gt;0)),'Pay Plan'!$D$5:$K$5,INDEX('Pay Plan'!$D$6:$K$12,$BB7,0)))</f>
        <v>0</v>
      </c>
      <c r="AV45">
        <f>SUMPRODUCT((('Jul 28'!$F$8:$F$42=$T7)*(0.5+0.5*('Jul 28'!$G$8:$G$42=""))+('Jul 28'!$G$8:$G$42=$T7)*0.5)*('Jul 28'!$AG$8:$AG$42="Delivered")*LOOKUP((('Jul 28'!$Q$8:$Q$42+'Jul 28'!$R$8:$R$42)*(('Jul 28'!$Q$8:$Q$42+'Jul 28'!$R$8:$R$42)&gt;0)),'Pay Plan'!$D$5:$K$5,INDEX('Pay Plan'!$D$6:$K$12,$BB7,0)))</f>
        <v>0</v>
      </c>
      <c r="AW45">
        <f>SUMPRODUCT((('Jul 29'!$F$8:$F$42=$T7)*(0.5+0.5*('Jul 29'!$G$8:$G$42=""))+('Jul 29'!$G$8:$G$42=$T7)*0.5)*('Jul 29'!$AG$8:$AG$42="Delivered")*LOOKUP((('Jul 29'!$Q$8:$Q$42+'Jul 29'!$R$8:$R$42)*(('Jul 29'!$Q$8:$Q$42+'Jul 29'!$R$8:$R$42)&gt;0)),'Pay Plan'!$D$5:$K$5,INDEX('Pay Plan'!$D$6:$K$12,$BB7,0)))</f>
        <v>0</v>
      </c>
      <c r="AX45">
        <f>SUMPRODUCT((('Jul 30'!$F$8:$F$42=$T7)*(0.5+0.5*('Jul 30'!$G$8:$G$42=""))+('Jul 30'!$G$8:$G$42=$T7)*0.5)*('Jul 30'!$AG$8:$AG$42="Delivered")*LOOKUP((('Jul 30'!$Q$8:$Q$42+'Jul 30'!$R$8:$R$42)*(('Jul 30'!$Q$8:$Q$42+'Jul 30'!$R$8:$R$42)&gt;0)),'Pay Plan'!$D$5:$K$5,INDEX('Pay Plan'!$D$6:$K$12,$BB7,0)))</f>
        <v>0</v>
      </c>
      <c r="AY45">
        <f>SUMPRODUCT((('Jul 31'!$F$8:$F$42=$T7)*(0.5+0.5*('Jul 31'!$G$8:$G$42=""))+('Jul 31'!$G$8:$G$42=$T7)*0.5)*('Jul 31'!$AG$8:$AG$42="Delivered")*LOOKUP((('Jul 31'!$Q$8:$Q$42+'Jul 31'!$R$8:$R$42)*(('Jul 31'!$Q$8:$Q$42+'Jul 31'!$R$8:$R$42)&gt;0)),'Pay Plan'!$D$5:$K$5,INDEX('Pay Plan'!$D$6:$K$12,$BB7,0)))</f>
        <v>0</v>
      </c>
    </row>
    <row r="46" spans="21:51" x14ac:dyDescent="0.25">
      <c r="U46">
        <f>SUMPRODUCT((('Jul 1'!$F$8:$F$42=$T8)*(0.5+0.5*('Jul 1'!$G$8:$G$42=""))+('Jul 1'!$G$8:$G$42=$T8)*0.5)*('Jul 1'!$AG$8:$AG$42="Delivered")*LOOKUP((('Jul 1'!$Q$8:$Q$42+'Jul 1'!$R$8:$R$42)*(('Jul 1'!$Q$8:$Q$42+'Jul 1'!$R$8:$R$42)&gt;0)),'Pay Plan'!$D$5:$K$5,INDEX('Pay Plan'!$D$6:$K$12,$BB8,0)))</f>
        <v>0</v>
      </c>
      <c r="V46">
        <f>SUMPRODUCT((('Jul 2'!$F$8:$F$42=$T8)*(0.5+0.5*('Jul 2'!$G$8:$G$42=""))+('Jul 2'!$G$8:$G$42=$T8)*0.5)*('Jul 2'!$AG$8:$AG$42="Delivered")*LOOKUP((('Jul 2'!$Q$8:$Q$42+'Jul 2'!$R$8:$R$42)*(('Jul 2'!$Q$8:$Q$42+'Jul 2'!$R$8:$R$42)&gt;0)),'Pay Plan'!$D$5:$K$5,INDEX('Pay Plan'!$D$6:$K$12,$BB8,0)))</f>
        <v>0</v>
      </c>
      <c r="W46">
        <f>SUMPRODUCT((('Jul 3'!$F$8:$F$42=$T8)*(0.5+0.5*('Jul 3'!$G$8:$G$42=""))+('Jul 3'!$G$8:$G$42=$T8)*0.5)*('Jul 3'!$AG$8:$AG$42="Delivered")*LOOKUP((('Jul 3'!$Q$8:$Q$42+'Jul 3'!$R$8:$R$42)*(('Jul 3'!$Q$8:$Q$42+'Jul 3'!$R$8:$R$42)&gt;0)),'Pay Plan'!$D$5:$K$5,INDEX('Pay Plan'!$D$6:$K$12,$BB8,0)))</f>
        <v>0</v>
      </c>
      <c r="X46">
        <f>SUMPRODUCT((('Jul 4'!$F$8:$F$42=$T8)*(0.5+0.5*('Jul 4'!$G$8:$G$42=""))+('Jul 4'!$G$8:$G$42=$T8)*0.5)*('Jul 4'!$AG$8:$AG$42="Delivered")*LOOKUP((('Jul 4'!$Q$8:$Q$42+'Jul 4'!$R$8:$R$42)*(('Jul 4'!$Q$8:$Q$42+'Jul 4'!$R$8:$R$42)&gt;0)),'Pay Plan'!$D$5:$K$5,INDEX('Pay Plan'!$D$6:$K$12,$BB8,0)))</f>
        <v>0</v>
      </c>
      <c r="Y46">
        <f>SUMPRODUCT((('Jul 5'!$F$8:$F$42=$T8)*(0.5+0.5*('Jul 5'!$G$8:$G$42=""))+('Jul 5'!$G$8:$G$42=$T8)*0.5)*('Jul 5'!$AG$8:$AG$42="Delivered")*LOOKUP((('Jul 5'!$Q$8:$Q$42+'Jul 5'!$R$8:$R$42)*(('Jul 5'!$Q$8:$Q$42+'Jul 5'!$R$8:$R$42)&gt;0)),'Pay Plan'!$D$5:$K$5,INDEX('Pay Plan'!$D$6:$K$12,$BB8,0)))</f>
        <v>0</v>
      </c>
      <c r="Z46">
        <f>SUMPRODUCT((('Jul 6'!$F$8:$F$42=$T8)*(0.5+0.5*('Jul 6'!$G$8:$G$42=""))+('Jul 6'!$G$8:$G$42=$T8)*0.5)*('Jul 6'!$AG$8:$AG$42="Delivered")*LOOKUP((('Jul 6'!$Q$8:$Q$42+'Jul 6'!$R$8:$R$42)*(('Jul 6'!$Q$8:$Q$42+'Jul 6'!$R$8:$R$42)&gt;0)),'Pay Plan'!$D$5:$K$5,INDEX('Pay Plan'!$D$6:$K$12,$BB8,0)))</f>
        <v>0</v>
      </c>
      <c r="AA46">
        <f>SUMPRODUCT((('Jul 7'!$F$8:$F$42=$T8)*(0.5+0.5*('Jul 7'!$G$8:$G$42=""))+('Jul 7'!$G$8:$G$42=$T8)*0.5)*('Jul 7'!$AG$8:$AG$42="Delivered")*LOOKUP((('Jul 7'!$Q$8:$Q$42+'Jul 7'!$R$8:$R$42)*(('Jul 7'!$Q$8:$Q$42+'Jul 7'!$R$8:$R$42)&gt;0)),'Pay Plan'!$D$5:$K$5,INDEX('Pay Plan'!$D$6:$K$12,$BB8,0)))</f>
        <v>0</v>
      </c>
      <c r="AB46">
        <f>SUMPRODUCT((('Jul 8'!$F$8:$F$42=$T8)*(0.5+0.5*('Jul 8'!$G$8:$G$42=""))+('Jul 8'!$G$8:$G$42=$T8)*0.5)*('Jul 8'!$AG$8:$AG$42="Delivered")*LOOKUP((('Jul 8'!$Q$8:$Q$42+'Jul 8'!$R$8:$R$42)*(('Jul 8'!$Q$8:$Q$42+'Jul 8'!$R$8:$R$42)&gt;0)),'Pay Plan'!$D$5:$K$5,INDEX('Pay Plan'!$D$6:$K$12,$BB8,0)))</f>
        <v>0</v>
      </c>
      <c r="AC46">
        <f>SUMPRODUCT((('Jul 9'!$F$8:$F$42=$T8)*(0.5+0.5*('Jul 9'!$G$8:$G$42=""))+('Jul 9'!$G$8:$G$42=$T8)*0.5)*('Jul 9'!$AG$8:$AG$42="Delivered")*LOOKUP((('Jul 9'!$Q$8:$Q$42+'Jul 9'!$R$8:$R$42)*(('Jul 9'!$Q$8:$Q$42+'Jul 9'!$R$8:$R$42)&gt;0)),'Pay Plan'!$D$5:$K$5,INDEX('Pay Plan'!$D$6:$K$12,$BB8,0)))</f>
        <v>0</v>
      </c>
      <c r="AD46">
        <f>SUMPRODUCT((('Jul 10'!$F$8:$F$42=$T8)*(0.5+0.5*('Jul 10'!$G$8:$G$42=""))+('Jul 10'!$G$8:$G$42=$T8)*0.5)*('Jul 10'!$AG$8:$AG$42="Delivered")*LOOKUP((('Jul 10'!$Q$8:$Q$42+'Jul 10'!$R$8:$R$42)*(('Jul 10'!$Q$8:$Q$42+'Jul 10'!$R$8:$R$42)&gt;0)),'Pay Plan'!$D$5:$K$5,INDEX('Pay Plan'!$D$6:$K$12,$BB8,0)))</f>
        <v>0</v>
      </c>
      <c r="AE46">
        <f>SUMPRODUCT((('Jul 11'!$F$8:$F$42=$T8)*(0.5+0.5*('Jul 11'!$G$8:$G$42=""))+('Jul 11'!$G$8:$G$42=$T8)*0.5)*('Jul 11'!$AG$8:$AG$42="Delivered")*LOOKUP((('Jul 11'!$Q$8:$Q$42+'Jul 11'!$R$8:$R$42)*(('Jul 11'!$Q$8:$Q$42+'Jul 11'!$R$8:$R$42)&gt;0)),'Pay Plan'!$D$5:$K$5,INDEX('Pay Plan'!$D$6:$K$12,$BB8,0)))</f>
        <v>0</v>
      </c>
      <c r="AF46">
        <f>SUMPRODUCT((('Jul 12'!$F$8:$F$42=$T8)*(0.5+0.5*('Jul 12'!$G$8:$G$42=""))+('Jul 12'!$G$8:$G$42=$T8)*0.5)*('Jul 12'!$AG$8:$AG$42="Delivered")*LOOKUP((('Jul 12'!$Q$8:$Q$42+'Jul 12'!$R$8:$R$42)*(('Jul 12'!$Q$8:$Q$42+'Jul 12'!$R$8:$R$42)&gt;0)),'Pay Plan'!$D$5:$K$5,INDEX('Pay Plan'!$D$6:$K$12,$BB8,0)))</f>
        <v>0</v>
      </c>
      <c r="AG46">
        <f>SUMPRODUCT((('Jul 13'!$F$8:$F$42=$T8)*(0.5+0.5*('Jul 13'!$G$8:$G$42=""))+('Jul 13'!$G$8:$G$42=$T8)*0.5)*('Jul 13'!$AG$8:$AG$42="Delivered")*LOOKUP((('Jul 13'!$Q$8:$Q$42+'Jul 13'!$R$8:$R$42)*(('Jul 13'!$Q$8:$Q$42+'Jul 13'!$R$8:$R$42)&gt;0)),'Pay Plan'!$D$5:$K$5,INDEX('Pay Plan'!$D$6:$K$12,$BB8,0)))</f>
        <v>0</v>
      </c>
      <c r="AH46">
        <f>SUMPRODUCT((('Jul 14'!$F$8:$F$42=$T8)*(0.5+0.5*('Jul 14'!$G$8:$G$42=""))+('Jul 14'!$G$8:$G$42=$T8)*0.5)*('Jul 14'!$AG$8:$AG$42="Delivered")*LOOKUP((('Jul 14'!$Q$8:$Q$42+'Jul 14'!$R$8:$R$42)*(('Jul 14'!$Q$8:$Q$42+'Jul 14'!$R$8:$R$42)&gt;0)),'Pay Plan'!$D$5:$K$5,INDEX('Pay Plan'!$D$6:$K$12,$BB8,0)))</f>
        <v>0</v>
      </c>
      <c r="AI46">
        <f>SUMPRODUCT((('Jul 15'!$F$8:$F$42=$T8)*(0.5+0.5*('Jul 15'!$G$8:$G$42=""))+('Jul 15'!$G$8:$G$42=$T8)*0.5)*('Jul 15'!$AG$8:$AG$42="Delivered")*LOOKUP((('Jul 15'!$Q$8:$Q$42+'Jul 15'!$R$8:$R$42)*(('Jul 15'!$Q$8:$Q$42+'Jul 15'!$R$8:$R$42)&gt;0)),'Pay Plan'!$D$5:$K$5,INDEX('Pay Plan'!$D$6:$K$12,$BB8,0)))</f>
        <v>0</v>
      </c>
      <c r="AJ46">
        <f>SUMPRODUCT((('Jul 16'!$F$8:$F$42=$T8)*(0.5+0.5*('Jul 16'!$G$8:$G$42=""))+('Jul 16'!$G$8:$G$42=$T8)*0.5)*('Jul 16'!$AG$8:$AG$42="Delivered")*LOOKUP((('Jul 16'!$Q$8:$Q$42+'Jul 16'!$R$8:$R$42)*(('Jul 16'!$Q$8:$Q$42+'Jul 16'!$R$8:$R$42)&gt;0)),'Pay Plan'!$D$5:$K$5,INDEX('Pay Plan'!$D$6:$K$12,$BB8,0)))</f>
        <v>0</v>
      </c>
      <c r="AK46">
        <f>SUMPRODUCT((('Jul 17'!$F$8:$F$42=$T8)*(0.5+0.5*('Jul 17'!$G$8:$G$42=""))+('Jul 17'!$G$8:$G$42=$T8)*0.5)*('Jul 17'!$AG$8:$AG$42="Delivered")*LOOKUP((('Jul 17'!$Q$8:$Q$42+'Jul 17'!$R$8:$R$42)*(('Jul 17'!$Q$8:$Q$42+'Jul 17'!$R$8:$R$42)&gt;0)),'Pay Plan'!$D$5:$K$5,INDEX('Pay Plan'!$D$6:$K$12,$BB8,0)))</f>
        <v>0</v>
      </c>
      <c r="AL46">
        <f>SUMPRODUCT((('Jul 18'!$F$8:$F$42=$T8)*(0.5+0.5*('Jul 18'!$G$8:$G$42=""))+('Jul 18'!$G$8:$G$42=$T8)*0.5)*('Jul 18'!$AG$8:$AG$42="Delivered")*LOOKUP((('Jul 18'!$Q$8:$Q$42+'Jul 18'!$R$8:$R$42)*(('Jul 18'!$Q$8:$Q$42+'Jul 18'!$R$8:$R$42)&gt;0)),'Pay Plan'!$D$5:$K$5,INDEX('Pay Plan'!$D$6:$K$12,$BB8,0)))</f>
        <v>0</v>
      </c>
      <c r="AM46">
        <f>SUMPRODUCT((('Jul 19'!$F$8:$F$42=$T8)*(0.5+0.5*('Jul 19'!$G$8:$G$42=""))+('Jul 19'!$G$8:$G$42=$T8)*0.5)*('Jul 19'!$AG$8:$AG$42="Delivered")*LOOKUP((('Jul 19'!$Q$8:$Q$42+'Jul 19'!$R$8:$R$42)*(('Jul 19'!$Q$8:$Q$42+'Jul 19'!$R$8:$R$42)&gt;0)),'Pay Plan'!$D$5:$K$5,INDEX('Pay Plan'!$D$6:$K$12,$BB8,0)))</f>
        <v>0</v>
      </c>
      <c r="AN46">
        <f>SUMPRODUCT((('Jul 20'!$F$8:$F$42=$T8)*(0.5+0.5*('Jul 20'!$G$8:$G$42=""))+('Jul 20'!$G$8:$G$42=$T8)*0.5)*('Jul 20'!$AG$8:$AG$42="Delivered")*LOOKUP((('Jul 20'!$Q$8:$Q$42+'Jul 20'!$R$8:$R$42)*(('Jul 20'!$Q$8:$Q$42+'Jul 20'!$R$8:$R$42)&gt;0)),'Pay Plan'!$D$5:$K$5,INDEX('Pay Plan'!$D$6:$K$12,$BB8,0)))</f>
        <v>0</v>
      </c>
      <c r="AO46">
        <f>SUMPRODUCT((('Jul 21'!$F$8:$F$42=$T8)*(0.5+0.5*('Jul 21'!$G$8:$G$42=""))+('Jul 21'!$G$8:$G$42=$T8)*0.5)*('Jul 21'!$AG$8:$AG$42="Delivered")*LOOKUP((('Jul 21'!$Q$8:$Q$42+'Jul 21'!$R$8:$R$42)*(('Jul 21'!$Q$8:$Q$42+'Jul 21'!$R$8:$R$42)&gt;0)),'Pay Plan'!$D$5:$K$5,INDEX('Pay Plan'!$D$6:$K$12,$BB8,0)))</f>
        <v>0</v>
      </c>
      <c r="AP46">
        <f>SUMPRODUCT((('Jul 22'!$F$8:$F$42=$T8)*(0.5+0.5*('Jul 22'!$G$8:$G$42=""))+('Jul 22'!$G$8:$G$42=$T8)*0.5)*('Jul 22'!$AG$8:$AG$42="Delivered")*LOOKUP((('Jul 22'!$Q$8:$Q$42+'Jul 22'!$R$8:$R$42)*(('Jul 22'!$Q$8:$Q$42+'Jul 22'!$R$8:$R$42)&gt;0)),'Pay Plan'!$D$5:$K$5,INDEX('Pay Plan'!$D$6:$K$12,$BB8,0)))</f>
        <v>0</v>
      </c>
      <c r="AQ46">
        <f>SUMPRODUCT((('Jul 23'!$F$8:$F$42=$T8)*(0.5+0.5*('Jul 23'!$G$8:$G$42=""))+('Jul 23'!$G$8:$G$42=$T8)*0.5)*('Jul 23'!$AG$8:$AG$42="Delivered")*LOOKUP((('Jul 23'!$Q$8:$Q$42+'Jul 23'!$R$8:$R$42)*(('Jul 23'!$Q$8:$Q$42+'Jul 23'!$R$8:$R$42)&gt;0)),'Pay Plan'!$D$5:$K$5,INDEX('Pay Plan'!$D$6:$K$12,$BB8,0)))</f>
        <v>0</v>
      </c>
      <c r="AR46">
        <f>SUMPRODUCT((('Jul 24'!$F$8:$F$42=$T8)*(0.5+0.5*('Jul 24'!$G$8:$G$42=""))+('Jul 24'!$G$8:$G$42=$T8)*0.5)*('Jul 24'!$AG$8:$AG$42="Delivered")*LOOKUP((('Jul 24'!$Q$8:$Q$42+'Jul 24'!$R$8:$R$42)*(('Jul 24'!$Q$8:$Q$42+'Jul 24'!$R$8:$R$42)&gt;0)),'Pay Plan'!$D$5:$K$5,INDEX('Pay Plan'!$D$6:$K$12,$BB8,0)))</f>
        <v>0</v>
      </c>
      <c r="AS46">
        <f>SUMPRODUCT((('Jul 25'!$F$8:$F$42=$T8)*(0.5+0.5*('Jul 25'!$G$8:$G$42=""))+('Jul 25'!$G$8:$G$42=$T8)*0.5)*('Jul 25'!$AG$8:$AG$42="Delivered")*LOOKUP((('Jul 25'!$Q$8:$Q$42+'Jul 25'!$R$8:$R$42)*(('Jul 25'!$Q$8:$Q$42+'Jul 25'!$R$8:$R$42)&gt;0)),'Pay Plan'!$D$5:$K$5,INDEX('Pay Plan'!$D$6:$K$12,$BB8,0)))</f>
        <v>0</v>
      </c>
      <c r="AT46">
        <f>SUMPRODUCT((('Jul 26'!$F$8:$F$42=$T8)*(0.5+0.5*('Jul 26'!$G$8:$G$42=""))+('Jul 26'!$G$8:$G$42=$T8)*0.5)*('Jul 26'!$AG$8:$AG$42="Delivered")*LOOKUP((('Jul 26'!$Q$8:$Q$42+'Jul 26'!$R$8:$R$42)*(('Jul 26'!$Q$8:$Q$42+'Jul 26'!$R$8:$R$42)&gt;0)),'Pay Plan'!$D$5:$K$5,INDEX('Pay Plan'!$D$6:$K$12,$BB8,0)))</f>
        <v>0</v>
      </c>
      <c r="AU46">
        <f>SUMPRODUCT((('Jul 27'!$F$8:$F$42=$T8)*(0.5+0.5*('Jul 27'!$G$8:$G$42=""))+('Jul 27'!$G$8:$G$42=$T8)*0.5)*('Jul 27'!$AG$8:$AG$42="Delivered")*LOOKUP((('Jul 27'!$Q$8:$Q$42+'Jul 27'!$R$8:$R$42)*(('Jul 27'!$Q$8:$Q$42+'Jul 27'!$R$8:$R$42)&gt;0)),'Pay Plan'!$D$5:$K$5,INDEX('Pay Plan'!$D$6:$K$12,$BB8,0)))</f>
        <v>0</v>
      </c>
      <c r="AV46">
        <f>SUMPRODUCT((('Jul 28'!$F$8:$F$42=$T8)*(0.5+0.5*('Jul 28'!$G$8:$G$42=""))+('Jul 28'!$G$8:$G$42=$T8)*0.5)*('Jul 28'!$AG$8:$AG$42="Delivered")*LOOKUP((('Jul 28'!$Q$8:$Q$42+'Jul 28'!$R$8:$R$42)*(('Jul 28'!$Q$8:$Q$42+'Jul 28'!$R$8:$R$42)&gt;0)),'Pay Plan'!$D$5:$K$5,INDEX('Pay Plan'!$D$6:$K$12,$BB8,0)))</f>
        <v>0</v>
      </c>
      <c r="AW46">
        <f>SUMPRODUCT((('Jul 29'!$F$8:$F$42=$T8)*(0.5+0.5*('Jul 29'!$G$8:$G$42=""))+('Jul 29'!$G$8:$G$42=$T8)*0.5)*('Jul 29'!$AG$8:$AG$42="Delivered")*LOOKUP((('Jul 29'!$Q$8:$Q$42+'Jul 29'!$R$8:$R$42)*(('Jul 29'!$Q$8:$Q$42+'Jul 29'!$R$8:$R$42)&gt;0)),'Pay Plan'!$D$5:$K$5,INDEX('Pay Plan'!$D$6:$K$12,$BB8,0)))</f>
        <v>0</v>
      </c>
      <c r="AX46">
        <f>SUMPRODUCT((('Jul 30'!$F$8:$F$42=$T8)*(0.5+0.5*('Jul 30'!$G$8:$G$42=""))+('Jul 30'!$G$8:$G$42=$T8)*0.5)*('Jul 30'!$AG$8:$AG$42="Delivered")*LOOKUP((('Jul 30'!$Q$8:$Q$42+'Jul 30'!$R$8:$R$42)*(('Jul 30'!$Q$8:$Q$42+'Jul 30'!$R$8:$R$42)&gt;0)),'Pay Plan'!$D$5:$K$5,INDEX('Pay Plan'!$D$6:$K$12,$BB8,0)))</f>
        <v>0</v>
      </c>
      <c r="AY46">
        <f>SUMPRODUCT((('Jul 31'!$F$8:$F$42=$T8)*(0.5+0.5*('Jul 31'!$G$8:$G$42=""))+('Jul 31'!$G$8:$G$42=$T8)*0.5)*('Jul 31'!$AG$8:$AG$42="Delivered")*LOOKUP((('Jul 31'!$Q$8:$Q$42+'Jul 31'!$R$8:$R$42)*(('Jul 31'!$Q$8:$Q$42+'Jul 31'!$R$8:$R$42)&gt;0)),'Pay Plan'!$D$5:$K$5,INDEX('Pay Plan'!$D$6:$K$12,$BB8,0)))</f>
        <v>0</v>
      </c>
    </row>
    <row r="47" spans="21:51" x14ac:dyDescent="0.25">
      <c r="U47">
        <f>SUMPRODUCT((('Jul 1'!$F$8:$F$42=$T9)*(0.5+0.5*('Jul 1'!$G$8:$G$42=""))+('Jul 1'!$G$8:$G$42=$T9)*0.5)*('Jul 1'!$AG$8:$AG$42="Delivered")*LOOKUP((('Jul 1'!$Q$8:$Q$42+'Jul 1'!$R$8:$R$42)*(('Jul 1'!$Q$8:$Q$42+'Jul 1'!$R$8:$R$42)&gt;0)),'Pay Plan'!$D$5:$K$5,INDEX('Pay Plan'!$D$6:$K$12,$BB9,0)))</f>
        <v>0</v>
      </c>
      <c r="V47">
        <f>SUMPRODUCT((('Jul 2'!$F$8:$F$42=$T9)*(0.5+0.5*('Jul 2'!$G$8:$G$42=""))+('Jul 2'!$G$8:$G$42=$T9)*0.5)*('Jul 2'!$AG$8:$AG$42="Delivered")*LOOKUP((('Jul 2'!$Q$8:$Q$42+'Jul 2'!$R$8:$R$42)*(('Jul 2'!$Q$8:$Q$42+'Jul 2'!$R$8:$R$42)&gt;0)),'Pay Plan'!$D$5:$K$5,INDEX('Pay Plan'!$D$6:$K$12,$BB9,0)))</f>
        <v>0</v>
      </c>
      <c r="W47">
        <f>SUMPRODUCT((('Jul 3'!$F$8:$F$42=$T9)*(0.5+0.5*('Jul 3'!$G$8:$G$42=""))+('Jul 3'!$G$8:$G$42=$T9)*0.5)*('Jul 3'!$AG$8:$AG$42="Delivered")*LOOKUP((('Jul 3'!$Q$8:$Q$42+'Jul 3'!$R$8:$R$42)*(('Jul 3'!$Q$8:$Q$42+'Jul 3'!$R$8:$R$42)&gt;0)),'Pay Plan'!$D$5:$K$5,INDEX('Pay Plan'!$D$6:$K$12,$BB9,0)))</f>
        <v>0</v>
      </c>
      <c r="X47">
        <f>SUMPRODUCT((('Jul 4'!$F$8:$F$42=$T9)*(0.5+0.5*('Jul 4'!$G$8:$G$42=""))+('Jul 4'!$G$8:$G$42=$T9)*0.5)*('Jul 4'!$AG$8:$AG$42="Delivered")*LOOKUP((('Jul 4'!$Q$8:$Q$42+'Jul 4'!$R$8:$R$42)*(('Jul 4'!$Q$8:$Q$42+'Jul 4'!$R$8:$R$42)&gt;0)),'Pay Plan'!$D$5:$K$5,INDEX('Pay Plan'!$D$6:$K$12,$BB9,0)))</f>
        <v>0</v>
      </c>
      <c r="Y47">
        <f>SUMPRODUCT((('Jul 5'!$F$8:$F$42=$T9)*(0.5+0.5*('Jul 5'!$G$8:$G$42=""))+('Jul 5'!$G$8:$G$42=$T9)*0.5)*('Jul 5'!$AG$8:$AG$42="Delivered")*LOOKUP((('Jul 5'!$Q$8:$Q$42+'Jul 5'!$R$8:$R$42)*(('Jul 5'!$Q$8:$Q$42+'Jul 5'!$R$8:$R$42)&gt;0)),'Pay Plan'!$D$5:$K$5,INDEX('Pay Plan'!$D$6:$K$12,$BB9,0)))</f>
        <v>0</v>
      </c>
      <c r="Z47">
        <f>SUMPRODUCT((('Jul 6'!$F$8:$F$42=$T9)*(0.5+0.5*('Jul 6'!$G$8:$G$42=""))+('Jul 6'!$G$8:$G$42=$T9)*0.5)*('Jul 6'!$AG$8:$AG$42="Delivered")*LOOKUP((('Jul 6'!$Q$8:$Q$42+'Jul 6'!$R$8:$R$42)*(('Jul 6'!$Q$8:$Q$42+'Jul 6'!$R$8:$R$42)&gt;0)),'Pay Plan'!$D$5:$K$5,INDEX('Pay Plan'!$D$6:$K$12,$BB9,0)))</f>
        <v>0</v>
      </c>
      <c r="AA47">
        <f>SUMPRODUCT((('Jul 7'!$F$8:$F$42=$T9)*(0.5+0.5*('Jul 7'!$G$8:$G$42=""))+('Jul 7'!$G$8:$G$42=$T9)*0.5)*('Jul 7'!$AG$8:$AG$42="Delivered")*LOOKUP((('Jul 7'!$Q$8:$Q$42+'Jul 7'!$R$8:$R$42)*(('Jul 7'!$Q$8:$Q$42+'Jul 7'!$R$8:$R$42)&gt;0)),'Pay Plan'!$D$5:$K$5,INDEX('Pay Plan'!$D$6:$K$12,$BB9,0)))</f>
        <v>0</v>
      </c>
      <c r="AB47">
        <f>SUMPRODUCT((('Jul 8'!$F$8:$F$42=$T9)*(0.5+0.5*('Jul 8'!$G$8:$G$42=""))+('Jul 8'!$G$8:$G$42=$T9)*0.5)*('Jul 8'!$AG$8:$AG$42="Delivered")*LOOKUP((('Jul 8'!$Q$8:$Q$42+'Jul 8'!$R$8:$R$42)*(('Jul 8'!$Q$8:$Q$42+'Jul 8'!$R$8:$R$42)&gt;0)),'Pay Plan'!$D$5:$K$5,INDEX('Pay Plan'!$D$6:$K$12,$BB9,0)))</f>
        <v>0</v>
      </c>
      <c r="AC47">
        <f>SUMPRODUCT((('Jul 9'!$F$8:$F$42=$T9)*(0.5+0.5*('Jul 9'!$G$8:$G$42=""))+('Jul 9'!$G$8:$G$42=$T9)*0.5)*('Jul 9'!$AG$8:$AG$42="Delivered")*LOOKUP((('Jul 9'!$Q$8:$Q$42+'Jul 9'!$R$8:$R$42)*(('Jul 9'!$Q$8:$Q$42+'Jul 9'!$R$8:$R$42)&gt;0)),'Pay Plan'!$D$5:$K$5,INDEX('Pay Plan'!$D$6:$K$12,$BB9,0)))</f>
        <v>0</v>
      </c>
      <c r="AD47">
        <f>SUMPRODUCT((('Jul 10'!$F$8:$F$42=$T9)*(0.5+0.5*('Jul 10'!$G$8:$G$42=""))+('Jul 10'!$G$8:$G$42=$T9)*0.5)*('Jul 10'!$AG$8:$AG$42="Delivered")*LOOKUP((('Jul 10'!$Q$8:$Q$42+'Jul 10'!$R$8:$R$42)*(('Jul 10'!$Q$8:$Q$42+'Jul 10'!$R$8:$R$42)&gt;0)),'Pay Plan'!$D$5:$K$5,INDEX('Pay Plan'!$D$6:$K$12,$BB9,0)))</f>
        <v>0</v>
      </c>
      <c r="AE47">
        <f>SUMPRODUCT((('Jul 11'!$F$8:$F$42=$T9)*(0.5+0.5*('Jul 11'!$G$8:$G$42=""))+('Jul 11'!$G$8:$G$42=$T9)*0.5)*('Jul 11'!$AG$8:$AG$42="Delivered")*LOOKUP((('Jul 11'!$Q$8:$Q$42+'Jul 11'!$R$8:$R$42)*(('Jul 11'!$Q$8:$Q$42+'Jul 11'!$R$8:$R$42)&gt;0)),'Pay Plan'!$D$5:$K$5,INDEX('Pay Plan'!$D$6:$K$12,$BB9,0)))</f>
        <v>0</v>
      </c>
      <c r="AF47">
        <f>SUMPRODUCT((('Jul 12'!$F$8:$F$42=$T9)*(0.5+0.5*('Jul 12'!$G$8:$G$42=""))+('Jul 12'!$G$8:$G$42=$T9)*0.5)*('Jul 12'!$AG$8:$AG$42="Delivered")*LOOKUP((('Jul 12'!$Q$8:$Q$42+'Jul 12'!$R$8:$R$42)*(('Jul 12'!$Q$8:$Q$42+'Jul 12'!$R$8:$R$42)&gt;0)),'Pay Plan'!$D$5:$K$5,INDEX('Pay Plan'!$D$6:$K$12,$BB9,0)))</f>
        <v>0</v>
      </c>
      <c r="AG47">
        <f>SUMPRODUCT((('Jul 13'!$F$8:$F$42=$T9)*(0.5+0.5*('Jul 13'!$G$8:$G$42=""))+('Jul 13'!$G$8:$G$42=$T9)*0.5)*('Jul 13'!$AG$8:$AG$42="Delivered")*LOOKUP((('Jul 13'!$Q$8:$Q$42+'Jul 13'!$R$8:$R$42)*(('Jul 13'!$Q$8:$Q$42+'Jul 13'!$R$8:$R$42)&gt;0)),'Pay Plan'!$D$5:$K$5,INDEX('Pay Plan'!$D$6:$K$12,$BB9,0)))</f>
        <v>0</v>
      </c>
      <c r="AH47">
        <f>SUMPRODUCT((('Jul 14'!$F$8:$F$42=$T9)*(0.5+0.5*('Jul 14'!$G$8:$G$42=""))+('Jul 14'!$G$8:$G$42=$T9)*0.5)*('Jul 14'!$AG$8:$AG$42="Delivered")*LOOKUP((('Jul 14'!$Q$8:$Q$42+'Jul 14'!$R$8:$R$42)*(('Jul 14'!$Q$8:$Q$42+'Jul 14'!$R$8:$R$42)&gt;0)),'Pay Plan'!$D$5:$K$5,INDEX('Pay Plan'!$D$6:$K$12,$BB9,0)))</f>
        <v>0</v>
      </c>
      <c r="AI47">
        <f>SUMPRODUCT((('Jul 15'!$F$8:$F$42=$T9)*(0.5+0.5*('Jul 15'!$G$8:$G$42=""))+('Jul 15'!$G$8:$G$42=$T9)*0.5)*('Jul 15'!$AG$8:$AG$42="Delivered")*LOOKUP((('Jul 15'!$Q$8:$Q$42+'Jul 15'!$R$8:$R$42)*(('Jul 15'!$Q$8:$Q$42+'Jul 15'!$R$8:$R$42)&gt;0)),'Pay Plan'!$D$5:$K$5,INDEX('Pay Plan'!$D$6:$K$12,$BB9,0)))</f>
        <v>0</v>
      </c>
      <c r="AJ47">
        <f>SUMPRODUCT((('Jul 16'!$F$8:$F$42=$T9)*(0.5+0.5*('Jul 16'!$G$8:$G$42=""))+('Jul 16'!$G$8:$G$42=$T9)*0.5)*('Jul 16'!$AG$8:$AG$42="Delivered")*LOOKUP((('Jul 16'!$Q$8:$Q$42+'Jul 16'!$R$8:$R$42)*(('Jul 16'!$Q$8:$Q$42+'Jul 16'!$R$8:$R$42)&gt;0)),'Pay Plan'!$D$5:$K$5,INDEX('Pay Plan'!$D$6:$K$12,$BB9,0)))</f>
        <v>0</v>
      </c>
      <c r="AK47">
        <f>SUMPRODUCT((('Jul 17'!$F$8:$F$42=$T9)*(0.5+0.5*('Jul 17'!$G$8:$G$42=""))+('Jul 17'!$G$8:$G$42=$T9)*0.5)*('Jul 17'!$AG$8:$AG$42="Delivered")*LOOKUP((('Jul 17'!$Q$8:$Q$42+'Jul 17'!$R$8:$R$42)*(('Jul 17'!$Q$8:$Q$42+'Jul 17'!$R$8:$R$42)&gt;0)),'Pay Plan'!$D$5:$K$5,INDEX('Pay Plan'!$D$6:$K$12,$BB9,0)))</f>
        <v>0</v>
      </c>
      <c r="AL47">
        <f>SUMPRODUCT((('Jul 18'!$F$8:$F$42=$T9)*(0.5+0.5*('Jul 18'!$G$8:$G$42=""))+('Jul 18'!$G$8:$G$42=$T9)*0.5)*('Jul 18'!$AG$8:$AG$42="Delivered")*LOOKUP((('Jul 18'!$Q$8:$Q$42+'Jul 18'!$R$8:$R$42)*(('Jul 18'!$Q$8:$Q$42+'Jul 18'!$R$8:$R$42)&gt;0)),'Pay Plan'!$D$5:$K$5,INDEX('Pay Plan'!$D$6:$K$12,$BB9,0)))</f>
        <v>0</v>
      </c>
      <c r="AM47">
        <f>SUMPRODUCT((('Jul 19'!$F$8:$F$42=$T9)*(0.5+0.5*('Jul 19'!$G$8:$G$42=""))+('Jul 19'!$G$8:$G$42=$T9)*0.5)*('Jul 19'!$AG$8:$AG$42="Delivered")*LOOKUP((('Jul 19'!$Q$8:$Q$42+'Jul 19'!$R$8:$R$42)*(('Jul 19'!$Q$8:$Q$42+'Jul 19'!$R$8:$R$42)&gt;0)),'Pay Plan'!$D$5:$K$5,INDEX('Pay Plan'!$D$6:$K$12,$BB9,0)))</f>
        <v>0</v>
      </c>
      <c r="AN47">
        <f>SUMPRODUCT((('Jul 20'!$F$8:$F$42=$T9)*(0.5+0.5*('Jul 20'!$G$8:$G$42=""))+('Jul 20'!$G$8:$G$42=$T9)*0.5)*('Jul 20'!$AG$8:$AG$42="Delivered")*LOOKUP((('Jul 20'!$Q$8:$Q$42+'Jul 20'!$R$8:$R$42)*(('Jul 20'!$Q$8:$Q$42+'Jul 20'!$R$8:$R$42)&gt;0)),'Pay Plan'!$D$5:$K$5,INDEX('Pay Plan'!$D$6:$K$12,$BB9,0)))</f>
        <v>0</v>
      </c>
      <c r="AO47">
        <f>SUMPRODUCT((('Jul 21'!$F$8:$F$42=$T9)*(0.5+0.5*('Jul 21'!$G$8:$G$42=""))+('Jul 21'!$G$8:$G$42=$T9)*0.5)*('Jul 21'!$AG$8:$AG$42="Delivered")*LOOKUP((('Jul 21'!$Q$8:$Q$42+'Jul 21'!$R$8:$R$42)*(('Jul 21'!$Q$8:$Q$42+'Jul 21'!$R$8:$R$42)&gt;0)),'Pay Plan'!$D$5:$K$5,INDEX('Pay Plan'!$D$6:$K$12,$BB9,0)))</f>
        <v>0</v>
      </c>
      <c r="AP47">
        <f>SUMPRODUCT((('Jul 22'!$F$8:$F$42=$T9)*(0.5+0.5*('Jul 22'!$G$8:$G$42=""))+('Jul 22'!$G$8:$G$42=$T9)*0.5)*('Jul 22'!$AG$8:$AG$42="Delivered")*LOOKUP((('Jul 22'!$Q$8:$Q$42+'Jul 22'!$R$8:$R$42)*(('Jul 22'!$Q$8:$Q$42+'Jul 22'!$R$8:$R$42)&gt;0)),'Pay Plan'!$D$5:$K$5,INDEX('Pay Plan'!$D$6:$K$12,$BB9,0)))</f>
        <v>0</v>
      </c>
      <c r="AQ47">
        <f>SUMPRODUCT((('Jul 23'!$F$8:$F$42=$T9)*(0.5+0.5*('Jul 23'!$G$8:$G$42=""))+('Jul 23'!$G$8:$G$42=$T9)*0.5)*('Jul 23'!$AG$8:$AG$42="Delivered")*LOOKUP((('Jul 23'!$Q$8:$Q$42+'Jul 23'!$R$8:$R$42)*(('Jul 23'!$Q$8:$Q$42+'Jul 23'!$R$8:$R$42)&gt;0)),'Pay Plan'!$D$5:$K$5,INDEX('Pay Plan'!$D$6:$K$12,$BB9,0)))</f>
        <v>0</v>
      </c>
      <c r="AR47">
        <f>SUMPRODUCT((('Jul 24'!$F$8:$F$42=$T9)*(0.5+0.5*('Jul 24'!$G$8:$G$42=""))+('Jul 24'!$G$8:$G$42=$T9)*0.5)*('Jul 24'!$AG$8:$AG$42="Delivered")*LOOKUP((('Jul 24'!$Q$8:$Q$42+'Jul 24'!$R$8:$R$42)*(('Jul 24'!$Q$8:$Q$42+'Jul 24'!$R$8:$R$42)&gt;0)),'Pay Plan'!$D$5:$K$5,INDEX('Pay Plan'!$D$6:$K$12,$BB9,0)))</f>
        <v>0</v>
      </c>
      <c r="AS47">
        <f>SUMPRODUCT((('Jul 25'!$F$8:$F$42=$T9)*(0.5+0.5*('Jul 25'!$G$8:$G$42=""))+('Jul 25'!$G$8:$G$42=$T9)*0.5)*('Jul 25'!$AG$8:$AG$42="Delivered")*LOOKUP((('Jul 25'!$Q$8:$Q$42+'Jul 25'!$R$8:$R$42)*(('Jul 25'!$Q$8:$Q$42+'Jul 25'!$R$8:$R$42)&gt;0)),'Pay Plan'!$D$5:$K$5,INDEX('Pay Plan'!$D$6:$K$12,$BB9,0)))</f>
        <v>0</v>
      </c>
      <c r="AT47">
        <f>SUMPRODUCT((('Jul 26'!$F$8:$F$42=$T9)*(0.5+0.5*('Jul 26'!$G$8:$G$42=""))+('Jul 26'!$G$8:$G$42=$T9)*0.5)*('Jul 26'!$AG$8:$AG$42="Delivered")*LOOKUP((('Jul 26'!$Q$8:$Q$42+'Jul 26'!$R$8:$R$42)*(('Jul 26'!$Q$8:$Q$42+'Jul 26'!$R$8:$R$42)&gt;0)),'Pay Plan'!$D$5:$K$5,INDEX('Pay Plan'!$D$6:$K$12,$BB9,0)))</f>
        <v>0</v>
      </c>
      <c r="AU47">
        <f>SUMPRODUCT((('Jul 27'!$F$8:$F$42=$T9)*(0.5+0.5*('Jul 27'!$G$8:$G$42=""))+('Jul 27'!$G$8:$G$42=$T9)*0.5)*('Jul 27'!$AG$8:$AG$42="Delivered")*LOOKUP((('Jul 27'!$Q$8:$Q$42+'Jul 27'!$R$8:$R$42)*(('Jul 27'!$Q$8:$Q$42+'Jul 27'!$R$8:$R$42)&gt;0)),'Pay Plan'!$D$5:$K$5,INDEX('Pay Plan'!$D$6:$K$12,$BB9,0)))</f>
        <v>0</v>
      </c>
      <c r="AV47">
        <f>SUMPRODUCT((('Jul 28'!$F$8:$F$42=$T9)*(0.5+0.5*('Jul 28'!$G$8:$G$42=""))+('Jul 28'!$G$8:$G$42=$T9)*0.5)*('Jul 28'!$AG$8:$AG$42="Delivered")*LOOKUP((('Jul 28'!$Q$8:$Q$42+'Jul 28'!$R$8:$R$42)*(('Jul 28'!$Q$8:$Q$42+'Jul 28'!$R$8:$R$42)&gt;0)),'Pay Plan'!$D$5:$K$5,INDEX('Pay Plan'!$D$6:$K$12,$BB9,0)))</f>
        <v>0</v>
      </c>
      <c r="AW47">
        <f>SUMPRODUCT((('Jul 29'!$F$8:$F$42=$T9)*(0.5+0.5*('Jul 29'!$G$8:$G$42=""))+('Jul 29'!$G$8:$G$42=$T9)*0.5)*('Jul 29'!$AG$8:$AG$42="Delivered")*LOOKUP((('Jul 29'!$Q$8:$Q$42+'Jul 29'!$R$8:$R$42)*(('Jul 29'!$Q$8:$Q$42+'Jul 29'!$R$8:$R$42)&gt;0)),'Pay Plan'!$D$5:$K$5,INDEX('Pay Plan'!$D$6:$K$12,$BB9,0)))</f>
        <v>0</v>
      </c>
      <c r="AX47">
        <f>SUMPRODUCT((('Jul 30'!$F$8:$F$42=$T9)*(0.5+0.5*('Jul 30'!$G$8:$G$42=""))+('Jul 30'!$G$8:$G$42=$T9)*0.5)*('Jul 30'!$AG$8:$AG$42="Delivered")*LOOKUP((('Jul 30'!$Q$8:$Q$42+'Jul 30'!$R$8:$R$42)*(('Jul 30'!$Q$8:$Q$42+'Jul 30'!$R$8:$R$42)&gt;0)),'Pay Plan'!$D$5:$K$5,INDEX('Pay Plan'!$D$6:$K$12,$BB9,0)))</f>
        <v>0</v>
      </c>
      <c r="AY47">
        <f>SUMPRODUCT((('Jul 31'!$F$8:$F$42=$T9)*(0.5+0.5*('Jul 31'!$G$8:$G$42=""))+('Jul 31'!$G$8:$G$42=$T9)*0.5)*('Jul 31'!$AG$8:$AG$42="Delivered")*LOOKUP((('Jul 31'!$Q$8:$Q$42+'Jul 31'!$R$8:$R$42)*(('Jul 31'!$Q$8:$Q$42+'Jul 31'!$R$8:$R$42)&gt;0)),'Pay Plan'!$D$5:$K$5,INDEX('Pay Plan'!$D$6:$K$12,$BB9,0)))</f>
        <v>0</v>
      </c>
    </row>
    <row r="48" spans="21:51" x14ac:dyDescent="0.25">
      <c r="U48">
        <f>SUMPRODUCT((('Jul 1'!$F$8:$F$42=$T10)*(0.5+0.5*('Jul 1'!$G$8:$G$42=""))+('Jul 1'!$G$8:$G$42=$T10)*0.5)*('Jul 1'!$AG$8:$AG$42="Delivered")*LOOKUP((('Jul 1'!$Q$8:$Q$42+'Jul 1'!$R$8:$R$42)*(('Jul 1'!$Q$8:$Q$42+'Jul 1'!$R$8:$R$42)&gt;0)),'Pay Plan'!$D$5:$K$5,INDEX('Pay Plan'!$D$6:$K$12,$BB10,0)))</f>
        <v>0</v>
      </c>
      <c r="V48">
        <f>SUMPRODUCT((('Jul 2'!$F$8:$F$42=$T10)*(0.5+0.5*('Jul 2'!$G$8:$G$42=""))+('Jul 2'!$G$8:$G$42=$T10)*0.5)*('Jul 2'!$AG$8:$AG$42="Delivered")*LOOKUP((('Jul 2'!$Q$8:$Q$42+'Jul 2'!$R$8:$R$42)*(('Jul 2'!$Q$8:$Q$42+'Jul 2'!$R$8:$R$42)&gt;0)),'Pay Plan'!$D$5:$K$5,INDEX('Pay Plan'!$D$6:$K$12,$BB10,0)))</f>
        <v>0</v>
      </c>
      <c r="W48">
        <f>SUMPRODUCT((('Jul 3'!$F$8:$F$42=$T10)*(0.5+0.5*('Jul 3'!$G$8:$G$42=""))+('Jul 3'!$G$8:$G$42=$T10)*0.5)*('Jul 3'!$AG$8:$AG$42="Delivered")*LOOKUP((('Jul 3'!$Q$8:$Q$42+'Jul 3'!$R$8:$R$42)*(('Jul 3'!$Q$8:$Q$42+'Jul 3'!$R$8:$R$42)&gt;0)),'Pay Plan'!$D$5:$K$5,INDEX('Pay Plan'!$D$6:$K$12,$BB10,0)))</f>
        <v>0</v>
      </c>
      <c r="X48">
        <f>SUMPRODUCT((('Jul 4'!$F$8:$F$42=$T10)*(0.5+0.5*('Jul 4'!$G$8:$G$42=""))+('Jul 4'!$G$8:$G$42=$T10)*0.5)*('Jul 4'!$AG$8:$AG$42="Delivered")*LOOKUP((('Jul 4'!$Q$8:$Q$42+'Jul 4'!$R$8:$R$42)*(('Jul 4'!$Q$8:$Q$42+'Jul 4'!$R$8:$R$42)&gt;0)),'Pay Plan'!$D$5:$K$5,INDEX('Pay Plan'!$D$6:$K$12,$BB10,0)))</f>
        <v>0</v>
      </c>
      <c r="Y48">
        <f>SUMPRODUCT((('Jul 5'!$F$8:$F$42=$T10)*(0.5+0.5*('Jul 5'!$G$8:$G$42=""))+('Jul 5'!$G$8:$G$42=$T10)*0.5)*('Jul 5'!$AG$8:$AG$42="Delivered")*LOOKUP((('Jul 5'!$Q$8:$Q$42+'Jul 5'!$R$8:$R$42)*(('Jul 5'!$Q$8:$Q$42+'Jul 5'!$R$8:$R$42)&gt;0)),'Pay Plan'!$D$5:$K$5,INDEX('Pay Plan'!$D$6:$K$12,$BB10,0)))</f>
        <v>0</v>
      </c>
      <c r="Z48">
        <f>SUMPRODUCT((('Jul 6'!$F$8:$F$42=$T10)*(0.5+0.5*('Jul 6'!$G$8:$G$42=""))+('Jul 6'!$G$8:$G$42=$T10)*0.5)*('Jul 6'!$AG$8:$AG$42="Delivered")*LOOKUP((('Jul 6'!$Q$8:$Q$42+'Jul 6'!$R$8:$R$42)*(('Jul 6'!$Q$8:$Q$42+'Jul 6'!$R$8:$R$42)&gt;0)),'Pay Plan'!$D$5:$K$5,INDEX('Pay Plan'!$D$6:$K$12,$BB10,0)))</f>
        <v>0</v>
      </c>
      <c r="AA48">
        <f>SUMPRODUCT((('Jul 7'!$F$8:$F$42=$T10)*(0.5+0.5*('Jul 7'!$G$8:$G$42=""))+('Jul 7'!$G$8:$G$42=$T10)*0.5)*('Jul 7'!$AG$8:$AG$42="Delivered")*LOOKUP((('Jul 7'!$Q$8:$Q$42+'Jul 7'!$R$8:$R$42)*(('Jul 7'!$Q$8:$Q$42+'Jul 7'!$R$8:$R$42)&gt;0)),'Pay Plan'!$D$5:$K$5,INDEX('Pay Plan'!$D$6:$K$12,$BB10,0)))</f>
        <v>0</v>
      </c>
      <c r="AB48">
        <f>SUMPRODUCT((('Jul 8'!$F$8:$F$42=$T10)*(0.5+0.5*('Jul 8'!$G$8:$G$42=""))+('Jul 8'!$G$8:$G$42=$T10)*0.5)*('Jul 8'!$AG$8:$AG$42="Delivered")*LOOKUP((('Jul 8'!$Q$8:$Q$42+'Jul 8'!$R$8:$R$42)*(('Jul 8'!$Q$8:$Q$42+'Jul 8'!$R$8:$R$42)&gt;0)),'Pay Plan'!$D$5:$K$5,INDEX('Pay Plan'!$D$6:$K$12,$BB10,0)))</f>
        <v>0</v>
      </c>
      <c r="AC48">
        <f>SUMPRODUCT((('Jul 9'!$F$8:$F$42=$T10)*(0.5+0.5*('Jul 9'!$G$8:$G$42=""))+('Jul 9'!$G$8:$G$42=$T10)*0.5)*('Jul 9'!$AG$8:$AG$42="Delivered")*LOOKUP((('Jul 9'!$Q$8:$Q$42+'Jul 9'!$R$8:$R$42)*(('Jul 9'!$Q$8:$Q$42+'Jul 9'!$R$8:$R$42)&gt;0)),'Pay Plan'!$D$5:$K$5,INDEX('Pay Plan'!$D$6:$K$12,$BB10,0)))</f>
        <v>0</v>
      </c>
      <c r="AD48">
        <f>SUMPRODUCT((('Jul 10'!$F$8:$F$42=$T10)*(0.5+0.5*('Jul 10'!$G$8:$G$42=""))+('Jul 10'!$G$8:$G$42=$T10)*0.5)*('Jul 10'!$AG$8:$AG$42="Delivered")*LOOKUP((('Jul 10'!$Q$8:$Q$42+'Jul 10'!$R$8:$R$42)*(('Jul 10'!$Q$8:$Q$42+'Jul 10'!$R$8:$R$42)&gt;0)),'Pay Plan'!$D$5:$K$5,INDEX('Pay Plan'!$D$6:$K$12,$BB10,0)))</f>
        <v>0</v>
      </c>
      <c r="AE48">
        <f>SUMPRODUCT((('Jul 11'!$F$8:$F$42=$T10)*(0.5+0.5*('Jul 11'!$G$8:$G$42=""))+('Jul 11'!$G$8:$G$42=$T10)*0.5)*('Jul 11'!$AG$8:$AG$42="Delivered")*LOOKUP((('Jul 11'!$Q$8:$Q$42+'Jul 11'!$R$8:$R$42)*(('Jul 11'!$Q$8:$Q$42+'Jul 11'!$R$8:$R$42)&gt;0)),'Pay Plan'!$D$5:$K$5,INDEX('Pay Plan'!$D$6:$K$12,$BB10,0)))</f>
        <v>0</v>
      </c>
      <c r="AF48">
        <f>SUMPRODUCT((('Jul 12'!$F$8:$F$42=$T10)*(0.5+0.5*('Jul 12'!$G$8:$G$42=""))+('Jul 12'!$G$8:$G$42=$T10)*0.5)*('Jul 12'!$AG$8:$AG$42="Delivered")*LOOKUP((('Jul 12'!$Q$8:$Q$42+'Jul 12'!$R$8:$R$42)*(('Jul 12'!$Q$8:$Q$42+'Jul 12'!$R$8:$R$42)&gt;0)),'Pay Plan'!$D$5:$K$5,INDEX('Pay Plan'!$D$6:$K$12,$BB10,0)))</f>
        <v>0</v>
      </c>
      <c r="AG48">
        <f>SUMPRODUCT((('Jul 13'!$F$8:$F$42=$T10)*(0.5+0.5*('Jul 13'!$G$8:$G$42=""))+('Jul 13'!$G$8:$G$42=$T10)*0.5)*('Jul 13'!$AG$8:$AG$42="Delivered")*LOOKUP((('Jul 13'!$Q$8:$Q$42+'Jul 13'!$R$8:$R$42)*(('Jul 13'!$Q$8:$Q$42+'Jul 13'!$R$8:$R$42)&gt;0)),'Pay Plan'!$D$5:$K$5,INDEX('Pay Plan'!$D$6:$K$12,$BB10,0)))</f>
        <v>0</v>
      </c>
      <c r="AH48">
        <f>SUMPRODUCT((('Jul 14'!$F$8:$F$42=$T10)*(0.5+0.5*('Jul 14'!$G$8:$G$42=""))+('Jul 14'!$G$8:$G$42=$T10)*0.5)*('Jul 14'!$AG$8:$AG$42="Delivered")*LOOKUP((('Jul 14'!$Q$8:$Q$42+'Jul 14'!$R$8:$R$42)*(('Jul 14'!$Q$8:$Q$42+'Jul 14'!$R$8:$R$42)&gt;0)),'Pay Plan'!$D$5:$K$5,INDEX('Pay Plan'!$D$6:$K$12,$BB10,0)))</f>
        <v>0</v>
      </c>
      <c r="AI48">
        <f>SUMPRODUCT((('Jul 15'!$F$8:$F$42=$T10)*(0.5+0.5*('Jul 15'!$G$8:$G$42=""))+('Jul 15'!$G$8:$G$42=$T10)*0.5)*('Jul 15'!$AG$8:$AG$42="Delivered")*LOOKUP((('Jul 15'!$Q$8:$Q$42+'Jul 15'!$R$8:$R$42)*(('Jul 15'!$Q$8:$Q$42+'Jul 15'!$R$8:$R$42)&gt;0)),'Pay Plan'!$D$5:$K$5,INDEX('Pay Plan'!$D$6:$K$12,$BB10,0)))</f>
        <v>0</v>
      </c>
      <c r="AJ48">
        <f>SUMPRODUCT((('Jul 16'!$F$8:$F$42=$T10)*(0.5+0.5*('Jul 16'!$G$8:$G$42=""))+('Jul 16'!$G$8:$G$42=$T10)*0.5)*('Jul 16'!$AG$8:$AG$42="Delivered")*LOOKUP((('Jul 16'!$Q$8:$Q$42+'Jul 16'!$R$8:$R$42)*(('Jul 16'!$Q$8:$Q$42+'Jul 16'!$R$8:$R$42)&gt;0)),'Pay Plan'!$D$5:$K$5,INDEX('Pay Plan'!$D$6:$K$12,$BB10,0)))</f>
        <v>0</v>
      </c>
      <c r="AK48">
        <f>SUMPRODUCT((('Jul 17'!$F$8:$F$42=$T10)*(0.5+0.5*('Jul 17'!$G$8:$G$42=""))+('Jul 17'!$G$8:$G$42=$T10)*0.5)*('Jul 17'!$AG$8:$AG$42="Delivered")*LOOKUP((('Jul 17'!$Q$8:$Q$42+'Jul 17'!$R$8:$R$42)*(('Jul 17'!$Q$8:$Q$42+'Jul 17'!$R$8:$R$42)&gt;0)),'Pay Plan'!$D$5:$K$5,INDEX('Pay Plan'!$D$6:$K$12,$BB10,0)))</f>
        <v>0</v>
      </c>
      <c r="AL48">
        <f>SUMPRODUCT((('Jul 18'!$F$8:$F$42=$T10)*(0.5+0.5*('Jul 18'!$G$8:$G$42=""))+('Jul 18'!$G$8:$G$42=$T10)*0.5)*('Jul 18'!$AG$8:$AG$42="Delivered")*LOOKUP((('Jul 18'!$Q$8:$Q$42+'Jul 18'!$R$8:$R$42)*(('Jul 18'!$Q$8:$Q$42+'Jul 18'!$R$8:$R$42)&gt;0)),'Pay Plan'!$D$5:$K$5,INDEX('Pay Plan'!$D$6:$K$12,$BB10,0)))</f>
        <v>0</v>
      </c>
      <c r="AM48">
        <f>SUMPRODUCT((('Jul 19'!$F$8:$F$42=$T10)*(0.5+0.5*('Jul 19'!$G$8:$G$42=""))+('Jul 19'!$G$8:$G$42=$T10)*0.5)*('Jul 19'!$AG$8:$AG$42="Delivered")*LOOKUP((('Jul 19'!$Q$8:$Q$42+'Jul 19'!$R$8:$R$42)*(('Jul 19'!$Q$8:$Q$42+'Jul 19'!$R$8:$R$42)&gt;0)),'Pay Plan'!$D$5:$K$5,INDEX('Pay Plan'!$D$6:$K$12,$BB10,0)))</f>
        <v>0</v>
      </c>
      <c r="AN48">
        <f>SUMPRODUCT((('Jul 20'!$F$8:$F$42=$T10)*(0.5+0.5*('Jul 20'!$G$8:$G$42=""))+('Jul 20'!$G$8:$G$42=$T10)*0.5)*('Jul 20'!$AG$8:$AG$42="Delivered")*LOOKUP((('Jul 20'!$Q$8:$Q$42+'Jul 20'!$R$8:$R$42)*(('Jul 20'!$Q$8:$Q$42+'Jul 20'!$R$8:$R$42)&gt;0)),'Pay Plan'!$D$5:$K$5,INDEX('Pay Plan'!$D$6:$K$12,$BB10,0)))</f>
        <v>0</v>
      </c>
      <c r="AO48">
        <f>SUMPRODUCT((('Jul 21'!$F$8:$F$42=$T10)*(0.5+0.5*('Jul 21'!$G$8:$G$42=""))+('Jul 21'!$G$8:$G$42=$T10)*0.5)*('Jul 21'!$AG$8:$AG$42="Delivered")*LOOKUP((('Jul 21'!$Q$8:$Q$42+'Jul 21'!$R$8:$R$42)*(('Jul 21'!$Q$8:$Q$42+'Jul 21'!$R$8:$R$42)&gt;0)),'Pay Plan'!$D$5:$K$5,INDEX('Pay Plan'!$D$6:$K$12,$BB10,0)))</f>
        <v>0</v>
      </c>
      <c r="AP48">
        <f>SUMPRODUCT((('Jul 22'!$F$8:$F$42=$T10)*(0.5+0.5*('Jul 22'!$G$8:$G$42=""))+('Jul 22'!$G$8:$G$42=$T10)*0.5)*('Jul 22'!$AG$8:$AG$42="Delivered")*LOOKUP((('Jul 22'!$Q$8:$Q$42+'Jul 22'!$R$8:$R$42)*(('Jul 22'!$Q$8:$Q$42+'Jul 22'!$R$8:$R$42)&gt;0)),'Pay Plan'!$D$5:$K$5,INDEX('Pay Plan'!$D$6:$K$12,$BB10,0)))</f>
        <v>0</v>
      </c>
      <c r="AQ48">
        <f>SUMPRODUCT((('Jul 23'!$F$8:$F$42=$T10)*(0.5+0.5*('Jul 23'!$G$8:$G$42=""))+('Jul 23'!$G$8:$G$42=$T10)*0.5)*('Jul 23'!$AG$8:$AG$42="Delivered")*LOOKUP((('Jul 23'!$Q$8:$Q$42+'Jul 23'!$R$8:$R$42)*(('Jul 23'!$Q$8:$Q$42+'Jul 23'!$R$8:$R$42)&gt;0)),'Pay Plan'!$D$5:$K$5,INDEX('Pay Plan'!$D$6:$K$12,$BB10,0)))</f>
        <v>0</v>
      </c>
      <c r="AR48">
        <f>SUMPRODUCT((('Jul 24'!$F$8:$F$42=$T10)*(0.5+0.5*('Jul 24'!$G$8:$G$42=""))+('Jul 24'!$G$8:$G$42=$T10)*0.5)*('Jul 24'!$AG$8:$AG$42="Delivered")*LOOKUP((('Jul 24'!$Q$8:$Q$42+'Jul 24'!$R$8:$R$42)*(('Jul 24'!$Q$8:$Q$42+'Jul 24'!$R$8:$R$42)&gt;0)),'Pay Plan'!$D$5:$K$5,INDEX('Pay Plan'!$D$6:$K$12,$BB10,0)))</f>
        <v>0</v>
      </c>
      <c r="AS48">
        <f>SUMPRODUCT((('Jul 25'!$F$8:$F$42=$T10)*(0.5+0.5*('Jul 25'!$G$8:$G$42=""))+('Jul 25'!$G$8:$G$42=$T10)*0.5)*('Jul 25'!$AG$8:$AG$42="Delivered")*LOOKUP((('Jul 25'!$Q$8:$Q$42+'Jul 25'!$R$8:$R$42)*(('Jul 25'!$Q$8:$Q$42+'Jul 25'!$R$8:$R$42)&gt;0)),'Pay Plan'!$D$5:$K$5,INDEX('Pay Plan'!$D$6:$K$12,$BB10,0)))</f>
        <v>0</v>
      </c>
      <c r="AT48">
        <f>SUMPRODUCT((('Jul 26'!$F$8:$F$42=$T10)*(0.5+0.5*('Jul 26'!$G$8:$G$42=""))+('Jul 26'!$G$8:$G$42=$T10)*0.5)*('Jul 26'!$AG$8:$AG$42="Delivered")*LOOKUP((('Jul 26'!$Q$8:$Q$42+'Jul 26'!$R$8:$R$42)*(('Jul 26'!$Q$8:$Q$42+'Jul 26'!$R$8:$R$42)&gt;0)),'Pay Plan'!$D$5:$K$5,INDEX('Pay Plan'!$D$6:$K$12,$BB10,0)))</f>
        <v>0</v>
      </c>
      <c r="AU48">
        <f>SUMPRODUCT((('Jul 27'!$F$8:$F$42=$T10)*(0.5+0.5*('Jul 27'!$G$8:$G$42=""))+('Jul 27'!$G$8:$G$42=$T10)*0.5)*('Jul 27'!$AG$8:$AG$42="Delivered")*LOOKUP((('Jul 27'!$Q$8:$Q$42+'Jul 27'!$R$8:$R$42)*(('Jul 27'!$Q$8:$Q$42+'Jul 27'!$R$8:$R$42)&gt;0)),'Pay Plan'!$D$5:$K$5,INDEX('Pay Plan'!$D$6:$K$12,$BB10,0)))</f>
        <v>0</v>
      </c>
      <c r="AV48">
        <f>SUMPRODUCT((('Jul 28'!$F$8:$F$42=$T10)*(0.5+0.5*('Jul 28'!$G$8:$G$42=""))+('Jul 28'!$G$8:$G$42=$T10)*0.5)*('Jul 28'!$AG$8:$AG$42="Delivered")*LOOKUP((('Jul 28'!$Q$8:$Q$42+'Jul 28'!$R$8:$R$42)*(('Jul 28'!$Q$8:$Q$42+'Jul 28'!$R$8:$R$42)&gt;0)),'Pay Plan'!$D$5:$K$5,INDEX('Pay Plan'!$D$6:$K$12,$BB10,0)))</f>
        <v>0</v>
      </c>
      <c r="AW48">
        <f>SUMPRODUCT((('Jul 29'!$F$8:$F$42=$T10)*(0.5+0.5*('Jul 29'!$G$8:$G$42=""))+('Jul 29'!$G$8:$G$42=$T10)*0.5)*('Jul 29'!$AG$8:$AG$42="Delivered")*LOOKUP((('Jul 29'!$Q$8:$Q$42+'Jul 29'!$R$8:$R$42)*(('Jul 29'!$Q$8:$Q$42+'Jul 29'!$R$8:$R$42)&gt;0)),'Pay Plan'!$D$5:$K$5,INDEX('Pay Plan'!$D$6:$K$12,$BB10,0)))</f>
        <v>0</v>
      </c>
      <c r="AX48">
        <f>SUMPRODUCT((('Jul 30'!$F$8:$F$42=$T10)*(0.5+0.5*('Jul 30'!$G$8:$G$42=""))+('Jul 30'!$G$8:$G$42=$T10)*0.5)*('Jul 30'!$AG$8:$AG$42="Delivered")*LOOKUP((('Jul 30'!$Q$8:$Q$42+'Jul 30'!$R$8:$R$42)*(('Jul 30'!$Q$8:$Q$42+'Jul 30'!$R$8:$R$42)&gt;0)),'Pay Plan'!$D$5:$K$5,INDEX('Pay Plan'!$D$6:$K$12,$BB10,0)))</f>
        <v>0</v>
      </c>
      <c r="AY48">
        <f>SUMPRODUCT((('Jul 31'!$F$8:$F$42=$T10)*(0.5+0.5*('Jul 31'!$G$8:$G$42=""))+('Jul 31'!$G$8:$G$42=$T10)*0.5)*('Jul 31'!$AG$8:$AG$42="Delivered")*LOOKUP((('Jul 31'!$Q$8:$Q$42+'Jul 31'!$R$8:$R$42)*(('Jul 31'!$Q$8:$Q$42+'Jul 31'!$R$8:$R$42)&gt;0)),'Pay Plan'!$D$5:$K$5,INDEX('Pay Plan'!$D$6:$K$12,$BB10,0)))</f>
        <v>0</v>
      </c>
    </row>
    <row r="49" spans="21:51" x14ac:dyDescent="0.25">
      <c r="U49">
        <f>SUMPRODUCT((('Jul 1'!$F$8:$F$42=$T11)*(0.5+0.5*('Jul 1'!$G$8:$G$42=""))+('Jul 1'!$G$8:$G$42=$T11)*0.5)*('Jul 1'!$AG$8:$AG$42="Delivered")*LOOKUP((('Jul 1'!$Q$8:$Q$42+'Jul 1'!$R$8:$R$42)*(('Jul 1'!$Q$8:$Q$42+'Jul 1'!$R$8:$R$42)&gt;0)),'Pay Plan'!$D$5:$K$5,INDEX('Pay Plan'!$D$6:$K$12,$BB11,0)))</f>
        <v>0</v>
      </c>
      <c r="V49">
        <f>SUMPRODUCT((('Jul 2'!$F$8:$F$42=$T11)*(0.5+0.5*('Jul 2'!$G$8:$G$42=""))+('Jul 2'!$G$8:$G$42=$T11)*0.5)*('Jul 2'!$AG$8:$AG$42="Delivered")*LOOKUP((('Jul 2'!$Q$8:$Q$42+'Jul 2'!$R$8:$R$42)*(('Jul 2'!$Q$8:$Q$42+'Jul 2'!$R$8:$R$42)&gt;0)),'Pay Plan'!$D$5:$K$5,INDEX('Pay Plan'!$D$6:$K$12,$BB11,0)))</f>
        <v>0</v>
      </c>
      <c r="W49">
        <f>SUMPRODUCT((('Jul 3'!$F$8:$F$42=$T11)*(0.5+0.5*('Jul 3'!$G$8:$G$42=""))+('Jul 3'!$G$8:$G$42=$T11)*0.5)*('Jul 3'!$AG$8:$AG$42="Delivered")*LOOKUP((('Jul 3'!$Q$8:$Q$42+'Jul 3'!$R$8:$R$42)*(('Jul 3'!$Q$8:$Q$42+'Jul 3'!$R$8:$R$42)&gt;0)),'Pay Plan'!$D$5:$K$5,INDEX('Pay Plan'!$D$6:$K$12,$BB11,0)))</f>
        <v>0</v>
      </c>
      <c r="X49">
        <f>SUMPRODUCT((('Jul 4'!$F$8:$F$42=$T11)*(0.5+0.5*('Jul 4'!$G$8:$G$42=""))+('Jul 4'!$G$8:$G$42=$T11)*0.5)*('Jul 4'!$AG$8:$AG$42="Delivered")*LOOKUP((('Jul 4'!$Q$8:$Q$42+'Jul 4'!$R$8:$R$42)*(('Jul 4'!$Q$8:$Q$42+'Jul 4'!$R$8:$R$42)&gt;0)),'Pay Plan'!$D$5:$K$5,INDEX('Pay Plan'!$D$6:$K$12,$BB11,0)))</f>
        <v>0</v>
      </c>
      <c r="Y49">
        <f>SUMPRODUCT((('Jul 5'!$F$8:$F$42=$T11)*(0.5+0.5*('Jul 5'!$G$8:$G$42=""))+('Jul 5'!$G$8:$G$42=$T11)*0.5)*('Jul 5'!$AG$8:$AG$42="Delivered")*LOOKUP((('Jul 5'!$Q$8:$Q$42+'Jul 5'!$R$8:$R$42)*(('Jul 5'!$Q$8:$Q$42+'Jul 5'!$R$8:$R$42)&gt;0)),'Pay Plan'!$D$5:$K$5,INDEX('Pay Plan'!$D$6:$K$12,$BB11,0)))</f>
        <v>0</v>
      </c>
      <c r="Z49">
        <f>SUMPRODUCT((('Jul 6'!$F$8:$F$42=$T11)*(0.5+0.5*('Jul 6'!$G$8:$G$42=""))+('Jul 6'!$G$8:$G$42=$T11)*0.5)*('Jul 6'!$AG$8:$AG$42="Delivered")*LOOKUP((('Jul 6'!$Q$8:$Q$42+'Jul 6'!$R$8:$R$42)*(('Jul 6'!$Q$8:$Q$42+'Jul 6'!$R$8:$R$42)&gt;0)),'Pay Plan'!$D$5:$K$5,INDEX('Pay Plan'!$D$6:$K$12,$BB11,0)))</f>
        <v>0</v>
      </c>
      <c r="AA49">
        <f>SUMPRODUCT((('Jul 7'!$F$8:$F$42=$T11)*(0.5+0.5*('Jul 7'!$G$8:$G$42=""))+('Jul 7'!$G$8:$G$42=$T11)*0.5)*('Jul 7'!$AG$8:$AG$42="Delivered")*LOOKUP((('Jul 7'!$Q$8:$Q$42+'Jul 7'!$R$8:$R$42)*(('Jul 7'!$Q$8:$Q$42+'Jul 7'!$R$8:$R$42)&gt;0)),'Pay Plan'!$D$5:$K$5,INDEX('Pay Plan'!$D$6:$K$12,$BB11,0)))</f>
        <v>0</v>
      </c>
      <c r="AB49">
        <f>SUMPRODUCT((('Jul 8'!$F$8:$F$42=$T11)*(0.5+0.5*('Jul 8'!$G$8:$G$42=""))+('Jul 8'!$G$8:$G$42=$T11)*0.5)*('Jul 8'!$AG$8:$AG$42="Delivered")*LOOKUP((('Jul 8'!$Q$8:$Q$42+'Jul 8'!$R$8:$R$42)*(('Jul 8'!$Q$8:$Q$42+'Jul 8'!$R$8:$R$42)&gt;0)),'Pay Plan'!$D$5:$K$5,INDEX('Pay Plan'!$D$6:$K$12,$BB11,0)))</f>
        <v>0</v>
      </c>
      <c r="AC49">
        <f>SUMPRODUCT((('Jul 9'!$F$8:$F$42=$T11)*(0.5+0.5*('Jul 9'!$G$8:$G$42=""))+('Jul 9'!$G$8:$G$42=$T11)*0.5)*('Jul 9'!$AG$8:$AG$42="Delivered")*LOOKUP((('Jul 9'!$Q$8:$Q$42+'Jul 9'!$R$8:$R$42)*(('Jul 9'!$Q$8:$Q$42+'Jul 9'!$R$8:$R$42)&gt;0)),'Pay Plan'!$D$5:$K$5,INDEX('Pay Plan'!$D$6:$K$12,$BB11,0)))</f>
        <v>0</v>
      </c>
      <c r="AD49">
        <f>SUMPRODUCT((('Jul 10'!$F$8:$F$42=$T11)*(0.5+0.5*('Jul 10'!$G$8:$G$42=""))+('Jul 10'!$G$8:$G$42=$T11)*0.5)*('Jul 10'!$AG$8:$AG$42="Delivered")*LOOKUP((('Jul 10'!$Q$8:$Q$42+'Jul 10'!$R$8:$R$42)*(('Jul 10'!$Q$8:$Q$42+'Jul 10'!$R$8:$R$42)&gt;0)),'Pay Plan'!$D$5:$K$5,INDEX('Pay Plan'!$D$6:$K$12,$BB11,0)))</f>
        <v>0</v>
      </c>
      <c r="AE49">
        <f>SUMPRODUCT((('Jul 11'!$F$8:$F$42=$T11)*(0.5+0.5*('Jul 11'!$G$8:$G$42=""))+('Jul 11'!$G$8:$G$42=$T11)*0.5)*('Jul 11'!$AG$8:$AG$42="Delivered")*LOOKUP((('Jul 11'!$Q$8:$Q$42+'Jul 11'!$R$8:$R$42)*(('Jul 11'!$Q$8:$Q$42+'Jul 11'!$R$8:$R$42)&gt;0)),'Pay Plan'!$D$5:$K$5,INDEX('Pay Plan'!$D$6:$K$12,$BB11,0)))</f>
        <v>0</v>
      </c>
      <c r="AF49">
        <f>SUMPRODUCT((('Jul 12'!$F$8:$F$42=$T11)*(0.5+0.5*('Jul 12'!$G$8:$G$42=""))+('Jul 12'!$G$8:$G$42=$T11)*0.5)*('Jul 12'!$AG$8:$AG$42="Delivered")*LOOKUP((('Jul 12'!$Q$8:$Q$42+'Jul 12'!$R$8:$R$42)*(('Jul 12'!$Q$8:$Q$42+'Jul 12'!$R$8:$R$42)&gt;0)),'Pay Plan'!$D$5:$K$5,INDEX('Pay Plan'!$D$6:$K$12,$BB11,0)))</f>
        <v>0</v>
      </c>
      <c r="AG49">
        <f>SUMPRODUCT((('Jul 13'!$F$8:$F$42=$T11)*(0.5+0.5*('Jul 13'!$G$8:$G$42=""))+('Jul 13'!$G$8:$G$42=$T11)*0.5)*('Jul 13'!$AG$8:$AG$42="Delivered")*LOOKUP((('Jul 13'!$Q$8:$Q$42+'Jul 13'!$R$8:$R$42)*(('Jul 13'!$Q$8:$Q$42+'Jul 13'!$R$8:$R$42)&gt;0)),'Pay Plan'!$D$5:$K$5,INDEX('Pay Plan'!$D$6:$K$12,$BB11,0)))</f>
        <v>0</v>
      </c>
      <c r="AH49">
        <f>SUMPRODUCT((('Jul 14'!$F$8:$F$42=$T11)*(0.5+0.5*('Jul 14'!$G$8:$G$42=""))+('Jul 14'!$G$8:$G$42=$T11)*0.5)*('Jul 14'!$AG$8:$AG$42="Delivered")*LOOKUP((('Jul 14'!$Q$8:$Q$42+'Jul 14'!$R$8:$R$42)*(('Jul 14'!$Q$8:$Q$42+'Jul 14'!$R$8:$R$42)&gt;0)),'Pay Plan'!$D$5:$K$5,INDEX('Pay Plan'!$D$6:$K$12,$BB11,0)))</f>
        <v>0</v>
      </c>
      <c r="AI49">
        <f>SUMPRODUCT((('Jul 15'!$F$8:$F$42=$T11)*(0.5+0.5*('Jul 15'!$G$8:$G$42=""))+('Jul 15'!$G$8:$G$42=$T11)*0.5)*('Jul 15'!$AG$8:$AG$42="Delivered")*LOOKUP((('Jul 15'!$Q$8:$Q$42+'Jul 15'!$R$8:$R$42)*(('Jul 15'!$Q$8:$Q$42+'Jul 15'!$R$8:$R$42)&gt;0)),'Pay Plan'!$D$5:$K$5,INDEX('Pay Plan'!$D$6:$K$12,$BB11,0)))</f>
        <v>0</v>
      </c>
      <c r="AJ49">
        <f>SUMPRODUCT((('Jul 16'!$F$8:$F$42=$T11)*(0.5+0.5*('Jul 16'!$G$8:$G$42=""))+('Jul 16'!$G$8:$G$42=$T11)*0.5)*('Jul 16'!$AG$8:$AG$42="Delivered")*LOOKUP((('Jul 16'!$Q$8:$Q$42+'Jul 16'!$R$8:$R$42)*(('Jul 16'!$Q$8:$Q$42+'Jul 16'!$R$8:$R$42)&gt;0)),'Pay Plan'!$D$5:$K$5,INDEX('Pay Plan'!$D$6:$K$12,$BB11,0)))</f>
        <v>0</v>
      </c>
      <c r="AK49">
        <f>SUMPRODUCT((('Jul 17'!$F$8:$F$42=$T11)*(0.5+0.5*('Jul 17'!$G$8:$G$42=""))+('Jul 17'!$G$8:$G$42=$T11)*0.5)*('Jul 17'!$AG$8:$AG$42="Delivered")*LOOKUP((('Jul 17'!$Q$8:$Q$42+'Jul 17'!$R$8:$R$42)*(('Jul 17'!$Q$8:$Q$42+'Jul 17'!$R$8:$R$42)&gt;0)),'Pay Plan'!$D$5:$K$5,INDEX('Pay Plan'!$D$6:$K$12,$BB11,0)))</f>
        <v>0</v>
      </c>
      <c r="AL49">
        <f>SUMPRODUCT((('Jul 18'!$F$8:$F$42=$T11)*(0.5+0.5*('Jul 18'!$G$8:$G$42=""))+('Jul 18'!$G$8:$G$42=$T11)*0.5)*('Jul 18'!$AG$8:$AG$42="Delivered")*LOOKUP((('Jul 18'!$Q$8:$Q$42+'Jul 18'!$R$8:$R$42)*(('Jul 18'!$Q$8:$Q$42+'Jul 18'!$R$8:$R$42)&gt;0)),'Pay Plan'!$D$5:$K$5,INDEX('Pay Plan'!$D$6:$K$12,$BB11,0)))</f>
        <v>0</v>
      </c>
      <c r="AM49">
        <f>SUMPRODUCT((('Jul 19'!$F$8:$F$42=$T11)*(0.5+0.5*('Jul 19'!$G$8:$G$42=""))+('Jul 19'!$G$8:$G$42=$T11)*0.5)*('Jul 19'!$AG$8:$AG$42="Delivered")*LOOKUP((('Jul 19'!$Q$8:$Q$42+'Jul 19'!$R$8:$R$42)*(('Jul 19'!$Q$8:$Q$42+'Jul 19'!$R$8:$R$42)&gt;0)),'Pay Plan'!$D$5:$K$5,INDEX('Pay Plan'!$D$6:$K$12,$BB11,0)))</f>
        <v>0</v>
      </c>
      <c r="AN49">
        <f>SUMPRODUCT((('Jul 20'!$F$8:$F$42=$T11)*(0.5+0.5*('Jul 20'!$G$8:$G$42=""))+('Jul 20'!$G$8:$G$42=$T11)*0.5)*('Jul 20'!$AG$8:$AG$42="Delivered")*LOOKUP((('Jul 20'!$Q$8:$Q$42+'Jul 20'!$R$8:$R$42)*(('Jul 20'!$Q$8:$Q$42+'Jul 20'!$R$8:$R$42)&gt;0)),'Pay Plan'!$D$5:$K$5,INDEX('Pay Plan'!$D$6:$K$12,$BB11,0)))</f>
        <v>0</v>
      </c>
      <c r="AO49">
        <f>SUMPRODUCT((('Jul 21'!$F$8:$F$42=$T11)*(0.5+0.5*('Jul 21'!$G$8:$G$42=""))+('Jul 21'!$G$8:$G$42=$T11)*0.5)*('Jul 21'!$AG$8:$AG$42="Delivered")*LOOKUP((('Jul 21'!$Q$8:$Q$42+'Jul 21'!$R$8:$R$42)*(('Jul 21'!$Q$8:$Q$42+'Jul 21'!$R$8:$R$42)&gt;0)),'Pay Plan'!$D$5:$K$5,INDEX('Pay Plan'!$D$6:$K$12,$BB11,0)))</f>
        <v>0</v>
      </c>
      <c r="AP49">
        <f>SUMPRODUCT((('Jul 22'!$F$8:$F$42=$T11)*(0.5+0.5*('Jul 22'!$G$8:$G$42=""))+('Jul 22'!$G$8:$G$42=$T11)*0.5)*('Jul 22'!$AG$8:$AG$42="Delivered")*LOOKUP((('Jul 22'!$Q$8:$Q$42+'Jul 22'!$R$8:$R$42)*(('Jul 22'!$Q$8:$Q$42+'Jul 22'!$R$8:$R$42)&gt;0)),'Pay Plan'!$D$5:$K$5,INDEX('Pay Plan'!$D$6:$K$12,$BB11,0)))</f>
        <v>0</v>
      </c>
      <c r="AQ49">
        <f>SUMPRODUCT((('Jul 23'!$F$8:$F$42=$T11)*(0.5+0.5*('Jul 23'!$G$8:$G$42=""))+('Jul 23'!$G$8:$G$42=$T11)*0.5)*('Jul 23'!$AG$8:$AG$42="Delivered")*LOOKUP((('Jul 23'!$Q$8:$Q$42+'Jul 23'!$R$8:$R$42)*(('Jul 23'!$Q$8:$Q$42+'Jul 23'!$R$8:$R$42)&gt;0)),'Pay Plan'!$D$5:$K$5,INDEX('Pay Plan'!$D$6:$K$12,$BB11,0)))</f>
        <v>0</v>
      </c>
      <c r="AR49">
        <f>SUMPRODUCT((('Jul 24'!$F$8:$F$42=$T11)*(0.5+0.5*('Jul 24'!$G$8:$G$42=""))+('Jul 24'!$G$8:$G$42=$T11)*0.5)*('Jul 24'!$AG$8:$AG$42="Delivered")*LOOKUP((('Jul 24'!$Q$8:$Q$42+'Jul 24'!$R$8:$R$42)*(('Jul 24'!$Q$8:$Q$42+'Jul 24'!$R$8:$R$42)&gt;0)),'Pay Plan'!$D$5:$K$5,INDEX('Pay Plan'!$D$6:$K$12,$BB11,0)))</f>
        <v>0</v>
      </c>
      <c r="AS49">
        <f>SUMPRODUCT((('Jul 25'!$F$8:$F$42=$T11)*(0.5+0.5*('Jul 25'!$G$8:$G$42=""))+('Jul 25'!$G$8:$G$42=$T11)*0.5)*('Jul 25'!$AG$8:$AG$42="Delivered")*LOOKUP((('Jul 25'!$Q$8:$Q$42+'Jul 25'!$R$8:$R$42)*(('Jul 25'!$Q$8:$Q$42+'Jul 25'!$R$8:$R$42)&gt;0)),'Pay Plan'!$D$5:$K$5,INDEX('Pay Plan'!$D$6:$K$12,$BB11,0)))</f>
        <v>0</v>
      </c>
      <c r="AT49">
        <f>SUMPRODUCT((('Jul 26'!$F$8:$F$42=$T11)*(0.5+0.5*('Jul 26'!$G$8:$G$42=""))+('Jul 26'!$G$8:$G$42=$T11)*0.5)*('Jul 26'!$AG$8:$AG$42="Delivered")*LOOKUP((('Jul 26'!$Q$8:$Q$42+'Jul 26'!$R$8:$R$42)*(('Jul 26'!$Q$8:$Q$42+'Jul 26'!$R$8:$R$42)&gt;0)),'Pay Plan'!$D$5:$K$5,INDEX('Pay Plan'!$D$6:$K$12,$BB11,0)))</f>
        <v>0</v>
      </c>
      <c r="AU49">
        <f>SUMPRODUCT((('Jul 27'!$F$8:$F$42=$T11)*(0.5+0.5*('Jul 27'!$G$8:$G$42=""))+('Jul 27'!$G$8:$G$42=$T11)*0.5)*('Jul 27'!$AG$8:$AG$42="Delivered")*LOOKUP((('Jul 27'!$Q$8:$Q$42+'Jul 27'!$R$8:$R$42)*(('Jul 27'!$Q$8:$Q$42+'Jul 27'!$R$8:$R$42)&gt;0)),'Pay Plan'!$D$5:$K$5,INDEX('Pay Plan'!$D$6:$K$12,$BB11,0)))</f>
        <v>0</v>
      </c>
      <c r="AV49">
        <f>SUMPRODUCT((('Jul 28'!$F$8:$F$42=$T11)*(0.5+0.5*('Jul 28'!$G$8:$G$42=""))+('Jul 28'!$G$8:$G$42=$T11)*0.5)*('Jul 28'!$AG$8:$AG$42="Delivered")*LOOKUP((('Jul 28'!$Q$8:$Q$42+'Jul 28'!$R$8:$R$42)*(('Jul 28'!$Q$8:$Q$42+'Jul 28'!$R$8:$R$42)&gt;0)),'Pay Plan'!$D$5:$K$5,INDEX('Pay Plan'!$D$6:$K$12,$BB11,0)))</f>
        <v>0</v>
      </c>
      <c r="AW49">
        <f>SUMPRODUCT((('Jul 29'!$F$8:$F$42=$T11)*(0.5+0.5*('Jul 29'!$G$8:$G$42=""))+('Jul 29'!$G$8:$G$42=$T11)*0.5)*('Jul 29'!$AG$8:$AG$42="Delivered")*LOOKUP((('Jul 29'!$Q$8:$Q$42+'Jul 29'!$R$8:$R$42)*(('Jul 29'!$Q$8:$Q$42+'Jul 29'!$R$8:$R$42)&gt;0)),'Pay Plan'!$D$5:$K$5,INDEX('Pay Plan'!$D$6:$K$12,$BB11,0)))</f>
        <v>0</v>
      </c>
      <c r="AX49">
        <f>SUMPRODUCT((('Jul 30'!$F$8:$F$42=$T11)*(0.5+0.5*('Jul 30'!$G$8:$G$42=""))+('Jul 30'!$G$8:$G$42=$T11)*0.5)*('Jul 30'!$AG$8:$AG$42="Delivered")*LOOKUP((('Jul 30'!$Q$8:$Q$42+'Jul 30'!$R$8:$R$42)*(('Jul 30'!$Q$8:$Q$42+'Jul 30'!$R$8:$R$42)&gt;0)),'Pay Plan'!$D$5:$K$5,INDEX('Pay Plan'!$D$6:$K$12,$BB11,0)))</f>
        <v>0</v>
      </c>
      <c r="AY49">
        <f>SUMPRODUCT((('Jul 31'!$F$8:$F$42=$T11)*(0.5+0.5*('Jul 31'!$G$8:$G$42=""))+('Jul 31'!$G$8:$G$42=$T11)*0.5)*('Jul 31'!$AG$8:$AG$42="Delivered")*LOOKUP((('Jul 31'!$Q$8:$Q$42+'Jul 31'!$R$8:$R$42)*(('Jul 31'!$Q$8:$Q$42+'Jul 31'!$R$8:$R$42)&gt;0)),'Pay Plan'!$D$5:$K$5,INDEX('Pay Plan'!$D$6:$K$12,$BB11,0)))</f>
        <v>0</v>
      </c>
    </row>
    <row r="50" spans="21:51" x14ac:dyDescent="0.25">
      <c r="U50">
        <f>SUMPRODUCT((('Jul 1'!$F$8:$F$42=$T12)*(0.5+0.5*('Jul 1'!$G$8:$G$42=""))+('Jul 1'!$G$8:$G$42=$T12)*0.5)*('Jul 1'!$AG$8:$AG$42="Delivered")*LOOKUP((('Jul 1'!$Q$8:$Q$42+'Jul 1'!$R$8:$R$42)*(('Jul 1'!$Q$8:$Q$42+'Jul 1'!$R$8:$R$42)&gt;0)),'Pay Plan'!$D$5:$K$5,INDEX('Pay Plan'!$D$6:$K$12,$BB12,0)))</f>
        <v>0</v>
      </c>
      <c r="V50">
        <f>SUMPRODUCT((('Jul 2'!$F$8:$F$42=$T12)*(0.5+0.5*('Jul 2'!$G$8:$G$42=""))+('Jul 2'!$G$8:$G$42=$T12)*0.5)*('Jul 2'!$AG$8:$AG$42="Delivered")*LOOKUP((('Jul 2'!$Q$8:$Q$42+'Jul 2'!$R$8:$R$42)*(('Jul 2'!$Q$8:$Q$42+'Jul 2'!$R$8:$R$42)&gt;0)),'Pay Plan'!$D$5:$K$5,INDEX('Pay Plan'!$D$6:$K$12,$BB12,0)))</f>
        <v>0</v>
      </c>
      <c r="W50">
        <f>SUMPRODUCT((('Jul 3'!$F$8:$F$42=$T12)*(0.5+0.5*('Jul 3'!$G$8:$G$42=""))+('Jul 3'!$G$8:$G$42=$T12)*0.5)*('Jul 3'!$AG$8:$AG$42="Delivered")*LOOKUP((('Jul 3'!$Q$8:$Q$42+'Jul 3'!$R$8:$R$42)*(('Jul 3'!$Q$8:$Q$42+'Jul 3'!$R$8:$R$42)&gt;0)),'Pay Plan'!$D$5:$K$5,INDEX('Pay Plan'!$D$6:$K$12,$BB12,0)))</f>
        <v>0</v>
      </c>
      <c r="X50">
        <f>SUMPRODUCT((('Jul 4'!$F$8:$F$42=$T12)*(0.5+0.5*('Jul 4'!$G$8:$G$42=""))+('Jul 4'!$G$8:$G$42=$T12)*0.5)*('Jul 4'!$AG$8:$AG$42="Delivered")*LOOKUP((('Jul 4'!$Q$8:$Q$42+'Jul 4'!$R$8:$R$42)*(('Jul 4'!$Q$8:$Q$42+'Jul 4'!$R$8:$R$42)&gt;0)),'Pay Plan'!$D$5:$K$5,INDEX('Pay Plan'!$D$6:$K$12,$BB12,0)))</f>
        <v>0</v>
      </c>
      <c r="Y50">
        <f>SUMPRODUCT((('Jul 5'!$F$8:$F$42=$T12)*(0.5+0.5*('Jul 5'!$G$8:$G$42=""))+('Jul 5'!$G$8:$G$42=$T12)*0.5)*('Jul 5'!$AG$8:$AG$42="Delivered")*LOOKUP((('Jul 5'!$Q$8:$Q$42+'Jul 5'!$R$8:$R$42)*(('Jul 5'!$Q$8:$Q$42+'Jul 5'!$R$8:$R$42)&gt;0)),'Pay Plan'!$D$5:$K$5,INDEX('Pay Plan'!$D$6:$K$12,$BB12,0)))</f>
        <v>0</v>
      </c>
      <c r="Z50">
        <f>SUMPRODUCT((('Jul 6'!$F$8:$F$42=$T12)*(0.5+0.5*('Jul 6'!$G$8:$G$42=""))+('Jul 6'!$G$8:$G$42=$T12)*0.5)*('Jul 6'!$AG$8:$AG$42="Delivered")*LOOKUP((('Jul 6'!$Q$8:$Q$42+'Jul 6'!$R$8:$R$42)*(('Jul 6'!$Q$8:$Q$42+'Jul 6'!$R$8:$R$42)&gt;0)),'Pay Plan'!$D$5:$K$5,INDEX('Pay Plan'!$D$6:$K$12,$BB12,0)))</f>
        <v>0</v>
      </c>
      <c r="AA50">
        <f>SUMPRODUCT((('Jul 7'!$F$8:$F$42=$T12)*(0.5+0.5*('Jul 7'!$G$8:$G$42=""))+('Jul 7'!$G$8:$G$42=$T12)*0.5)*('Jul 7'!$AG$8:$AG$42="Delivered")*LOOKUP((('Jul 7'!$Q$8:$Q$42+'Jul 7'!$R$8:$R$42)*(('Jul 7'!$Q$8:$Q$42+'Jul 7'!$R$8:$R$42)&gt;0)),'Pay Plan'!$D$5:$K$5,INDEX('Pay Plan'!$D$6:$K$12,$BB12,0)))</f>
        <v>0</v>
      </c>
      <c r="AB50">
        <f>SUMPRODUCT((('Jul 8'!$F$8:$F$42=$T12)*(0.5+0.5*('Jul 8'!$G$8:$G$42=""))+('Jul 8'!$G$8:$G$42=$T12)*0.5)*('Jul 8'!$AG$8:$AG$42="Delivered")*LOOKUP((('Jul 8'!$Q$8:$Q$42+'Jul 8'!$R$8:$R$42)*(('Jul 8'!$Q$8:$Q$42+'Jul 8'!$R$8:$R$42)&gt;0)),'Pay Plan'!$D$5:$K$5,INDEX('Pay Plan'!$D$6:$K$12,$BB12,0)))</f>
        <v>0</v>
      </c>
      <c r="AC50">
        <f>SUMPRODUCT((('Jul 9'!$F$8:$F$42=$T12)*(0.5+0.5*('Jul 9'!$G$8:$G$42=""))+('Jul 9'!$G$8:$G$42=$T12)*0.5)*('Jul 9'!$AG$8:$AG$42="Delivered")*LOOKUP((('Jul 9'!$Q$8:$Q$42+'Jul 9'!$R$8:$R$42)*(('Jul 9'!$Q$8:$Q$42+'Jul 9'!$R$8:$R$42)&gt;0)),'Pay Plan'!$D$5:$K$5,INDEX('Pay Plan'!$D$6:$K$12,$BB12,0)))</f>
        <v>0</v>
      </c>
      <c r="AD50">
        <f>SUMPRODUCT((('Jul 10'!$F$8:$F$42=$T12)*(0.5+0.5*('Jul 10'!$G$8:$G$42=""))+('Jul 10'!$G$8:$G$42=$T12)*0.5)*('Jul 10'!$AG$8:$AG$42="Delivered")*LOOKUP((('Jul 10'!$Q$8:$Q$42+'Jul 10'!$R$8:$R$42)*(('Jul 10'!$Q$8:$Q$42+'Jul 10'!$R$8:$R$42)&gt;0)),'Pay Plan'!$D$5:$K$5,INDEX('Pay Plan'!$D$6:$K$12,$BB12,0)))</f>
        <v>0</v>
      </c>
      <c r="AE50">
        <f>SUMPRODUCT((('Jul 11'!$F$8:$F$42=$T12)*(0.5+0.5*('Jul 11'!$G$8:$G$42=""))+('Jul 11'!$G$8:$G$42=$T12)*0.5)*('Jul 11'!$AG$8:$AG$42="Delivered")*LOOKUP((('Jul 11'!$Q$8:$Q$42+'Jul 11'!$R$8:$R$42)*(('Jul 11'!$Q$8:$Q$42+'Jul 11'!$R$8:$R$42)&gt;0)),'Pay Plan'!$D$5:$K$5,INDEX('Pay Plan'!$D$6:$K$12,$BB12,0)))</f>
        <v>0</v>
      </c>
      <c r="AF50">
        <f>SUMPRODUCT((('Jul 12'!$F$8:$F$42=$T12)*(0.5+0.5*('Jul 12'!$G$8:$G$42=""))+('Jul 12'!$G$8:$G$42=$T12)*0.5)*('Jul 12'!$AG$8:$AG$42="Delivered")*LOOKUP((('Jul 12'!$Q$8:$Q$42+'Jul 12'!$R$8:$R$42)*(('Jul 12'!$Q$8:$Q$42+'Jul 12'!$R$8:$R$42)&gt;0)),'Pay Plan'!$D$5:$K$5,INDEX('Pay Plan'!$D$6:$K$12,$BB12,0)))</f>
        <v>0</v>
      </c>
      <c r="AG50">
        <f>SUMPRODUCT((('Jul 13'!$F$8:$F$42=$T12)*(0.5+0.5*('Jul 13'!$G$8:$G$42=""))+('Jul 13'!$G$8:$G$42=$T12)*0.5)*('Jul 13'!$AG$8:$AG$42="Delivered")*LOOKUP((('Jul 13'!$Q$8:$Q$42+'Jul 13'!$R$8:$R$42)*(('Jul 13'!$Q$8:$Q$42+'Jul 13'!$R$8:$R$42)&gt;0)),'Pay Plan'!$D$5:$K$5,INDEX('Pay Plan'!$D$6:$K$12,$BB12,0)))</f>
        <v>0</v>
      </c>
      <c r="AH50">
        <f>SUMPRODUCT((('Jul 14'!$F$8:$F$42=$T12)*(0.5+0.5*('Jul 14'!$G$8:$G$42=""))+('Jul 14'!$G$8:$G$42=$T12)*0.5)*('Jul 14'!$AG$8:$AG$42="Delivered")*LOOKUP((('Jul 14'!$Q$8:$Q$42+'Jul 14'!$R$8:$R$42)*(('Jul 14'!$Q$8:$Q$42+'Jul 14'!$R$8:$R$42)&gt;0)),'Pay Plan'!$D$5:$K$5,INDEX('Pay Plan'!$D$6:$K$12,$BB12,0)))</f>
        <v>0</v>
      </c>
      <c r="AI50">
        <f>SUMPRODUCT((('Jul 15'!$F$8:$F$42=$T12)*(0.5+0.5*('Jul 15'!$G$8:$G$42=""))+('Jul 15'!$G$8:$G$42=$T12)*0.5)*('Jul 15'!$AG$8:$AG$42="Delivered")*LOOKUP((('Jul 15'!$Q$8:$Q$42+'Jul 15'!$R$8:$R$42)*(('Jul 15'!$Q$8:$Q$42+'Jul 15'!$R$8:$R$42)&gt;0)),'Pay Plan'!$D$5:$K$5,INDEX('Pay Plan'!$D$6:$K$12,$BB12,0)))</f>
        <v>0</v>
      </c>
      <c r="AJ50">
        <f>SUMPRODUCT((('Jul 16'!$F$8:$F$42=$T12)*(0.5+0.5*('Jul 16'!$G$8:$G$42=""))+('Jul 16'!$G$8:$G$42=$T12)*0.5)*('Jul 16'!$AG$8:$AG$42="Delivered")*LOOKUP((('Jul 16'!$Q$8:$Q$42+'Jul 16'!$R$8:$R$42)*(('Jul 16'!$Q$8:$Q$42+'Jul 16'!$R$8:$R$42)&gt;0)),'Pay Plan'!$D$5:$K$5,INDEX('Pay Plan'!$D$6:$K$12,$BB12,0)))</f>
        <v>0</v>
      </c>
      <c r="AK50">
        <f>SUMPRODUCT((('Jul 17'!$F$8:$F$42=$T12)*(0.5+0.5*('Jul 17'!$G$8:$G$42=""))+('Jul 17'!$G$8:$G$42=$T12)*0.5)*('Jul 17'!$AG$8:$AG$42="Delivered")*LOOKUP((('Jul 17'!$Q$8:$Q$42+'Jul 17'!$R$8:$R$42)*(('Jul 17'!$Q$8:$Q$42+'Jul 17'!$R$8:$R$42)&gt;0)),'Pay Plan'!$D$5:$K$5,INDEX('Pay Plan'!$D$6:$K$12,$BB12,0)))</f>
        <v>0</v>
      </c>
      <c r="AL50">
        <f>SUMPRODUCT((('Jul 18'!$F$8:$F$42=$T12)*(0.5+0.5*('Jul 18'!$G$8:$G$42=""))+('Jul 18'!$G$8:$G$42=$T12)*0.5)*('Jul 18'!$AG$8:$AG$42="Delivered")*LOOKUP((('Jul 18'!$Q$8:$Q$42+'Jul 18'!$R$8:$R$42)*(('Jul 18'!$Q$8:$Q$42+'Jul 18'!$R$8:$R$42)&gt;0)),'Pay Plan'!$D$5:$K$5,INDEX('Pay Plan'!$D$6:$K$12,$BB12,0)))</f>
        <v>0</v>
      </c>
      <c r="AM50">
        <f>SUMPRODUCT((('Jul 19'!$F$8:$F$42=$T12)*(0.5+0.5*('Jul 19'!$G$8:$G$42=""))+('Jul 19'!$G$8:$G$42=$T12)*0.5)*('Jul 19'!$AG$8:$AG$42="Delivered")*LOOKUP((('Jul 19'!$Q$8:$Q$42+'Jul 19'!$R$8:$R$42)*(('Jul 19'!$Q$8:$Q$42+'Jul 19'!$R$8:$R$42)&gt;0)),'Pay Plan'!$D$5:$K$5,INDEX('Pay Plan'!$D$6:$K$12,$BB12,0)))</f>
        <v>0</v>
      </c>
      <c r="AN50">
        <f>SUMPRODUCT((('Jul 20'!$F$8:$F$42=$T12)*(0.5+0.5*('Jul 20'!$G$8:$G$42=""))+('Jul 20'!$G$8:$G$42=$T12)*0.5)*('Jul 20'!$AG$8:$AG$42="Delivered")*LOOKUP((('Jul 20'!$Q$8:$Q$42+'Jul 20'!$R$8:$R$42)*(('Jul 20'!$Q$8:$Q$42+'Jul 20'!$R$8:$R$42)&gt;0)),'Pay Plan'!$D$5:$K$5,INDEX('Pay Plan'!$D$6:$K$12,$BB12,0)))</f>
        <v>0</v>
      </c>
      <c r="AO50">
        <f>SUMPRODUCT((('Jul 21'!$F$8:$F$42=$T12)*(0.5+0.5*('Jul 21'!$G$8:$G$42=""))+('Jul 21'!$G$8:$G$42=$T12)*0.5)*('Jul 21'!$AG$8:$AG$42="Delivered")*LOOKUP((('Jul 21'!$Q$8:$Q$42+'Jul 21'!$R$8:$R$42)*(('Jul 21'!$Q$8:$Q$42+'Jul 21'!$R$8:$R$42)&gt;0)),'Pay Plan'!$D$5:$K$5,INDEX('Pay Plan'!$D$6:$K$12,$BB12,0)))</f>
        <v>0</v>
      </c>
      <c r="AP50">
        <f>SUMPRODUCT((('Jul 22'!$F$8:$F$42=$T12)*(0.5+0.5*('Jul 22'!$G$8:$G$42=""))+('Jul 22'!$G$8:$G$42=$T12)*0.5)*('Jul 22'!$AG$8:$AG$42="Delivered")*LOOKUP((('Jul 22'!$Q$8:$Q$42+'Jul 22'!$R$8:$R$42)*(('Jul 22'!$Q$8:$Q$42+'Jul 22'!$R$8:$R$42)&gt;0)),'Pay Plan'!$D$5:$K$5,INDEX('Pay Plan'!$D$6:$K$12,$BB12,0)))</f>
        <v>0</v>
      </c>
      <c r="AQ50">
        <f>SUMPRODUCT((('Jul 23'!$F$8:$F$42=$T12)*(0.5+0.5*('Jul 23'!$G$8:$G$42=""))+('Jul 23'!$G$8:$G$42=$T12)*0.5)*('Jul 23'!$AG$8:$AG$42="Delivered")*LOOKUP((('Jul 23'!$Q$8:$Q$42+'Jul 23'!$R$8:$R$42)*(('Jul 23'!$Q$8:$Q$42+'Jul 23'!$R$8:$R$42)&gt;0)),'Pay Plan'!$D$5:$K$5,INDEX('Pay Plan'!$D$6:$K$12,$BB12,0)))</f>
        <v>0</v>
      </c>
      <c r="AR50">
        <f>SUMPRODUCT((('Jul 24'!$F$8:$F$42=$T12)*(0.5+0.5*('Jul 24'!$G$8:$G$42=""))+('Jul 24'!$G$8:$G$42=$T12)*0.5)*('Jul 24'!$AG$8:$AG$42="Delivered")*LOOKUP((('Jul 24'!$Q$8:$Q$42+'Jul 24'!$R$8:$R$42)*(('Jul 24'!$Q$8:$Q$42+'Jul 24'!$R$8:$R$42)&gt;0)),'Pay Plan'!$D$5:$K$5,INDEX('Pay Plan'!$D$6:$K$12,$BB12,0)))</f>
        <v>0</v>
      </c>
      <c r="AS50">
        <f>SUMPRODUCT((('Jul 25'!$F$8:$F$42=$T12)*(0.5+0.5*('Jul 25'!$G$8:$G$42=""))+('Jul 25'!$G$8:$G$42=$T12)*0.5)*('Jul 25'!$AG$8:$AG$42="Delivered")*LOOKUP((('Jul 25'!$Q$8:$Q$42+'Jul 25'!$R$8:$R$42)*(('Jul 25'!$Q$8:$Q$42+'Jul 25'!$R$8:$R$42)&gt;0)),'Pay Plan'!$D$5:$K$5,INDEX('Pay Plan'!$D$6:$K$12,$BB12,0)))</f>
        <v>0</v>
      </c>
      <c r="AT50">
        <f>SUMPRODUCT((('Jul 26'!$F$8:$F$42=$T12)*(0.5+0.5*('Jul 26'!$G$8:$G$42=""))+('Jul 26'!$G$8:$G$42=$T12)*0.5)*('Jul 26'!$AG$8:$AG$42="Delivered")*LOOKUP((('Jul 26'!$Q$8:$Q$42+'Jul 26'!$R$8:$R$42)*(('Jul 26'!$Q$8:$Q$42+'Jul 26'!$R$8:$R$42)&gt;0)),'Pay Plan'!$D$5:$K$5,INDEX('Pay Plan'!$D$6:$K$12,$BB12,0)))</f>
        <v>0</v>
      </c>
      <c r="AU50">
        <f>SUMPRODUCT((('Jul 27'!$F$8:$F$42=$T12)*(0.5+0.5*('Jul 27'!$G$8:$G$42=""))+('Jul 27'!$G$8:$G$42=$T12)*0.5)*('Jul 27'!$AG$8:$AG$42="Delivered")*LOOKUP((('Jul 27'!$Q$8:$Q$42+'Jul 27'!$R$8:$R$42)*(('Jul 27'!$Q$8:$Q$42+'Jul 27'!$R$8:$R$42)&gt;0)),'Pay Plan'!$D$5:$K$5,INDEX('Pay Plan'!$D$6:$K$12,$BB12,0)))</f>
        <v>0</v>
      </c>
      <c r="AV50">
        <f>SUMPRODUCT((('Jul 28'!$F$8:$F$42=$T12)*(0.5+0.5*('Jul 28'!$G$8:$G$42=""))+('Jul 28'!$G$8:$G$42=$T12)*0.5)*('Jul 28'!$AG$8:$AG$42="Delivered")*LOOKUP((('Jul 28'!$Q$8:$Q$42+'Jul 28'!$R$8:$R$42)*(('Jul 28'!$Q$8:$Q$42+'Jul 28'!$R$8:$R$42)&gt;0)),'Pay Plan'!$D$5:$K$5,INDEX('Pay Plan'!$D$6:$K$12,$BB12,0)))</f>
        <v>0</v>
      </c>
      <c r="AW50">
        <f>SUMPRODUCT((('Jul 29'!$F$8:$F$42=$T12)*(0.5+0.5*('Jul 29'!$G$8:$G$42=""))+('Jul 29'!$G$8:$G$42=$T12)*0.5)*('Jul 29'!$AG$8:$AG$42="Delivered")*LOOKUP((('Jul 29'!$Q$8:$Q$42+'Jul 29'!$R$8:$R$42)*(('Jul 29'!$Q$8:$Q$42+'Jul 29'!$R$8:$R$42)&gt;0)),'Pay Plan'!$D$5:$K$5,INDEX('Pay Plan'!$D$6:$K$12,$BB12,0)))</f>
        <v>0</v>
      </c>
      <c r="AX50">
        <f>SUMPRODUCT((('Jul 30'!$F$8:$F$42=$T12)*(0.5+0.5*('Jul 30'!$G$8:$G$42=""))+('Jul 30'!$G$8:$G$42=$T12)*0.5)*('Jul 30'!$AG$8:$AG$42="Delivered")*LOOKUP((('Jul 30'!$Q$8:$Q$42+'Jul 30'!$R$8:$R$42)*(('Jul 30'!$Q$8:$Q$42+'Jul 30'!$R$8:$R$42)&gt;0)),'Pay Plan'!$D$5:$K$5,INDEX('Pay Plan'!$D$6:$K$12,$BB12,0)))</f>
        <v>0</v>
      </c>
      <c r="AY50">
        <f>SUMPRODUCT((('Jul 31'!$F$8:$F$42=$T12)*(0.5+0.5*('Jul 31'!$G$8:$G$42=""))+('Jul 31'!$G$8:$G$42=$T12)*0.5)*('Jul 31'!$AG$8:$AG$42="Delivered")*LOOKUP((('Jul 31'!$Q$8:$Q$42+'Jul 31'!$R$8:$R$42)*(('Jul 31'!$Q$8:$Q$42+'Jul 31'!$R$8:$R$42)&gt;0)),'Pay Plan'!$D$5:$K$5,INDEX('Pay Plan'!$D$6:$K$12,$BB12,0)))</f>
        <v>0</v>
      </c>
    </row>
    <row r="51" spans="21:51" x14ac:dyDescent="0.25">
      <c r="U51">
        <f>SUMPRODUCT((('Jul 1'!$F$8:$F$42=$T13)*(0.5+0.5*('Jul 1'!$G$8:$G$42=""))+('Jul 1'!$G$8:$G$42=$T13)*0.5)*('Jul 1'!$AG$8:$AG$42="Delivered")*LOOKUP((('Jul 1'!$Q$8:$Q$42+'Jul 1'!$R$8:$R$42)*(('Jul 1'!$Q$8:$Q$42+'Jul 1'!$R$8:$R$42)&gt;0)),'Pay Plan'!$D$5:$K$5,INDEX('Pay Plan'!$D$6:$K$12,$BB13,0)))</f>
        <v>0</v>
      </c>
      <c r="V51">
        <f>SUMPRODUCT((('Jul 2'!$F$8:$F$42=$T13)*(0.5+0.5*('Jul 2'!$G$8:$G$42=""))+('Jul 2'!$G$8:$G$42=$T13)*0.5)*('Jul 2'!$AG$8:$AG$42="Delivered")*LOOKUP((('Jul 2'!$Q$8:$Q$42+'Jul 2'!$R$8:$R$42)*(('Jul 2'!$Q$8:$Q$42+'Jul 2'!$R$8:$R$42)&gt;0)),'Pay Plan'!$D$5:$K$5,INDEX('Pay Plan'!$D$6:$K$12,$BB13,0)))</f>
        <v>0</v>
      </c>
      <c r="W51">
        <f>SUMPRODUCT((('Jul 3'!$F$8:$F$42=$T13)*(0.5+0.5*('Jul 3'!$G$8:$G$42=""))+('Jul 3'!$G$8:$G$42=$T13)*0.5)*('Jul 3'!$AG$8:$AG$42="Delivered")*LOOKUP((('Jul 3'!$Q$8:$Q$42+'Jul 3'!$R$8:$R$42)*(('Jul 3'!$Q$8:$Q$42+'Jul 3'!$R$8:$R$42)&gt;0)),'Pay Plan'!$D$5:$K$5,INDEX('Pay Plan'!$D$6:$K$12,$BB13,0)))</f>
        <v>0</v>
      </c>
      <c r="X51">
        <f>SUMPRODUCT((('Jul 4'!$F$8:$F$42=$T13)*(0.5+0.5*('Jul 4'!$G$8:$G$42=""))+('Jul 4'!$G$8:$G$42=$T13)*0.5)*('Jul 4'!$AG$8:$AG$42="Delivered")*LOOKUP((('Jul 4'!$Q$8:$Q$42+'Jul 4'!$R$8:$R$42)*(('Jul 4'!$Q$8:$Q$42+'Jul 4'!$R$8:$R$42)&gt;0)),'Pay Plan'!$D$5:$K$5,INDEX('Pay Plan'!$D$6:$K$12,$BB13,0)))</f>
        <v>0</v>
      </c>
      <c r="Y51">
        <f>SUMPRODUCT((('Jul 5'!$F$8:$F$42=$T13)*(0.5+0.5*('Jul 5'!$G$8:$G$42=""))+('Jul 5'!$G$8:$G$42=$T13)*0.5)*('Jul 5'!$AG$8:$AG$42="Delivered")*LOOKUP((('Jul 5'!$Q$8:$Q$42+'Jul 5'!$R$8:$R$42)*(('Jul 5'!$Q$8:$Q$42+'Jul 5'!$R$8:$R$42)&gt;0)),'Pay Plan'!$D$5:$K$5,INDEX('Pay Plan'!$D$6:$K$12,$BB13,0)))</f>
        <v>0</v>
      </c>
      <c r="Z51">
        <f>SUMPRODUCT((('Jul 6'!$F$8:$F$42=$T13)*(0.5+0.5*('Jul 6'!$G$8:$G$42=""))+('Jul 6'!$G$8:$G$42=$T13)*0.5)*('Jul 6'!$AG$8:$AG$42="Delivered")*LOOKUP((('Jul 6'!$Q$8:$Q$42+'Jul 6'!$R$8:$R$42)*(('Jul 6'!$Q$8:$Q$42+'Jul 6'!$R$8:$R$42)&gt;0)),'Pay Plan'!$D$5:$K$5,INDEX('Pay Plan'!$D$6:$K$12,$BB13,0)))</f>
        <v>0</v>
      </c>
      <c r="AA51">
        <f>SUMPRODUCT((('Jul 7'!$F$8:$F$42=$T13)*(0.5+0.5*('Jul 7'!$G$8:$G$42=""))+('Jul 7'!$G$8:$G$42=$T13)*0.5)*('Jul 7'!$AG$8:$AG$42="Delivered")*LOOKUP((('Jul 7'!$Q$8:$Q$42+'Jul 7'!$R$8:$R$42)*(('Jul 7'!$Q$8:$Q$42+'Jul 7'!$R$8:$R$42)&gt;0)),'Pay Plan'!$D$5:$K$5,INDEX('Pay Plan'!$D$6:$K$12,$BB13,0)))</f>
        <v>0</v>
      </c>
      <c r="AB51">
        <f>SUMPRODUCT((('Jul 8'!$F$8:$F$42=$T13)*(0.5+0.5*('Jul 8'!$G$8:$G$42=""))+('Jul 8'!$G$8:$G$42=$T13)*0.5)*('Jul 8'!$AG$8:$AG$42="Delivered")*LOOKUP((('Jul 8'!$Q$8:$Q$42+'Jul 8'!$R$8:$R$42)*(('Jul 8'!$Q$8:$Q$42+'Jul 8'!$R$8:$R$42)&gt;0)),'Pay Plan'!$D$5:$K$5,INDEX('Pay Plan'!$D$6:$K$12,$BB13,0)))</f>
        <v>0</v>
      </c>
      <c r="AC51">
        <f>SUMPRODUCT((('Jul 9'!$F$8:$F$42=$T13)*(0.5+0.5*('Jul 9'!$G$8:$G$42=""))+('Jul 9'!$G$8:$G$42=$T13)*0.5)*('Jul 9'!$AG$8:$AG$42="Delivered")*LOOKUP((('Jul 9'!$Q$8:$Q$42+'Jul 9'!$R$8:$R$42)*(('Jul 9'!$Q$8:$Q$42+'Jul 9'!$R$8:$R$42)&gt;0)),'Pay Plan'!$D$5:$K$5,INDEX('Pay Plan'!$D$6:$K$12,$BB13,0)))</f>
        <v>0</v>
      </c>
      <c r="AD51">
        <f>SUMPRODUCT((('Jul 10'!$F$8:$F$42=$T13)*(0.5+0.5*('Jul 10'!$G$8:$G$42=""))+('Jul 10'!$G$8:$G$42=$T13)*0.5)*('Jul 10'!$AG$8:$AG$42="Delivered")*LOOKUP((('Jul 10'!$Q$8:$Q$42+'Jul 10'!$R$8:$R$42)*(('Jul 10'!$Q$8:$Q$42+'Jul 10'!$R$8:$R$42)&gt;0)),'Pay Plan'!$D$5:$K$5,INDEX('Pay Plan'!$D$6:$K$12,$BB13,0)))</f>
        <v>0</v>
      </c>
      <c r="AE51">
        <f>SUMPRODUCT((('Jul 11'!$F$8:$F$42=$T13)*(0.5+0.5*('Jul 11'!$G$8:$G$42=""))+('Jul 11'!$G$8:$G$42=$T13)*0.5)*('Jul 11'!$AG$8:$AG$42="Delivered")*LOOKUP((('Jul 11'!$Q$8:$Q$42+'Jul 11'!$R$8:$R$42)*(('Jul 11'!$Q$8:$Q$42+'Jul 11'!$R$8:$R$42)&gt;0)),'Pay Plan'!$D$5:$K$5,INDEX('Pay Plan'!$D$6:$K$12,$BB13,0)))</f>
        <v>0</v>
      </c>
      <c r="AF51">
        <f>SUMPRODUCT((('Jul 12'!$F$8:$F$42=$T13)*(0.5+0.5*('Jul 12'!$G$8:$G$42=""))+('Jul 12'!$G$8:$G$42=$T13)*0.5)*('Jul 12'!$AG$8:$AG$42="Delivered")*LOOKUP((('Jul 12'!$Q$8:$Q$42+'Jul 12'!$R$8:$R$42)*(('Jul 12'!$Q$8:$Q$42+'Jul 12'!$R$8:$R$42)&gt;0)),'Pay Plan'!$D$5:$K$5,INDEX('Pay Plan'!$D$6:$K$12,$BB13,0)))</f>
        <v>0</v>
      </c>
      <c r="AG51">
        <f>SUMPRODUCT((('Jul 13'!$F$8:$F$42=$T13)*(0.5+0.5*('Jul 13'!$G$8:$G$42=""))+('Jul 13'!$G$8:$G$42=$T13)*0.5)*('Jul 13'!$AG$8:$AG$42="Delivered")*LOOKUP((('Jul 13'!$Q$8:$Q$42+'Jul 13'!$R$8:$R$42)*(('Jul 13'!$Q$8:$Q$42+'Jul 13'!$R$8:$R$42)&gt;0)),'Pay Plan'!$D$5:$K$5,INDEX('Pay Plan'!$D$6:$K$12,$BB13,0)))</f>
        <v>0</v>
      </c>
      <c r="AH51">
        <f>SUMPRODUCT((('Jul 14'!$F$8:$F$42=$T13)*(0.5+0.5*('Jul 14'!$G$8:$G$42=""))+('Jul 14'!$G$8:$G$42=$T13)*0.5)*('Jul 14'!$AG$8:$AG$42="Delivered")*LOOKUP((('Jul 14'!$Q$8:$Q$42+'Jul 14'!$R$8:$R$42)*(('Jul 14'!$Q$8:$Q$42+'Jul 14'!$R$8:$R$42)&gt;0)),'Pay Plan'!$D$5:$K$5,INDEX('Pay Plan'!$D$6:$K$12,$BB13,0)))</f>
        <v>0</v>
      </c>
      <c r="AI51">
        <f>SUMPRODUCT((('Jul 15'!$F$8:$F$42=$T13)*(0.5+0.5*('Jul 15'!$G$8:$G$42=""))+('Jul 15'!$G$8:$G$42=$T13)*0.5)*('Jul 15'!$AG$8:$AG$42="Delivered")*LOOKUP((('Jul 15'!$Q$8:$Q$42+'Jul 15'!$R$8:$R$42)*(('Jul 15'!$Q$8:$Q$42+'Jul 15'!$R$8:$R$42)&gt;0)),'Pay Plan'!$D$5:$K$5,INDEX('Pay Plan'!$D$6:$K$12,$BB13,0)))</f>
        <v>0</v>
      </c>
      <c r="AJ51">
        <f>SUMPRODUCT((('Jul 16'!$F$8:$F$42=$T13)*(0.5+0.5*('Jul 16'!$G$8:$G$42=""))+('Jul 16'!$G$8:$G$42=$T13)*0.5)*('Jul 16'!$AG$8:$AG$42="Delivered")*LOOKUP((('Jul 16'!$Q$8:$Q$42+'Jul 16'!$R$8:$R$42)*(('Jul 16'!$Q$8:$Q$42+'Jul 16'!$R$8:$R$42)&gt;0)),'Pay Plan'!$D$5:$K$5,INDEX('Pay Plan'!$D$6:$K$12,$BB13,0)))</f>
        <v>0</v>
      </c>
      <c r="AK51">
        <f>SUMPRODUCT((('Jul 17'!$F$8:$F$42=$T13)*(0.5+0.5*('Jul 17'!$G$8:$G$42=""))+('Jul 17'!$G$8:$G$42=$T13)*0.5)*('Jul 17'!$AG$8:$AG$42="Delivered")*LOOKUP((('Jul 17'!$Q$8:$Q$42+'Jul 17'!$R$8:$R$42)*(('Jul 17'!$Q$8:$Q$42+'Jul 17'!$R$8:$R$42)&gt;0)),'Pay Plan'!$D$5:$K$5,INDEX('Pay Plan'!$D$6:$K$12,$BB13,0)))</f>
        <v>0</v>
      </c>
      <c r="AL51">
        <f>SUMPRODUCT((('Jul 18'!$F$8:$F$42=$T13)*(0.5+0.5*('Jul 18'!$G$8:$G$42=""))+('Jul 18'!$G$8:$G$42=$T13)*0.5)*('Jul 18'!$AG$8:$AG$42="Delivered")*LOOKUP((('Jul 18'!$Q$8:$Q$42+'Jul 18'!$R$8:$R$42)*(('Jul 18'!$Q$8:$Q$42+'Jul 18'!$R$8:$R$42)&gt;0)),'Pay Plan'!$D$5:$K$5,INDEX('Pay Plan'!$D$6:$K$12,$BB13,0)))</f>
        <v>0</v>
      </c>
      <c r="AM51">
        <f>SUMPRODUCT((('Jul 19'!$F$8:$F$42=$T13)*(0.5+0.5*('Jul 19'!$G$8:$G$42=""))+('Jul 19'!$G$8:$G$42=$T13)*0.5)*('Jul 19'!$AG$8:$AG$42="Delivered")*LOOKUP((('Jul 19'!$Q$8:$Q$42+'Jul 19'!$R$8:$R$42)*(('Jul 19'!$Q$8:$Q$42+'Jul 19'!$R$8:$R$42)&gt;0)),'Pay Plan'!$D$5:$K$5,INDEX('Pay Plan'!$D$6:$K$12,$BB13,0)))</f>
        <v>0</v>
      </c>
      <c r="AN51">
        <f>SUMPRODUCT((('Jul 20'!$F$8:$F$42=$T13)*(0.5+0.5*('Jul 20'!$G$8:$G$42=""))+('Jul 20'!$G$8:$G$42=$T13)*0.5)*('Jul 20'!$AG$8:$AG$42="Delivered")*LOOKUP((('Jul 20'!$Q$8:$Q$42+'Jul 20'!$R$8:$R$42)*(('Jul 20'!$Q$8:$Q$42+'Jul 20'!$R$8:$R$42)&gt;0)),'Pay Plan'!$D$5:$K$5,INDEX('Pay Plan'!$D$6:$K$12,$BB13,0)))</f>
        <v>0</v>
      </c>
      <c r="AO51">
        <f>SUMPRODUCT((('Jul 21'!$F$8:$F$42=$T13)*(0.5+0.5*('Jul 21'!$G$8:$G$42=""))+('Jul 21'!$G$8:$G$42=$T13)*0.5)*('Jul 21'!$AG$8:$AG$42="Delivered")*LOOKUP((('Jul 21'!$Q$8:$Q$42+'Jul 21'!$R$8:$R$42)*(('Jul 21'!$Q$8:$Q$42+'Jul 21'!$R$8:$R$42)&gt;0)),'Pay Plan'!$D$5:$K$5,INDEX('Pay Plan'!$D$6:$K$12,$BB13,0)))</f>
        <v>0</v>
      </c>
      <c r="AP51">
        <f>SUMPRODUCT((('Jul 22'!$F$8:$F$42=$T13)*(0.5+0.5*('Jul 22'!$G$8:$G$42=""))+('Jul 22'!$G$8:$G$42=$T13)*0.5)*('Jul 22'!$AG$8:$AG$42="Delivered")*LOOKUP((('Jul 22'!$Q$8:$Q$42+'Jul 22'!$R$8:$R$42)*(('Jul 22'!$Q$8:$Q$42+'Jul 22'!$R$8:$R$42)&gt;0)),'Pay Plan'!$D$5:$K$5,INDEX('Pay Plan'!$D$6:$K$12,$BB13,0)))</f>
        <v>0</v>
      </c>
      <c r="AQ51">
        <f>SUMPRODUCT((('Jul 23'!$F$8:$F$42=$T13)*(0.5+0.5*('Jul 23'!$G$8:$G$42=""))+('Jul 23'!$G$8:$G$42=$T13)*0.5)*('Jul 23'!$AG$8:$AG$42="Delivered")*LOOKUP((('Jul 23'!$Q$8:$Q$42+'Jul 23'!$R$8:$R$42)*(('Jul 23'!$Q$8:$Q$42+'Jul 23'!$R$8:$R$42)&gt;0)),'Pay Plan'!$D$5:$K$5,INDEX('Pay Plan'!$D$6:$K$12,$BB13,0)))</f>
        <v>0</v>
      </c>
      <c r="AR51">
        <f>SUMPRODUCT((('Jul 24'!$F$8:$F$42=$T13)*(0.5+0.5*('Jul 24'!$G$8:$G$42=""))+('Jul 24'!$G$8:$G$42=$T13)*0.5)*('Jul 24'!$AG$8:$AG$42="Delivered")*LOOKUP((('Jul 24'!$Q$8:$Q$42+'Jul 24'!$R$8:$R$42)*(('Jul 24'!$Q$8:$Q$42+'Jul 24'!$R$8:$R$42)&gt;0)),'Pay Plan'!$D$5:$K$5,INDEX('Pay Plan'!$D$6:$K$12,$BB13,0)))</f>
        <v>0</v>
      </c>
      <c r="AS51">
        <f>SUMPRODUCT((('Jul 25'!$F$8:$F$42=$T13)*(0.5+0.5*('Jul 25'!$G$8:$G$42=""))+('Jul 25'!$G$8:$G$42=$T13)*0.5)*('Jul 25'!$AG$8:$AG$42="Delivered")*LOOKUP((('Jul 25'!$Q$8:$Q$42+'Jul 25'!$R$8:$R$42)*(('Jul 25'!$Q$8:$Q$42+'Jul 25'!$R$8:$R$42)&gt;0)),'Pay Plan'!$D$5:$K$5,INDEX('Pay Plan'!$D$6:$K$12,$BB13,0)))</f>
        <v>0</v>
      </c>
      <c r="AT51">
        <f>SUMPRODUCT((('Jul 26'!$F$8:$F$42=$T13)*(0.5+0.5*('Jul 26'!$G$8:$G$42=""))+('Jul 26'!$G$8:$G$42=$T13)*0.5)*('Jul 26'!$AG$8:$AG$42="Delivered")*LOOKUP((('Jul 26'!$Q$8:$Q$42+'Jul 26'!$R$8:$R$42)*(('Jul 26'!$Q$8:$Q$42+'Jul 26'!$R$8:$R$42)&gt;0)),'Pay Plan'!$D$5:$K$5,INDEX('Pay Plan'!$D$6:$K$12,$BB13,0)))</f>
        <v>0</v>
      </c>
      <c r="AU51">
        <f>SUMPRODUCT((('Jul 27'!$F$8:$F$42=$T13)*(0.5+0.5*('Jul 27'!$G$8:$G$42=""))+('Jul 27'!$G$8:$G$42=$T13)*0.5)*('Jul 27'!$AG$8:$AG$42="Delivered")*LOOKUP((('Jul 27'!$Q$8:$Q$42+'Jul 27'!$R$8:$R$42)*(('Jul 27'!$Q$8:$Q$42+'Jul 27'!$R$8:$R$42)&gt;0)),'Pay Plan'!$D$5:$K$5,INDEX('Pay Plan'!$D$6:$K$12,$BB13,0)))</f>
        <v>0</v>
      </c>
      <c r="AV51">
        <f>SUMPRODUCT((('Jul 28'!$F$8:$F$42=$T13)*(0.5+0.5*('Jul 28'!$G$8:$G$42=""))+('Jul 28'!$G$8:$G$42=$T13)*0.5)*('Jul 28'!$AG$8:$AG$42="Delivered")*LOOKUP((('Jul 28'!$Q$8:$Q$42+'Jul 28'!$R$8:$R$42)*(('Jul 28'!$Q$8:$Q$42+'Jul 28'!$R$8:$R$42)&gt;0)),'Pay Plan'!$D$5:$K$5,INDEX('Pay Plan'!$D$6:$K$12,$BB13,0)))</f>
        <v>0</v>
      </c>
      <c r="AW51">
        <f>SUMPRODUCT((('Jul 29'!$F$8:$F$42=$T13)*(0.5+0.5*('Jul 29'!$G$8:$G$42=""))+('Jul 29'!$G$8:$G$42=$T13)*0.5)*('Jul 29'!$AG$8:$AG$42="Delivered")*LOOKUP((('Jul 29'!$Q$8:$Q$42+'Jul 29'!$R$8:$R$42)*(('Jul 29'!$Q$8:$Q$42+'Jul 29'!$R$8:$R$42)&gt;0)),'Pay Plan'!$D$5:$K$5,INDEX('Pay Plan'!$D$6:$K$12,$BB13,0)))</f>
        <v>0</v>
      </c>
      <c r="AX51">
        <f>SUMPRODUCT((('Jul 30'!$F$8:$F$42=$T13)*(0.5+0.5*('Jul 30'!$G$8:$G$42=""))+('Jul 30'!$G$8:$G$42=$T13)*0.5)*('Jul 30'!$AG$8:$AG$42="Delivered")*LOOKUP((('Jul 30'!$Q$8:$Q$42+'Jul 30'!$R$8:$R$42)*(('Jul 30'!$Q$8:$Q$42+'Jul 30'!$R$8:$R$42)&gt;0)),'Pay Plan'!$D$5:$K$5,INDEX('Pay Plan'!$D$6:$K$12,$BB13,0)))</f>
        <v>0</v>
      </c>
      <c r="AY51">
        <f>SUMPRODUCT((('Jul 31'!$F$8:$F$42=$T13)*(0.5+0.5*('Jul 31'!$G$8:$G$42=""))+('Jul 31'!$G$8:$G$42=$T13)*0.5)*('Jul 31'!$AG$8:$AG$42="Delivered")*LOOKUP((('Jul 31'!$Q$8:$Q$42+'Jul 31'!$R$8:$R$42)*(('Jul 31'!$Q$8:$Q$42+'Jul 31'!$R$8:$R$42)&gt;0)),'Pay Plan'!$D$5:$K$5,INDEX('Pay Plan'!$D$6:$K$12,$BB13,0)))</f>
        <v>0</v>
      </c>
    </row>
    <row r="52" spans="21:51" x14ac:dyDescent="0.25">
      <c r="U52">
        <f>SUMPRODUCT((('Jul 1'!$F$8:$F$42=$T14)*(0.5+0.5*('Jul 1'!$G$8:$G$42=""))+('Jul 1'!$G$8:$G$42=$T14)*0.5)*('Jul 1'!$AG$8:$AG$42="Delivered")*LOOKUP((('Jul 1'!$Q$8:$Q$42+'Jul 1'!$R$8:$R$42)*(('Jul 1'!$Q$8:$Q$42+'Jul 1'!$R$8:$R$42)&gt;0)),'Pay Plan'!$D$5:$K$5,INDEX('Pay Plan'!$D$6:$K$12,$BB14,0)))</f>
        <v>0</v>
      </c>
      <c r="V52">
        <f>SUMPRODUCT((('Jul 2'!$F$8:$F$42=$T14)*(0.5+0.5*('Jul 2'!$G$8:$G$42=""))+('Jul 2'!$G$8:$G$42=$T14)*0.5)*('Jul 2'!$AG$8:$AG$42="Delivered")*LOOKUP((('Jul 2'!$Q$8:$Q$42+'Jul 2'!$R$8:$R$42)*(('Jul 2'!$Q$8:$Q$42+'Jul 2'!$R$8:$R$42)&gt;0)),'Pay Plan'!$D$5:$K$5,INDEX('Pay Plan'!$D$6:$K$12,$BB14,0)))</f>
        <v>0</v>
      </c>
      <c r="W52">
        <f>SUMPRODUCT((('Jul 3'!$F$8:$F$42=$T14)*(0.5+0.5*('Jul 3'!$G$8:$G$42=""))+('Jul 3'!$G$8:$G$42=$T14)*0.5)*('Jul 3'!$AG$8:$AG$42="Delivered")*LOOKUP((('Jul 3'!$Q$8:$Q$42+'Jul 3'!$R$8:$R$42)*(('Jul 3'!$Q$8:$Q$42+'Jul 3'!$R$8:$R$42)&gt;0)),'Pay Plan'!$D$5:$K$5,INDEX('Pay Plan'!$D$6:$K$12,$BB14,0)))</f>
        <v>0</v>
      </c>
      <c r="X52">
        <f>SUMPRODUCT((('Jul 4'!$F$8:$F$42=$T14)*(0.5+0.5*('Jul 4'!$G$8:$G$42=""))+('Jul 4'!$G$8:$G$42=$T14)*0.5)*('Jul 4'!$AG$8:$AG$42="Delivered")*LOOKUP((('Jul 4'!$Q$8:$Q$42+'Jul 4'!$R$8:$R$42)*(('Jul 4'!$Q$8:$Q$42+'Jul 4'!$R$8:$R$42)&gt;0)),'Pay Plan'!$D$5:$K$5,INDEX('Pay Plan'!$D$6:$K$12,$BB14,0)))</f>
        <v>0</v>
      </c>
      <c r="Y52">
        <f>SUMPRODUCT((('Jul 5'!$F$8:$F$42=$T14)*(0.5+0.5*('Jul 5'!$G$8:$G$42=""))+('Jul 5'!$G$8:$G$42=$T14)*0.5)*('Jul 5'!$AG$8:$AG$42="Delivered")*LOOKUP((('Jul 5'!$Q$8:$Q$42+'Jul 5'!$R$8:$R$42)*(('Jul 5'!$Q$8:$Q$42+'Jul 5'!$R$8:$R$42)&gt;0)),'Pay Plan'!$D$5:$K$5,INDEX('Pay Plan'!$D$6:$K$12,$BB14,0)))</f>
        <v>0</v>
      </c>
      <c r="Z52">
        <f>SUMPRODUCT((('Jul 6'!$F$8:$F$42=$T14)*(0.5+0.5*('Jul 6'!$G$8:$G$42=""))+('Jul 6'!$G$8:$G$42=$T14)*0.5)*('Jul 6'!$AG$8:$AG$42="Delivered")*LOOKUP((('Jul 6'!$Q$8:$Q$42+'Jul 6'!$R$8:$R$42)*(('Jul 6'!$Q$8:$Q$42+'Jul 6'!$R$8:$R$42)&gt;0)),'Pay Plan'!$D$5:$K$5,INDEX('Pay Plan'!$D$6:$K$12,$BB14,0)))</f>
        <v>0</v>
      </c>
      <c r="AA52">
        <f>SUMPRODUCT((('Jul 7'!$F$8:$F$42=$T14)*(0.5+0.5*('Jul 7'!$G$8:$G$42=""))+('Jul 7'!$G$8:$G$42=$T14)*0.5)*('Jul 7'!$AG$8:$AG$42="Delivered")*LOOKUP((('Jul 7'!$Q$8:$Q$42+'Jul 7'!$R$8:$R$42)*(('Jul 7'!$Q$8:$Q$42+'Jul 7'!$R$8:$R$42)&gt;0)),'Pay Plan'!$D$5:$K$5,INDEX('Pay Plan'!$D$6:$K$12,$BB14,0)))</f>
        <v>0</v>
      </c>
      <c r="AB52">
        <f>SUMPRODUCT((('Jul 8'!$F$8:$F$42=$T14)*(0.5+0.5*('Jul 8'!$G$8:$G$42=""))+('Jul 8'!$G$8:$G$42=$T14)*0.5)*('Jul 8'!$AG$8:$AG$42="Delivered")*LOOKUP((('Jul 8'!$Q$8:$Q$42+'Jul 8'!$R$8:$R$42)*(('Jul 8'!$Q$8:$Q$42+'Jul 8'!$R$8:$R$42)&gt;0)),'Pay Plan'!$D$5:$K$5,INDEX('Pay Plan'!$D$6:$K$12,$BB14,0)))</f>
        <v>0</v>
      </c>
      <c r="AC52">
        <f>SUMPRODUCT((('Jul 9'!$F$8:$F$42=$T14)*(0.5+0.5*('Jul 9'!$G$8:$G$42=""))+('Jul 9'!$G$8:$G$42=$T14)*0.5)*('Jul 9'!$AG$8:$AG$42="Delivered")*LOOKUP((('Jul 9'!$Q$8:$Q$42+'Jul 9'!$R$8:$R$42)*(('Jul 9'!$Q$8:$Q$42+'Jul 9'!$R$8:$R$42)&gt;0)),'Pay Plan'!$D$5:$K$5,INDEX('Pay Plan'!$D$6:$K$12,$BB14,0)))</f>
        <v>0</v>
      </c>
      <c r="AD52">
        <f>SUMPRODUCT((('Jul 10'!$F$8:$F$42=$T14)*(0.5+0.5*('Jul 10'!$G$8:$G$42=""))+('Jul 10'!$G$8:$G$42=$T14)*0.5)*('Jul 10'!$AG$8:$AG$42="Delivered")*LOOKUP((('Jul 10'!$Q$8:$Q$42+'Jul 10'!$R$8:$R$42)*(('Jul 10'!$Q$8:$Q$42+'Jul 10'!$R$8:$R$42)&gt;0)),'Pay Plan'!$D$5:$K$5,INDEX('Pay Plan'!$D$6:$K$12,$BB14,0)))</f>
        <v>0</v>
      </c>
      <c r="AE52">
        <f>SUMPRODUCT((('Jul 11'!$F$8:$F$42=$T14)*(0.5+0.5*('Jul 11'!$G$8:$G$42=""))+('Jul 11'!$G$8:$G$42=$T14)*0.5)*('Jul 11'!$AG$8:$AG$42="Delivered")*LOOKUP((('Jul 11'!$Q$8:$Q$42+'Jul 11'!$R$8:$R$42)*(('Jul 11'!$Q$8:$Q$42+'Jul 11'!$R$8:$R$42)&gt;0)),'Pay Plan'!$D$5:$K$5,INDEX('Pay Plan'!$D$6:$K$12,$BB14,0)))</f>
        <v>0</v>
      </c>
      <c r="AF52">
        <f>SUMPRODUCT((('Jul 12'!$F$8:$F$42=$T14)*(0.5+0.5*('Jul 12'!$G$8:$G$42=""))+('Jul 12'!$G$8:$G$42=$T14)*0.5)*('Jul 12'!$AG$8:$AG$42="Delivered")*LOOKUP((('Jul 12'!$Q$8:$Q$42+'Jul 12'!$R$8:$R$42)*(('Jul 12'!$Q$8:$Q$42+'Jul 12'!$R$8:$R$42)&gt;0)),'Pay Plan'!$D$5:$K$5,INDEX('Pay Plan'!$D$6:$K$12,$BB14,0)))</f>
        <v>0</v>
      </c>
      <c r="AG52">
        <f>SUMPRODUCT((('Jul 13'!$F$8:$F$42=$T14)*(0.5+0.5*('Jul 13'!$G$8:$G$42=""))+('Jul 13'!$G$8:$G$42=$T14)*0.5)*('Jul 13'!$AG$8:$AG$42="Delivered")*LOOKUP((('Jul 13'!$Q$8:$Q$42+'Jul 13'!$R$8:$R$42)*(('Jul 13'!$Q$8:$Q$42+'Jul 13'!$R$8:$R$42)&gt;0)),'Pay Plan'!$D$5:$K$5,INDEX('Pay Plan'!$D$6:$K$12,$BB14,0)))</f>
        <v>0</v>
      </c>
      <c r="AH52">
        <f>SUMPRODUCT((('Jul 14'!$F$8:$F$42=$T14)*(0.5+0.5*('Jul 14'!$G$8:$G$42=""))+('Jul 14'!$G$8:$G$42=$T14)*0.5)*('Jul 14'!$AG$8:$AG$42="Delivered")*LOOKUP((('Jul 14'!$Q$8:$Q$42+'Jul 14'!$R$8:$R$42)*(('Jul 14'!$Q$8:$Q$42+'Jul 14'!$R$8:$R$42)&gt;0)),'Pay Plan'!$D$5:$K$5,INDEX('Pay Plan'!$D$6:$K$12,$BB14,0)))</f>
        <v>0</v>
      </c>
      <c r="AI52">
        <f>SUMPRODUCT((('Jul 15'!$F$8:$F$42=$T14)*(0.5+0.5*('Jul 15'!$G$8:$G$42=""))+('Jul 15'!$G$8:$G$42=$T14)*0.5)*('Jul 15'!$AG$8:$AG$42="Delivered")*LOOKUP((('Jul 15'!$Q$8:$Q$42+'Jul 15'!$R$8:$R$42)*(('Jul 15'!$Q$8:$Q$42+'Jul 15'!$R$8:$R$42)&gt;0)),'Pay Plan'!$D$5:$K$5,INDEX('Pay Plan'!$D$6:$K$12,$BB14,0)))</f>
        <v>0</v>
      </c>
      <c r="AJ52">
        <f>SUMPRODUCT((('Jul 16'!$F$8:$F$42=$T14)*(0.5+0.5*('Jul 16'!$G$8:$G$42=""))+('Jul 16'!$G$8:$G$42=$T14)*0.5)*('Jul 16'!$AG$8:$AG$42="Delivered")*LOOKUP((('Jul 16'!$Q$8:$Q$42+'Jul 16'!$R$8:$R$42)*(('Jul 16'!$Q$8:$Q$42+'Jul 16'!$R$8:$R$42)&gt;0)),'Pay Plan'!$D$5:$K$5,INDEX('Pay Plan'!$D$6:$K$12,$BB14,0)))</f>
        <v>0</v>
      </c>
      <c r="AK52">
        <f>SUMPRODUCT((('Jul 17'!$F$8:$F$42=$T14)*(0.5+0.5*('Jul 17'!$G$8:$G$42=""))+('Jul 17'!$G$8:$G$42=$T14)*0.5)*('Jul 17'!$AG$8:$AG$42="Delivered")*LOOKUP((('Jul 17'!$Q$8:$Q$42+'Jul 17'!$R$8:$R$42)*(('Jul 17'!$Q$8:$Q$42+'Jul 17'!$R$8:$R$42)&gt;0)),'Pay Plan'!$D$5:$K$5,INDEX('Pay Plan'!$D$6:$K$12,$BB14,0)))</f>
        <v>0</v>
      </c>
      <c r="AL52">
        <f>SUMPRODUCT((('Jul 18'!$F$8:$F$42=$T14)*(0.5+0.5*('Jul 18'!$G$8:$G$42=""))+('Jul 18'!$G$8:$G$42=$T14)*0.5)*('Jul 18'!$AG$8:$AG$42="Delivered")*LOOKUP((('Jul 18'!$Q$8:$Q$42+'Jul 18'!$R$8:$R$42)*(('Jul 18'!$Q$8:$Q$42+'Jul 18'!$R$8:$R$42)&gt;0)),'Pay Plan'!$D$5:$K$5,INDEX('Pay Plan'!$D$6:$K$12,$BB14,0)))</f>
        <v>0</v>
      </c>
      <c r="AM52">
        <f>SUMPRODUCT((('Jul 19'!$F$8:$F$42=$T14)*(0.5+0.5*('Jul 19'!$G$8:$G$42=""))+('Jul 19'!$G$8:$G$42=$T14)*0.5)*('Jul 19'!$AG$8:$AG$42="Delivered")*LOOKUP((('Jul 19'!$Q$8:$Q$42+'Jul 19'!$R$8:$R$42)*(('Jul 19'!$Q$8:$Q$42+'Jul 19'!$R$8:$R$42)&gt;0)),'Pay Plan'!$D$5:$K$5,INDEX('Pay Plan'!$D$6:$K$12,$BB14,0)))</f>
        <v>0</v>
      </c>
      <c r="AN52">
        <f>SUMPRODUCT((('Jul 20'!$F$8:$F$42=$T14)*(0.5+0.5*('Jul 20'!$G$8:$G$42=""))+('Jul 20'!$G$8:$G$42=$T14)*0.5)*('Jul 20'!$AG$8:$AG$42="Delivered")*LOOKUP((('Jul 20'!$Q$8:$Q$42+'Jul 20'!$R$8:$R$42)*(('Jul 20'!$Q$8:$Q$42+'Jul 20'!$R$8:$R$42)&gt;0)),'Pay Plan'!$D$5:$K$5,INDEX('Pay Plan'!$D$6:$K$12,$BB14,0)))</f>
        <v>0</v>
      </c>
      <c r="AO52">
        <f>SUMPRODUCT((('Jul 21'!$F$8:$F$42=$T14)*(0.5+0.5*('Jul 21'!$G$8:$G$42=""))+('Jul 21'!$G$8:$G$42=$T14)*0.5)*('Jul 21'!$AG$8:$AG$42="Delivered")*LOOKUP((('Jul 21'!$Q$8:$Q$42+'Jul 21'!$R$8:$R$42)*(('Jul 21'!$Q$8:$Q$42+'Jul 21'!$R$8:$R$42)&gt;0)),'Pay Plan'!$D$5:$K$5,INDEX('Pay Plan'!$D$6:$K$12,$BB14,0)))</f>
        <v>0</v>
      </c>
      <c r="AP52">
        <f>SUMPRODUCT((('Jul 22'!$F$8:$F$42=$T14)*(0.5+0.5*('Jul 22'!$G$8:$G$42=""))+('Jul 22'!$G$8:$G$42=$T14)*0.5)*('Jul 22'!$AG$8:$AG$42="Delivered")*LOOKUP((('Jul 22'!$Q$8:$Q$42+'Jul 22'!$R$8:$R$42)*(('Jul 22'!$Q$8:$Q$42+'Jul 22'!$R$8:$R$42)&gt;0)),'Pay Plan'!$D$5:$K$5,INDEX('Pay Plan'!$D$6:$K$12,$BB14,0)))</f>
        <v>0</v>
      </c>
      <c r="AQ52">
        <f>SUMPRODUCT((('Jul 23'!$F$8:$F$42=$T14)*(0.5+0.5*('Jul 23'!$G$8:$G$42=""))+('Jul 23'!$G$8:$G$42=$T14)*0.5)*('Jul 23'!$AG$8:$AG$42="Delivered")*LOOKUP((('Jul 23'!$Q$8:$Q$42+'Jul 23'!$R$8:$R$42)*(('Jul 23'!$Q$8:$Q$42+'Jul 23'!$R$8:$R$42)&gt;0)),'Pay Plan'!$D$5:$K$5,INDEX('Pay Plan'!$D$6:$K$12,$BB14,0)))</f>
        <v>0</v>
      </c>
      <c r="AR52">
        <f>SUMPRODUCT((('Jul 24'!$F$8:$F$42=$T14)*(0.5+0.5*('Jul 24'!$G$8:$G$42=""))+('Jul 24'!$G$8:$G$42=$T14)*0.5)*('Jul 24'!$AG$8:$AG$42="Delivered")*LOOKUP((('Jul 24'!$Q$8:$Q$42+'Jul 24'!$R$8:$R$42)*(('Jul 24'!$Q$8:$Q$42+'Jul 24'!$R$8:$R$42)&gt;0)),'Pay Plan'!$D$5:$K$5,INDEX('Pay Plan'!$D$6:$K$12,$BB14,0)))</f>
        <v>0</v>
      </c>
      <c r="AS52">
        <f>SUMPRODUCT((('Jul 25'!$F$8:$F$42=$T14)*(0.5+0.5*('Jul 25'!$G$8:$G$42=""))+('Jul 25'!$G$8:$G$42=$T14)*0.5)*('Jul 25'!$AG$8:$AG$42="Delivered")*LOOKUP((('Jul 25'!$Q$8:$Q$42+'Jul 25'!$R$8:$R$42)*(('Jul 25'!$Q$8:$Q$42+'Jul 25'!$R$8:$R$42)&gt;0)),'Pay Plan'!$D$5:$K$5,INDEX('Pay Plan'!$D$6:$K$12,$BB14,0)))</f>
        <v>0</v>
      </c>
      <c r="AT52">
        <f>SUMPRODUCT((('Jul 26'!$F$8:$F$42=$T14)*(0.5+0.5*('Jul 26'!$G$8:$G$42=""))+('Jul 26'!$G$8:$G$42=$T14)*0.5)*('Jul 26'!$AG$8:$AG$42="Delivered")*LOOKUP((('Jul 26'!$Q$8:$Q$42+'Jul 26'!$R$8:$R$42)*(('Jul 26'!$Q$8:$Q$42+'Jul 26'!$R$8:$R$42)&gt;0)),'Pay Plan'!$D$5:$K$5,INDEX('Pay Plan'!$D$6:$K$12,$BB14,0)))</f>
        <v>0</v>
      </c>
      <c r="AU52">
        <f>SUMPRODUCT((('Jul 27'!$F$8:$F$42=$T14)*(0.5+0.5*('Jul 27'!$G$8:$G$42=""))+('Jul 27'!$G$8:$G$42=$T14)*0.5)*('Jul 27'!$AG$8:$AG$42="Delivered")*LOOKUP((('Jul 27'!$Q$8:$Q$42+'Jul 27'!$R$8:$R$42)*(('Jul 27'!$Q$8:$Q$42+'Jul 27'!$R$8:$R$42)&gt;0)),'Pay Plan'!$D$5:$K$5,INDEX('Pay Plan'!$D$6:$K$12,$BB14,0)))</f>
        <v>0</v>
      </c>
      <c r="AV52">
        <f>SUMPRODUCT((('Jul 28'!$F$8:$F$42=$T14)*(0.5+0.5*('Jul 28'!$G$8:$G$42=""))+('Jul 28'!$G$8:$G$42=$T14)*0.5)*('Jul 28'!$AG$8:$AG$42="Delivered")*LOOKUP((('Jul 28'!$Q$8:$Q$42+'Jul 28'!$R$8:$R$42)*(('Jul 28'!$Q$8:$Q$42+'Jul 28'!$R$8:$R$42)&gt;0)),'Pay Plan'!$D$5:$K$5,INDEX('Pay Plan'!$D$6:$K$12,$BB14,0)))</f>
        <v>0</v>
      </c>
      <c r="AW52">
        <f>SUMPRODUCT((('Jul 29'!$F$8:$F$42=$T14)*(0.5+0.5*('Jul 29'!$G$8:$G$42=""))+('Jul 29'!$G$8:$G$42=$T14)*0.5)*('Jul 29'!$AG$8:$AG$42="Delivered")*LOOKUP((('Jul 29'!$Q$8:$Q$42+'Jul 29'!$R$8:$R$42)*(('Jul 29'!$Q$8:$Q$42+'Jul 29'!$R$8:$R$42)&gt;0)),'Pay Plan'!$D$5:$K$5,INDEX('Pay Plan'!$D$6:$K$12,$BB14,0)))</f>
        <v>0</v>
      </c>
      <c r="AX52">
        <f>SUMPRODUCT((('Jul 30'!$F$8:$F$42=$T14)*(0.5+0.5*('Jul 30'!$G$8:$G$42=""))+('Jul 30'!$G$8:$G$42=$T14)*0.5)*('Jul 30'!$AG$8:$AG$42="Delivered")*LOOKUP((('Jul 30'!$Q$8:$Q$42+'Jul 30'!$R$8:$R$42)*(('Jul 30'!$Q$8:$Q$42+'Jul 30'!$R$8:$R$42)&gt;0)),'Pay Plan'!$D$5:$K$5,INDEX('Pay Plan'!$D$6:$K$12,$BB14,0)))</f>
        <v>0</v>
      </c>
      <c r="AY52">
        <f>SUMPRODUCT((('Jul 31'!$F$8:$F$42=$T14)*(0.5+0.5*('Jul 31'!$G$8:$G$42=""))+('Jul 31'!$G$8:$G$42=$T14)*0.5)*('Jul 31'!$AG$8:$AG$42="Delivered")*LOOKUP((('Jul 31'!$Q$8:$Q$42+'Jul 31'!$R$8:$R$42)*(('Jul 31'!$Q$8:$Q$42+'Jul 31'!$R$8:$R$42)&gt;0)),'Pay Plan'!$D$5:$K$5,INDEX('Pay Plan'!$D$6:$K$12,$BB14,0)))</f>
        <v>0</v>
      </c>
    </row>
    <row r="53" spans="21:51" x14ac:dyDescent="0.25">
      <c r="U53">
        <f>SUMPRODUCT((('Jul 1'!$F$8:$F$42=$T15)*(0.5+0.5*('Jul 1'!$G$8:$G$42=""))+('Jul 1'!$G$8:$G$42=$T15)*0.5)*('Jul 1'!$AG$8:$AG$42="Delivered")*LOOKUP((('Jul 1'!$Q$8:$Q$42+'Jul 1'!$R$8:$R$42)*(('Jul 1'!$Q$8:$Q$42+'Jul 1'!$R$8:$R$42)&gt;0)),'Pay Plan'!$D$5:$K$5,INDEX('Pay Plan'!$D$6:$K$12,$BB15,0)))</f>
        <v>0</v>
      </c>
      <c r="V53">
        <f>SUMPRODUCT((('Jul 2'!$F$8:$F$42=$T15)*(0.5+0.5*('Jul 2'!$G$8:$G$42=""))+('Jul 2'!$G$8:$G$42=$T15)*0.5)*('Jul 2'!$AG$8:$AG$42="Delivered")*LOOKUP((('Jul 2'!$Q$8:$Q$42+'Jul 2'!$R$8:$R$42)*(('Jul 2'!$Q$8:$Q$42+'Jul 2'!$R$8:$R$42)&gt;0)),'Pay Plan'!$D$5:$K$5,INDEX('Pay Plan'!$D$6:$K$12,$BB15,0)))</f>
        <v>0</v>
      </c>
      <c r="W53">
        <f>SUMPRODUCT((('Jul 3'!$F$8:$F$42=$T15)*(0.5+0.5*('Jul 3'!$G$8:$G$42=""))+('Jul 3'!$G$8:$G$42=$T15)*0.5)*('Jul 3'!$AG$8:$AG$42="Delivered")*LOOKUP((('Jul 3'!$Q$8:$Q$42+'Jul 3'!$R$8:$R$42)*(('Jul 3'!$Q$8:$Q$42+'Jul 3'!$R$8:$R$42)&gt;0)),'Pay Plan'!$D$5:$K$5,INDEX('Pay Plan'!$D$6:$K$12,$BB15,0)))</f>
        <v>0</v>
      </c>
      <c r="X53">
        <f>SUMPRODUCT((('Jul 4'!$F$8:$F$42=$T15)*(0.5+0.5*('Jul 4'!$G$8:$G$42=""))+('Jul 4'!$G$8:$G$42=$T15)*0.5)*('Jul 4'!$AG$8:$AG$42="Delivered")*LOOKUP((('Jul 4'!$Q$8:$Q$42+'Jul 4'!$R$8:$R$42)*(('Jul 4'!$Q$8:$Q$42+'Jul 4'!$R$8:$R$42)&gt;0)),'Pay Plan'!$D$5:$K$5,INDEX('Pay Plan'!$D$6:$K$12,$BB15,0)))</f>
        <v>0</v>
      </c>
      <c r="Y53">
        <f>SUMPRODUCT((('Jul 5'!$F$8:$F$42=$T15)*(0.5+0.5*('Jul 5'!$G$8:$G$42=""))+('Jul 5'!$G$8:$G$42=$T15)*0.5)*('Jul 5'!$AG$8:$AG$42="Delivered")*LOOKUP((('Jul 5'!$Q$8:$Q$42+'Jul 5'!$R$8:$R$42)*(('Jul 5'!$Q$8:$Q$42+'Jul 5'!$R$8:$R$42)&gt;0)),'Pay Plan'!$D$5:$K$5,INDEX('Pay Plan'!$D$6:$K$12,$BB15,0)))</f>
        <v>0</v>
      </c>
      <c r="Z53">
        <f>SUMPRODUCT((('Jul 6'!$F$8:$F$42=$T15)*(0.5+0.5*('Jul 6'!$G$8:$G$42=""))+('Jul 6'!$G$8:$G$42=$T15)*0.5)*('Jul 6'!$AG$8:$AG$42="Delivered")*LOOKUP((('Jul 6'!$Q$8:$Q$42+'Jul 6'!$R$8:$R$42)*(('Jul 6'!$Q$8:$Q$42+'Jul 6'!$R$8:$R$42)&gt;0)),'Pay Plan'!$D$5:$K$5,INDEX('Pay Plan'!$D$6:$K$12,$BB15,0)))</f>
        <v>0</v>
      </c>
      <c r="AA53">
        <f>SUMPRODUCT((('Jul 7'!$F$8:$F$42=$T15)*(0.5+0.5*('Jul 7'!$G$8:$G$42=""))+('Jul 7'!$G$8:$G$42=$T15)*0.5)*('Jul 7'!$AG$8:$AG$42="Delivered")*LOOKUP((('Jul 7'!$Q$8:$Q$42+'Jul 7'!$R$8:$R$42)*(('Jul 7'!$Q$8:$Q$42+'Jul 7'!$R$8:$R$42)&gt;0)),'Pay Plan'!$D$5:$K$5,INDEX('Pay Plan'!$D$6:$K$12,$BB15,0)))</f>
        <v>0</v>
      </c>
      <c r="AB53">
        <f>SUMPRODUCT((('Jul 8'!$F$8:$F$42=$T15)*(0.5+0.5*('Jul 8'!$G$8:$G$42=""))+('Jul 8'!$G$8:$G$42=$T15)*0.5)*('Jul 8'!$AG$8:$AG$42="Delivered")*LOOKUP((('Jul 8'!$Q$8:$Q$42+'Jul 8'!$R$8:$R$42)*(('Jul 8'!$Q$8:$Q$42+'Jul 8'!$R$8:$R$42)&gt;0)),'Pay Plan'!$D$5:$K$5,INDEX('Pay Plan'!$D$6:$K$12,$BB15,0)))</f>
        <v>0</v>
      </c>
      <c r="AC53">
        <f>SUMPRODUCT((('Jul 9'!$F$8:$F$42=$T15)*(0.5+0.5*('Jul 9'!$G$8:$G$42=""))+('Jul 9'!$G$8:$G$42=$T15)*0.5)*('Jul 9'!$AG$8:$AG$42="Delivered")*LOOKUP((('Jul 9'!$Q$8:$Q$42+'Jul 9'!$R$8:$R$42)*(('Jul 9'!$Q$8:$Q$42+'Jul 9'!$R$8:$R$42)&gt;0)),'Pay Plan'!$D$5:$K$5,INDEX('Pay Plan'!$D$6:$K$12,$BB15,0)))</f>
        <v>0</v>
      </c>
      <c r="AD53">
        <f>SUMPRODUCT((('Jul 10'!$F$8:$F$42=$T15)*(0.5+0.5*('Jul 10'!$G$8:$G$42=""))+('Jul 10'!$G$8:$G$42=$T15)*0.5)*('Jul 10'!$AG$8:$AG$42="Delivered")*LOOKUP((('Jul 10'!$Q$8:$Q$42+'Jul 10'!$R$8:$R$42)*(('Jul 10'!$Q$8:$Q$42+'Jul 10'!$R$8:$R$42)&gt;0)),'Pay Plan'!$D$5:$K$5,INDEX('Pay Plan'!$D$6:$K$12,$BB15,0)))</f>
        <v>0</v>
      </c>
      <c r="AE53">
        <f>SUMPRODUCT((('Jul 11'!$F$8:$F$42=$T15)*(0.5+0.5*('Jul 11'!$G$8:$G$42=""))+('Jul 11'!$G$8:$G$42=$T15)*0.5)*('Jul 11'!$AG$8:$AG$42="Delivered")*LOOKUP((('Jul 11'!$Q$8:$Q$42+'Jul 11'!$R$8:$R$42)*(('Jul 11'!$Q$8:$Q$42+'Jul 11'!$R$8:$R$42)&gt;0)),'Pay Plan'!$D$5:$K$5,INDEX('Pay Plan'!$D$6:$K$12,$BB15,0)))</f>
        <v>0</v>
      </c>
      <c r="AF53">
        <f>SUMPRODUCT((('Jul 12'!$F$8:$F$42=$T15)*(0.5+0.5*('Jul 12'!$G$8:$G$42=""))+('Jul 12'!$G$8:$G$42=$T15)*0.5)*('Jul 12'!$AG$8:$AG$42="Delivered")*LOOKUP((('Jul 12'!$Q$8:$Q$42+'Jul 12'!$R$8:$R$42)*(('Jul 12'!$Q$8:$Q$42+'Jul 12'!$R$8:$R$42)&gt;0)),'Pay Plan'!$D$5:$K$5,INDEX('Pay Plan'!$D$6:$K$12,$BB15,0)))</f>
        <v>0</v>
      </c>
      <c r="AG53">
        <f>SUMPRODUCT((('Jul 13'!$F$8:$F$42=$T15)*(0.5+0.5*('Jul 13'!$G$8:$G$42=""))+('Jul 13'!$G$8:$G$42=$T15)*0.5)*('Jul 13'!$AG$8:$AG$42="Delivered")*LOOKUP((('Jul 13'!$Q$8:$Q$42+'Jul 13'!$R$8:$R$42)*(('Jul 13'!$Q$8:$Q$42+'Jul 13'!$R$8:$R$42)&gt;0)),'Pay Plan'!$D$5:$K$5,INDEX('Pay Plan'!$D$6:$K$12,$BB15,0)))</f>
        <v>0</v>
      </c>
      <c r="AH53">
        <f>SUMPRODUCT((('Jul 14'!$F$8:$F$42=$T15)*(0.5+0.5*('Jul 14'!$G$8:$G$42=""))+('Jul 14'!$G$8:$G$42=$T15)*0.5)*('Jul 14'!$AG$8:$AG$42="Delivered")*LOOKUP((('Jul 14'!$Q$8:$Q$42+'Jul 14'!$R$8:$R$42)*(('Jul 14'!$Q$8:$Q$42+'Jul 14'!$R$8:$R$42)&gt;0)),'Pay Plan'!$D$5:$K$5,INDEX('Pay Plan'!$D$6:$K$12,$BB15,0)))</f>
        <v>0</v>
      </c>
      <c r="AI53">
        <f>SUMPRODUCT((('Jul 15'!$F$8:$F$42=$T15)*(0.5+0.5*('Jul 15'!$G$8:$G$42=""))+('Jul 15'!$G$8:$G$42=$T15)*0.5)*('Jul 15'!$AG$8:$AG$42="Delivered")*LOOKUP((('Jul 15'!$Q$8:$Q$42+'Jul 15'!$R$8:$R$42)*(('Jul 15'!$Q$8:$Q$42+'Jul 15'!$R$8:$R$42)&gt;0)),'Pay Plan'!$D$5:$K$5,INDEX('Pay Plan'!$D$6:$K$12,$BB15,0)))</f>
        <v>0</v>
      </c>
      <c r="AJ53">
        <f>SUMPRODUCT((('Jul 16'!$F$8:$F$42=$T15)*(0.5+0.5*('Jul 16'!$G$8:$G$42=""))+('Jul 16'!$G$8:$G$42=$T15)*0.5)*('Jul 16'!$AG$8:$AG$42="Delivered")*LOOKUP((('Jul 16'!$Q$8:$Q$42+'Jul 16'!$R$8:$R$42)*(('Jul 16'!$Q$8:$Q$42+'Jul 16'!$R$8:$R$42)&gt;0)),'Pay Plan'!$D$5:$K$5,INDEX('Pay Plan'!$D$6:$K$12,$BB15,0)))</f>
        <v>0</v>
      </c>
      <c r="AK53">
        <f>SUMPRODUCT((('Jul 17'!$F$8:$F$42=$T15)*(0.5+0.5*('Jul 17'!$G$8:$G$42=""))+('Jul 17'!$G$8:$G$42=$T15)*0.5)*('Jul 17'!$AG$8:$AG$42="Delivered")*LOOKUP((('Jul 17'!$Q$8:$Q$42+'Jul 17'!$R$8:$R$42)*(('Jul 17'!$Q$8:$Q$42+'Jul 17'!$R$8:$R$42)&gt;0)),'Pay Plan'!$D$5:$K$5,INDEX('Pay Plan'!$D$6:$K$12,$BB15,0)))</f>
        <v>0</v>
      </c>
      <c r="AL53">
        <f>SUMPRODUCT((('Jul 18'!$F$8:$F$42=$T15)*(0.5+0.5*('Jul 18'!$G$8:$G$42=""))+('Jul 18'!$G$8:$G$42=$T15)*0.5)*('Jul 18'!$AG$8:$AG$42="Delivered")*LOOKUP((('Jul 18'!$Q$8:$Q$42+'Jul 18'!$R$8:$R$42)*(('Jul 18'!$Q$8:$Q$42+'Jul 18'!$R$8:$R$42)&gt;0)),'Pay Plan'!$D$5:$K$5,INDEX('Pay Plan'!$D$6:$K$12,$BB15,0)))</f>
        <v>0</v>
      </c>
      <c r="AM53">
        <f>SUMPRODUCT((('Jul 19'!$F$8:$F$42=$T15)*(0.5+0.5*('Jul 19'!$G$8:$G$42=""))+('Jul 19'!$G$8:$G$42=$T15)*0.5)*('Jul 19'!$AG$8:$AG$42="Delivered")*LOOKUP((('Jul 19'!$Q$8:$Q$42+'Jul 19'!$R$8:$R$42)*(('Jul 19'!$Q$8:$Q$42+'Jul 19'!$R$8:$R$42)&gt;0)),'Pay Plan'!$D$5:$K$5,INDEX('Pay Plan'!$D$6:$K$12,$BB15,0)))</f>
        <v>0</v>
      </c>
      <c r="AN53">
        <f>SUMPRODUCT((('Jul 20'!$F$8:$F$42=$T15)*(0.5+0.5*('Jul 20'!$G$8:$G$42=""))+('Jul 20'!$G$8:$G$42=$T15)*0.5)*('Jul 20'!$AG$8:$AG$42="Delivered")*LOOKUP((('Jul 20'!$Q$8:$Q$42+'Jul 20'!$R$8:$R$42)*(('Jul 20'!$Q$8:$Q$42+'Jul 20'!$R$8:$R$42)&gt;0)),'Pay Plan'!$D$5:$K$5,INDEX('Pay Plan'!$D$6:$K$12,$BB15,0)))</f>
        <v>0</v>
      </c>
      <c r="AO53">
        <f>SUMPRODUCT((('Jul 21'!$F$8:$F$42=$T15)*(0.5+0.5*('Jul 21'!$G$8:$G$42=""))+('Jul 21'!$G$8:$G$42=$T15)*0.5)*('Jul 21'!$AG$8:$AG$42="Delivered")*LOOKUP((('Jul 21'!$Q$8:$Q$42+'Jul 21'!$R$8:$R$42)*(('Jul 21'!$Q$8:$Q$42+'Jul 21'!$R$8:$R$42)&gt;0)),'Pay Plan'!$D$5:$K$5,INDEX('Pay Plan'!$D$6:$K$12,$BB15,0)))</f>
        <v>0</v>
      </c>
      <c r="AP53">
        <f>SUMPRODUCT((('Jul 22'!$F$8:$F$42=$T15)*(0.5+0.5*('Jul 22'!$G$8:$G$42=""))+('Jul 22'!$G$8:$G$42=$T15)*0.5)*('Jul 22'!$AG$8:$AG$42="Delivered")*LOOKUP((('Jul 22'!$Q$8:$Q$42+'Jul 22'!$R$8:$R$42)*(('Jul 22'!$Q$8:$Q$42+'Jul 22'!$R$8:$R$42)&gt;0)),'Pay Plan'!$D$5:$K$5,INDEX('Pay Plan'!$D$6:$K$12,$BB15,0)))</f>
        <v>0</v>
      </c>
      <c r="AQ53">
        <f>SUMPRODUCT((('Jul 23'!$F$8:$F$42=$T15)*(0.5+0.5*('Jul 23'!$G$8:$G$42=""))+('Jul 23'!$G$8:$G$42=$T15)*0.5)*('Jul 23'!$AG$8:$AG$42="Delivered")*LOOKUP((('Jul 23'!$Q$8:$Q$42+'Jul 23'!$R$8:$R$42)*(('Jul 23'!$Q$8:$Q$42+'Jul 23'!$R$8:$R$42)&gt;0)),'Pay Plan'!$D$5:$K$5,INDEX('Pay Plan'!$D$6:$K$12,$BB15,0)))</f>
        <v>0</v>
      </c>
      <c r="AR53">
        <f>SUMPRODUCT((('Jul 24'!$F$8:$F$42=$T15)*(0.5+0.5*('Jul 24'!$G$8:$G$42=""))+('Jul 24'!$G$8:$G$42=$T15)*0.5)*('Jul 24'!$AG$8:$AG$42="Delivered")*LOOKUP((('Jul 24'!$Q$8:$Q$42+'Jul 24'!$R$8:$R$42)*(('Jul 24'!$Q$8:$Q$42+'Jul 24'!$R$8:$R$42)&gt;0)),'Pay Plan'!$D$5:$K$5,INDEX('Pay Plan'!$D$6:$K$12,$BB15,0)))</f>
        <v>0</v>
      </c>
      <c r="AS53">
        <f>SUMPRODUCT((('Jul 25'!$F$8:$F$42=$T15)*(0.5+0.5*('Jul 25'!$G$8:$G$42=""))+('Jul 25'!$G$8:$G$42=$T15)*0.5)*('Jul 25'!$AG$8:$AG$42="Delivered")*LOOKUP((('Jul 25'!$Q$8:$Q$42+'Jul 25'!$R$8:$R$42)*(('Jul 25'!$Q$8:$Q$42+'Jul 25'!$R$8:$R$42)&gt;0)),'Pay Plan'!$D$5:$K$5,INDEX('Pay Plan'!$D$6:$K$12,$BB15,0)))</f>
        <v>0</v>
      </c>
      <c r="AT53">
        <f>SUMPRODUCT((('Jul 26'!$F$8:$F$42=$T15)*(0.5+0.5*('Jul 26'!$G$8:$G$42=""))+('Jul 26'!$G$8:$G$42=$T15)*0.5)*('Jul 26'!$AG$8:$AG$42="Delivered")*LOOKUP((('Jul 26'!$Q$8:$Q$42+'Jul 26'!$R$8:$R$42)*(('Jul 26'!$Q$8:$Q$42+'Jul 26'!$R$8:$R$42)&gt;0)),'Pay Plan'!$D$5:$K$5,INDEX('Pay Plan'!$D$6:$K$12,$BB15,0)))</f>
        <v>0</v>
      </c>
      <c r="AU53">
        <f>SUMPRODUCT((('Jul 27'!$F$8:$F$42=$T15)*(0.5+0.5*('Jul 27'!$G$8:$G$42=""))+('Jul 27'!$G$8:$G$42=$T15)*0.5)*('Jul 27'!$AG$8:$AG$42="Delivered")*LOOKUP((('Jul 27'!$Q$8:$Q$42+'Jul 27'!$R$8:$R$42)*(('Jul 27'!$Q$8:$Q$42+'Jul 27'!$R$8:$R$42)&gt;0)),'Pay Plan'!$D$5:$K$5,INDEX('Pay Plan'!$D$6:$K$12,$BB15,0)))</f>
        <v>0</v>
      </c>
      <c r="AV53">
        <f>SUMPRODUCT((('Jul 28'!$F$8:$F$42=$T15)*(0.5+0.5*('Jul 28'!$G$8:$G$42=""))+('Jul 28'!$G$8:$G$42=$T15)*0.5)*('Jul 28'!$AG$8:$AG$42="Delivered")*LOOKUP((('Jul 28'!$Q$8:$Q$42+'Jul 28'!$R$8:$R$42)*(('Jul 28'!$Q$8:$Q$42+'Jul 28'!$R$8:$R$42)&gt;0)),'Pay Plan'!$D$5:$K$5,INDEX('Pay Plan'!$D$6:$K$12,$BB15,0)))</f>
        <v>0</v>
      </c>
      <c r="AW53">
        <f>SUMPRODUCT((('Jul 29'!$F$8:$F$42=$T15)*(0.5+0.5*('Jul 29'!$G$8:$G$42=""))+('Jul 29'!$G$8:$G$42=$T15)*0.5)*('Jul 29'!$AG$8:$AG$42="Delivered")*LOOKUP((('Jul 29'!$Q$8:$Q$42+'Jul 29'!$R$8:$R$42)*(('Jul 29'!$Q$8:$Q$42+'Jul 29'!$R$8:$R$42)&gt;0)),'Pay Plan'!$D$5:$K$5,INDEX('Pay Plan'!$D$6:$K$12,$BB15,0)))</f>
        <v>0</v>
      </c>
      <c r="AX53">
        <f>SUMPRODUCT((('Jul 30'!$F$8:$F$42=$T15)*(0.5+0.5*('Jul 30'!$G$8:$G$42=""))+('Jul 30'!$G$8:$G$42=$T15)*0.5)*('Jul 30'!$AG$8:$AG$42="Delivered")*LOOKUP((('Jul 30'!$Q$8:$Q$42+'Jul 30'!$R$8:$R$42)*(('Jul 30'!$Q$8:$Q$42+'Jul 30'!$R$8:$R$42)&gt;0)),'Pay Plan'!$D$5:$K$5,INDEX('Pay Plan'!$D$6:$K$12,$BB15,0)))</f>
        <v>0</v>
      </c>
      <c r="AY53">
        <f>SUMPRODUCT((('Jul 31'!$F$8:$F$42=$T15)*(0.5+0.5*('Jul 31'!$G$8:$G$42=""))+('Jul 31'!$G$8:$G$42=$T15)*0.5)*('Jul 31'!$AG$8:$AG$42="Delivered")*LOOKUP((('Jul 31'!$Q$8:$Q$42+'Jul 31'!$R$8:$R$42)*(('Jul 31'!$Q$8:$Q$42+'Jul 31'!$R$8:$R$42)&gt;0)),'Pay Plan'!$D$5:$K$5,INDEX('Pay Plan'!$D$6:$K$12,$BB15,0)))</f>
        <v>0</v>
      </c>
    </row>
    <row r="54" spans="21:51" x14ac:dyDescent="0.25">
      <c r="U54">
        <f>SUMPRODUCT((('Jul 1'!$F$8:$F$42=$T16)*(0.5+0.5*('Jul 1'!$G$8:$G$42=""))+('Jul 1'!$G$8:$G$42=$T16)*0.5)*('Jul 1'!$AG$8:$AG$42="Delivered")*LOOKUP((('Jul 1'!$Q$8:$Q$42+'Jul 1'!$R$8:$R$42)*(('Jul 1'!$Q$8:$Q$42+'Jul 1'!$R$8:$R$42)&gt;0)),'Pay Plan'!$D$5:$K$5,INDEX('Pay Plan'!$D$6:$K$12,$BB16,0)))</f>
        <v>0</v>
      </c>
      <c r="V54">
        <f>SUMPRODUCT((('Jul 2'!$F$8:$F$42=$T16)*(0.5+0.5*('Jul 2'!$G$8:$G$42=""))+('Jul 2'!$G$8:$G$42=$T16)*0.5)*('Jul 2'!$AG$8:$AG$42="Delivered")*LOOKUP((('Jul 2'!$Q$8:$Q$42+'Jul 2'!$R$8:$R$42)*(('Jul 2'!$Q$8:$Q$42+'Jul 2'!$R$8:$R$42)&gt;0)),'Pay Plan'!$D$5:$K$5,INDEX('Pay Plan'!$D$6:$K$12,$BB16,0)))</f>
        <v>0</v>
      </c>
      <c r="W54">
        <f>SUMPRODUCT((('Jul 3'!$F$8:$F$42=$T16)*(0.5+0.5*('Jul 3'!$G$8:$G$42=""))+('Jul 3'!$G$8:$G$42=$T16)*0.5)*('Jul 3'!$AG$8:$AG$42="Delivered")*LOOKUP((('Jul 3'!$Q$8:$Q$42+'Jul 3'!$R$8:$R$42)*(('Jul 3'!$Q$8:$Q$42+'Jul 3'!$R$8:$R$42)&gt;0)),'Pay Plan'!$D$5:$K$5,INDEX('Pay Plan'!$D$6:$K$12,$BB16,0)))</f>
        <v>0</v>
      </c>
      <c r="X54">
        <f>SUMPRODUCT((('Jul 4'!$F$8:$F$42=$T16)*(0.5+0.5*('Jul 4'!$G$8:$G$42=""))+('Jul 4'!$G$8:$G$42=$T16)*0.5)*('Jul 4'!$AG$8:$AG$42="Delivered")*LOOKUP((('Jul 4'!$Q$8:$Q$42+'Jul 4'!$R$8:$R$42)*(('Jul 4'!$Q$8:$Q$42+'Jul 4'!$R$8:$R$42)&gt;0)),'Pay Plan'!$D$5:$K$5,INDEX('Pay Plan'!$D$6:$K$12,$BB16,0)))</f>
        <v>0</v>
      </c>
      <c r="Y54">
        <f>SUMPRODUCT((('Jul 5'!$F$8:$F$42=$T16)*(0.5+0.5*('Jul 5'!$G$8:$G$42=""))+('Jul 5'!$G$8:$G$42=$T16)*0.5)*('Jul 5'!$AG$8:$AG$42="Delivered")*LOOKUP((('Jul 5'!$Q$8:$Q$42+'Jul 5'!$R$8:$R$42)*(('Jul 5'!$Q$8:$Q$42+'Jul 5'!$R$8:$R$42)&gt;0)),'Pay Plan'!$D$5:$K$5,INDEX('Pay Plan'!$D$6:$K$12,$BB16,0)))</f>
        <v>0</v>
      </c>
      <c r="Z54">
        <f>SUMPRODUCT((('Jul 6'!$F$8:$F$42=$T16)*(0.5+0.5*('Jul 6'!$G$8:$G$42=""))+('Jul 6'!$G$8:$G$42=$T16)*0.5)*('Jul 6'!$AG$8:$AG$42="Delivered")*LOOKUP((('Jul 6'!$Q$8:$Q$42+'Jul 6'!$R$8:$R$42)*(('Jul 6'!$Q$8:$Q$42+'Jul 6'!$R$8:$R$42)&gt;0)),'Pay Plan'!$D$5:$K$5,INDEX('Pay Plan'!$D$6:$K$12,$BB16,0)))</f>
        <v>0</v>
      </c>
      <c r="AA54">
        <f>SUMPRODUCT((('Jul 7'!$F$8:$F$42=$T16)*(0.5+0.5*('Jul 7'!$G$8:$G$42=""))+('Jul 7'!$G$8:$G$42=$T16)*0.5)*('Jul 7'!$AG$8:$AG$42="Delivered")*LOOKUP((('Jul 7'!$Q$8:$Q$42+'Jul 7'!$R$8:$R$42)*(('Jul 7'!$Q$8:$Q$42+'Jul 7'!$R$8:$R$42)&gt;0)),'Pay Plan'!$D$5:$K$5,INDEX('Pay Plan'!$D$6:$K$12,$BB16,0)))</f>
        <v>0</v>
      </c>
      <c r="AB54">
        <f>SUMPRODUCT((('Jul 8'!$F$8:$F$42=$T16)*(0.5+0.5*('Jul 8'!$G$8:$G$42=""))+('Jul 8'!$G$8:$G$42=$T16)*0.5)*('Jul 8'!$AG$8:$AG$42="Delivered")*LOOKUP((('Jul 8'!$Q$8:$Q$42+'Jul 8'!$R$8:$R$42)*(('Jul 8'!$Q$8:$Q$42+'Jul 8'!$R$8:$R$42)&gt;0)),'Pay Plan'!$D$5:$K$5,INDEX('Pay Plan'!$D$6:$K$12,$BB16,0)))</f>
        <v>0</v>
      </c>
      <c r="AC54">
        <f>SUMPRODUCT((('Jul 9'!$F$8:$F$42=$T16)*(0.5+0.5*('Jul 9'!$G$8:$G$42=""))+('Jul 9'!$G$8:$G$42=$T16)*0.5)*('Jul 9'!$AG$8:$AG$42="Delivered")*LOOKUP((('Jul 9'!$Q$8:$Q$42+'Jul 9'!$R$8:$R$42)*(('Jul 9'!$Q$8:$Q$42+'Jul 9'!$R$8:$R$42)&gt;0)),'Pay Plan'!$D$5:$K$5,INDEX('Pay Plan'!$D$6:$K$12,$BB16,0)))</f>
        <v>0</v>
      </c>
      <c r="AD54">
        <f>SUMPRODUCT((('Jul 10'!$F$8:$F$42=$T16)*(0.5+0.5*('Jul 10'!$G$8:$G$42=""))+('Jul 10'!$G$8:$G$42=$T16)*0.5)*('Jul 10'!$AG$8:$AG$42="Delivered")*LOOKUP((('Jul 10'!$Q$8:$Q$42+'Jul 10'!$R$8:$R$42)*(('Jul 10'!$Q$8:$Q$42+'Jul 10'!$R$8:$R$42)&gt;0)),'Pay Plan'!$D$5:$K$5,INDEX('Pay Plan'!$D$6:$K$12,$BB16,0)))</f>
        <v>0</v>
      </c>
      <c r="AE54">
        <f>SUMPRODUCT((('Jul 11'!$F$8:$F$42=$T16)*(0.5+0.5*('Jul 11'!$G$8:$G$42=""))+('Jul 11'!$G$8:$G$42=$T16)*0.5)*('Jul 11'!$AG$8:$AG$42="Delivered")*LOOKUP((('Jul 11'!$Q$8:$Q$42+'Jul 11'!$R$8:$R$42)*(('Jul 11'!$Q$8:$Q$42+'Jul 11'!$R$8:$R$42)&gt;0)),'Pay Plan'!$D$5:$K$5,INDEX('Pay Plan'!$D$6:$K$12,$BB16,0)))</f>
        <v>0</v>
      </c>
      <c r="AF54">
        <f>SUMPRODUCT((('Jul 12'!$F$8:$F$42=$T16)*(0.5+0.5*('Jul 12'!$G$8:$G$42=""))+('Jul 12'!$G$8:$G$42=$T16)*0.5)*('Jul 12'!$AG$8:$AG$42="Delivered")*LOOKUP((('Jul 12'!$Q$8:$Q$42+'Jul 12'!$R$8:$R$42)*(('Jul 12'!$Q$8:$Q$42+'Jul 12'!$R$8:$R$42)&gt;0)),'Pay Plan'!$D$5:$K$5,INDEX('Pay Plan'!$D$6:$K$12,$BB16,0)))</f>
        <v>0</v>
      </c>
      <c r="AG54">
        <f>SUMPRODUCT((('Jul 13'!$F$8:$F$42=$T16)*(0.5+0.5*('Jul 13'!$G$8:$G$42=""))+('Jul 13'!$G$8:$G$42=$T16)*0.5)*('Jul 13'!$AG$8:$AG$42="Delivered")*LOOKUP((('Jul 13'!$Q$8:$Q$42+'Jul 13'!$R$8:$R$42)*(('Jul 13'!$Q$8:$Q$42+'Jul 13'!$R$8:$R$42)&gt;0)),'Pay Plan'!$D$5:$K$5,INDEX('Pay Plan'!$D$6:$K$12,$BB16,0)))</f>
        <v>0</v>
      </c>
      <c r="AH54">
        <f>SUMPRODUCT((('Jul 14'!$F$8:$F$42=$T16)*(0.5+0.5*('Jul 14'!$G$8:$G$42=""))+('Jul 14'!$G$8:$G$42=$T16)*0.5)*('Jul 14'!$AG$8:$AG$42="Delivered")*LOOKUP((('Jul 14'!$Q$8:$Q$42+'Jul 14'!$R$8:$R$42)*(('Jul 14'!$Q$8:$Q$42+'Jul 14'!$R$8:$R$42)&gt;0)),'Pay Plan'!$D$5:$K$5,INDEX('Pay Plan'!$D$6:$K$12,$BB16,0)))</f>
        <v>0</v>
      </c>
      <c r="AI54">
        <f>SUMPRODUCT((('Jul 15'!$F$8:$F$42=$T16)*(0.5+0.5*('Jul 15'!$G$8:$G$42=""))+('Jul 15'!$G$8:$G$42=$T16)*0.5)*('Jul 15'!$AG$8:$AG$42="Delivered")*LOOKUP((('Jul 15'!$Q$8:$Q$42+'Jul 15'!$R$8:$R$42)*(('Jul 15'!$Q$8:$Q$42+'Jul 15'!$R$8:$R$42)&gt;0)),'Pay Plan'!$D$5:$K$5,INDEX('Pay Plan'!$D$6:$K$12,$BB16,0)))</f>
        <v>0</v>
      </c>
      <c r="AJ54">
        <f>SUMPRODUCT((('Jul 16'!$F$8:$F$42=$T16)*(0.5+0.5*('Jul 16'!$G$8:$G$42=""))+('Jul 16'!$G$8:$G$42=$T16)*0.5)*('Jul 16'!$AG$8:$AG$42="Delivered")*LOOKUP((('Jul 16'!$Q$8:$Q$42+'Jul 16'!$R$8:$R$42)*(('Jul 16'!$Q$8:$Q$42+'Jul 16'!$R$8:$R$42)&gt;0)),'Pay Plan'!$D$5:$K$5,INDEX('Pay Plan'!$D$6:$K$12,$BB16,0)))</f>
        <v>0</v>
      </c>
      <c r="AK54">
        <f>SUMPRODUCT((('Jul 17'!$F$8:$F$42=$T16)*(0.5+0.5*('Jul 17'!$G$8:$G$42=""))+('Jul 17'!$G$8:$G$42=$T16)*0.5)*('Jul 17'!$AG$8:$AG$42="Delivered")*LOOKUP((('Jul 17'!$Q$8:$Q$42+'Jul 17'!$R$8:$R$42)*(('Jul 17'!$Q$8:$Q$42+'Jul 17'!$R$8:$R$42)&gt;0)),'Pay Plan'!$D$5:$K$5,INDEX('Pay Plan'!$D$6:$K$12,$BB16,0)))</f>
        <v>0</v>
      </c>
      <c r="AL54">
        <f>SUMPRODUCT((('Jul 18'!$F$8:$F$42=$T16)*(0.5+0.5*('Jul 18'!$G$8:$G$42=""))+('Jul 18'!$G$8:$G$42=$T16)*0.5)*('Jul 18'!$AG$8:$AG$42="Delivered")*LOOKUP((('Jul 18'!$Q$8:$Q$42+'Jul 18'!$R$8:$R$42)*(('Jul 18'!$Q$8:$Q$42+'Jul 18'!$R$8:$R$42)&gt;0)),'Pay Plan'!$D$5:$K$5,INDEX('Pay Plan'!$D$6:$K$12,$BB16,0)))</f>
        <v>0</v>
      </c>
      <c r="AM54">
        <f>SUMPRODUCT((('Jul 19'!$F$8:$F$42=$T16)*(0.5+0.5*('Jul 19'!$G$8:$G$42=""))+('Jul 19'!$G$8:$G$42=$T16)*0.5)*('Jul 19'!$AG$8:$AG$42="Delivered")*LOOKUP((('Jul 19'!$Q$8:$Q$42+'Jul 19'!$R$8:$R$42)*(('Jul 19'!$Q$8:$Q$42+'Jul 19'!$R$8:$R$42)&gt;0)),'Pay Plan'!$D$5:$K$5,INDEX('Pay Plan'!$D$6:$K$12,$BB16,0)))</f>
        <v>0</v>
      </c>
      <c r="AN54">
        <f>SUMPRODUCT((('Jul 20'!$F$8:$F$42=$T16)*(0.5+0.5*('Jul 20'!$G$8:$G$42=""))+('Jul 20'!$G$8:$G$42=$T16)*0.5)*('Jul 20'!$AG$8:$AG$42="Delivered")*LOOKUP((('Jul 20'!$Q$8:$Q$42+'Jul 20'!$R$8:$R$42)*(('Jul 20'!$Q$8:$Q$42+'Jul 20'!$R$8:$R$42)&gt;0)),'Pay Plan'!$D$5:$K$5,INDEX('Pay Plan'!$D$6:$K$12,$BB16,0)))</f>
        <v>0</v>
      </c>
      <c r="AO54">
        <f>SUMPRODUCT((('Jul 21'!$F$8:$F$42=$T16)*(0.5+0.5*('Jul 21'!$G$8:$G$42=""))+('Jul 21'!$G$8:$G$42=$T16)*0.5)*('Jul 21'!$AG$8:$AG$42="Delivered")*LOOKUP((('Jul 21'!$Q$8:$Q$42+'Jul 21'!$R$8:$R$42)*(('Jul 21'!$Q$8:$Q$42+'Jul 21'!$R$8:$R$42)&gt;0)),'Pay Plan'!$D$5:$K$5,INDEX('Pay Plan'!$D$6:$K$12,$BB16,0)))</f>
        <v>0</v>
      </c>
      <c r="AP54">
        <f>SUMPRODUCT((('Jul 22'!$F$8:$F$42=$T16)*(0.5+0.5*('Jul 22'!$G$8:$G$42=""))+('Jul 22'!$G$8:$G$42=$T16)*0.5)*('Jul 22'!$AG$8:$AG$42="Delivered")*LOOKUP((('Jul 22'!$Q$8:$Q$42+'Jul 22'!$R$8:$R$42)*(('Jul 22'!$Q$8:$Q$42+'Jul 22'!$R$8:$R$42)&gt;0)),'Pay Plan'!$D$5:$K$5,INDEX('Pay Plan'!$D$6:$K$12,$BB16,0)))</f>
        <v>0</v>
      </c>
      <c r="AQ54">
        <f>SUMPRODUCT((('Jul 23'!$F$8:$F$42=$T16)*(0.5+0.5*('Jul 23'!$G$8:$G$42=""))+('Jul 23'!$G$8:$G$42=$T16)*0.5)*('Jul 23'!$AG$8:$AG$42="Delivered")*LOOKUP((('Jul 23'!$Q$8:$Q$42+'Jul 23'!$R$8:$R$42)*(('Jul 23'!$Q$8:$Q$42+'Jul 23'!$R$8:$R$42)&gt;0)),'Pay Plan'!$D$5:$K$5,INDEX('Pay Plan'!$D$6:$K$12,$BB16,0)))</f>
        <v>0</v>
      </c>
      <c r="AR54">
        <f>SUMPRODUCT((('Jul 24'!$F$8:$F$42=$T16)*(0.5+0.5*('Jul 24'!$G$8:$G$42=""))+('Jul 24'!$G$8:$G$42=$T16)*0.5)*('Jul 24'!$AG$8:$AG$42="Delivered")*LOOKUP((('Jul 24'!$Q$8:$Q$42+'Jul 24'!$R$8:$R$42)*(('Jul 24'!$Q$8:$Q$42+'Jul 24'!$R$8:$R$42)&gt;0)),'Pay Plan'!$D$5:$K$5,INDEX('Pay Plan'!$D$6:$K$12,$BB16,0)))</f>
        <v>0</v>
      </c>
      <c r="AS54">
        <f>SUMPRODUCT((('Jul 25'!$F$8:$F$42=$T16)*(0.5+0.5*('Jul 25'!$G$8:$G$42=""))+('Jul 25'!$G$8:$G$42=$T16)*0.5)*('Jul 25'!$AG$8:$AG$42="Delivered")*LOOKUP((('Jul 25'!$Q$8:$Q$42+'Jul 25'!$R$8:$R$42)*(('Jul 25'!$Q$8:$Q$42+'Jul 25'!$R$8:$R$42)&gt;0)),'Pay Plan'!$D$5:$K$5,INDEX('Pay Plan'!$D$6:$K$12,$BB16,0)))</f>
        <v>0</v>
      </c>
      <c r="AT54">
        <f>SUMPRODUCT((('Jul 26'!$F$8:$F$42=$T16)*(0.5+0.5*('Jul 26'!$G$8:$G$42=""))+('Jul 26'!$G$8:$G$42=$T16)*0.5)*('Jul 26'!$AG$8:$AG$42="Delivered")*LOOKUP((('Jul 26'!$Q$8:$Q$42+'Jul 26'!$R$8:$R$42)*(('Jul 26'!$Q$8:$Q$42+'Jul 26'!$R$8:$R$42)&gt;0)),'Pay Plan'!$D$5:$K$5,INDEX('Pay Plan'!$D$6:$K$12,$BB16,0)))</f>
        <v>0</v>
      </c>
      <c r="AU54">
        <f>SUMPRODUCT((('Jul 27'!$F$8:$F$42=$T16)*(0.5+0.5*('Jul 27'!$G$8:$G$42=""))+('Jul 27'!$G$8:$G$42=$T16)*0.5)*('Jul 27'!$AG$8:$AG$42="Delivered")*LOOKUP((('Jul 27'!$Q$8:$Q$42+'Jul 27'!$R$8:$R$42)*(('Jul 27'!$Q$8:$Q$42+'Jul 27'!$R$8:$R$42)&gt;0)),'Pay Plan'!$D$5:$K$5,INDEX('Pay Plan'!$D$6:$K$12,$BB16,0)))</f>
        <v>0</v>
      </c>
      <c r="AV54">
        <f>SUMPRODUCT((('Jul 28'!$F$8:$F$42=$T16)*(0.5+0.5*('Jul 28'!$G$8:$G$42=""))+('Jul 28'!$G$8:$G$42=$T16)*0.5)*('Jul 28'!$AG$8:$AG$42="Delivered")*LOOKUP((('Jul 28'!$Q$8:$Q$42+'Jul 28'!$R$8:$R$42)*(('Jul 28'!$Q$8:$Q$42+'Jul 28'!$R$8:$R$42)&gt;0)),'Pay Plan'!$D$5:$K$5,INDEX('Pay Plan'!$D$6:$K$12,$BB16,0)))</f>
        <v>0</v>
      </c>
      <c r="AW54">
        <f>SUMPRODUCT((('Jul 29'!$F$8:$F$42=$T16)*(0.5+0.5*('Jul 29'!$G$8:$G$42=""))+('Jul 29'!$G$8:$G$42=$T16)*0.5)*('Jul 29'!$AG$8:$AG$42="Delivered")*LOOKUP((('Jul 29'!$Q$8:$Q$42+'Jul 29'!$R$8:$R$42)*(('Jul 29'!$Q$8:$Q$42+'Jul 29'!$R$8:$R$42)&gt;0)),'Pay Plan'!$D$5:$K$5,INDEX('Pay Plan'!$D$6:$K$12,$BB16,0)))</f>
        <v>0</v>
      </c>
      <c r="AX54">
        <f>SUMPRODUCT((('Jul 30'!$F$8:$F$42=$T16)*(0.5+0.5*('Jul 30'!$G$8:$G$42=""))+('Jul 30'!$G$8:$G$42=$T16)*0.5)*('Jul 30'!$AG$8:$AG$42="Delivered")*LOOKUP((('Jul 30'!$Q$8:$Q$42+'Jul 30'!$R$8:$R$42)*(('Jul 30'!$Q$8:$Q$42+'Jul 30'!$R$8:$R$42)&gt;0)),'Pay Plan'!$D$5:$K$5,INDEX('Pay Plan'!$D$6:$K$12,$BB16,0)))</f>
        <v>0</v>
      </c>
      <c r="AY54">
        <f>SUMPRODUCT((('Jul 31'!$F$8:$F$42=$T16)*(0.5+0.5*('Jul 31'!$G$8:$G$42=""))+('Jul 31'!$G$8:$G$42=$T16)*0.5)*('Jul 31'!$AG$8:$AG$42="Delivered")*LOOKUP((('Jul 31'!$Q$8:$Q$42+'Jul 31'!$R$8:$R$42)*(('Jul 31'!$Q$8:$Q$42+'Jul 31'!$R$8:$R$42)&gt;0)),'Pay Plan'!$D$5:$K$5,INDEX('Pay Plan'!$D$6:$K$12,$BB16,0)))</f>
        <v>0</v>
      </c>
    </row>
    <row r="55" spans="21:51" x14ac:dyDescent="0.25">
      <c r="U55">
        <f>SUMPRODUCT((('Jul 1'!$F$8:$F$42=$T17)*(0.5+0.5*('Jul 1'!$G$8:$G$42=""))+('Jul 1'!$G$8:$G$42=$T17)*0.5)*('Jul 1'!$AG$8:$AG$42="Delivered")*LOOKUP((('Jul 1'!$Q$8:$Q$42+'Jul 1'!$R$8:$R$42)*(('Jul 1'!$Q$8:$Q$42+'Jul 1'!$R$8:$R$42)&gt;0)),'Pay Plan'!$D$5:$K$5,INDEX('Pay Plan'!$D$6:$K$12,$BB17,0)))</f>
        <v>0</v>
      </c>
      <c r="V55">
        <f>SUMPRODUCT((('Jul 2'!$F$8:$F$42=$T17)*(0.5+0.5*('Jul 2'!$G$8:$G$42=""))+('Jul 2'!$G$8:$G$42=$T17)*0.5)*('Jul 2'!$AG$8:$AG$42="Delivered")*LOOKUP((('Jul 2'!$Q$8:$Q$42+'Jul 2'!$R$8:$R$42)*(('Jul 2'!$Q$8:$Q$42+'Jul 2'!$R$8:$R$42)&gt;0)),'Pay Plan'!$D$5:$K$5,INDEX('Pay Plan'!$D$6:$K$12,$BB17,0)))</f>
        <v>0</v>
      </c>
      <c r="W55">
        <f>SUMPRODUCT((('Jul 3'!$F$8:$F$42=$T17)*(0.5+0.5*('Jul 3'!$G$8:$G$42=""))+('Jul 3'!$G$8:$G$42=$T17)*0.5)*('Jul 3'!$AG$8:$AG$42="Delivered")*LOOKUP((('Jul 3'!$Q$8:$Q$42+'Jul 3'!$R$8:$R$42)*(('Jul 3'!$Q$8:$Q$42+'Jul 3'!$R$8:$R$42)&gt;0)),'Pay Plan'!$D$5:$K$5,INDEX('Pay Plan'!$D$6:$K$12,$BB17,0)))</f>
        <v>0</v>
      </c>
      <c r="X55">
        <f>SUMPRODUCT((('Jul 4'!$F$8:$F$42=$T17)*(0.5+0.5*('Jul 4'!$G$8:$G$42=""))+('Jul 4'!$G$8:$G$42=$T17)*0.5)*('Jul 4'!$AG$8:$AG$42="Delivered")*LOOKUP((('Jul 4'!$Q$8:$Q$42+'Jul 4'!$R$8:$R$42)*(('Jul 4'!$Q$8:$Q$42+'Jul 4'!$R$8:$R$42)&gt;0)),'Pay Plan'!$D$5:$K$5,INDEX('Pay Plan'!$D$6:$K$12,$BB17,0)))</f>
        <v>0</v>
      </c>
      <c r="Y55">
        <f>SUMPRODUCT((('Jul 5'!$F$8:$F$42=$T17)*(0.5+0.5*('Jul 5'!$G$8:$G$42=""))+('Jul 5'!$G$8:$G$42=$T17)*0.5)*('Jul 5'!$AG$8:$AG$42="Delivered")*LOOKUP((('Jul 5'!$Q$8:$Q$42+'Jul 5'!$R$8:$R$42)*(('Jul 5'!$Q$8:$Q$42+'Jul 5'!$R$8:$R$42)&gt;0)),'Pay Plan'!$D$5:$K$5,INDEX('Pay Plan'!$D$6:$K$12,$BB17,0)))</f>
        <v>0</v>
      </c>
      <c r="Z55">
        <f>SUMPRODUCT((('Jul 6'!$F$8:$F$42=$T17)*(0.5+0.5*('Jul 6'!$G$8:$G$42=""))+('Jul 6'!$G$8:$G$42=$T17)*0.5)*('Jul 6'!$AG$8:$AG$42="Delivered")*LOOKUP((('Jul 6'!$Q$8:$Q$42+'Jul 6'!$R$8:$R$42)*(('Jul 6'!$Q$8:$Q$42+'Jul 6'!$R$8:$R$42)&gt;0)),'Pay Plan'!$D$5:$K$5,INDEX('Pay Plan'!$D$6:$K$12,$BB17,0)))</f>
        <v>0</v>
      </c>
      <c r="AA55">
        <f>SUMPRODUCT((('Jul 7'!$F$8:$F$42=$T17)*(0.5+0.5*('Jul 7'!$G$8:$G$42=""))+('Jul 7'!$G$8:$G$42=$T17)*0.5)*('Jul 7'!$AG$8:$AG$42="Delivered")*LOOKUP((('Jul 7'!$Q$8:$Q$42+'Jul 7'!$R$8:$R$42)*(('Jul 7'!$Q$8:$Q$42+'Jul 7'!$R$8:$R$42)&gt;0)),'Pay Plan'!$D$5:$K$5,INDEX('Pay Plan'!$D$6:$K$12,$BB17,0)))</f>
        <v>0</v>
      </c>
      <c r="AB55">
        <f>SUMPRODUCT((('Jul 8'!$F$8:$F$42=$T17)*(0.5+0.5*('Jul 8'!$G$8:$G$42=""))+('Jul 8'!$G$8:$G$42=$T17)*0.5)*('Jul 8'!$AG$8:$AG$42="Delivered")*LOOKUP((('Jul 8'!$Q$8:$Q$42+'Jul 8'!$R$8:$R$42)*(('Jul 8'!$Q$8:$Q$42+'Jul 8'!$R$8:$R$42)&gt;0)),'Pay Plan'!$D$5:$K$5,INDEX('Pay Plan'!$D$6:$K$12,$BB17,0)))</f>
        <v>0</v>
      </c>
      <c r="AC55">
        <f>SUMPRODUCT((('Jul 9'!$F$8:$F$42=$T17)*(0.5+0.5*('Jul 9'!$G$8:$G$42=""))+('Jul 9'!$G$8:$G$42=$T17)*0.5)*('Jul 9'!$AG$8:$AG$42="Delivered")*LOOKUP((('Jul 9'!$Q$8:$Q$42+'Jul 9'!$R$8:$R$42)*(('Jul 9'!$Q$8:$Q$42+'Jul 9'!$R$8:$R$42)&gt;0)),'Pay Plan'!$D$5:$K$5,INDEX('Pay Plan'!$D$6:$K$12,$BB17,0)))</f>
        <v>0</v>
      </c>
      <c r="AD55">
        <f>SUMPRODUCT((('Jul 10'!$F$8:$F$42=$T17)*(0.5+0.5*('Jul 10'!$G$8:$G$42=""))+('Jul 10'!$G$8:$G$42=$T17)*0.5)*('Jul 10'!$AG$8:$AG$42="Delivered")*LOOKUP((('Jul 10'!$Q$8:$Q$42+'Jul 10'!$R$8:$R$42)*(('Jul 10'!$Q$8:$Q$42+'Jul 10'!$R$8:$R$42)&gt;0)),'Pay Plan'!$D$5:$K$5,INDEX('Pay Plan'!$D$6:$K$12,$BB17,0)))</f>
        <v>0</v>
      </c>
      <c r="AE55">
        <f>SUMPRODUCT((('Jul 11'!$F$8:$F$42=$T17)*(0.5+0.5*('Jul 11'!$G$8:$G$42=""))+('Jul 11'!$G$8:$G$42=$T17)*0.5)*('Jul 11'!$AG$8:$AG$42="Delivered")*LOOKUP((('Jul 11'!$Q$8:$Q$42+'Jul 11'!$R$8:$R$42)*(('Jul 11'!$Q$8:$Q$42+'Jul 11'!$R$8:$R$42)&gt;0)),'Pay Plan'!$D$5:$K$5,INDEX('Pay Plan'!$D$6:$K$12,$BB17,0)))</f>
        <v>0</v>
      </c>
      <c r="AF55">
        <f>SUMPRODUCT((('Jul 12'!$F$8:$F$42=$T17)*(0.5+0.5*('Jul 12'!$G$8:$G$42=""))+('Jul 12'!$G$8:$G$42=$T17)*0.5)*('Jul 12'!$AG$8:$AG$42="Delivered")*LOOKUP((('Jul 12'!$Q$8:$Q$42+'Jul 12'!$R$8:$R$42)*(('Jul 12'!$Q$8:$Q$42+'Jul 12'!$R$8:$R$42)&gt;0)),'Pay Plan'!$D$5:$K$5,INDEX('Pay Plan'!$D$6:$K$12,$BB17,0)))</f>
        <v>0</v>
      </c>
      <c r="AG55">
        <f>SUMPRODUCT((('Jul 13'!$F$8:$F$42=$T17)*(0.5+0.5*('Jul 13'!$G$8:$G$42=""))+('Jul 13'!$G$8:$G$42=$T17)*0.5)*('Jul 13'!$AG$8:$AG$42="Delivered")*LOOKUP((('Jul 13'!$Q$8:$Q$42+'Jul 13'!$R$8:$R$42)*(('Jul 13'!$Q$8:$Q$42+'Jul 13'!$R$8:$R$42)&gt;0)),'Pay Plan'!$D$5:$K$5,INDEX('Pay Plan'!$D$6:$K$12,$BB17,0)))</f>
        <v>0</v>
      </c>
      <c r="AH55">
        <f>SUMPRODUCT((('Jul 14'!$F$8:$F$42=$T17)*(0.5+0.5*('Jul 14'!$G$8:$G$42=""))+('Jul 14'!$G$8:$G$42=$T17)*0.5)*('Jul 14'!$AG$8:$AG$42="Delivered")*LOOKUP((('Jul 14'!$Q$8:$Q$42+'Jul 14'!$R$8:$R$42)*(('Jul 14'!$Q$8:$Q$42+'Jul 14'!$R$8:$R$42)&gt;0)),'Pay Plan'!$D$5:$K$5,INDEX('Pay Plan'!$D$6:$K$12,$BB17,0)))</f>
        <v>0</v>
      </c>
      <c r="AI55">
        <f>SUMPRODUCT((('Jul 15'!$F$8:$F$42=$T17)*(0.5+0.5*('Jul 15'!$G$8:$G$42=""))+('Jul 15'!$G$8:$G$42=$T17)*0.5)*('Jul 15'!$AG$8:$AG$42="Delivered")*LOOKUP((('Jul 15'!$Q$8:$Q$42+'Jul 15'!$R$8:$R$42)*(('Jul 15'!$Q$8:$Q$42+'Jul 15'!$R$8:$R$42)&gt;0)),'Pay Plan'!$D$5:$K$5,INDEX('Pay Plan'!$D$6:$K$12,$BB17,0)))</f>
        <v>0</v>
      </c>
      <c r="AJ55">
        <f>SUMPRODUCT((('Jul 16'!$F$8:$F$42=$T17)*(0.5+0.5*('Jul 16'!$G$8:$G$42=""))+('Jul 16'!$G$8:$G$42=$T17)*0.5)*('Jul 16'!$AG$8:$AG$42="Delivered")*LOOKUP((('Jul 16'!$Q$8:$Q$42+'Jul 16'!$R$8:$R$42)*(('Jul 16'!$Q$8:$Q$42+'Jul 16'!$R$8:$R$42)&gt;0)),'Pay Plan'!$D$5:$K$5,INDEX('Pay Plan'!$D$6:$K$12,$BB17,0)))</f>
        <v>0</v>
      </c>
      <c r="AK55">
        <f>SUMPRODUCT((('Jul 17'!$F$8:$F$42=$T17)*(0.5+0.5*('Jul 17'!$G$8:$G$42=""))+('Jul 17'!$G$8:$G$42=$T17)*0.5)*('Jul 17'!$AG$8:$AG$42="Delivered")*LOOKUP((('Jul 17'!$Q$8:$Q$42+'Jul 17'!$R$8:$R$42)*(('Jul 17'!$Q$8:$Q$42+'Jul 17'!$R$8:$R$42)&gt;0)),'Pay Plan'!$D$5:$K$5,INDEX('Pay Plan'!$D$6:$K$12,$BB17,0)))</f>
        <v>0</v>
      </c>
      <c r="AL55">
        <f>SUMPRODUCT((('Jul 18'!$F$8:$F$42=$T17)*(0.5+0.5*('Jul 18'!$G$8:$G$42=""))+('Jul 18'!$G$8:$G$42=$T17)*0.5)*('Jul 18'!$AG$8:$AG$42="Delivered")*LOOKUP((('Jul 18'!$Q$8:$Q$42+'Jul 18'!$R$8:$R$42)*(('Jul 18'!$Q$8:$Q$42+'Jul 18'!$R$8:$R$42)&gt;0)),'Pay Plan'!$D$5:$K$5,INDEX('Pay Plan'!$D$6:$K$12,$BB17,0)))</f>
        <v>0</v>
      </c>
      <c r="AM55">
        <f>SUMPRODUCT((('Jul 19'!$F$8:$F$42=$T17)*(0.5+0.5*('Jul 19'!$G$8:$G$42=""))+('Jul 19'!$G$8:$G$42=$T17)*0.5)*('Jul 19'!$AG$8:$AG$42="Delivered")*LOOKUP((('Jul 19'!$Q$8:$Q$42+'Jul 19'!$R$8:$R$42)*(('Jul 19'!$Q$8:$Q$42+'Jul 19'!$R$8:$R$42)&gt;0)),'Pay Plan'!$D$5:$K$5,INDEX('Pay Plan'!$D$6:$K$12,$BB17,0)))</f>
        <v>0</v>
      </c>
      <c r="AN55">
        <f>SUMPRODUCT((('Jul 20'!$F$8:$F$42=$T17)*(0.5+0.5*('Jul 20'!$G$8:$G$42=""))+('Jul 20'!$G$8:$G$42=$T17)*0.5)*('Jul 20'!$AG$8:$AG$42="Delivered")*LOOKUP((('Jul 20'!$Q$8:$Q$42+'Jul 20'!$R$8:$R$42)*(('Jul 20'!$Q$8:$Q$42+'Jul 20'!$R$8:$R$42)&gt;0)),'Pay Plan'!$D$5:$K$5,INDEX('Pay Plan'!$D$6:$K$12,$BB17,0)))</f>
        <v>0</v>
      </c>
      <c r="AO55">
        <f>SUMPRODUCT((('Jul 21'!$F$8:$F$42=$T17)*(0.5+0.5*('Jul 21'!$G$8:$G$42=""))+('Jul 21'!$G$8:$G$42=$T17)*0.5)*('Jul 21'!$AG$8:$AG$42="Delivered")*LOOKUP((('Jul 21'!$Q$8:$Q$42+'Jul 21'!$R$8:$R$42)*(('Jul 21'!$Q$8:$Q$42+'Jul 21'!$R$8:$R$42)&gt;0)),'Pay Plan'!$D$5:$K$5,INDEX('Pay Plan'!$D$6:$K$12,$BB17,0)))</f>
        <v>0</v>
      </c>
      <c r="AP55">
        <f>SUMPRODUCT((('Jul 22'!$F$8:$F$42=$T17)*(0.5+0.5*('Jul 22'!$G$8:$G$42=""))+('Jul 22'!$G$8:$G$42=$T17)*0.5)*('Jul 22'!$AG$8:$AG$42="Delivered")*LOOKUP((('Jul 22'!$Q$8:$Q$42+'Jul 22'!$R$8:$R$42)*(('Jul 22'!$Q$8:$Q$42+'Jul 22'!$R$8:$R$42)&gt;0)),'Pay Plan'!$D$5:$K$5,INDEX('Pay Plan'!$D$6:$K$12,$BB17,0)))</f>
        <v>0</v>
      </c>
      <c r="AQ55">
        <f>SUMPRODUCT((('Jul 23'!$F$8:$F$42=$T17)*(0.5+0.5*('Jul 23'!$G$8:$G$42=""))+('Jul 23'!$G$8:$G$42=$T17)*0.5)*('Jul 23'!$AG$8:$AG$42="Delivered")*LOOKUP((('Jul 23'!$Q$8:$Q$42+'Jul 23'!$R$8:$R$42)*(('Jul 23'!$Q$8:$Q$42+'Jul 23'!$R$8:$R$42)&gt;0)),'Pay Plan'!$D$5:$K$5,INDEX('Pay Plan'!$D$6:$K$12,$BB17,0)))</f>
        <v>0</v>
      </c>
      <c r="AR55">
        <f>SUMPRODUCT((('Jul 24'!$F$8:$F$42=$T17)*(0.5+0.5*('Jul 24'!$G$8:$G$42=""))+('Jul 24'!$G$8:$G$42=$T17)*0.5)*('Jul 24'!$AG$8:$AG$42="Delivered")*LOOKUP((('Jul 24'!$Q$8:$Q$42+'Jul 24'!$R$8:$R$42)*(('Jul 24'!$Q$8:$Q$42+'Jul 24'!$R$8:$R$42)&gt;0)),'Pay Plan'!$D$5:$K$5,INDEX('Pay Plan'!$D$6:$K$12,$BB17,0)))</f>
        <v>0</v>
      </c>
      <c r="AS55">
        <f>SUMPRODUCT((('Jul 25'!$F$8:$F$42=$T17)*(0.5+0.5*('Jul 25'!$G$8:$G$42=""))+('Jul 25'!$G$8:$G$42=$T17)*0.5)*('Jul 25'!$AG$8:$AG$42="Delivered")*LOOKUP((('Jul 25'!$Q$8:$Q$42+'Jul 25'!$R$8:$R$42)*(('Jul 25'!$Q$8:$Q$42+'Jul 25'!$R$8:$R$42)&gt;0)),'Pay Plan'!$D$5:$K$5,INDEX('Pay Plan'!$D$6:$K$12,$BB17,0)))</f>
        <v>0</v>
      </c>
      <c r="AT55">
        <f>SUMPRODUCT((('Jul 26'!$F$8:$F$42=$T17)*(0.5+0.5*('Jul 26'!$G$8:$G$42=""))+('Jul 26'!$G$8:$G$42=$T17)*0.5)*('Jul 26'!$AG$8:$AG$42="Delivered")*LOOKUP((('Jul 26'!$Q$8:$Q$42+'Jul 26'!$R$8:$R$42)*(('Jul 26'!$Q$8:$Q$42+'Jul 26'!$R$8:$R$42)&gt;0)),'Pay Plan'!$D$5:$K$5,INDEX('Pay Plan'!$D$6:$K$12,$BB17,0)))</f>
        <v>0</v>
      </c>
      <c r="AU55">
        <f>SUMPRODUCT((('Jul 27'!$F$8:$F$42=$T17)*(0.5+0.5*('Jul 27'!$G$8:$G$42=""))+('Jul 27'!$G$8:$G$42=$T17)*0.5)*('Jul 27'!$AG$8:$AG$42="Delivered")*LOOKUP((('Jul 27'!$Q$8:$Q$42+'Jul 27'!$R$8:$R$42)*(('Jul 27'!$Q$8:$Q$42+'Jul 27'!$R$8:$R$42)&gt;0)),'Pay Plan'!$D$5:$K$5,INDEX('Pay Plan'!$D$6:$K$12,$BB17,0)))</f>
        <v>0</v>
      </c>
      <c r="AV55">
        <f>SUMPRODUCT((('Jul 28'!$F$8:$F$42=$T17)*(0.5+0.5*('Jul 28'!$G$8:$G$42=""))+('Jul 28'!$G$8:$G$42=$T17)*0.5)*('Jul 28'!$AG$8:$AG$42="Delivered")*LOOKUP((('Jul 28'!$Q$8:$Q$42+'Jul 28'!$R$8:$R$42)*(('Jul 28'!$Q$8:$Q$42+'Jul 28'!$R$8:$R$42)&gt;0)),'Pay Plan'!$D$5:$K$5,INDEX('Pay Plan'!$D$6:$K$12,$BB17,0)))</f>
        <v>0</v>
      </c>
      <c r="AW55">
        <f>SUMPRODUCT((('Jul 29'!$F$8:$F$42=$T17)*(0.5+0.5*('Jul 29'!$G$8:$G$42=""))+('Jul 29'!$G$8:$G$42=$T17)*0.5)*('Jul 29'!$AG$8:$AG$42="Delivered")*LOOKUP((('Jul 29'!$Q$8:$Q$42+'Jul 29'!$R$8:$R$42)*(('Jul 29'!$Q$8:$Q$42+'Jul 29'!$R$8:$R$42)&gt;0)),'Pay Plan'!$D$5:$K$5,INDEX('Pay Plan'!$D$6:$K$12,$BB17,0)))</f>
        <v>0</v>
      </c>
      <c r="AX55">
        <f>SUMPRODUCT((('Jul 30'!$F$8:$F$42=$T17)*(0.5+0.5*('Jul 30'!$G$8:$G$42=""))+('Jul 30'!$G$8:$G$42=$T17)*0.5)*('Jul 30'!$AG$8:$AG$42="Delivered")*LOOKUP((('Jul 30'!$Q$8:$Q$42+'Jul 30'!$R$8:$R$42)*(('Jul 30'!$Q$8:$Q$42+'Jul 30'!$R$8:$R$42)&gt;0)),'Pay Plan'!$D$5:$K$5,INDEX('Pay Plan'!$D$6:$K$12,$BB17,0)))</f>
        <v>0</v>
      </c>
      <c r="AY55">
        <f>SUMPRODUCT((('Jul 31'!$F$8:$F$42=$T17)*(0.5+0.5*('Jul 31'!$G$8:$G$42=""))+('Jul 31'!$G$8:$G$42=$T17)*0.5)*('Jul 31'!$AG$8:$AG$42="Delivered")*LOOKUP((('Jul 31'!$Q$8:$Q$42+'Jul 31'!$R$8:$R$42)*(('Jul 31'!$Q$8:$Q$42+'Jul 31'!$R$8:$R$42)&gt;0)),'Pay Plan'!$D$5:$K$5,INDEX('Pay Plan'!$D$6:$K$12,$BB17,0)))</f>
        <v>0</v>
      </c>
    </row>
    <row r="56" spans="21:51" x14ac:dyDescent="0.25">
      <c r="U56">
        <f>SUMPRODUCT((('Jul 1'!$F$8:$F$42=$T18)*(0.5+0.5*('Jul 1'!$G$8:$G$42=""))+('Jul 1'!$G$8:$G$42=$T18)*0.5)*('Jul 1'!$AG$8:$AG$42="Delivered")*LOOKUP((('Jul 1'!$Q$8:$Q$42+'Jul 1'!$R$8:$R$42)*(('Jul 1'!$Q$8:$Q$42+'Jul 1'!$R$8:$R$42)&gt;0)),'Pay Plan'!$D$5:$K$5,INDEX('Pay Plan'!$D$6:$K$12,$BB18,0)))</f>
        <v>0</v>
      </c>
      <c r="V56">
        <f>SUMPRODUCT((('Jul 2'!$F$8:$F$42=$T18)*(0.5+0.5*('Jul 2'!$G$8:$G$42=""))+('Jul 2'!$G$8:$G$42=$T18)*0.5)*('Jul 2'!$AG$8:$AG$42="Delivered")*LOOKUP((('Jul 2'!$Q$8:$Q$42+'Jul 2'!$R$8:$R$42)*(('Jul 2'!$Q$8:$Q$42+'Jul 2'!$R$8:$R$42)&gt;0)),'Pay Plan'!$D$5:$K$5,INDEX('Pay Plan'!$D$6:$K$12,$BB18,0)))</f>
        <v>0</v>
      </c>
      <c r="W56">
        <f>SUMPRODUCT((('Jul 3'!$F$8:$F$42=$T18)*(0.5+0.5*('Jul 3'!$G$8:$G$42=""))+('Jul 3'!$G$8:$G$42=$T18)*0.5)*('Jul 3'!$AG$8:$AG$42="Delivered")*LOOKUP((('Jul 3'!$Q$8:$Q$42+'Jul 3'!$R$8:$R$42)*(('Jul 3'!$Q$8:$Q$42+'Jul 3'!$R$8:$R$42)&gt;0)),'Pay Plan'!$D$5:$K$5,INDEX('Pay Plan'!$D$6:$K$12,$BB18,0)))</f>
        <v>0</v>
      </c>
      <c r="X56">
        <f>SUMPRODUCT((('Jul 4'!$F$8:$F$42=$T18)*(0.5+0.5*('Jul 4'!$G$8:$G$42=""))+('Jul 4'!$G$8:$G$42=$T18)*0.5)*('Jul 4'!$AG$8:$AG$42="Delivered")*LOOKUP((('Jul 4'!$Q$8:$Q$42+'Jul 4'!$R$8:$R$42)*(('Jul 4'!$Q$8:$Q$42+'Jul 4'!$R$8:$R$42)&gt;0)),'Pay Plan'!$D$5:$K$5,INDEX('Pay Plan'!$D$6:$K$12,$BB18,0)))</f>
        <v>0</v>
      </c>
      <c r="Y56">
        <f>SUMPRODUCT((('Jul 5'!$F$8:$F$42=$T18)*(0.5+0.5*('Jul 5'!$G$8:$G$42=""))+('Jul 5'!$G$8:$G$42=$T18)*0.5)*('Jul 5'!$AG$8:$AG$42="Delivered")*LOOKUP((('Jul 5'!$Q$8:$Q$42+'Jul 5'!$R$8:$R$42)*(('Jul 5'!$Q$8:$Q$42+'Jul 5'!$R$8:$R$42)&gt;0)),'Pay Plan'!$D$5:$K$5,INDEX('Pay Plan'!$D$6:$K$12,$BB18,0)))</f>
        <v>0</v>
      </c>
      <c r="Z56">
        <f>SUMPRODUCT((('Jul 6'!$F$8:$F$42=$T18)*(0.5+0.5*('Jul 6'!$G$8:$G$42=""))+('Jul 6'!$G$8:$G$42=$T18)*0.5)*('Jul 6'!$AG$8:$AG$42="Delivered")*LOOKUP((('Jul 6'!$Q$8:$Q$42+'Jul 6'!$R$8:$R$42)*(('Jul 6'!$Q$8:$Q$42+'Jul 6'!$R$8:$R$42)&gt;0)),'Pay Plan'!$D$5:$K$5,INDEX('Pay Plan'!$D$6:$K$12,$BB18,0)))</f>
        <v>0</v>
      </c>
      <c r="AA56">
        <f>SUMPRODUCT((('Jul 7'!$F$8:$F$42=$T18)*(0.5+0.5*('Jul 7'!$G$8:$G$42=""))+('Jul 7'!$G$8:$G$42=$T18)*0.5)*('Jul 7'!$AG$8:$AG$42="Delivered")*LOOKUP((('Jul 7'!$Q$8:$Q$42+'Jul 7'!$R$8:$R$42)*(('Jul 7'!$Q$8:$Q$42+'Jul 7'!$R$8:$R$42)&gt;0)),'Pay Plan'!$D$5:$K$5,INDEX('Pay Plan'!$D$6:$K$12,$BB18,0)))</f>
        <v>0</v>
      </c>
      <c r="AB56">
        <f>SUMPRODUCT((('Jul 8'!$F$8:$F$42=$T18)*(0.5+0.5*('Jul 8'!$G$8:$G$42=""))+('Jul 8'!$G$8:$G$42=$T18)*0.5)*('Jul 8'!$AG$8:$AG$42="Delivered")*LOOKUP((('Jul 8'!$Q$8:$Q$42+'Jul 8'!$R$8:$R$42)*(('Jul 8'!$Q$8:$Q$42+'Jul 8'!$R$8:$R$42)&gt;0)),'Pay Plan'!$D$5:$K$5,INDEX('Pay Plan'!$D$6:$K$12,$BB18,0)))</f>
        <v>0</v>
      </c>
      <c r="AC56">
        <f>SUMPRODUCT((('Jul 9'!$F$8:$F$42=$T18)*(0.5+0.5*('Jul 9'!$G$8:$G$42=""))+('Jul 9'!$G$8:$G$42=$T18)*0.5)*('Jul 9'!$AG$8:$AG$42="Delivered")*LOOKUP((('Jul 9'!$Q$8:$Q$42+'Jul 9'!$R$8:$R$42)*(('Jul 9'!$Q$8:$Q$42+'Jul 9'!$R$8:$R$42)&gt;0)),'Pay Plan'!$D$5:$K$5,INDEX('Pay Plan'!$D$6:$K$12,$BB18,0)))</f>
        <v>0</v>
      </c>
      <c r="AD56">
        <f>SUMPRODUCT((('Jul 10'!$F$8:$F$42=$T18)*(0.5+0.5*('Jul 10'!$G$8:$G$42=""))+('Jul 10'!$G$8:$G$42=$T18)*0.5)*('Jul 10'!$AG$8:$AG$42="Delivered")*LOOKUP((('Jul 10'!$Q$8:$Q$42+'Jul 10'!$R$8:$R$42)*(('Jul 10'!$Q$8:$Q$42+'Jul 10'!$R$8:$R$42)&gt;0)),'Pay Plan'!$D$5:$K$5,INDEX('Pay Plan'!$D$6:$K$12,$BB18,0)))</f>
        <v>0</v>
      </c>
      <c r="AE56">
        <f>SUMPRODUCT((('Jul 11'!$F$8:$F$42=$T18)*(0.5+0.5*('Jul 11'!$G$8:$G$42=""))+('Jul 11'!$G$8:$G$42=$T18)*0.5)*('Jul 11'!$AG$8:$AG$42="Delivered")*LOOKUP((('Jul 11'!$Q$8:$Q$42+'Jul 11'!$R$8:$R$42)*(('Jul 11'!$Q$8:$Q$42+'Jul 11'!$R$8:$R$42)&gt;0)),'Pay Plan'!$D$5:$K$5,INDEX('Pay Plan'!$D$6:$K$12,$BB18,0)))</f>
        <v>0</v>
      </c>
      <c r="AF56">
        <f>SUMPRODUCT((('Jul 12'!$F$8:$F$42=$T18)*(0.5+0.5*('Jul 12'!$G$8:$G$42=""))+('Jul 12'!$G$8:$G$42=$T18)*0.5)*('Jul 12'!$AG$8:$AG$42="Delivered")*LOOKUP((('Jul 12'!$Q$8:$Q$42+'Jul 12'!$R$8:$R$42)*(('Jul 12'!$Q$8:$Q$42+'Jul 12'!$R$8:$R$42)&gt;0)),'Pay Plan'!$D$5:$K$5,INDEX('Pay Plan'!$D$6:$K$12,$BB18,0)))</f>
        <v>0</v>
      </c>
      <c r="AG56">
        <f>SUMPRODUCT((('Jul 13'!$F$8:$F$42=$T18)*(0.5+0.5*('Jul 13'!$G$8:$G$42=""))+('Jul 13'!$G$8:$G$42=$T18)*0.5)*('Jul 13'!$AG$8:$AG$42="Delivered")*LOOKUP((('Jul 13'!$Q$8:$Q$42+'Jul 13'!$R$8:$R$42)*(('Jul 13'!$Q$8:$Q$42+'Jul 13'!$R$8:$R$42)&gt;0)),'Pay Plan'!$D$5:$K$5,INDEX('Pay Plan'!$D$6:$K$12,$BB18,0)))</f>
        <v>0</v>
      </c>
      <c r="AH56">
        <f>SUMPRODUCT((('Jul 14'!$F$8:$F$42=$T18)*(0.5+0.5*('Jul 14'!$G$8:$G$42=""))+('Jul 14'!$G$8:$G$42=$T18)*0.5)*('Jul 14'!$AG$8:$AG$42="Delivered")*LOOKUP((('Jul 14'!$Q$8:$Q$42+'Jul 14'!$R$8:$R$42)*(('Jul 14'!$Q$8:$Q$42+'Jul 14'!$R$8:$R$42)&gt;0)),'Pay Plan'!$D$5:$K$5,INDEX('Pay Plan'!$D$6:$K$12,$BB18,0)))</f>
        <v>0</v>
      </c>
      <c r="AI56">
        <f>SUMPRODUCT((('Jul 15'!$F$8:$F$42=$T18)*(0.5+0.5*('Jul 15'!$G$8:$G$42=""))+('Jul 15'!$G$8:$G$42=$T18)*0.5)*('Jul 15'!$AG$8:$AG$42="Delivered")*LOOKUP((('Jul 15'!$Q$8:$Q$42+'Jul 15'!$R$8:$R$42)*(('Jul 15'!$Q$8:$Q$42+'Jul 15'!$R$8:$R$42)&gt;0)),'Pay Plan'!$D$5:$K$5,INDEX('Pay Plan'!$D$6:$K$12,$BB18,0)))</f>
        <v>0</v>
      </c>
      <c r="AJ56">
        <f>SUMPRODUCT((('Jul 16'!$F$8:$F$42=$T18)*(0.5+0.5*('Jul 16'!$G$8:$G$42=""))+('Jul 16'!$G$8:$G$42=$T18)*0.5)*('Jul 16'!$AG$8:$AG$42="Delivered")*LOOKUP((('Jul 16'!$Q$8:$Q$42+'Jul 16'!$R$8:$R$42)*(('Jul 16'!$Q$8:$Q$42+'Jul 16'!$R$8:$R$42)&gt;0)),'Pay Plan'!$D$5:$K$5,INDEX('Pay Plan'!$D$6:$K$12,$BB18,0)))</f>
        <v>0</v>
      </c>
      <c r="AK56">
        <f>SUMPRODUCT((('Jul 17'!$F$8:$F$42=$T18)*(0.5+0.5*('Jul 17'!$G$8:$G$42=""))+('Jul 17'!$G$8:$G$42=$T18)*0.5)*('Jul 17'!$AG$8:$AG$42="Delivered")*LOOKUP((('Jul 17'!$Q$8:$Q$42+'Jul 17'!$R$8:$R$42)*(('Jul 17'!$Q$8:$Q$42+'Jul 17'!$R$8:$R$42)&gt;0)),'Pay Plan'!$D$5:$K$5,INDEX('Pay Plan'!$D$6:$K$12,$BB18,0)))</f>
        <v>0</v>
      </c>
      <c r="AL56">
        <f>SUMPRODUCT((('Jul 18'!$F$8:$F$42=$T18)*(0.5+0.5*('Jul 18'!$G$8:$G$42=""))+('Jul 18'!$G$8:$G$42=$T18)*0.5)*('Jul 18'!$AG$8:$AG$42="Delivered")*LOOKUP((('Jul 18'!$Q$8:$Q$42+'Jul 18'!$R$8:$R$42)*(('Jul 18'!$Q$8:$Q$42+'Jul 18'!$R$8:$R$42)&gt;0)),'Pay Plan'!$D$5:$K$5,INDEX('Pay Plan'!$D$6:$K$12,$BB18,0)))</f>
        <v>0</v>
      </c>
      <c r="AM56">
        <f>SUMPRODUCT((('Jul 19'!$F$8:$F$42=$T18)*(0.5+0.5*('Jul 19'!$G$8:$G$42=""))+('Jul 19'!$G$8:$G$42=$T18)*0.5)*('Jul 19'!$AG$8:$AG$42="Delivered")*LOOKUP((('Jul 19'!$Q$8:$Q$42+'Jul 19'!$R$8:$R$42)*(('Jul 19'!$Q$8:$Q$42+'Jul 19'!$R$8:$R$42)&gt;0)),'Pay Plan'!$D$5:$K$5,INDEX('Pay Plan'!$D$6:$K$12,$BB18,0)))</f>
        <v>0</v>
      </c>
      <c r="AN56">
        <f>SUMPRODUCT((('Jul 20'!$F$8:$F$42=$T18)*(0.5+0.5*('Jul 20'!$G$8:$G$42=""))+('Jul 20'!$G$8:$G$42=$T18)*0.5)*('Jul 20'!$AG$8:$AG$42="Delivered")*LOOKUP((('Jul 20'!$Q$8:$Q$42+'Jul 20'!$R$8:$R$42)*(('Jul 20'!$Q$8:$Q$42+'Jul 20'!$R$8:$R$42)&gt;0)),'Pay Plan'!$D$5:$K$5,INDEX('Pay Plan'!$D$6:$K$12,$BB18,0)))</f>
        <v>0</v>
      </c>
      <c r="AO56">
        <f>SUMPRODUCT((('Jul 21'!$F$8:$F$42=$T18)*(0.5+0.5*('Jul 21'!$G$8:$G$42=""))+('Jul 21'!$G$8:$G$42=$T18)*0.5)*('Jul 21'!$AG$8:$AG$42="Delivered")*LOOKUP((('Jul 21'!$Q$8:$Q$42+'Jul 21'!$R$8:$R$42)*(('Jul 21'!$Q$8:$Q$42+'Jul 21'!$R$8:$R$42)&gt;0)),'Pay Plan'!$D$5:$K$5,INDEX('Pay Plan'!$D$6:$K$12,$BB18,0)))</f>
        <v>0</v>
      </c>
      <c r="AP56">
        <f>SUMPRODUCT((('Jul 22'!$F$8:$F$42=$T18)*(0.5+0.5*('Jul 22'!$G$8:$G$42=""))+('Jul 22'!$G$8:$G$42=$T18)*0.5)*('Jul 22'!$AG$8:$AG$42="Delivered")*LOOKUP((('Jul 22'!$Q$8:$Q$42+'Jul 22'!$R$8:$R$42)*(('Jul 22'!$Q$8:$Q$42+'Jul 22'!$R$8:$R$42)&gt;0)),'Pay Plan'!$D$5:$K$5,INDEX('Pay Plan'!$D$6:$K$12,$BB18,0)))</f>
        <v>0</v>
      </c>
      <c r="AQ56">
        <f>SUMPRODUCT((('Jul 23'!$F$8:$F$42=$T18)*(0.5+0.5*('Jul 23'!$G$8:$G$42=""))+('Jul 23'!$G$8:$G$42=$T18)*0.5)*('Jul 23'!$AG$8:$AG$42="Delivered")*LOOKUP((('Jul 23'!$Q$8:$Q$42+'Jul 23'!$R$8:$R$42)*(('Jul 23'!$Q$8:$Q$42+'Jul 23'!$R$8:$R$42)&gt;0)),'Pay Plan'!$D$5:$K$5,INDEX('Pay Plan'!$D$6:$K$12,$BB18,0)))</f>
        <v>0</v>
      </c>
      <c r="AR56">
        <f>SUMPRODUCT((('Jul 24'!$F$8:$F$42=$T18)*(0.5+0.5*('Jul 24'!$G$8:$G$42=""))+('Jul 24'!$G$8:$G$42=$T18)*0.5)*('Jul 24'!$AG$8:$AG$42="Delivered")*LOOKUP((('Jul 24'!$Q$8:$Q$42+'Jul 24'!$R$8:$R$42)*(('Jul 24'!$Q$8:$Q$42+'Jul 24'!$R$8:$R$42)&gt;0)),'Pay Plan'!$D$5:$K$5,INDEX('Pay Plan'!$D$6:$K$12,$BB18,0)))</f>
        <v>0</v>
      </c>
      <c r="AS56">
        <f>SUMPRODUCT((('Jul 25'!$F$8:$F$42=$T18)*(0.5+0.5*('Jul 25'!$G$8:$G$42=""))+('Jul 25'!$G$8:$G$42=$T18)*0.5)*('Jul 25'!$AG$8:$AG$42="Delivered")*LOOKUP((('Jul 25'!$Q$8:$Q$42+'Jul 25'!$R$8:$R$42)*(('Jul 25'!$Q$8:$Q$42+'Jul 25'!$R$8:$R$42)&gt;0)),'Pay Plan'!$D$5:$K$5,INDEX('Pay Plan'!$D$6:$K$12,$BB18,0)))</f>
        <v>0</v>
      </c>
      <c r="AT56">
        <f>SUMPRODUCT((('Jul 26'!$F$8:$F$42=$T18)*(0.5+0.5*('Jul 26'!$G$8:$G$42=""))+('Jul 26'!$G$8:$G$42=$T18)*0.5)*('Jul 26'!$AG$8:$AG$42="Delivered")*LOOKUP((('Jul 26'!$Q$8:$Q$42+'Jul 26'!$R$8:$R$42)*(('Jul 26'!$Q$8:$Q$42+'Jul 26'!$R$8:$R$42)&gt;0)),'Pay Plan'!$D$5:$K$5,INDEX('Pay Plan'!$D$6:$K$12,$BB18,0)))</f>
        <v>0</v>
      </c>
      <c r="AU56">
        <f>SUMPRODUCT((('Jul 27'!$F$8:$F$42=$T18)*(0.5+0.5*('Jul 27'!$G$8:$G$42=""))+('Jul 27'!$G$8:$G$42=$T18)*0.5)*('Jul 27'!$AG$8:$AG$42="Delivered")*LOOKUP((('Jul 27'!$Q$8:$Q$42+'Jul 27'!$R$8:$R$42)*(('Jul 27'!$Q$8:$Q$42+'Jul 27'!$R$8:$R$42)&gt;0)),'Pay Plan'!$D$5:$K$5,INDEX('Pay Plan'!$D$6:$K$12,$BB18,0)))</f>
        <v>0</v>
      </c>
      <c r="AV56">
        <f>SUMPRODUCT((('Jul 28'!$F$8:$F$42=$T18)*(0.5+0.5*('Jul 28'!$G$8:$G$42=""))+('Jul 28'!$G$8:$G$42=$T18)*0.5)*('Jul 28'!$AG$8:$AG$42="Delivered")*LOOKUP((('Jul 28'!$Q$8:$Q$42+'Jul 28'!$R$8:$R$42)*(('Jul 28'!$Q$8:$Q$42+'Jul 28'!$R$8:$R$42)&gt;0)),'Pay Plan'!$D$5:$K$5,INDEX('Pay Plan'!$D$6:$K$12,$BB18,0)))</f>
        <v>0</v>
      </c>
      <c r="AW56">
        <f>SUMPRODUCT((('Jul 29'!$F$8:$F$42=$T18)*(0.5+0.5*('Jul 29'!$G$8:$G$42=""))+('Jul 29'!$G$8:$G$42=$T18)*0.5)*('Jul 29'!$AG$8:$AG$42="Delivered")*LOOKUP((('Jul 29'!$Q$8:$Q$42+'Jul 29'!$R$8:$R$42)*(('Jul 29'!$Q$8:$Q$42+'Jul 29'!$R$8:$R$42)&gt;0)),'Pay Plan'!$D$5:$K$5,INDEX('Pay Plan'!$D$6:$K$12,$BB18,0)))</f>
        <v>0</v>
      </c>
      <c r="AX56">
        <f>SUMPRODUCT((('Jul 30'!$F$8:$F$42=$T18)*(0.5+0.5*('Jul 30'!$G$8:$G$42=""))+('Jul 30'!$G$8:$G$42=$T18)*0.5)*('Jul 30'!$AG$8:$AG$42="Delivered")*LOOKUP((('Jul 30'!$Q$8:$Q$42+'Jul 30'!$R$8:$R$42)*(('Jul 30'!$Q$8:$Q$42+'Jul 30'!$R$8:$R$42)&gt;0)),'Pay Plan'!$D$5:$K$5,INDEX('Pay Plan'!$D$6:$K$12,$BB18,0)))</f>
        <v>0</v>
      </c>
      <c r="AY56">
        <f>SUMPRODUCT((('Jul 31'!$F$8:$F$42=$T18)*(0.5+0.5*('Jul 31'!$G$8:$G$42=""))+('Jul 31'!$G$8:$G$42=$T18)*0.5)*('Jul 31'!$AG$8:$AG$42="Delivered")*LOOKUP((('Jul 31'!$Q$8:$Q$42+'Jul 31'!$R$8:$R$42)*(('Jul 31'!$Q$8:$Q$42+'Jul 31'!$R$8:$R$42)&gt;0)),'Pay Plan'!$D$5:$K$5,INDEX('Pay Plan'!$D$6:$K$12,$BB18,0)))</f>
        <v>0</v>
      </c>
    </row>
    <row r="57" spans="21:51" x14ac:dyDescent="0.25">
      <c r="U57">
        <f>SUMPRODUCT((('Jul 1'!$F$8:$F$42=$T19)*(0.5+0.5*('Jul 1'!$G$8:$G$42=""))+('Jul 1'!$G$8:$G$42=$T19)*0.5)*('Jul 1'!$AG$8:$AG$42="Delivered")*LOOKUP((('Jul 1'!$Q$8:$Q$42+'Jul 1'!$R$8:$R$42)*(('Jul 1'!$Q$8:$Q$42+'Jul 1'!$R$8:$R$42)&gt;0)),'Pay Plan'!$D$5:$K$5,INDEX('Pay Plan'!$D$6:$K$12,$BB19,0)))</f>
        <v>0</v>
      </c>
      <c r="V57">
        <f>SUMPRODUCT((('Jul 2'!$F$8:$F$42=$T19)*(0.5+0.5*('Jul 2'!$G$8:$G$42=""))+('Jul 2'!$G$8:$G$42=$T19)*0.5)*('Jul 2'!$AG$8:$AG$42="Delivered")*LOOKUP((('Jul 2'!$Q$8:$Q$42+'Jul 2'!$R$8:$R$42)*(('Jul 2'!$Q$8:$Q$42+'Jul 2'!$R$8:$R$42)&gt;0)),'Pay Plan'!$D$5:$K$5,INDEX('Pay Plan'!$D$6:$K$12,$BB19,0)))</f>
        <v>0</v>
      </c>
      <c r="W57">
        <f>SUMPRODUCT((('Jul 3'!$F$8:$F$42=$T19)*(0.5+0.5*('Jul 3'!$G$8:$G$42=""))+('Jul 3'!$G$8:$G$42=$T19)*0.5)*('Jul 3'!$AG$8:$AG$42="Delivered")*LOOKUP((('Jul 3'!$Q$8:$Q$42+'Jul 3'!$R$8:$R$42)*(('Jul 3'!$Q$8:$Q$42+'Jul 3'!$R$8:$R$42)&gt;0)),'Pay Plan'!$D$5:$K$5,INDEX('Pay Plan'!$D$6:$K$12,$BB19,0)))</f>
        <v>0</v>
      </c>
      <c r="X57">
        <f>SUMPRODUCT((('Jul 4'!$F$8:$F$42=$T19)*(0.5+0.5*('Jul 4'!$G$8:$G$42=""))+('Jul 4'!$G$8:$G$42=$T19)*0.5)*('Jul 4'!$AG$8:$AG$42="Delivered")*LOOKUP((('Jul 4'!$Q$8:$Q$42+'Jul 4'!$R$8:$R$42)*(('Jul 4'!$Q$8:$Q$42+'Jul 4'!$R$8:$R$42)&gt;0)),'Pay Plan'!$D$5:$K$5,INDEX('Pay Plan'!$D$6:$K$12,$BB19,0)))</f>
        <v>0</v>
      </c>
      <c r="Y57">
        <f>SUMPRODUCT((('Jul 5'!$F$8:$F$42=$T19)*(0.5+0.5*('Jul 5'!$G$8:$G$42=""))+('Jul 5'!$G$8:$G$42=$T19)*0.5)*('Jul 5'!$AG$8:$AG$42="Delivered")*LOOKUP((('Jul 5'!$Q$8:$Q$42+'Jul 5'!$R$8:$R$42)*(('Jul 5'!$Q$8:$Q$42+'Jul 5'!$R$8:$R$42)&gt;0)),'Pay Plan'!$D$5:$K$5,INDEX('Pay Plan'!$D$6:$K$12,$BB19,0)))</f>
        <v>0</v>
      </c>
      <c r="Z57">
        <f>SUMPRODUCT((('Jul 6'!$F$8:$F$42=$T19)*(0.5+0.5*('Jul 6'!$G$8:$G$42=""))+('Jul 6'!$G$8:$G$42=$T19)*0.5)*('Jul 6'!$AG$8:$AG$42="Delivered")*LOOKUP((('Jul 6'!$Q$8:$Q$42+'Jul 6'!$R$8:$R$42)*(('Jul 6'!$Q$8:$Q$42+'Jul 6'!$R$8:$R$42)&gt;0)),'Pay Plan'!$D$5:$K$5,INDEX('Pay Plan'!$D$6:$K$12,$BB19,0)))</f>
        <v>0</v>
      </c>
      <c r="AA57">
        <f>SUMPRODUCT((('Jul 7'!$F$8:$F$42=$T19)*(0.5+0.5*('Jul 7'!$G$8:$G$42=""))+('Jul 7'!$G$8:$G$42=$T19)*0.5)*('Jul 7'!$AG$8:$AG$42="Delivered")*LOOKUP((('Jul 7'!$Q$8:$Q$42+'Jul 7'!$R$8:$R$42)*(('Jul 7'!$Q$8:$Q$42+'Jul 7'!$R$8:$R$42)&gt;0)),'Pay Plan'!$D$5:$K$5,INDEX('Pay Plan'!$D$6:$K$12,$BB19,0)))</f>
        <v>0</v>
      </c>
      <c r="AB57">
        <f>SUMPRODUCT((('Jul 8'!$F$8:$F$42=$T19)*(0.5+0.5*('Jul 8'!$G$8:$G$42=""))+('Jul 8'!$G$8:$G$42=$T19)*0.5)*('Jul 8'!$AG$8:$AG$42="Delivered")*LOOKUP((('Jul 8'!$Q$8:$Q$42+'Jul 8'!$R$8:$R$42)*(('Jul 8'!$Q$8:$Q$42+'Jul 8'!$R$8:$R$42)&gt;0)),'Pay Plan'!$D$5:$K$5,INDEX('Pay Plan'!$D$6:$K$12,$BB19,0)))</f>
        <v>0</v>
      </c>
      <c r="AC57">
        <f>SUMPRODUCT((('Jul 9'!$F$8:$F$42=$T19)*(0.5+0.5*('Jul 9'!$G$8:$G$42=""))+('Jul 9'!$G$8:$G$42=$T19)*0.5)*('Jul 9'!$AG$8:$AG$42="Delivered")*LOOKUP((('Jul 9'!$Q$8:$Q$42+'Jul 9'!$R$8:$R$42)*(('Jul 9'!$Q$8:$Q$42+'Jul 9'!$R$8:$R$42)&gt;0)),'Pay Plan'!$D$5:$K$5,INDEX('Pay Plan'!$D$6:$K$12,$BB19,0)))</f>
        <v>0</v>
      </c>
      <c r="AD57">
        <f>SUMPRODUCT((('Jul 10'!$F$8:$F$42=$T19)*(0.5+0.5*('Jul 10'!$G$8:$G$42=""))+('Jul 10'!$G$8:$G$42=$T19)*0.5)*('Jul 10'!$AG$8:$AG$42="Delivered")*LOOKUP((('Jul 10'!$Q$8:$Q$42+'Jul 10'!$R$8:$R$42)*(('Jul 10'!$Q$8:$Q$42+'Jul 10'!$R$8:$R$42)&gt;0)),'Pay Plan'!$D$5:$K$5,INDEX('Pay Plan'!$D$6:$K$12,$BB19,0)))</f>
        <v>0</v>
      </c>
      <c r="AE57">
        <f>SUMPRODUCT((('Jul 11'!$F$8:$F$42=$T19)*(0.5+0.5*('Jul 11'!$G$8:$G$42=""))+('Jul 11'!$G$8:$G$42=$T19)*0.5)*('Jul 11'!$AG$8:$AG$42="Delivered")*LOOKUP((('Jul 11'!$Q$8:$Q$42+'Jul 11'!$R$8:$R$42)*(('Jul 11'!$Q$8:$Q$42+'Jul 11'!$R$8:$R$42)&gt;0)),'Pay Plan'!$D$5:$K$5,INDEX('Pay Plan'!$D$6:$K$12,$BB19,0)))</f>
        <v>0</v>
      </c>
      <c r="AF57">
        <f>SUMPRODUCT((('Jul 12'!$F$8:$F$42=$T19)*(0.5+0.5*('Jul 12'!$G$8:$G$42=""))+('Jul 12'!$G$8:$G$42=$T19)*0.5)*('Jul 12'!$AG$8:$AG$42="Delivered")*LOOKUP((('Jul 12'!$Q$8:$Q$42+'Jul 12'!$R$8:$R$42)*(('Jul 12'!$Q$8:$Q$42+'Jul 12'!$R$8:$R$42)&gt;0)),'Pay Plan'!$D$5:$K$5,INDEX('Pay Plan'!$D$6:$K$12,$BB19,0)))</f>
        <v>0</v>
      </c>
      <c r="AG57">
        <f>SUMPRODUCT((('Jul 13'!$F$8:$F$42=$T19)*(0.5+0.5*('Jul 13'!$G$8:$G$42=""))+('Jul 13'!$G$8:$G$42=$T19)*0.5)*('Jul 13'!$AG$8:$AG$42="Delivered")*LOOKUP((('Jul 13'!$Q$8:$Q$42+'Jul 13'!$R$8:$R$42)*(('Jul 13'!$Q$8:$Q$42+'Jul 13'!$R$8:$R$42)&gt;0)),'Pay Plan'!$D$5:$K$5,INDEX('Pay Plan'!$D$6:$K$12,$BB19,0)))</f>
        <v>0</v>
      </c>
      <c r="AH57">
        <f>SUMPRODUCT((('Jul 14'!$F$8:$F$42=$T19)*(0.5+0.5*('Jul 14'!$G$8:$G$42=""))+('Jul 14'!$G$8:$G$42=$T19)*0.5)*('Jul 14'!$AG$8:$AG$42="Delivered")*LOOKUP((('Jul 14'!$Q$8:$Q$42+'Jul 14'!$R$8:$R$42)*(('Jul 14'!$Q$8:$Q$42+'Jul 14'!$R$8:$R$42)&gt;0)),'Pay Plan'!$D$5:$K$5,INDEX('Pay Plan'!$D$6:$K$12,$BB19,0)))</f>
        <v>0</v>
      </c>
      <c r="AI57">
        <f>SUMPRODUCT((('Jul 15'!$F$8:$F$42=$T19)*(0.5+0.5*('Jul 15'!$G$8:$G$42=""))+('Jul 15'!$G$8:$G$42=$T19)*0.5)*('Jul 15'!$AG$8:$AG$42="Delivered")*LOOKUP((('Jul 15'!$Q$8:$Q$42+'Jul 15'!$R$8:$R$42)*(('Jul 15'!$Q$8:$Q$42+'Jul 15'!$R$8:$R$42)&gt;0)),'Pay Plan'!$D$5:$K$5,INDEX('Pay Plan'!$D$6:$K$12,$BB19,0)))</f>
        <v>0</v>
      </c>
      <c r="AJ57">
        <f>SUMPRODUCT((('Jul 16'!$F$8:$F$42=$T19)*(0.5+0.5*('Jul 16'!$G$8:$G$42=""))+('Jul 16'!$G$8:$G$42=$T19)*0.5)*('Jul 16'!$AG$8:$AG$42="Delivered")*LOOKUP((('Jul 16'!$Q$8:$Q$42+'Jul 16'!$R$8:$R$42)*(('Jul 16'!$Q$8:$Q$42+'Jul 16'!$R$8:$R$42)&gt;0)),'Pay Plan'!$D$5:$K$5,INDEX('Pay Plan'!$D$6:$K$12,$BB19,0)))</f>
        <v>0</v>
      </c>
      <c r="AK57">
        <f>SUMPRODUCT((('Jul 17'!$F$8:$F$42=$T19)*(0.5+0.5*('Jul 17'!$G$8:$G$42=""))+('Jul 17'!$G$8:$G$42=$T19)*0.5)*('Jul 17'!$AG$8:$AG$42="Delivered")*LOOKUP((('Jul 17'!$Q$8:$Q$42+'Jul 17'!$R$8:$R$42)*(('Jul 17'!$Q$8:$Q$42+'Jul 17'!$R$8:$R$42)&gt;0)),'Pay Plan'!$D$5:$K$5,INDEX('Pay Plan'!$D$6:$K$12,$BB19,0)))</f>
        <v>0</v>
      </c>
      <c r="AL57">
        <f>SUMPRODUCT((('Jul 18'!$F$8:$F$42=$T19)*(0.5+0.5*('Jul 18'!$G$8:$G$42=""))+('Jul 18'!$G$8:$G$42=$T19)*0.5)*('Jul 18'!$AG$8:$AG$42="Delivered")*LOOKUP((('Jul 18'!$Q$8:$Q$42+'Jul 18'!$R$8:$R$42)*(('Jul 18'!$Q$8:$Q$42+'Jul 18'!$R$8:$R$42)&gt;0)),'Pay Plan'!$D$5:$K$5,INDEX('Pay Plan'!$D$6:$K$12,$BB19,0)))</f>
        <v>0</v>
      </c>
      <c r="AM57">
        <f>SUMPRODUCT((('Jul 19'!$F$8:$F$42=$T19)*(0.5+0.5*('Jul 19'!$G$8:$G$42=""))+('Jul 19'!$G$8:$G$42=$T19)*0.5)*('Jul 19'!$AG$8:$AG$42="Delivered")*LOOKUP((('Jul 19'!$Q$8:$Q$42+'Jul 19'!$R$8:$R$42)*(('Jul 19'!$Q$8:$Q$42+'Jul 19'!$R$8:$R$42)&gt;0)),'Pay Plan'!$D$5:$K$5,INDEX('Pay Plan'!$D$6:$K$12,$BB19,0)))</f>
        <v>0</v>
      </c>
      <c r="AN57">
        <f>SUMPRODUCT((('Jul 20'!$F$8:$F$42=$T19)*(0.5+0.5*('Jul 20'!$G$8:$G$42=""))+('Jul 20'!$G$8:$G$42=$T19)*0.5)*('Jul 20'!$AG$8:$AG$42="Delivered")*LOOKUP((('Jul 20'!$Q$8:$Q$42+'Jul 20'!$R$8:$R$42)*(('Jul 20'!$Q$8:$Q$42+'Jul 20'!$R$8:$R$42)&gt;0)),'Pay Plan'!$D$5:$K$5,INDEX('Pay Plan'!$D$6:$K$12,$BB19,0)))</f>
        <v>0</v>
      </c>
      <c r="AO57">
        <f>SUMPRODUCT((('Jul 21'!$F$8:$F$42=$T19)*(0.5+0.5*('Jul 21'!$G$8:$G$42=""))+('Jul 21'!$G$8:$G$42=$T19)*0.5)*('Jul 21'!$AG$8:$AG$42="Delivered")*LOOKUP((('Jul 21'!$Q$8:$Q$42+'Jul 21'!$R$8:$R$42)*(('Jul 21'!$Q$8:$Q$42+'Jul 21'!$R$8:$R$42)&gt;0)),'Pay Plan'!$D$5:$K$5,INDEX('Pay Plan'!$D$6:$K$12,$BB19,0)))</f>
        <v>0</v>
      </c>
      <c r="AP57">
        <f>SUMPRODUCT((('Jul 22'!$F$8:$F$42=$T19)*(0.5+0.5*('Jul 22'!$G$8:$G$42=""))+('Jul 22'!$G$8:$G$42=$T19)*0.5)*('Jul 22'!$AG$8:$AG$42="Delivered")*LOOKUP((('Jul 22'!$Q$8:$Q$42+'Jul 22'!$R$8:$R$42)*(('Jul 22'!$Q$8:$Q$42+'Jul 22'!$R$8:$R$42)&gt;0)),'Pay Plan'!$D$5:$K$5,INDEX('Pay Plan'!$D$6:$K$12,$BB19,0)))</f>
        <v>0</v>
      </c>
      <c r="AQ57">
        <f>SUMPRODUCT((('Jul 23'!$F$8:$F$42=$T19)*(0.5+0.5*('Jul 23'!$G$8:$G$42=""))+('Jul 23'!$G$8:$G$42=$T19)*0.5)*('Jul 23'!$AG$8:$AG$42="Delivered")*LOOKUP((('Jul 23'!$Q$8:$Q$42+'Jul 23'!$R$8:$R$42)*(('Jul 23'!$Q$8:$Q$42+'Jul 23'!$R$8:$R$42)&gt;0)),'Pay Plan'!$D$5:$K$5,INDEX('Pay Plan'!$D$6:$K$12,$BB19,0)))</f>
        <v>0</v>
      </c>
      <c r="AR57">
        <f>SUMPRODUCT((('Jul 24'!$F$8:$F$42=$T19)*(0.5+0.5*('Jul 24'!$G$8:$G$42=""))+('Jul 24'!$G$8:$G$42=$T19)*0.5)*('Jul 24'!$AG$8:$AG$42="Delivered")*LOOKUP((('Jul 24'!$Q$8:$Q$42+'Jul 24'!$R$8:$R$42)*(('Jul 24'!$Q$8:$Q$42+'Jul 24'!$R$8:$R$42)&gt;0)),'Pay Plan'!$D$5:$K$5,INDEX('Pay Plan'!$D$6:$K$12,$BB19,0)))</f>
        <v>0</v>
      </c>
      <c r="AS57">
        <f>SUMPRODUCT((('Jul 25'!$F$8:$F$42=$T19)*(0.5+0.5*('Jul 25'!$G$8:$G$42=""))+('Jul 25'!$G$8:$G$42=$T19)*0.5)*('Jul 25'!$AG$8:$AG$42="Delivered")*LOOKUP((('Jul 25'!$Q$8:$Q$42+'Jul 25'!$R$8:$R$42)*(('Jul 25'!$Q$8:$Q$42+'Jul 25'!$R$8:$R$42)&gt;0)),'Pay Plan'!$D$5:$K$5,INDEX('Pay Plan'!$D$6:$K$12,$BB19,0)))</f>
        <v>0</v>
      </c>
      <c r="AT57">
        <f>SUMPRODUCT((('Jul 26'!$F$8:$F$42=$T19)*(0.5+0.5*('Jul 26'!$G$8:$G$42=""))+('Jul 26'!$G$8:$G$42=$T19)*0.5)*('Jul 26'!$AG$8:$AG$42="Delivered")*LOOKUP((('Jul 26'!$Q$8:$Q$42+'Jul 26'!$R$8:$R$42)*(('Jul 26'!$Q$8:$Q$42+'Jul 26'!$R$8:$R$42)&gt;0)),'Pay Plan'!$D$5:$K$5,INDEX('Pay Plan'!$D$6:$K$12,$BB19,0)))</f>
        <v>0</v>
      </c>
      <c r="AU57">
        <f>SUMPRODUCT((('Jul 27'!$F$8:$F$42=$T19)*(0.5+0.5*('Jul 27'!$G$8:$G$42=""))+('Jul 27'!$G$8:$G$42=$T19)*0.5)*('Jul 27'!$AG$8:$AG$42="Delivered")*LOOKUP((('Jul 27'!$Q$8:$Q$42+'Jul 27'!$R$8:$R$42)*(('Jul 27'!$Q$8:$Q$42+'Jul 27'!$R$8:$R$42)&gt;0)),'Pay Plan'!$D$5:$K$5,INDEX('Pay Plan'!$D$6:$K$12,$BB19,0)))</f>
        <v>0</v>
      </c>
      <c r="AV57">
        <f>SUMPRODUCT((('Jul 28'!$F$8:$F$42=$T19)*(0.5+0.5*('Jul 28'!$G$8:$G$42=""))+('Jul 28'!$G$8:$G$42=$T19)*0.5)*('Jul 28'!$AG$8:$AG$42="Delivered")*LOOKUP((('Jul 28'!$Q$8:$Q$42+'Jul 28'!$R$8:$R$42)*(('Jul 28'!$Q$8:$Q$42+'Jul 28'!$R$8:$R$42)&gt;0)),'Pay Plan'!$D$5:$K$5,INDEX('Pay Plan'!$D$6:$K$12,$BB19,0)))</f>
        <v>0</v>
      </c>
      <c r="AW57">
        <f>SUMPRODUCT((('Jul 29'!$F$8:$F$42=$T19)*(0.5+0.5*('Jul 29'!$G$8:$G$42=""))+('Jul 29'!$G$8:$G$42=$T19)*0.5)*('Jul 29'!$AG$8:$AG$42="Delivered")*LOOKUP((('Jul 29'!$Q$8:$Q$42+'Jul 29'!$R$8:$R$42)*(('Jul 29'!$Q$8:$Q$42+'Jul 29'!$R$8:$R$42)&gt;0)),'Pay Plan'!$D$5:$K$5,INDEX('Pay Plan'!$D$6:$K$12,$BB19,0)))</f>
        <v>0</v>
      </c>
      <c r="AX57">
        <f>SUMPRODUCT((('Jul 30'!$F$8:$F$42=$T19)*(0.5+0.5*('Jul 30'!$G$8:$G$42=""))+('Jul 30'!$G$8:$G$42=$T19)*0.5)*('Jul 30'!$AG$8:$AG$42="Delivered")*LOOKUP((('Jul 30'!$Q$8:$Q$42+'Jul 30'!$R$8:$R$42)*(('Jul 30'!$Q$8:$Q$42+'Jul 30'!$R$8:$R$42)&gt;0)),'Pay Plan'!$D$5:$K$5,INDEX('Pay Plan'!$D$6:$K$12,$BB19,0)))</f>
        <v>0</v>
      </c>
      <c r="AY57">
        <f>SUMPRODUCT((('Jul 31'!$F$8:$F$42=$T19)*(0.5+0.5*('Jul 31'!$G$8:$G$42=""))+('Jul 31'!$G$8:$G$42=$T19)*0.5)*('Jul 31'!$AG$8:$AG$42="Delivered")*LOOKUP((('Jul 31'!$Q$8:$Q$42+'Jul 31'!$R$8:$R$42)*(('Jul 31'!$Q$8:$Q$42+'Jul 31'!$R$8:$R$42)&gt;0)),'Pay Plan'!$D$5:$K$5,INDEX('Pay Plan'!$D$6:$K$12,$BB19,0)))</f>
        <v>0</v>
      </c>
    </row>
  </sheetData>
  <sheetProtection sheet="1" formatColumns="0" formatRows="0"/>
  <mergeCells count="53">
    <mergeCell ref="A30:H30"/>
    <mergeCell ref="A25:R25"/>
    <mergeCell ref="O12:R12"/>
    <mergeCell ref="O8:R8"/>
    <mergeCell ref="K22:M22"/>
    <mergeCell ref="O17:R17"/>
    <mergeCell ref="O11:R11"/>
    <mergeCell ref="A27:H27"/>
    <mergeCell ref="I28:R28"/>
    <mergeCell ref="A29:H29"/>
    <mergeCell ref="K9:M9"/>
    <mergeCell ref="O22:R22"/>
    <mergeCell ref="I29:R29"/>
    <mergeCell ref="K12:M12"/>
    <mergeCell ref="O14:R14"/>
    <mergeCell ref="O23:R23"/>
    <mergeCell ref="K8:M8"/>
    <mergeCell ref="O13:R13"/>
    <mergeCell ref="I26:R26"/>
    <mergeCell ref="K18:M18"/>
    <mergeCell ref="O20:R20"/>
    <mergeCell ref="K16:M16"/>
    <mergeCell ref="K15:M15"/>
    <mergeCell ref="K19:M19"/>
    <mergeCell ref="I27:R27"/>
    <mergeCell ref="K10:M10"/>
    <mergeCell ref="K13:M13"/>
    <mergeCell ref="N1:R2"/>
    <mergeCell ref="O6:R6"/>
    <mergeCell ref="D3:R3"/>
    <mergeCell ref="A26:H26"/>
    <mergeCell ref="K6:M6"/>
    <mergeCell ref="K17:M17"/>
    <mergeCell ref="K7:M7"/>
    <mergeCell ref="O15:R15"/>
    <mergeCell ref="O18:R18"/>
    <mergeCell ref="O9:R9"/>
    <mergeCell ref="A31:H31"/>
    <mergeCell ref="K11:M11"/>
    <mergeCell ref="A1:C3"/>
    <mergeCell ref="O16:R16"/>
    <mergeCell ref="A28:H28"/>
    <mergeCell ref="K21:M21"/>
    <mergeCell ref="O21:R21"/>
    <mergeCell ref="K20:M20"/>
    <mergeCell ref="D1:M2"/>
    <mergeCell ref="I31:R31"/>
    <mergeCell ref="O7:R7"/>
    <mergeCell ref="K14:M14"/>
    <mergeCell ref="K23:M23"/>
    <mergeCell ref="I30:R30"/>
    <mergeCell ref="O19:R19"/>
    <mergeCell ref="O10:R10"/>
  </mergeCells>
  <conditionalFormatting sqref="I26">
    <cfRule type="expression" dxfId="389" priority="1">
      <formula>LEFT($I$26,1)="✓"</formula>
    </cfRule>
    <cfRule type="expression" dxfId="388" priority="2">
      <formula>LEFT($I$26,1)="⚠"</formula>
    </cfRule>
  </conditionalFormatting>
  <conditionalFormatting sqref="I27">
    <cfRule type="expression" dxfId="387" priority="3">
      <formula>LEFT($I$27,1)="✓"</formula>
    </cfRule>
    <cfRule type="expression" dxfId="386" priority="4">
      <formula>LEFT($I$27,1)="⚠"</formula>
    </cfRule>
  </conditionalFormatting>
  <conditionalFormatting sqref="I28">
    <cfRule type="expression" dxfId="385" priority="5">
      <formula>LEFT($I$28,1)="✓"</formula>
    </cfRule>
    <cfRule type="expression" dxfId="384" priority="6">
      <formula>LEFT($I$28,1)="⚠"</formula>
    </cfRule>
  </conditionalFormatting>
  <conditionalFormatting sqref="I29">
    <cfRule type="expression" dxfId="383" priority="7">
      <formula>LEFT($I$29,1)="✓"</formula>
    </cfRule>
    <cfRule type="expression" dxfId="382" priority="8">
      <formula>LEFT($I$29,1)="⚠"</formula>
    </cfRule>
  </conditionalFormatting>
  <conditionalFormatting sqref="I30">
    <cfRule type="expression" dxfId="381" priority="9">
      <formula>LEFT($I$30,1)="✓"</formula>
    </cfRule>
    <cfRule type="expression" dxfId="380" priority="10">
      <formula>LEFT($I$30,1)="⚠"</formula>
    </cfRule>
  </conditionalFormatting>
  <conditionalFormatting sqref="I31">
    <cfRule type="expression" dxfId="379" priority="11">
      <formula>LEFT($I$31,1)="✓"</formula>
    </cfRule>
    <cfRule type="expression" dxfId="378" priority="12">
      <formula>LEFT($I$31,1)="⚠"</formula>
    </cfRule>
  </conditionalFormatting>
  <pageMargins left="0.25" right="0.25" top="0.3" bottom="0.3" header="0.5" footer="0.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6A6A6"/>
    <pageSetUpPr fitToPage="1"/>
  </sheetPr>
  <dimension ref="A1:L26"/>
  <sheetViews>
    <sheetView workbookViewId="0"/>
  </sheetViews>
  <sheetFormatPr defaultRowHeight="15" x14ac:dyDescent="0.25"/>
  <cols>
    <col min="1" max="1" width="4" customWidth="1"/>
    <col min="2" max="2" width="12" customWidth="1"/>
    <col min="3" max="3" width="10" customWidth="1"/>
    <col min="4" max="11" width="11" customWidth="1"/>
    <col min="12" max="12" width="8" customWidth="1"/>
  </cols>
  <sheetData>
    <row r="1" spans="1:12" x14ac:dyDescent="0.25">
      <c r="A1" s="1" t="s">
        <v>114</v>
      </c>
    </row>
    <row r="2" spans="1:12" x14ac:dyDescent="0.25">
      <c r="A2" s="11" t="s">
        <v>115</v>
      </c>
    </row>
    <row r="4" spans="1:12" x14ac:dyDescent="0.25">
      <c r="C4" t="s">
        <v>116</v>
      </c>
      <c r="D4" s="4" t="s">
        <v>117</v>
      </c>
      <c r="E4" s="4" t="s">
        <v>118</v>
      </c>
      <c r="F4" s="4" t="s">
        <v>119</v>
      </c>
      <c r="G4" s="4" t="s">
        <v>120</v>
      </c>
      <c r="H4" s="4" t="s">
        <v>121</v>
      </c>
      <c r="I4" s="4" t="s">
        <v>122</v>
      </c>
      <c r="J4" s="4" t="s">
        <v>123</v>
      </c>
      <c r="K4" s="4" t="s">
        <v>124</v>
      </c>
    </row>
    <row r="5" spans="1:12" x14ac:dyDescent="0.25">
      <c r="C5" t="s">
        <v>125</v>
      </c>
      <c r="D5" s="3">
        <v>0</v>
      </c>
      <c r="E5" s="3">
        <v>1500</v>
      </c>
      <c r="F5" s="3">
        <v>2500</v>
      </c>
      <c r="G5" s="3">
        <v>3500</v>
      </c>
      <c r="H5" s="3">
        <v>4000</v>
      </c>
      <c r="I5" s="3">
        <v>5500</v>
      </c>
      <c r="J5" s="3">
        <v>7000</v>
      </c>
      <c r="K5" s="3">
        <v>8500</v>
      </c>
    </row>
    <row r="6" spans="1:12" x14ac:dyDescent="0.25">
      <c r="B6" s="4" t="s">
        <v>126</v>
      </c>
      <c r="C6" s="3">
        <v>0</v>
      </c>
      <c r="D6" s="12">
        <v>200</v>
      </c>
      <c r="E6" s="12">
        <v>250</v>
      </c>
      <c r="F6" s="12">
        <v>300</v>
      </c>
      <c r="G6" s="12">
        <v>350</v>
      </c>
      <c r="H6" s="12">
        <v>400</v>
      </c>
      <c r="I6" s="12">
        <v>450</v>
      </c>
      <c r="J6" s="12">
        <v>500</v>
      </c>
      <c r="K6" s="12">
        <v>550</v>
      </c>
    </row>
    <row r="7" spans="1:12" x14ac:dyDescent="0.25">
      <c r="B7" s="4" t="s">
        <v>127</v>
      </c>
      <c r="C7" s="3">
        <v>8</v>
      </c>
      <c r="D7" s="12">
        <v>325</v>
      </c>
      <c r="E7" s="12">
        <v>375</v>
      </c>
      <c r="F7" s="12">
        <v>425</v>
      </c>
      <c r="G7" s="12">
        <v>475</v>
      </c>
      <c r="H7" s="12">
        <v>525</v>
      </c>
      <c r="I7" s="12">
        <v>575</v>
      </c>
      <c r="J7" s="12">
        <v>625</v>
      </c>
      <c r="K7" s="12">
        <v>675</v>
      </c>
    </row>
    <row r="8" spans="1:12" x14ac:dyDescent="0.25">
      <c r="B8" s="4" t="s">
        <v>128</v>
      </c>
      <c r="C8" s="3">
        <v>14</v>
      </c>
      <c r="D8" s="12">
        <v>375</v>
      </c>
      <c r="E8" s="12">
        <v>425</v>
      </c>
      <c r="F8" s="12">
        <v>550</v>
      </c>
      <c r="G8" s="12">
        <v>600</v>
      </c>
      <c r="H8" s="12">
        <v>650</v>
      </c>
      <c r="I8" s="12">
        <v>700</v>
      </c>
      <c r="J8" s="12">
        <v>750</v>
      </c>
      <c r="K8" s="12">
        <v>800</v>
      </c>
    </row>
    <row r="9" spans="1:12" x14ac:dyDescent="0.25">
      <c r="B9" s="4" t="s">
        <v>129</v>
      </c>
      <c r="C9" s="3">
        <v>17</v>
      </c>
      <c r="D9" s="12">
        <v>400</v>
      </c>
      <c r="E9" s="12">
        <v>450</v>
      </c>
      <c r="F9" s="12">
        <v>575</v>
      </c>
      <c r="G9" s="12">
        <v>625</v>
      </c>
      <c r="H9" s="12">
        <v>675</v>
      </c>
      <c r="I9" s="12">
        <v>725</v>
      </c>
      <c r="J9" s="12">
        <v>775</v>
      </c>
      <c r="K9" s="12">
        <v>825</v>
      </c>
    </row>
    <row r="10" spans="1:12" x14ac:dyDescent="0.25">
      <c r="B10" s="4" t="s">
        <v>130</v>
      </c>
      <c r="C10" s="3">
        <v>20</v>
      </c>
      <c r="D10" s="12">
        <v>450</v>
      </c>
      <c r="E10" s="12">
        <v>500</v>
      </c>
      <c r="F10" s="12">
        <v>625</v>
      </c>
      <c r="G10" s="12">
        <v>675</v>
      </c>
      <c r="H10" s="12">
        <v>725</v>
      </c>
      <c r="I10" s="12">
        <v>775</v>
      </c>
      <c r="J10" s="12">
        <v>825</v>
      </c>
      <c r="K10" s="12">
        <v>875</v>
      </c>
    </row>
    <row r="11" spans="1:12" x14ac:dyDescent="0.25">
      <c r="B11" s="4" t="s">
        <v>131</v>
      </c>
      <c r="C11" s="3">
        <v>25</v>
      </c>
      <c r="D11" s="12">
        <v>500</v>
      </c>
      <c r="E11" s="12">
        <v>550</v>
      </c>
      <c r="F11" s="12">
        <v>675</v>
      </c>
      <c r="G11" s="12">
        <v>725</v>
      </c>
      <c r="H11" s="12">
        <v>775</v>
      </c>
      <c r="I11" s="12">
        <v>825</v>
      </c>
      <c r="J11" s="12">
        <v>875</v>
      </c>
      <c r="K11" s="12">
        <v>925</v>
      </c>
    </row>
    <row r="12" spans="1:12" x14ac:dyDescent="0.25">
      <c r="B12" s="4" t="s">
        <v>132</v>
      </c>
      <c r="C12" s="3">
        <v>30</v>
      </c>
      <c r="D12" s="12">
        <v>525</v>
      </c>
      <c r="E12" s="12">
        <v>575</v>
      </c>
      <c r="F12" s="12">
        <v>700</v>
      </c>
      <c r="G12" s="12">
        <v>750</v>
      </c>
      <c r="H12" s="12">
        <v>800</v>
      </c>
      <c r="I12" s="12">
        <v>850</v>
      </c>
      <c r="J12" s="12">
        <v>900</v>
      </c>
      <c r="K12" s="12">
        <v>975</v>
      </c>
    </row>
    <row r="14" spans="1:12" x14ac:dyDescent="0.25">
      <c r="B14" t="s">
        <v>133</v>
      </c>
      <c r="E14" t="s">
        <v>134</v>
      </c>
      <c r="H14" t="s">
        <v>135</v>
      </c>
      <c r="K14" t="s">
        <v>136</v>
      </c>
    </row>
    <row r="15" spans="1:12" x14ac:dyDescent="0.25">
      <c r="B15" s="3">
        <v>0</v>
      </c>
      <c r="C15" s="12">
        <v>0</v>
      </c>
      <c r="E15" s="3">
        <v>0</v>
      </c>
      <c r="F15" s="12">
        <v>0</v>
      </c>
      <c r="H15" s="3" t="s">
        <v>137</v>
      </c>
      <c r="I15" s="12">
        <v>25</v>
      </c>
      <c r="K15" t="s">
        <v>138</v>
      </c>
      <c r="L15" s="12">
        <v>500</v>
      </c>
    </row>
    <row r="16" spans="1:12" x14ac:dyDescent="0.25">
      <c r="B16" s="3">
        <v>12</v>
      </c>
      <c r="C16" s="12">
        <v>500</v>
      </c>
      <c r="E16" s="3">
        <v>5</v>
      </c>
      <c r="F16" s="12">
        <v>250</v>
      </c>
      <c r="H16" s="3" t="s">
        <v>139</v>
      </c>
      <c r="I16" s="12">
        <v>25</v>
      </c>
    </row>
    <row r="17" spans="2:9" x14ac:dyDescent="0.25">
      <c r="B17" s="3">
        <v>15</v>
      </c>
      <c r="C17" s="12">
        <v>750</v>
      </c>
      <c r="E17" s="3">
        <v>7</v>
      </c>
      <c r="F17" s="12">
        <v>500</v>
      </c>
      <c r="H17" s="3" t="s">
        <v>140</v>
      </c>
      <c r="I17" s="12">
        <v>25</v>
      </c>
    </row>
    <row r="18" spans="2:9" x14ac:dyDescent="0.25">
      <c r="B18" s="3">
        <v>20</v>
      </c>
      <c r="C18" s="12">
        <v>1250</v>
      </c>
      <c r="E18" s="3">
        <v>9</v>
      </c>
      <c r="F18" s="12">
        <v>750</v>
      </c>
    </row>
    <row r="19" spans="2:9" x14ac:dyDescent="0.25">
      <c r="B19" s="3">
        <v>25</v>
      </c>
      <c r="C19" s="12">
        <v>2000</v>
      </c>
      <c r="E19" s="3">
        <v>11</v>
      </c>
      <c r="F19" s="12">
        <v>1000</v>
      </c>
    </row>
    <row r="20" spans="2:9" x14ac:dyDescent="0.25">
      <c r="B20" s="3">
        <v>30</v>
      </c>
      <c r="C20" s="12">
        <v>2500</v>
      </c>
    </row>
    <row r="22" spans="2:9" ht="90" customHeight="1" x14ac:dyDescent="0.25">
      <c r="B22" t="s">
        <v>141</v>
      </c>
      <c r="E22" s="13" t="s">
        <v>142</v>
      </c>
    </row>
    <row r="23" spans="2:9" x14ac:dyDescent="0.25">
      <c r="B23" s="3">
        <v>0</v>
      </c>
      <c r="C23" s="12">
        <v>10</v>
      </c>
    </row>
    <row r="24" spans="2:9" x14ac:dyDescent="0.25">
      <c r="B24" s="3">
        <v>120</v>
      </c>
      <c r="C24" s="12">
        <v>15</v>
      </c>
    </row>
    <row r="25" spans="2:9" x14ac:dyDescent="0.25">
      <c r="B25" s="3">
        <v>150</v>
      </c>
      <c r="C25" s="12">
        <v>20</v>
      </c>
    </row>
    <row r="26" spans="2:9" x14ac:dyDescent="0.25">
      <c r="B26" s="3">
        <v>200</v>
      </c>
      <c r="C26" s="12">
        <v>25</v>
      </c>
    </row>
  </sheetData>
  <sheetProtection sheet="1" formatColumns="0" formatRows="0"/>
  <pageMargins left="0.25" right="0.25" top="0.3" bottom="0.3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9A227"/>
    <pageSetUpPr fitToPage="1"/>
  </sheetPr>
  <dimension ref="A1:BT45"/>
  <sheetViews>
    <sheetView showGridLines="0" workbookViewId="0">
      <pane ySplit="3" topLeftCell="A4" activePane="bottomLeft" state="frozen"/>
      <selection pane="bottomLeft" sqref="A1:C3"/>
    </sheetView>
  </sheetViews>
  <sheetFormatPr defaultRowHeight="15" x14ac:dyDescent="0.25"/>
  <cols>
    <col min="1" max="1" width="3.42578125" customWidth="1"/>
    <col min="2" max="15" width="9.42578125" customWidth="1"/>
    <col min="16" max="18" width="11" customWidth="1"/>
    <col min="20" max="72" width="13" hidden="1" customWidth="1"/>
  </cols>
  <sheetData>
    <row r="1" spans="1:72" ht="20.100000000000001" customHeight="1" x14ac:dyDescent="0.25">
      <c r="A1" s="107" t="s">
        <v>143</v>
      </c>
      <c r="B1" s="108"/>
      <c r="C1" s="109"/>
      <c r="D1" s="116" t="s">
        <v>144</v>
      </c>
      <c r="E1" s="100"/>
      <c r="F1" s="100"/>
      <c r="G1" s="100"/>
      <c r="H1" s="100"/>
      <c r="I1" s="100"/>
      <c r="J1" s="100"/>
      <c r="K1" s="100"/>
      <c r="L1" s="100"/>
      <c r="M1" s="100"/>
      <c r="N1" s="115" t="str">
        <f ca="1">" as of "&amp;TEXT(TODAY(),"ddd mmm d, yyyy")</f>
        <v xml:space="preserve"> as of Sat Aug 1, 2026</v>
      </c>
      <c r="O1" s="100"/>
      <c r="P1" s="100"/>
      <c r="Q1" s="100"/>
      <c r="R1" s="100"/>
    </row>
    <row r="2" spans="1:72" ht="20.100000000000001" customHeight="1" x14ac:dyDescent="0.25">
      <c r="A2" s="119"/>
      <c r="B2" s="100"/>
      <c r="C2" s="12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</row>
    <row r="3" spans="1:72" ht="20.100000000000001" customHeight="1" x14ac:dyDescent="0.25">
      <c r="A3" s="110"/>
      <c r="B3" s="111"/>
      <c r="C3" s="112"/>
      <c r="D3" s="106" t="s">
        <v>145</v>
      </c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U3" t="s">
        <v>146</v>
      </c>
    </row>
    <row r="4" spans="1:72" x14ac:dyDescent="0.25">
      <c r="U4">
        <f>'Jul 1'!$G$47</f>
        <v>0</v>
      </c>
      <c r="V4">
        <f>'Jul 1'!$G$48</f>
        <v>0</v>
      </c>
      <c r="W4">
        <f>'Jul 1'!$C$54</f>
        <v>0</v>
      </c>
      <c r="X4">
        <f>'Jul 1'!$C$55</f>
        <v>0</v>
      </c>
      <c r="Y4">
        <f>'Jul 1'!$C$57</f>
        <v>0</v>
      </c>
      <c r="Z4">
        <f>COUNTIF('Jul 1'!$AM$8:$AM$42,"Y")</f>
        <v>0</v>
      </c>
      <c r="AA4">
        <f>COUNTIF('Jul 1'!$AN$8:$AN$42,"Y")</f>
        <v>0</v>
      </c>
      <c r="AB4">
        <f>COUNTIF('Jul 1'!$AO$8:$AO$42,"Y")</f>
        <v>0</v>
      </c>
      <c r="AD4" t="s">
        <v>79</v>
      </c>
      <c r="AE4">
        <f>SUMPRODUCT(('Jul 1'!$F$8:$F$42=$AD4)*'Jul 1'!$AJ$8:$AJ$42+('Jul 1'!$G$8:$G$42=$AD4)*'Jul 1'!$AK$8:$AK$42)</f>
        <v>0</v>
      </c>
      <c r="AF4">
        <f>SUMPRODUCT(('Jul 2'!$F$8:$F$42=$AD4)*'Jul 2'!$AJ$8:$AJ$42+('Jul 2'!$G$8:$G$42=$AD4)*'Jul 2'!$AK$8:$AK$42)</f>
        <v>0</v>
      </c>
      <c r="AG4">
        <f>SUMPRODUCT(('Jul 3'!$F$8:$F$42=$AD4)*'Jul 3'!$AJ$8:$AJ$42+('Jul 3'!$G$8:$G$42=$AD4)*'Jul 3'!$AK$8:$AK$42)</f>
        <v>0</v>
      </c>
      <c r="AH4">
        <f>SUMPRODUCT(('Jul 4'!$F$8:$F$42=$AD4)*'Jul 4'!$AJ$8:$AJ$42+('Jul 4'!$G$8:$G$42=$AD4)*'Jul 4'!$AK$8:$AK$42)</f>
        <v>0</v>
      </c>
      <c r="AI4">
        <f>SUMPRODUCT(('Jul 5'!$F$8:$F$42=$AD4)*'Jul 5'!$AJ$8:$AJ$42+('Jul 5'!$G$8:$G$42=$AD4)*'Jul 5'!$AK$8:$AK$42)</f>
        <v>0</v>
      </c>
      <c r="AJ4">
        <f>SUMPRODUCT(('Jul 6'!$F$8:$F$42=$AD4)*'Jul 6'!$AJ$8:$AJ$42+('Jul 6'!$G$8:$G$42=$AD4)*'Jul 6'!$AK$8:$AK$42)</f>
        <v>0</v>
      </c>
      <c r="AK4">
        <f>SUMPRODUCT(('Jul 7'!$F$8:$F$42=$AD4)*'Jul 7'!$AJ$8:$AJ$42+('Jul 7'!$G$8:$G$42=$AD4)*'Jul 7'!$AK$8:$AK$42)</f>
        <v>0</v>
      </c>
      <c r="AL4">
        <f>SUMPRODUCT(('Jul 8'!$F$8:$F$42=$AD4)*'Jul 8'!$AJ$8:$AJ$42+('Jul 8'!$G$8:$G$42=$AD4)*'Jul 8'!$AK$8:$AK$42)</f>
        <v>0</v>
      </c>
      <c r="AM4">
        <f>SUMPRODUCT(('Jul 9'!$F$8:$F$42=$AD4)*'Jul 9'!$AJ$8:$AJ$42+('Jul 9'!$G$8:$G$42=$AD4)*'Jul 9'!$AK$8:$AK$42)</f>
        <v>0</v>
      </c>
      <c r="AN4">
        <f>SUMPRODUCT(('Jul 10'!$F$8:$F$42=$AD4)*'Jul 10'!$AJ$8:$AJ$42+('Jul 10'!$G$8:$G$42=$AD4)*'Jul 10'!$AK$8:$AK$42)</f>
        <v>0</v>
      </c>
      <c r="AO4">
        <f>SUMPRODUCT(('Jul 11'!$F$8:$F$42=$AD4)*'Jul 11'!$AJ$8:$AJ$42+('Jul 11'!$G$8:$G$42=$AD4)*'Jul 11'!$AK$8:$AK$42)</f>
        <v>0</v>
      </c>
      <c r="AP4">
        <f>SUMPRODUCT(('Jul 12'!$F$8:$F$42=$AD4)*'Jul 12'!$AJ$8:$AJ$42+('Jul 12'!$G$8:$G$42=$AD4)*'Jul 12'!$AK$8:$AK$42)</f>
        <v>0</v>
      </c>
      <c r="AQ4">
        <f>SUMPRODUCT(('Jul 13'!$F$8:$F$42=$AD4)*'Jul 13'!$AJ$8:$AJ$42+('Jul 13'!$G$8:$G$42=$AD4)*'Jul 13'!$AK$8:$AK$42)</f>
        <v>0</v>
      </c>
      <c r="AR4">
        <f>SUMPRODUCT(('Jul 14'!$F$8:$F$42=$AD4)*'Jul 14'!$AJ$8:$AJ$42+('Jul 14'!$G$8:$G$42=$AD4)*'Jul 14'!$AK$8:$AK$42)</f>
        <v>0</v>
      </c>
      <c r="AS4">
        <f>SUMPRODUCT(('Jul 15'!$F$8:$F$42=$AD4)*'Jul 15'!$AJ$8:$AJ$42+('Jul 15'!$G$8:$G$42=$AD4)*'Jul 15'!$AK$8:$AK$42)</f>
        <v>0</v>
      </c>
      <c r="AT4">
        <f>SUMPRODUCT(('Jul 16'!$F$8:$F$42=$AD4)*'Jul 16'!$AJ$8:$AJ$42+('Jul 16'!$G$8:$G$42=$AD4)*'Jul 16'!$AK$8:$AK$42)</f>
        <v>0</v>
      </c>
      <c r="AU4">
        <f>SUMPRODUCT(('Jul 17'!$F$8:$F$42=$AD4)*'Jul 17'!$AJ$8:$AJ$42+('Jul 17'!$G$8:$G$42=$AD4)*'Jul 17'!$AK$8:$AK$42)</f>
        <v>0</v>
      </c>
      <c r="AV4">
        <f>SUMPRODUCT(('Jul 18'!$F$8:$F$42=$AD4)*'Jul 18'!$AJ$8:$AJ$42+('Jul 18'!$G$8:$G$42=$AD4)*'Jul 18'!$AK$8:$AK$42)</f>
        <v>0</v>
      </c>
      <c r="AW4">
        <f>SUMPRODUCT(('Jul 19'!$F$8:$F$42=$AD4)*'Jul 19'!$AJ$8:$AJ$42+('Jul 19'!$G$8:$G$42=$AD4)*'Jul 19'!$AK$8:$AK$42)</f>
        <v>0</v>
      </c>
      <c r="AX4">
        <f>SUMPRODUCT(('Jul 20'!$F$8:$F$42=$AD4)*'Jul 20'!$AJ$8:$AJ$42+('Jul 20'!$G$8:$G$42=$AD4)*'Jul 20'!$AK$8:$AK$42)</f>
        <v>0</v>
      </c>
      <c r="AY4">
        <f>SUMPRODUCT(('Jul 21'!$F$8:$F$42=$AD4)*'Jul 21'!$AJ$8:$AJ$42+('Jul 21'!$G$8:$G$42=$AD4)*'Jul 21'!$AK$8:$AK$42)</f>
        <v>0</v>
      </c>
      <c r="AZ4">
        <f>SUMPRODUCT(('Jul 22'!$F$8:$F$42=$AD4)*'Jul 22'!$AJ$8:$AJ$42+('Jul 22'!$G$8:$G$42=$AD4)*'Jul 22'!$AK$8:$AK$42)</f>
        <v>0</v>
      </c>
      <c r="BA4">
        <f>SUMPRODUCT(('Jul 23'!$F$8:$F$42=$AD4)*'Jul 23'!$AJ$8:$AJ$42+('Jul 23'!$G$8:$G$42=$AD4)*'Jul 23'!$AK$8:$AK$42)</f>
        <v>0</v>
      </c>
      <c r="BB4">
        <f>SUMPRODUCT(('Jul 24'!$F$8:$F$42=$AD4)*'Jul 24'!$AJ$8:$AJ$42+('Jul 24'!$G$8:$G$42=$AD4)*'Jul 24'!$AK$8:$AK$42)</f>
        <v>0</v>
      </c>
      <c r="BC4">
        <f>SUMPRODUCT(('Jul 25'!$F$8:$F$42=$AD4)*'Jul 25'!$AJ$8:$AJ$42+('Jul 25'!$G$8:$G$42=$AD4)*'Jul 25'!$AK$8:$AK$42)</f>
        <v>0</v>
      </c>
      <c r="BD4">
        <f>SUMPRODUCT(('Jul 26'!$F$8:$F$42=$AD4)*'Jul 26'!$AJ$8:$AJ$42+('Jul 26'!$G$8:$G$42=$AD4)*'Jul 26'!$AK$8:$AK$42)</f>
        <v>0</v>
      </c>
      <c r="BE4">
        <f>SUMPRODUCT(('Jul 27'!$F$8:$F$42=$AD4)*'Jul 27'!$AJ$8:$AJ$42+('Jul 27'!$G$8:$G$42=$AD4)*'Jul 27'!$AK$8:$AK$42)</f>
        <v>0</v>
      </c>
      <c r="BF4">
        <f>SUMPRODUCT(('Jul 28'!$F$8:$F$42=$AD4)*'Jul 28'!$AJ$8:$AJ$42+('Jul 28'!$G$8:$G$42=$AD4)*'Jul 28'!$AK$8:$AK$42)</f>
        <v>0</v>
      </c>
      <c r="BG4">
        <f>SUMPRODUCT(('Jul 29'!$F$8:$F$42=$AD4)*'Jul 29'!$AJ$8:$AJ$42+('Jul 29'!$G$8:$G$42=$AD4)*'Jul 29'!$AK$8:$AK$42)</f>
        <v>0</v>
      </c>
      <c r="BH4">
        <f>SUMPRODUCT(('Jul 30'!$F$8:$F$42=$AD4)*'Jul 30'!$AJ$8:$AJ$42+('Jul 30'!$G$8:$G$42=$AD4)*'Jul 30'!$AK$8:$AK$42)</f>
        <v>0</v>
      </c>
      <c r="BI4">
        <f>SUMPRODUCT(('Jul 31'!$F$8:$F$42=$AD4)*'Jul 31'!$AJ$8:$AJ$42+('Jul 31'!$G$8:$G$42=$AD4)*'Jul 31'!$AK$8:$AK$42)</f>
        <v>0</v>
      </c>
      <c r="BK4">
        <f t="shared" ref="BK4:BK19" si="0">SUM(AE4:BI4)</f>
        <v>0</v>
      </c>
      <c r="BM4">
        <f t="shared" ref="BM4:BM19" si="1">BK4+BK23/1000000000000</f>
        <v>0</v>
      </c>
      <c r="BN4">
        <f>RANK(BM4,$BM$4:$BM$19,0)+COUNTIF(BM$4:BM4,BM4)-1</f>
        <v>1</v>
      </c>
      <c r="BR4">
        <v>46204</v>
      </c>
      <c r="BT4">
        <f ca="1">MIN(27,COUNTIF($BR$4:$BR$30,"&lt;="&amp;TODAY()))</f>
        <v>27</v>
      </c>
    </row>
    <row r="5" spans="1:72" x14ac:dyDescent="0.25">
      <c r="A5" s="154" t="s">
        <v>147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U5">
        <f>'Jul 2'!$G$47</f>
        <v>0</v>
      </c>
      <c r="V5">
        <f>'Jul 2'!$G$48</f>
        <v>0</v>
      </c>
      <c r="W5">
        <f>'Jul 2'!$C$54</f>
        <v>0</v>
      </c>
      <c r="X5">
        <f>'Jul 2'!$C$55</f>
        <v>0</v>
      </c>
      <c r="Y5">
        <f>'Jul 2'!$C$57</f>
        <v>0</v>
      </c>
      <c r="Z5">
        <f>COUNTIF('Jul 2'!$AM$8:$AM$42,"Y")</f>
        <v>0</v>
      </c>
      <c r="AA5">
        <f>COUNTIF('Jul 2'!$AN$8:$AN$42,"Y")</f>
        <v>0</v>
      </c>
      <c r="AB5">
        <f>COUNTIF('Jul 2'!$AO$8:$AO$42,"Y")</f>
        <v>0</v>
      </c>
      <c r="AD5" t="s">
        <v>80</v>
      </c>
      <c r="AE5">
        <f>SUMPRODUCT(('Jul 1'!$F$8:$F$42=$AD5)*'Jul 1'!$AJ$8:$AJ$42+('Jul 1'!$G$8:$G$42=$AD5)*'Jul 1'!$AK$8:$AK$42)</f>
        <v>0</v>
      </c>
      <c r="AF5">
        <f>SUMPRODUCT(('Jul 2'!$F$8:$F$42=$AD5)*'Jul 2'!$AJ$8:$AJ$42+('Jul 2'!$G$8:$G$42=$AD5)*'Jul 2'!$AK$8:$AK$42)</f>
        <v>0</v>
      </c>
      <c r="AG5">
        <f>SUMPRODUCT(('Jul 3'!$F$8:$F$42=$AD5)*'Jul 3'!$AJ$8:$AJ$42+('Jul 3'!$G$8:$G$42=$AD5)*'Jul 3'!$AK$8:$AK$42)</f>
        <v>0</v>
      </c>
      <c r="AH5">
        <f>SUMPRODUCT(('Jul 4'!$F$8:$F$42=$AD5)*'Jul 4'!$AJ$8:$AJ$42+('Jul 4'!$G$8:$G$42=$AD5)*'Jul 4'!$AK$8:$AK$42)</f>
        <v>0</v>
      </c>
      <c r="AI5">
        <f>SUMPRODUCT(('Jul 5'!$F$8:$F$42=$AD5)*'Jul 5'!$AJ$8:$AJ$42+('Jul 5'!$G$8:$G$42=$AD5)*'Jul 5'!$AK$8:$AK$42)</f>
        <v>0</v>
      </c>
      <c r="AJ5">
        <f>SUMPRODUCT(('Jul 6'!$F$8:$F$42=$AD5)*'Jul 6'!$AJ$8:$AJ$42+('Jul 6'!$G$8:$G$42=$AD5)*'Jul 6'!$AK$8:$AK$42)</f>
        <v>0</v>
      </c>
      <c r="AK5">
        <f>SUMPRODUCT(('Jul 7'!$F$8:$F$42=$AD5)*'Jul 7'!$AJ$8:$AJ$42+('Jul 7'!$G$8:$G$42=$AD5)*'Jul 7'!$AK$8:$AK$42)</f>
        <v>0</v>
      </c>
      <c r="AL5">
        <f>SUMPRODUCT(('Jul 8'!$F$8:$F$42=$AD5)*'Jul 8'!$AJ$8:$AJ$42+('Jul 8'!$G$8:$G$42=$AD5)*'Jul 8'!$AK$8:$AK$42)</f>
        <v>0</v>
      </c>
      <c r="AM5">
        <f>SUMPRODUCT(('Jul 9'!$F$8:$F$42=$AD5)*'Jul 9'!$AJ$8:$AJ$42+('Jul 9'!$G$8:$G$42=$AD5)*'Jul 9'!$AK$8:$AK$42)</f>
        <v>0</v>
      </c>
      <c r="AN5">
        <f>SUMPRODUCT(('Jul 10'!$F$8:$F$42=$AD5)*'Jul 10'!$AJ$8:$AJ$42+('Jul 10'!$G$8:$G$42=$AD5)*'Jul 10'!$AK$8:$AK$42)</f>
        <v>0</v>
      </c>
      <c r="AO5">
        <f>SUMPRODUCT(('Jul 11'!$F$8:$F$42=$AD5)*'Jul 11'!$AJ$8:$AJ$42+('Jul 11'!$G$8:$G$42=$AD5)*'Jul 11'!$AK$8:$AK$42)</f>
        <v>0</v>
      </c>
      <c r="AP5">
        <f>SUMPRODUCT(('Jul 12'!$F$8:$F$42=$AD5)*'Jul 12'!$AJ$8:$AJ$42+('Jul 12'!$G$8:$G$42=$AD5)*'Jul 12'!$AK$8:$AK$42)</f>
        <v>0</v>
      </c>
      <c r="AQ5">
        <f>SUMPRODUCT(('Jul 13'!$F$8:$F$42=$AD5)*'Jul 13'!$AJ$8:$AJ$42+('Jul 13'!$G$8:$G$42=$AD5)*'Jul 13'!$AK$8:$AK$42)</f>
        <v>0</v>
      </c>
      <c r="AR5">
        <f>SUMPRODUCT(('Jul 14'!$F$8:$F$42=$AD5)*'Jul 14'!$AJ$8:$AJ$42+('Jul 14'!$G$8:$G$42=$AD5)*'Jul 14'!$AK$8:$AK$42)</f>
        <v>0</v>
      </c>
      <c r="AS5">
        <f>SUMPRODUCT(('Jul 15'!$F$8:$F$42=$AD5)*'Jul 15'!$AJ$8:$AJ$42+('Jul 15'!$G$8:$G$42=$AD5)*'Jul 15'!$AK$8:$AK$42)</f>
        <v>0</v>
      </c>
      <c r="AT5">
        <f>SUMPRODUCT(('Jul 16'!$F$8:$F$42=$AD5)*'Jul 16'!$AJ$8:$AJ$42+('Jul 16'!$G$8:$G$42=$AD5)*'Jul 16'!$AK$8:$AK$42)</f>
        <v>0</v>
      </c>
      <c r="AU5">
        <f>SUMPRODUCT(('Jul 17'!$F$8:$F$42=$AD5)*'Jul 17'!$AJ$8:$AJ$42+('Jul 17'!$G$8:$G$42=$AD5)*'Jul 17'!$AK$8:$AK$42)</f>
        <v>0</v>
      </c>
      <c r="AV5">
        <f>SUMPRODUCT(('Jul 18'!$F$8:$F$42=$AD5)*'Jul 18'!$AJ$8:$AJ$42+('Jul 18'!$G$8:$G$42=$AD5)*'Jul 18'!$AK$8:$AK$42)</f>
        <v>0</v>
      </c>
      <c r="AW5">
        <f>SUMPRODUCT(('Jul 19'!$F$8:$F$42=$AD5)*'Jul 19'!$AJ$8:$AJ$42+('Jul 19'!$G$8:$G$42=$AD5)*'Jul 19'!$AK$8:$AK$42)</f>
        <v>0</v>
      </c>
      <c r="AX5">
        <f>SUMPRODUCT(('Jul 20'!$F$8:$F$42=$AD5)*'Jul 20'!$AJ$8:$AJ$42+('Jul 20'!$G$8:$G$42=$AD5)*'Jul 20'!$AK$8:$AK$42)</f>
        <v>0</v>
      </c>
      <c r="AY5">
        <f>SUMPRODUCT(('Jul 21'!$F$8:$F$42=$AD5)*'Jul 21'!$AJ$8:$AJ$42+('Jul 21'!$G$8:$G$42=$AD5)*'Jul 21'!$AK$8:$AK$42)</f>
        <v>0</v>
      </c>
      <c r="AZ5">
        <f>SUMPRODUCT(('Jul 22'!$F$8:$F$42=$AD5)*'Jul 22'!$AJ$8:$AJ$42+('Jul 22'!$G$8:$G$42=$AD5)*'Jul 22'!$AK$8:$AK$42)</f>
        <v>0</v>
      </c>
      <c r="BA5">
        <f>SUMPRODUCT(('Jul 23'!$F$8:$F$42=$AD5)*'Jul 23'!$AJ$8:$AJ$42+('Jul 23'!$G$8:$G$42=$AD5)*'Jul 23'!$AK$8:$AK$42)</f>
        <v>0</v>
      </c>
      <c r="BB5">
        <f>SUMPRODUCT(('Jul 24'!$F$8:$F$42=$AD5)*'Jul 24'!$AJ$8:$AJ$42+('Jul 24'!$G$8:$G$42=$AD5)*'Jul 24'!$AK$8:$AK$42)</f>
        <v>0</v>
      </c>
      <c r="BC5">
        <f>SUMPRODUCT(('Jul 25'!$F$8:$F$42=$AD5)*'Jul 25'!$AJ$8:$AJ$42+('Jul 25'!$G$8:$G$42=$AD5)*'Jul 25'!$AK$8:$AK$42)</f>
        <v>0</v>
      </c>
      <c r="BD5">
        <f>SUMPRODUCT(('Jul 26'!$F$8:$F$42=$AD5)*'Jul 26'!$AJ$8:$AJ$42+('Jul 26'!$G$8:$G$42=$AD5)*'Jul 26'!$AK$8:$AK$42)</f>
        <v>0</v>
      </c>
      <c r="BE5">
        <f>SUMPRODUCT(('Jul 27'!$F$8:$F$42=$AD5)*'Jul 27'!$AJ$8:$AJ$42+('Jul 27'!$G$8:$G$42=$AD5)*'Jul 27'!$AK$8:$AK$42)</f>
        <v>0</v>
      </c>
      <c r="BF5">
        <f>SUMPRODUCT(('Jul 28'!$F$8:$F$42=$AD5)*'Jul 28'!$AJ$8:$AJ$42+('Jul 28'!$G$8:$G$42=$AD5)*'Jul 28'!$AK$8:$AK$42)</f>
        <v>0</v>
      </c>
      <c r="BG5">
        <f>SUMPRODUCT(('Jul 29'!$F$8:$F$42=$AD5)*'Jul 29'!$AJ$8:$AJ$42+('Jul 29'!$G$8:$G$42=$AD5)*'Jul 29'!$AK$8:$AK$42)</f>
        <v>0</v>
      </c>
      <c r="BH5">
        <f>SUMPRODUCT(('Jul 30'!$F$8:$F$42=$AD5)*'Jul 30'!$AJ$8:$AJ$42+('Jul 30'!$G$8:$G$42=$AD5)*'Jul 30'!$AK$8:$AK$42)</f>
        <v>0</v>
      </c>
      <c r="BI5">
        <f>SUMPRODUCT(('Jul 31'!$F$8:$F$42=$AD5)*'Jul 31'!$AJ$8:$AJ$42+('Jul 31'!$G$8:$G$42=$AD5)*'Jul 31'!$AK$8:$AK$42)</f>
        <v>0</v>
      </c>
      <c r="BK5">
        <f t="shared" si="0"/>
        <v>0</v>
      </c>
      <c r="BM5">
        <f t="shared" si="1"/>
        <v>0</v>
      </c>
      <c r="BN5">
        <f>RANK(BM5,$BM$4:$BM$19,0)+COUNTIF(BM$4:BM5,BM5)-1</f>
        <v>2</v>
      </c>
      <c r="BR5">
        <v>46205</v>
      </c>
      <c r="BT5">
        <f ca="1">MAX(0,COUNTIF($BR$4:$BR$30,"&gt;="&amp;TODAY()))</f>
        <v>0</v>
      </c>
    </row>
    <row r="6" spans="1:72" ht="14.1" customHeight="1" x14ac:dyDescent="0.25">
      <c r="B6" s="145" t="s">
        <v>45</v>
      </c>
      <c r="C6" s="138"/>
      <c r="D6" s="145" t="s">
        <v>148</v>
      </c>
      <c r="E6" s="146"/>
      <c r="F6" s="138"/>
      <c r="G6" s="145" t="s">
        <v>149</v>
      </c>
      <c r="H6" s="138"/>
      <c r="I6" s="145" t="s">
        <v>150</v>
      </c>
      <c r="J6" s="138"/>
      <c r="K6" s="145" t="s">
        <v>151</v>
      </c>
      <c r="L6" s="145" t="s">
        <v>152</v>
      </c>
      <c r="M6" s="138"/>
      <c r="U6">
        <f>'Jul 3'!$G$47</f>
        <v>0</v>
      </c>
      <c r="V6">
        <f>'Jul 3'!$G$48</f>
        <v>0</v>
      </c>
      <c r="W6">
        <f>'Jul 3'!$C$54</f>
        <v>0</v>
      </c>
      <c r="X6">
        <f>'Jul 3'!$C$55</f>
        <v>0</v>
      </c>
      <c r="Y6">
        <f>'Jul 3'!$C$57</f>
        <v>0</v>
      </c>
      <c r="Z6">
        <f>COUNTIF('Jul 3'!$AM$8:$AM$42,"Y")</f>
        <v>0</v>
      </c>
      <c r="AA6">
        <f>COUNTIF('Jul 3'!$AN$8:$AN$42,"Y")</f>
        <v>0</v>
      </c>
      <c r="AB6">
        <f>COUNTIF('Jul 3'!$AO$8:$AO$42,"Y")</f>
        <v>0</v>
      </c>
      <c r="AD6" t="s">
        <v>92</v>
      </c>
      <c r="AE6">
        <f>SUMPRODUCT(('Jul 1'!$F$8:$F$42=$AD6)*'Jul 1'!$AJ$8:$AJ$42+('Jul 1'!$G$8:$G$42=$AD6)*'Jul 1'!$AK$8:$AK$42)</f>
        <v>0</v>
      </c>
      <c r="AF6">
        <f>SUMPRODUCT(('Jul 2'!$F$8:$F$42=$AD6)*'Jul 2'!$AJ$8:$AJ$42+('Jul 2'!$G$8:$G$42=$AD6)*'Jul 2'!$AK$8:$AK$42)</f>
        <v>0</v>
      </c>
      <c r="AG6">
        <f>SUMPRODUCT(('Jul 3'!$F$8:$F$42=$AD6)*'Jul 3'!$AJ$8:$AJ$42+('Jul 3'!$G$8:$G$42=$AD6)*'Jul 3'!$AK$8:$AK$42)</f>
        <v>0</v>
      </c>
      <c r="AH6">
        <f>SUMPRODUCT(('Jul 4'!$F$8:$F$42=$AD6)*'Jul 4'!$AJ$8:$AJ$42+('Jul 4'!$G$8:$G$42=$AD6)*'Jul 4'!$AK$8:$AK$42)</f>
        <v>0</v>
      </c>
      <c r="AI6">
        <f>SUMPRODUCT(('Jul 5'!$F$8:$F$42=$AD6)*'Jul 5'!$AJ$8:$AJ$42+('Jul 5'!$G$8:$G$42=$AD6)*'Jul 5'!$AK$8:$AK$42)</f>
        <v>0</v>
      </c>
      <c r="AJ6">
        <f>SUMPRODUCT(('Jul 6'!$F$8:$F$42=$AD6)*'Jul 6'!$AJ$8:$AJ$42+('Jul 6'!$G$8:$G$42=$AD6)*'Jul 6'!$AK$8:$AK$42)</f>
        <v>0</v>
      </c>
      <c r="AK6">
        <f>SUMPRODUCT(('Jul 7'!$F$8:$F$42=$AD6)*'Jul 7'!$AJ$8:$AJ$42+('Jul 7'!$G$8:$G$42=$AD6)*'Jul 7'!$AK$8:$AK$42)</f>
        <v>0</v>
      </c>
      <c r="AL6">
        <f>SUMPRODUCT(('Jul 8'!$F$8:$F$42=$AD6)*'Jul 8'!$AJ$8:$AJ$42+('Jul 8'!$G$8:$G$42=$AD6)*'Jul 8'!$AK$8:$AK$42)</f>
        <v>0</v>
      </c>
      <c r="AM6">
        <f>SUMPRODUCT(('Jul 9'!$F$8:$F$42=$AD6)*'Jul 9'!$AJ$8:$AJ$42+('Jul 9'!$G$8:$G$42=$AD6)*'Jul 9'!$AK$8:$AK$42)</f>
        <v>0</v>
      </c>
      <c r="AN6">
        <f>SUMPRODUCT(('Jul 10'!$F$8:$F$42=$AD6)*'Jul 10'!$AJ$8:$AJ$42+('Jul 10'!$G$8:$G$42=$AD6)*'Jul 10'!$AK$8:$AK$42)</f>
        <v>0</v>
      </c>
      <c r="AO6">
        <f>SUMPRODUCT(('Jul 11'!$F$8:$F$42=$AD6)*'Jul 11'!$AJ$8:$AJ$42+('Jul 11'!$G$8:$G$42=$AD6)*'Jul 11'!$AK$8:$AK$42)</f>
        <v>0</v>
      </c>
      <c r="AP6">
        <f>SUMPRODUCT(('Jul 12'!$F$8:$F$42=$AD6)*'Jul 12'!$AJ$8:$AJ$42+('Jul 12'!$G$8:$G$42=$AD6)*'Jul 12'!$AK$8:$AK$42)</f>
        <v>0</v>
      </c>
      <c r="AQ6">
        <f>SUMPRODUCT(('Jul 13'!$F$8:$F$42=$AD6)*'Jul 13'!$AJ$8:$AJ$42+('Jul 13'!$G$8:$G$42=$AD6)*'Jul 13'!$AK$8:$AK$42)</f>
        <v>0</v>
      </c>
      <c r="AR6">
        <f>SUMPRODUCT(('Jul 14'!$F$8:$F$42=$AD6)*'Jul 14'!$AJ$8:$AJ$42+('Jul 14'!$G$8:$G$42=$AD6)*'Jul 14'!$AK$8:$AK$42)</f>
        <v>0</v>
      </c>
      <c r="AS6">
        <f>SUMPRODUCT(('Jul 15'!$F$8:$F$42=$AD6)*'Jul 15'!$AJ$8:$AJ$42+('Jul 15'!$G$8:$G$42=$AD6)*'Jul 15'!$AK$8:$AK$42)</f>
        <v>0</v>
      </c>
      <c r="AT6">
        <f>SUMPRODUCT(('Jul 16'!$F$8:$F$42=$AD6)*'Jul 16'!$AJ$8:$AJ$42+('Jul 16'!$G$8:$G$42=$AD6)*'Jul 16'!$AK$8:$AK$42)</f>
        <v>0</v>
      </c>
      <c r="AU6">
        <f>SUMPRODUCT(('Jul 17'!$F$8:$F$42=$AD6)*'Jul 17'!$AJ$8:$AJ$42+('Jul 17'!$G$8:$G$42=$AD6)*'Jul 17'!$AK$8:$AK$42)</f>
        <v>0</v>
      </c>
      <c r="AV6">
        <f>SUMPRODUCT(('Jul 18'!$F$8:$F$42=$AD6)*'Jul 18'!$AJ$8:$AJ$42+('Jul 18'!$G$8:$G$42=$AD6)*'Jul 18'!$AK$8:$AK$42)</f>
        <v>0</v>
      </c>
      <c r="AW6">
        <f>SUMPRODUCT(('Jul 19'!$F$8:$F$42=$AD6)*'Jul 19'!$AJ$8:$AJ$42+('Jul 19'!$G$8:$G$42=$AD6)*'Jul 19'!$AK$8:$AK$42)</f>
        <v>0</v>
      </c>
      <c r="AX6">
        <f>SUMPRODUCT(('Jul 20'!$F$8:$F$42=$AD6)*'Jul 20'!$AJ$8:$AJ$42+('Jul 20'!$G$8:$G$42=$AD6)*'Jul 20'!$AK$8:$AK$42)</f>
        <v>0</v>
      </c>
      <c r="AY6">
        <f>SUMPRODUCT(('Jul 21'!$F$8:$F$42=$AD6)*'Jul 21'!$AJ$8:$AJ$42+('Jul 21'!$G$8:$G$42=$AD6)*'Jul 21'!$AK$8:$AK$42)</f>
        <v>0</v>
      </c>
      <c r="AZ6">
        <f>SUMPRODUCT(('Jul 22'!$F$8:$F$42=$AD6)*'Jul 22'!$AJ$8:$AJ$42+('Jul 22'!$G$8:$G$42=$AD6)*'Jul 22'!$AK$8:$AK$42)</f>
        <v>0</v>
      </c>
      <c r="BA6">
        <f>SUMPRODUCT(('Jul 23'!$F$8:$F$42=$AD6)*'Jul 23'!$AJ$8:$AJ$42+('Jul 23'!$G$8:$G$42=$AD6)*'Jul 23'!$AK$8:$AK$42)</f>
        <v>0</v>
      </c>
      <c r="BB6">
        <f>SUMPRODUCT(('Jul 24'!$F$8:$F$42=$AD6)*'Jul 24'!$AJ$8:$AJ$42+('Jul 24'!$G$8:$G$42=$AD6)*'Jul 24'!$AK$8:$AK$42)</f>
        <v>0</v>
      </c>
      <c r="BC6">
        <f>SUMPRODUCT(('Jul 25'!$F$8:$F$42=$AD6)*'Jul 25'!$AJ$8:$AJ$42+('Jul 25'!$G$8:$G$42=$AD6)*'Jul 25'!$AK$8:$AK$42)</f>
        <v>0</v>
      </c>
      <c r="BD6">
        <f>SUMPRODUCT(('Jul 26'!$F$8:$F$42=$AD6)*'Jul 26'!$AJ$8:$AJ$42+('Jul 26'!$G$8:$G$42=$AD6)*'Jul 26'!$AK$8:$AK$42)</f>
        <v>0</v>
      </c>
      <c r="BE6">
        <f>SUMPRODUCT(('Jul 27'!$F$8:$F$42=$AD6)*'Jul 27'!$AJ$8:$AJ$42+('Jul 27'!$G$8:$G$42=$AD6)*'Jul 27'!$AK$8:$AK$42)</f>
        <v>0</v>
      </c>
      <c r="BF6">
        <f>SUMPRODUCT(('Jul 28'!$F$8:$F$42=$AD6)*'Jul 28'!$AJ$8:$AJ$42+('Jul 28'!$G$8:$G$42=$AD6)*'Jul 28'!$AK$8:$AK$42)</f>
        <v>0</v>
      </c>
      <c r="BG6">
        <f>SUMPRODUCT(('Jul 29'!$F$8:$F$42=$AD6)*'Jul 29'!$AJ$8:$AJ$42+('Jul 29'!$G$8:$G$42=$AD6)*'Jul 29'!$AK$8:$AK$42)</f>
        <v>0</v>
      </c>
      <c r="BH6">
        <f>SUMPRODUCT(('Jul 30'!$F$8:$F$42=$AD6)*'Jul 30'!$AJ$8:$AJ$42+('Jul 30'!$G$8:$G$42=$AD6)*'Jul 30'!$AK$8:$AK$42)</f>
        <v>0</v>
      </c>
      <c r="BI6">
        <f>SUMPRODUCT(('Jul 31'!$F$8:$F$42=$AD6)*'Jul 31'!$AJ$8:$AJ$42+('Jul 31'!$G$8:$G$42=$AD6)*'Jul 31'!$AK$8:$AK$42)</f>
        <v>0</v>
      </c>
      <c r="BK6">
        <f t="shared" si="0"/>
        <v>0</v>
      </c>
      <c r="BM6">
        <f t="shared" si="1"/>
        <v>0</v>
      </c>
      <c r="BN6">
        <f>RANK(BM6,$BM$4:$BM$19,0)+COUNTIF(BM$4:BM6,BM6)-1</f>
        <v>3</v>
      </c>
      <c r="BR6">
        <v>46206</v>
      </c>
      <c r="BT6">
        <f>'Jul 31'!$C$62</f>
        <v>0</v>
      </c>
    </row>
    <row r="7" spans="1:72" ht="21.95" customHeight="1" x14ac:dyDescent="0.25">
      <c r="B7" s="150">
        <f>BT6</f>
        <v>0</v>
      </c>
      <c r="C7" s="138"/>
      <c r="D7" s="152">
        <f>BT7</f>
        <v>0</v>
      </c>
      <c r="E7" s="146"/>
      <c r="F7" s="138"/>
      <c r="G7" s="152">
        <f>SUM(U4:U34)</f>
        <v>0</v>
      </c>
      <c r="H7" s="138"/>
      <c r="I7" s="152">
        <f>SUM(V4:V34)</f>
        <v>0</v>
      </c>
      <c r="J7" s="138"/>
      <c r="K7" s="36">
        <f>SUM(W4:W34)</f>
        <v>0</v>
      </c>
      <c r="L7" s="150">
        <f>SUM(Y4:Y34)</f>
        <v>0</v>
      </c>
      <c r="M7" s="138"/>
      <c r="U7">
        <f>'Jul 4'!$G$47</f>
        <v>0</v>
      </c>
      <c r="V7">
        <f>'Jul 4'!$G$48</f>
        <v>0</v>
      </c>
      <c r="W7">
        <f>'Jul 4'!$C$54</f>
        <v>0</v>
      </c>
      <c r="X7">
        <f>'Jul 4'!$C$55</f>
        <v>0</v>
      </c>
      <c r="Y7">
        <f>'Jul 4'!$C$57</f>
        <v>0</v>
      </c>
      <c r="Z7">
        <f>COUNTIF('Jul 4'!$AM$8:$AM$42,"Y")</f>
        <v>0</v>
      </c>
      <c r="AA7">
        <f>COUNTIF('Jul 4'!$AN$8:$AN$42,"Y")</f>
        <v>0</v>
      </c>
      <c r="AB7">
        <f>COUNTIF('Jul 4'!$AO$8:$AO$42,"Y")</f>
        <v>0</v>
      </c>
      <c r="AD7" t="s">
        <v>93</v>
      </c>
      <c r="AE7">
        <f>SUMPRODUCT(('Jul 1'!$F$8:$F$42=$AD7)*'Jul 1'!$AJ$8:$AJ$42+('Jul 1'!$G$8:$G$42=$AD7)*'Jul 1'!$AK$8:$AK$42)</f>
        <v>0</v>
      </c>
      <c r="AF7">
        <f>SUMPRODUCT(('Jul 2'!$F$8:$F$42=$AD7)*'Jul 2'!$AJ$8:$AJ$42+('Jul 2'!$G$8:$G$42=$AD7)*'Jul 2'!$AK$8:$AK$42)</f>
        <v>0</v>
      </c>
      <c r="AG7">
        <f>SUMPRODUCT(('Jul 3'!$F$8:$F$42=$AD7)*'Jul 3'!$AJ$8:$AJ$42+('Jul 3'!$G$8:$G$42=$AD7)*'Jul 3'!$AK$8:$AK$42)</f>
        <v>0</v>
      </c>
      <c r="AH7">
        <f>SUMPRODUCT(('Jul 4'!$F$8:$F$42=$AD7)*'Jul 4'!$AJ$8:$AJ$42+('Jul 4'!$G$8:$G$42=$AD7)*'Jul 4'!$AK$8:$AK$42)</f>
        <v>0</v>
      </c>
      <c r="AI7">
        <f>SUMPRODUCT(('Jul 5'!$F$8:$F$42=$AD7)*'Jul 5'!$AJ$8:$AJ$42+('Jul 5'!$G$8:$G$42=$AD7)*'Jul 5'!$AK$8:$AK$42)</f>
        <v>0</v>
      </c>
      <c r="AJ7">
        <f>SUMPRODUCT(('Jul 6'!$F$8:$F$42=$AD7)*'Jul 6'!$AJ$8:$AJ$42+('Jul 6'!$G$8:$G$42=$AD7)*'Jul 6'!$AK$8:$AK$42)</f>
        <v>0</v>
      </c>
      <c r="AK7">
        <f>SUMPRODUCT(('Jul 7'!$F$8:$F$42=$AD7)*'Jul 7'!$AJ$8:$AJ$42+('Jul 7'!$G$8:$G$42=$AD7)*'Jul 7'!$AK$8:$AK$42)</f>
        <v>0</v>
      </c>
      <c r="AL7">
        <f>SUMPRODUCT(('Jul 8'!$F$8:$F$42=$AD7)*'Jul 8'!$AJ$8:$AJ$42+('Jul 8'!$G$8:$G$42=$AD7)*'Jul 8'!$AK$8:$AK$42)</f>
        <v>0</v>
      </c>
      <c r="AM7">
        <f>SUMPRODUCT(('Jul 9'!$F$8:$F$42=$AD7)*'Jul 9'!$AJ$8:$AJ$42+('Jul 9'!$G$8:$G$42=$AD7)*'Jul 9'!$AK$8:$AK$42)</f>
        <v>0</v>
      </c>
      <c r="AN7">
        <f>SUMPRODUCT(('Jul 10'!$F$8:$F$42=$AD7)*'Jul 10'!$AJ$8:$AJ$42+('Jul 10'!$G$8:$G$42=$AD7)*'Jul 10'!$AK$8:$AK$42)</f>
        <v>0</v>
      </c>
      <c r="AO7">
        <f>SUMPRODUCT(('Jul 11'!$F$8:$F$42=$AD7)*'Jul 11'!$AJ$8:$AJ$42+('Jul 11'!$G$8:$G$42=$AD7)*'Jul 11'!$AK$8:$AK$42)</f>
        <v>0</v>
      </c>
      <c r="AP7">
        <f>SUMPRODUCT(('Jul 12'!$F$8:$F$42=$AD7)*'Jul 12'!$AJ$8:$AJ$42+('Jul 12'!$G$8:$G$42=$AD7)*'Jul 12'!$AK$8:$AK$42)</f>
        <v>0</v>
      </c>
      <c r="AQ7">
        <f>SUMPRODUCT(('Jul 13'!$F$8:$F$42=$AD7)*'Jul 13'!$AJ$8:$AJ$42+('Jul 13'!$G$8:$G$42=$AD7)*'Jul 13'!$AK$8:$AK$42)</f>
        <v>0</v>
      </c>
      <c r="AR7">
        <f>SUMPRODUCT(('Jul 14'!$F$8:$F$42=$AD7)*'Jul 14'!$AJ$8:$AJ$42+('Jul 14'!$G$8:$G$42=$AD7)*'Jul 14'!$AK$8:$AK$42)</f>
        <v>0</v>
      </c>
      <c r="AS7">
        <f>SUMPRODUCT(('Jul 15'!$F$8:$F$42=$AD7)*'Jul 15'!$AJ$8:$AJ$42+('Jul 15'!$G$8:$G$42=$AD7)*'Jul 15'!$AK$8:$AK$42)</f>
        <v>0</v>
      </c>
      <c r="AT7">
        <f>SUMPRODUCT(('Jul 16'!$F$8:$F$42=$AD7)*'Jul 16'!$AJ$8:$AJ$42+('Jul 16'!$G$8:$G$42=$AD7)*'Jul 16'!$AK$8:$AK$42)</f>
        <v>0</v>
      </c>
      <c r="AU7">
        <f>SUMPRODUCT(('Jul 17'!$F$8:$F$42=$AD7)*'Jul 17'!$AJ$8:$AJ$42+('Jul 17'!$G$8:$G$42=$AD7)*'Jul 17'!$AK$8:$AK$42)</f>
        <v>0</v>
      </c>
      <c r="AV7">
        <f>SUMPRODUCT(('Jul 18'!$F$8:$F$42=$AD7)*'Jul 18'!$AJ$8:$AJ$42+('Jul 18'!$G$8:$G$42=$AD7)*'Jul 18'!$AK$8:$AK$42)</f>
        <v>0</v>
      </c>
      <c r="AW7">
        <f>SUMPRODUCT(('Jul 19'!$F$8:$F$42=$AD7)*'Jul 19'!$AJ$8:$AJ$42+('Jul 19'!$G$8:$G$42=$AD7)*'Jul 19'!$AK$8:$AK$42)</f>
        <v>0</v>
      </c>
      <c r="AX7">
        <f>SUMPRODUCT(('Jul 20'!$F$8:$F$42=$AD7)*'Jul 20'!$AJ$8:$AJ$42+('Jul 20'!$G$8:$G$42=$AD7)*'Jul 20'!$AK$8:$AK$42)</f>
        <v>0</v>
      </c>
      <c r="AY7">
        <f>SUMPRODUCT(('Jul 21'!$F$8:$F$42=$AD7)*'Jul 21'!$AJ$8:$AJ$42+('Jul 21'!$G$8:$G$42=$AD7)*'Jul 21'!$AK$8:$AK$42)</f>
        <v>0</v>
      </c>
      <c r="AZ7">
        <f>SUMPRODUCT(('Jul 22'!$F$8:$F$42=$AD7)*'Jul 22'!$AJ$8:$AJ$42+('Jul 22'!$G$8:$G$42=$AD7)*'Jul 22'!$AK$8:$AK$42)</f>
        <v>0</v>
      </c>
      <c r="BA7">
        <f>SUMPRODUCT(('Jul 23'!$F$8:$F$42=$AD7)*'Jul 23'!$AJ$8:$AJ$42+('Jul 23'!$G$8:$G$42=$AD7)*'Jul 23'!$AK$8:$AK$42)</f>
        <v>0</v>
      </c>
      <c r="BB7">
        <f>SUMPRODUCT(('Jul 24'!$F$8:$F$42=$AD7)*'Jul 24'!$AJ$8:$AJ$42+('Jul 24'!$G$8:$G$42=$AD7)*'Jul 24'!$AK$8:$AK$42)</f>
        <v>0</v>
      </c>
      <c r="BC7">
        <f>SUMPRODUCT(('Jul 25'!$F$8:$F$42=$AD7)*'Jul 25'!$AJ$8:$AJ$42+('Jul 25'!$G$8:$G$42=$AD7)*'Jul 25'!$AK$8:$AK$42)</f>
        <v>0</v>
      </c>
      <c r="BD7">
        <f>SUMPRODUCT(('Jul 26'!$F$8:$F$42=$AD7)*'Jul 26'!$AJ$8:$AJ$42+('Jul 26'!$G$8:$G$42=$AD7)*'Jul 26'!$AK$8:$AK$42)</f>
        <v>0</v>
      </c>
      <c r="BE7">
        <f>SUMPRODUCT(('Jul 27'!$F$8:$F$42=$AD7)*'Jul 27'!$AJ$8:$AJ$42+('Jul 27'!$G$8:$G$42=$AD7)*'Jul 27'!$AK$8:$AK$42)</f>
        <v>0</v>
      </c>
      <c r="BF7">
        <f>SUMPRODUCT(('Jul 28'!$F$8:$F$42=$AD7)*'Jul 28'!$AJ$8:$AJ$42+('Jul 28'!$G$8:$G$42=$AD7)*'Jul 28'!$AK$8:$AK$42)</f>
        <v>0</v>
      </c>
      <c r="BG7">
        <f>SUMPRODUCT(('Jul 29'!$F$8:$F$42=$AD7)*'Jul 29'!$AJ$8:$AJ$42+('Jul 29'!$G$8:$G$42=$AD7)*'Jul 29'!$AK$8:$AK$42)</f>
        <v>0</v>
      </c>
      <c r="BH7">
        <f>SUMPRODUCT(('Jul 30'!$F$8:$F$42=$AD7)*'Jul 30'!$AJ$8:$AJ$42+('Jul 30'!$G$8:$G$42=$AD7)*'Jul 30'!$AK$8:$AK$42)</f>
        <v>0</v>
      </c>
      <c r="BI7">
        <f>SUMPRODUCT(('Jul 31'!$F$8:$F$42=$AD7)*'Jul 31'!$AJ$8:$AJ$42+('Jul 31'!$G$8:$G$42=$AD7)*'Jul 31'!$AK$8:$AK$42)</f>
        <v>0</v>
      </c>
      <c r="BK7">
        <f t="shared" si="0"/>
        <v>0</v>
      </c>
      <c r="BM7">
        <f t="shared" si="1"/>
        <v>0</v>
      </c>
      <c r="BN7">
        <f>RANK(BM7,$BM$4:$BM$19,0)+COUNTIF(BM$4:BM7,BM7)-1</f>
        <v>4</v>
      </c>
      <c r="BR7">
        <v>46207</v>
      </c>
      <c r="BT7">
        <f>'Jul 31'!$C$63</f>
        <v>0</v>
      </c>
    </row>
    <row r="8" spans="1:72" x14ac:dyDescent="0.25">
      <c r="U8">
        <f>'Jul 5'!$G$47</f>
        <v>0</v>
      </c>
      <c r="V8">
        <f>'Jul 5'!$G$48</f>
        <v>0</v>
      </c>
      <c r="W8">
        <f>'Jul 5'!$C$54</f>
        <v>0</v>
      </c>
      <c r="X8">
        <f>'Jul 5'!$C$55</f>
        <v>0</v>
      </c>
      <c r="Y8">
        <f>'Jul 5'!$C$57</f>
        <v>0</v>
      </c>
      <c r="Z8">
        <f>COUNTIF('Jul 5'!$AM$8:$AM$42,"Y")</f>
        <v>0</v>
      </c>
      <c r="AA8">
        <f>COUNTIF('Jul 5'!$AN$8:$AN$42,"Y")</f>
        <v>0</v>
      </c>
      <c r="AB8">
        <f>COUNTIF('Jul 5'!$AO$8:$AO$42,"Y")</f>
        <v>0</v>
      </c>
      <c r="AD8" t="s">
        <v>94</v>
      </c>
      <c r="AE8">
        <f>SUMPRODUCT(('Jul 1'!$F$8:$F$42=$AD8)*'Jul 1'!$AJ$8:$AJ$42+('Jul 1'!$G$8:$G$42=$AD8)*'Jul 1'!$AK$8:$AK$42)</f>
        <v>0</v>
      </c>
      <c r="AF8">
        <f>SUMPRODUCT(('Jul 2'!$F$8:$F$42=$AD8)*'Jul 2'!$AJ$8:$AJ$42+('Jul 2'!$G$8:$G$42=$AD8)*'Jul 2'!$AK$8:$AK$42)</f>
        <v>0</v>
      </c>
      <c r="AG8">
        <f>SUMPRODUCT(('Jul 3'!$F$8:$F$42=$AD8)*'Jul 3'!$AJ$8:$AJ$42+('Jul 3'!$G$8:$G$42=$AD8)*'Jul 3'!$AK$8:$AK$42)</f>
        <v>0</v>
      </c>
      <c r="AH8">
        <f>SUMPRODUCT(('Jul 4'!$F$8:$F$42=$AD8)*'Jul 4'!$AJ$8:$AJ$42+('Jul 4'!$G$8:$G$42=$AD8)*'Jul 4'!$AK$8:$AK$42)</f>
        <v>0</v>
      </c>
      <c r="AI8">
        <f>SUMPRODUCT(('Jul 5'!$F$8:$F$42=$AD8)*'Jul 5'!$AJ$8:$AJ$42+('Jul 5'!$G$8:$G$42=$AD8)*'Jul 5'!$AK$8:$AK$42)</f>
        <v>0</v>
      </c>
      <c r="AJ8">
        <f>SUMPRODUCT(('Jul 6'!$F$8:$F$42=$AD8)*'Jul 6'!$AJ$8:$AJ$42+('Jul 6'!$G$8:$G$42=$AD8)*'Jul 6'!$AK$8:$AK$42)</f>
        <v>0</v>
      </c>
      <c r="AK8">
        <f>SUMPRODUCT(('Jul 7'!$F$8:$F$42=$AD8)*'Jul 7'!$AJ$8:$AJ$42+('Jul 7'!$G$8:$G$42=$AD8)*'Jul 7'!$AK$8:$AK$42)</f>
        <v>0</v>
      </c>
      <c r="AL8">
        <f>SUMPRODUCT(('Jul 8'!$F$8:$F$42=$AD8)*'Jul 8'!$AJ$8:$AJ$42+('Jul 8'!$G$8:$G$42=$AD8)*'Jul 8'!$AK$8:$AK$42)</f>
        <v>0</v>
      </c>
      <c r="AM8">
        <f>SUMPRODUCT(('Jul 9'!$F$8:$F$42=$AD8)*'Jul 9'!$AJ$8:$AJ$42+('Jul 9'!$G$8:$G$42=$AD8)*'Jul 9'!$AK$8:$AK$42)</f>
        <v>0</v>
      </c>
      <c r="AN8">
        <f>SUMPRODUCT(('Jul 10'!$F$8:$F$42=$AD8)*'Jul 10'!$AJ$8:$AJ$42+('Jul 10'!$G$8:$G$42=$AD8)*'Jul 10'!$AK$8:$AK$42)</f>
        <v>0</v>
      </c>
      <c r="AO8">
        <f>SUMPRODUCT(('Jul 11'!$F$8:$F$42=$AD8)*'Jul 11'!$AJ$8:$AJ$42+('Jul 11'!$G$8:$G$42=$AD8)*'Jul 11'!$AK$8:$AK$42)</f>
        <v>0</v>
      </c>
      <c r="AP8">
        <f>SUMPRODUCT(('Jul 12'!$F$8:$F$42=$AD8)*'Jul 12'!$AJ$8:$AJ$42+('Jul 12'!$G$8:$G$42=$AD8)*'Jul 12'!$AK$8:$AK$42)</f>
        <v>0</v>
      </c>
      <c r="AQ8">
        <f>SUMPRODUCT(('Jul 13'!$F$8:$F$42=$AD8)*'Jul 13'!$AJ$8:$AJ$42+('Jul 13'!$G$8:$G$42=$AD8)*'Jul 13'!$AK$8:$AK$42)</f>
        <v>0</v>
      </c>
      <c r="AR8">
        <f>SUMPRODUCT(('Jul 14'!$F$8:$F$42=$AD8)*'Jul 14'!$AJ$8:$AJ$42+('Jul 14'!$G$8:$G$42=$AD8)*'Jul 14'!$AK$8:$AK$42)</f>
        <v>0</v>
      </c>
      <c r="AS8">
        <f>SUMPRODUCT(('Jul 15'!$F$8:$F$42=$AD8)*'Jul 15'!$AJ$8:$AJ$42+('Jul 15'!$G$8:$G$42=$AD8)*'Jul 15'!$AK$8:$AK$42)</f>
        <v>0</v>
      </c>
      <c r="AT8">
        <f>SUMPRODUCT(('Jul 16'!$F$8:$F$42=$AD8)*'Jul 16'!$AJ$8:$AJ$42+('Jul 16'!$G$8:$G$42=$AD8)*'Jul 16'!$AK$8:$AK$42)</f>
        <v>0</v>
      </c>
      <c r="AU8">
        <f>SUMPRODUCT(('Jul 17'!$F$8:$F$42=$AD8)*'Jul 17'!$AJ$8:$AJ$42+('Jul 17'!$G$8:$G$42=$AD8)*'Jul 17'!$AK$8:$AK$42)</f>
        <v>0</v>
      </c>
      <c r="AV8">
        <f>SUMPRODUCT(('Jul 18'!$F$8:$F$42=$AD8)*'Jul 18'!$AJ$8:$AJ$42+('Jul 18'!$G$8:$G$42=$AD8)*'Jul 18'!$AK$8:$AK$42)</f>
        <v>0</v>
      </c>
      <c r="AW8">
        <f>SUMPRODUCT(('Jul 19'!$F$8:$F$42=$AD8)*'Jul 19'!$AJ$8:$AJ$42+('Jul 19'!$G$8:$G$42=$AD8)*'Jul 19'!$AK$8:$AK$42)</f>
        <v>0</v>
      </c>
      <c r="AX8">
        <f>SUMPRODUCT(('Jul 20'!$F$8:$F$42=$AD8)*'Jul 20'!$AJ$8:$AJ$42+('Jul 20'!$G$8:$G$42=$AD8)*'Jul 20'!$AK$8:$AK$42)</f>
        <v>0</v>
      </c>
      <c r="AY8">
        <f>SUMPRODUCT(('Jul 21'!$F$8:$F$42=$AD8)*'Jul 21'!$AJ$8:$AJ$42+('Jul 21'!$G$8:$G$42=$AD8)*'Jul 21'!$AK$8:$AK$42)</f>
        <v>0</v>
      </c>
      <c r="AZ8">
        <f>SUMPRODUCT(('Jul 22'!$F$8:$F$42=$AD8)*'Jul 22'!$AJ$8:$AJ$42+('Jul 22'!$G$8:$G$42=$AD8)*'Jul 22'!$AK$8:$AK$42)</f>
        <v>0</v>
      </c>
      <c r="BA8">
        <f>SUMPRODUCT(('Jul 23'!$F$8:$F$42=$AD8)*'Jul 23'!$AJ$8:$AJ$42+('Jul 23'!$G$8:$G$42=$AD8)*'Jul 23'!$AK$8:$AK$42)</f>
        <v>0</v>
      </c>
      <c r="BB8">
        <f>SUMPRODUCT(('Jul 24'!$F$8:$F$42=$AD8)*'Jul 24'!$AJ$8:$AJ$42+('Jul 24'!$G$8:$G$42=$AD8)*'Jul 24'!$AK$8:$AK$42)</f>
        <v>0</v>
      </c>
      <c r="BC8">
        <f>SUMPRODUCT(('Jul 25'!$F$8:$F$42=$AD8)*'Jul 25'!$AJ$8:$AJ$42+('Jul 25'!$G$8:$G$42=$AD8)*'Jul 25'!$AK$8:$AK$42)</f>
        <v>0</v>
      </c>
      <c r="BD8">
        <f>SUMPRODUCT(('Jul 26'!$F$8:$F$42=$AD8)*'Jul 26'!$AJ$8:$AJ$42+('Jul 26'!$G$8:$G$42=$AD8)*'Jul 26'!$AK$8:$AK$42)</f>
        <v>0</v>
      </c>
      <c r="BE8">
        <f>SUMPRODUCT(('Jul 27'!$F$8:$F$42=$AD8)*'Jul 27'!$AJ$8:$AJ$42+('Jul 27'!$G$8:$G$42=$AD8)*'Jul 27'!$AK$8:$AK$42)</f>
        <v>0</v>
      </c>
      <c r="BF8">
        <f>SUMPRODUCT(('Jul 28'!$F$8:$F$42=$AD8)*'Jul 28'!$AJ$8:$AJ$42+('Jul 28'!$G$8:$G$42=$AD8)*'Jul 28'!$AK$8:$AK$42)</f>
        <v>0</v>
      </c>
      <c r="BG8">
        <f>SUMPRODUCT(('Jul 29'!$F$8:$F$42=$AD8)*'Jul 29'!$AJ$8:$AJ$42+('Jul 29'!$G$8:$G$42=$AD8)*'Jul 29'!$AK$8:$AK$42)</f>
        <v>0</v>
      </c>
      <c r="BH8">
        <f>SUMPRODUCT(('Jul 30'!$F$8:$F$42=$AD8)*'Jul 30'!$AJ$8:$AJ$42+('Jul 30'!$G$8:$G$42=$AD8)*'Jul 30'!$AK$8:$AK$42)</f>
        <v>0</v>
      </c>
      <c r="BI8">
        <f>SUMPRODUCT(('Jul 31'!$F$8:$F$42=$AD8)*'Jul 31'!$AJ$8:$AJ$42+('Jul 31'!$G$8:$G$42=$AD8)*'Jul 31'!$AK$8:$AK$42)</f>
        <v>0</v>
      </c>
      <c r="BK8">
        <f t="shared" si="0"/>
        <v>0</v>
      </c>
      <c r="BM8">
        <f t="shared" si="1"/>
        <v>0</v>
      </c>
      <c r="BN8">
        <f>RANK(BM8,$BM$4:$BM$19,0)+COUNTIF(BM$4:BM8,BM8)-1</f>
        <v>5</v>
      </c>
      <c r="BR8">
        <v>46209</v>
      </c>
    </row>
    <row r="9" spans="1:72" x14ac:dyDescent="0.25">
      <c r="A9" s="154" t="s">
        <v>153</v>
      </c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U9">
        <f>'Jul 6'!$G$47</f>
        <v>0</v>
      </c>
      <c r="V9">
        <f>'Jul 6'!$G$48</f>
        <v>0</v>
      </c>
      <c r="W9">
        <f>'Jul 6'!$C$54</f>
        <v>0</v>
      </c>
      <c r="X9">
        <f>'Jul 6'!$C$55</f>
        <v>0</v>
      </c>
      <c r="Y9">
        <f>'Jul 6'!$C$57</f>
        <v>0</v>
      </c>
      <c r="Z9">
        <f>COUNTIF('Jul 6'!$AM$8:$AM$42,"Y")</f>
        <v>0</v>
      </c>
      <c r="AA9">
        <f>COUNTIF('Jul 6'!$AN$8:$AN$42,"Y")</f>
        <v>0</v>
      </c>
      <c r="AB9">
        <f>COUNTIF('Jul 6'!$AO$8:$AO$42,"Y")</f>
        <v>0</v>
      </c>
      <c r="AD9" t="s">
        <v>95</v>
      </c>
      <c r="AE9">
        <f>SUMPRODUCT(('Jul 1'!$F$8:$F$42=$AD9)*'Jul 1'!$AJ$8:$AJ$42+('Jul 1'!$G$8:$G$42=$AD9)*'Jul 1'!$AK$8:$AK$42)</f>
        <v>0</v>
      </c>
      <c r="AF9">
        <f>SUMPRODUCT(('Jul 2'!$F$8:$F$42=$AD9)*'Jul 2'!$AJ$8:$AJ$42+('Jul 2'!$G$8:$G$42=$AD9)*'Jul 2'!$AK$8:$AK$42)</f>
        <v>0</v>
      </c>
      <c r="AG9">
        <f>SUMPRODUCT(('Jul 3'!$F$8:$F$42=$AD9)*'Jul 3'!$AJ$8:$AJ$42+('Jul 3'!$G$8:$G$42=$AD9)*'Jul 3'!$AK$8:$AK$42)</f>
        <v>0</v>
      </c>
      <c r="AH9">
        <f>SUMPRODUCT(('Jul 4'!$F$8:$F$42=$AD9)*'Jul 4'!$AJ$8:$AJ$42+('Jul 4'!$G$8:$G$42=$AD9)*'Jul 4'!$AK$8:$AK$42)</f>
        <v>0</v>
      </c>
      <c r="AI9">
        <f>SUMPRODUCT(('Jul 5'!$F$8:$F$42=$AD9)*'Jul 5'!$AJ$8:$AJ$42+('Jul 5'!$G$8:$G$42=$AD9)*'Jul 5'!$AK$8:$AK$42)</f>
        <v>0</v>
      </c>
      <c r="AJ9">
        <f>SUMPRODUCT(('Jul 6'!$F$8:$F$42=$AD9)*'Jul 6'!$AJ$8:$AJ$42+('Jul 6'!$G$8:$G$42=$AD9)*'Jul 6'!$AK$8:$AK$42)</f>
        <v>0</v>
      </c>
      <c r="AK9">
        <f>SUMPRODUCT(('Jul 7'!$F$8:$F$42=$AD9)*'Jul 7'!$AJ$8:$AJ$42+('Jul 7'!$G$8:$G$42=$AD9)*'Jul 7'!$AK$8:$AK$42)</f>
        <v>0</v>
      </c>
      <c r="AL9">
        <f>SUMPRODUCT(('Jul 8'!$F$8:$F$42=$AD9)*'Jul 8'!$AJ$8:$AJ$42+('Jul 8'!$G$8:$G$42=$AD9)*'Jul 8'!$AK$8:$AK$42)</f>
        <v>0</v>
      </c>
      <c r="AM9">
        <f>SUMPRODUCT(('Jul 9'!$F$8:$F$42=$AD9)*'Jul 9'!$AJ$8:$AJ$42+('Jul 9'!$G$8:$G$42=$AD9)*'Jul 9'!$AK$8:$AK$42)</f>
        <v>0</v>
      </c>
      <c r="AN9">
        <f>SUMPRODUCT(('Jul 10'!$F$8:$F$42=$AD9)*'Jul 10'!$AJ$8:$AJ$42+('Jul 10'!$G$8:$G$42=$AD9)*'Jul 10'!$AK$8:$AK$42)</f>
        <v>0</v>
      </c>
      <c r="AO9">
        <f>SUMPRODUCT(('Jul 11'!$F$8:$F$42=$AD9)*'Jul 11'!$AJ$8:$AJ$42+('Jul 11'!$G$8:$G$42=$AD9)*'Jul 11'!$AK$8:$AK$42)</f>
        <v>0</v>
      </c>
      <c r="AP9">
        <f>SUMPRODUCT(('Jul 12'!$F$8:$F$42=$AD9)*'Jul 12'!$AJ$8:$AJ$42+('Jul 12'!$G$8:$G$42=$AD9)*'Jul 12'!$AK$8:$AK$42)</f>
        <v>0</v>
      </c>
      <c r="AQ9">
        <f>SUMPRODUCT(('Jul 13'!$F$8:$F$42=$AD9)*'Jul 13'!$AJ$8:$AJ$42+('Jul 13'!$G$8:$G$42=$AD9)*'Jul 13'!$AK$8:$AK$42)</f>
        <v>0</v>
      </c>
      <c r="AR9">
        <f>SUMPRODUCT(('Jul 14'!$F$8:$F$42=$AD9)*'Jul 14'!$AJ$8:$AJ$42+('Jul 14'!$G$8:$G$42=$AD9)*'Jul 14'!$AK$8:$AK$42)</f>
        <v>0</v>
      </c>
      <c r="AS9">
        <f>SUMPRODUCT(('Jul 15'!$F$8:$F$42=$AD9)*'Jul 15'!$AJ$8:$AJ$42+('Jul 15'!$G$8:$G$42=$AD9)*'Jul 15'!$AK$8:$AK$42)</f>
        <v>0</v>
      </c>
      <c r="AT9">
        <f>SUMPRODUCT(('Jul 16'!$F$8:$F$42=$AD9)*'Jul 16'!$AJ$8:$AJ$42+('Jul 16'!$G$8:$G$42=$AD9)*'Jul 16'!$AK$8:$AK$42)</f>
        <v>0</v>
      </c>
      <c r="AU9">
        <f>SUMPRODUCT(('Jul 17'!$F$8:$F$42=$AD9)*'Jul 17'!$AJ$8:$AJ$42+('Jul 17'!$G$8:$G$42=$AD9)*'Jul 17'!$AK$8:$AK$42)</f>
        <v>0</v>
      </c>
      <c r="AV9">
        <f>SUMPRODUCT(('Jul 18'!$F$8:$F$42=$AD9)*'Jul 18'!$AJ$8:$AJ$42+('Jul 18'!$G$8:$G$42=$AD9)*'Jul 18'!$AK$8:$AK$42)</f>
        <v>0</v>
      </c>
      <c r="AW9">
        <f>SUMPRODUCT(('Jul 19'!$F$8:$F$42=$AD9)*'Jul 19'!$AJ$8:$AJ$42+('Jul 19'!$G$8:$G$42=$AD9)*'Jul 19'!$AK$8:$AK$42)</f>
        <v>0</v>
      </c>
      <c r="AX9">
        <f>SUMPRODUCT(('Jul 20'!$F$8:$F$42=$AD9)*'Jul 20'!$AJ$8:$AJ$42+('Jul 20'!$G$8:$G$42=$AD9)*'Jul 20'!$AK$8:$AK$42)</f>
        <v>0</v>
      </c>
      <c r="AY9">
        <f>SUMPRODUCT(('Jul 21'!$F$8:$F$42=$AD9)*'Jul 21'!$AJ$8:$AJ$42+('Jul 21'!$G$8:$G$42=$AD9)*'Jul 21'!$AK$8:$AK$42)</f>
        <v>0</v>
      </c>
      <c r="AZ9">
        <f>SUMPRODUCT(('Jul 22'!$F$8:$F$42=$AD9)*'Jul 22'!$AJ$8:$AJ$42+('Jul 22'!$G$8:$G$42=$AD9)*'Jul 22'!$AK$8:$AK$42)</f>
        <v>0</v>
      </c>
      <c r="BA9">
        <f>SUMPRODUCT(('Jul 23'!$F$8:$F$42=$AD9)*'Jul 23'!$AJ$8:$AJ$42+('Jul 23'!$G$8:$G$42=$AD9)*'Jul 23'!$AK$8:$AK$42)</f>
        <v>0</v>
      </c>
      <c r="BB9">
        <f>SUMPRODUCT(('Jul 24'!$F$8:$F$42=$AD9)*'Jul 24'!$AJ$8:$AJ$42+('Jul 24'!$G$8:$G$42=$AD9)*'Jul 24'!$AK$8:$AK$42)</f>
        <v>0</v>
      </c>
      <c r="BC9">
        <f>SUMPRODUCT(('Jul 25'!$F$8:$F$42=$AD9)*'Jul 25'!$AJ$8:$AJ$42+('Jul 25'!$G$8:$G$42=$AD9)*'Jul 25'!$AK$8:$AK$42)</f>
        <v>0</v>
      </c>
      <c r="BD9">
        <f>SUMPRODUCT(('Jul 26'!$F$8:$F$42=$AD9)*'Jul 26'!$AJ$8:$AJ$42+('Jul 26'!$G$8:$G$42=$AD9)*'Jul 26'!$AK$8:$AK$42)</f>
        <v>0</v>
      </c>
      <c r="BE9">
        <f>SUMPRODUCT(('Jul 27'!$F$8:$F$42=$AD9)*'Jul 27'!$AJ$8:$AJ$42+('Jul 27'!$G$8:$G$42=$AD9)*'Jul 27'!$AK$8:$AK$42)</f>
        <v>0</v>
      </c>
      <c r="BF9">
        <f>SUMPRODUCT(('Jul 28'!$F$8:$F$42=$AD9)*'Jul 28'!$AJ$8:$AJ$42+('Jul 28'!$G$8:$G$42=$AD9)*'Jul 28'!$AK$8:$AK$42)</f>
        <v>0</v>
      </c>
      <c r="BG9">
        <f>SUMPRODUCT(('Jul 29'!$F$8:$F$42=$AD9)*'Jul 29'!$AJ$8:$AJ$42+('Jul 29'!$G$8:$G$42=$AD9)*'Jul 29'!$AK$8:$AK$42)</f>
        <v>0</v>
      </c>
      <c r="BH9">
        <f>SUMPRODUCT(('Jul 30'!$F$8:$F$42=$AD9)*'Jul 30'!$AJ$8:$AJ$42+('Jul 30'!$G$8:$G$42=$AD9)*'Jul 30'!$AK$8:$AK$42)</f>
        <v>0</v>
      </c>
      <c r="BI9">
        <f>SUMPRODUCT(('Jul 31'!$F$8:$F$42=$AD9)*'Jul 31'!$AJ$8:$AJ$42+('Jul 31'!$G$8:$G$42=$AD9)*'Jul 31'!$AK$8:$AK$42)</f>
        <v>0</v>
      </c>
      <c r="BK9">
        <f t="shared" si="0"/>
        <v>0</v>
      </c>
      <c r="BM9">
        <f t="shared" si="1"/>
        <v>0</v>
      </c>
      <c r="BN9">
        <f>RANK(BM9,$BM$4:$BM$19,0)+COUNTIF(BM$4:BM9,BM9)-1</f>
        <v>6</v>
      </c>
      <c r="BR9">
        <v>46210</v>
      </c>
    </row>
    <row r="10" spans="1:72" ht="12.95" customHeight="1" x14ac:dyDescent="0.25">
      <c r="B10" s="145" t="s">
        <v>154</v>
      </c>
      <c r="C10" s="138"/>
      <c r="D10" s="145" t="s">
        <v>155</v>
      </c>
      <c r="E10" s="138"/>
      <c r="F10" s="145" t="s">
        <v>156</v>
      </c>
      <c r="G10" s="146"/>
      <c r="H10" s="138"/>
      <c r="I10" s="145" t="s">
        <v>157</v>
      </c>
      <c r="J10" s="138"/>
      <c r="K10" s="145" t="s">
        <v>158</v>
      </c>
      <c r="L10" s="138"/>
      <c r="M10" s="145" t="s">
        <v>159</v>
      </c>
      <c r="N10" s="146"/>
      <c r="O10" s="146"/>
      <c r="P10" s="146"/>
      <c r="Q10" s="146"/>
      <c r="R10" s="138"/>
      <c r="U10">
        <f>'Jul 7'!$G$47</f>
        <v>0</v>
      </c>
      <c r="V10">
        <f>'Jul 7'!$G$48</f>
        <v>0</v>
      </c>
      <c r="W10">
        <f>'Jul 7'!$C$54</f>
        <v>0</v>
      </c>
      <c r="X10">
        <f>'Jul 7'!$C$55</f>
        <v>0</v>
      </c>
      <c r="Y10">
        <f>'Jul 7'!$C$57</f>
        <v>0</v>
      </c>
      <c r="Z10">
        <f>COUNTIF('Jul 7'!$AM$8:$AM$42,"Y")</f>
        <v>0</v>
      </c>
      <c r="AA10">
        <f>COUNTIF('Jul 7'!$AN$8:$AN$42,"Y")</f>
        <v>0</v>
      </c>
      <c r="AB10">
        <f>COUNTIF('Jul 7'!$AO$8:$AO$42,"Y")</f>
        <v>0</v>
      </c>
      <c r="AD10" t="s">
        <v>96</v>
      </c>
      <c r="AE10">
        <f>SUMPRODUCT(('Jul 1'!$F$8:$F$42=$AD10)*'Jul 1'!$AJ$8:$AJ$42+('Jul 1'!$G$8:$G$42=$AD10)*'Jul 1'!$AK$8:$AK$42)</f>
        <v>0</v>
      </c>
      <c r="AF10">
        <f>SUMPRODUCT(('Jul 2'!$F$8:$F$42=$AD10)*'Jul 2'!$AJ$8:$AJ$42+('Jul 2'!$G$8:$G$42=$AD10)*'Jul 2'!$AK$8:$AK$42)</f>
        <v>0</v>
      </c>
      <c r="AG10">
        <f>SUMPRODUCT(('Jul 3'!$F$8:$F$42=$AD10)*'Jul 3'!$AJ$8:$AJ$42+('Jul 3'!$G$8:$G$42=$AD10)*'Jul 3'!$AK$8:$AK$42)</f>
        <v>0</v>
      </c>
      <c r="AH10">
        <f>SUMPRODUCT(('Jul 4'!$F$8:$F$42=$AD10)*'Jul 4'!$AJ$8:$AJ$42+('Jul 4'!$G$8:$G$42=$AD10)*'Jul 4'!$AK$8:$AK$42)</f>
        <v>0</v>
      </c>
      <c r="AI10">
        <f>SUMPRODUCT(('Jul 5'!$F$8:$F$42=$AD10)*'Jul 5'!$AJ$8:$AJ$42+('Jul 5'!$G$8:$G$42=$AD10)*'Jul 5'!$AK$8:$AK$42)</f>
        <v>0</v>
      </c>
      <c r="AJ10">
        <f>SUMPRODUCT(('Jul 6'!$F$8:$F$42=$AD10)*'Jul 6'!$AJ$8:$AJ$42+('Jul 6'!$G$8:$G$42=$AD10)*'Jul 6'!$AK$8:$AK$42)</f>
        <v>0</v>
      </c>
      <c r="AK10">
        <f>SUMPRODUCT(('Jul 7'!$F$8:$F$42=$AD10)*'Jul 7'!$AJ$8:$AJ$42+('Jul 7'!$G$8:$G$42=$AD10)*'Jul 7'!$AK$8:$AK$42)</f>
        <v>0</v>
      </c>
      <c r="AL10">
        <f>SUMPRODUCT(('Jul 8'!$F$8:$F$42=$AD10)*'Jul 8'!$AJ$8:$AJ$42+('Jul 8'!$G$8:$G$42=$AD10)*'Jul 8'!$AK$8:$AK$42)</f>
        <v>0</v>
      </c>
      <c r="AM10">
        <f>SUMPRODUCT(('Jul 9'!$F$8:$F$42=$AD10)*'Jul 9'!$AJ$8:$AJ$42+('Jul 9'!$G$8:$G$42=$AD10)*'Jul 9'!$AK$8:$AK$42)</f>
        <v>0</v>
      </c>
      <c r="AN10">
        <f>SUMPRODUCT(('Jul 10'!$F$8:$F$42=$AD10)*'Jul 10'!$AJ$8:$AJ$42+('Jul 10'!$G$8:$G$42=$AD10)*'Jul 10'!$AK$8:$AK$42)</f>
        <v>0</v>
      </c>
      <c r="AO10">
        <f>SUMPRODUCT(('Jul 11'!$F$8:$F$42=$AD10)*'Jul 11'!$AJ$8:$AJ$42+('Jul 11'!$G$8:$G$42=$AD10)*'Jul 11'!$AK$8:$AK$42)</f>
        <v>0</v>
      </c>
      <c r="AP10">
        <f>SUMPRODUCT(('Jul 12'!$F$8:$F$42=$AD10)*'Jul 12'!$AJ$8:$AJ$42+('Jul 12'!$G$8:$G$42=$AD10)*'Jul 12'!$AK$8:$AK$42)</f>
        <v>0</v>
      </c>
      <c r="AQ10">
        <f>SUMPRODUCT(('Jul 13'!$F$8:$F$42=$AD10)*'Jul 13'!$AJ$8:$AJ$42+('Jul 13'!$G$8:$G$42=$AD10)*'Jul 13'!$AK$8:$AK$42)</f>
        <v>0</v>
      </c>
      <c r="AR10">
        <f>SUMPRODUCT(('Jul 14'!$F$8:$F$42=$AD10)*'Jul 14'!$AJ$8:$AJ$42+('Jul 14'!$G$8:$G$42=$AD10)*'Jul 14'!$AK$8:$AK$42)</f>
        <v>0</v>
      </c>
      <c r="AS10">
        <f>SUMPRODUCT(('Jul 15'!$F$8:$F$42=$AD10)*'Jul 15'!$AJ$8:$AJ$42+('Jul 15'!$G$8:$G$42=$AD10)*'Jul 15'!$AK$8:$AK$42)</f>
        <v>0</v>
      </c>
      <c r="AT10">
        <f>SUMPRODUCT(('Jul 16'!$F$8:$F$42=$AD10)*'Jul 16'!$AJ$8:$AJ$42+('Jul 16'!$G$8:$G$42=$AD10)*'Jul 16'!$AK$8:$AK$42)</f>
        <v>0</v>
      </c>
      <c r="AU10">
        <f>SUMPRODUCT(('Jul 17'!$F$8:$F$42=$AD10)*'Jul 17'!$AJ$8:$AJ$42+('Jul 17'!$G$8:$G$42=$AD10)*'Jul 17'!$AK$8:$AK$42)</f>
        <v>0</v>
      </c>
      <c r="AV10">
        <f>SUMPRODUCT(('Jul 18'!$F$8:$F$42=$AD10)*'Jul 18'!$AJ$8:$AJ$42+('Jul 18'!$G$8:$G$42=$AD10)*'Jul 18'!$AK$8:$AK$42)</f>
        <v>0</v>
      </c>
      <c r="AW10">
        <f>SUMPRODUCT(('Jul 19'!$F$8:$F$42=$AD10)*'Jul 19'!$AJ$8:$AJ$42+('Jul 19'!$G$8:$G$42=$AD10)*'Jul 19'!$AK$8:$AK$42)</f>
        <v>0</v>
      </c>
      <c r="AX10">
        <f>SUMPRODUCT(('Jul 20'!$F$8:$F$42=$AD10)*'Jul 20'!$AJ$8:$AJ$42+('Jul 20'!$G$8:$G$42=$AD10)*'Jul 20'!$AK$8:$AK$42)</f>
        <v>0</v>
      </c>
      <c r="AY10">
        <f>SUMPRODUCT(('Jul 21'!$F$8:$F$42=$AD10)*'Jul 21'!$AJ$8:$AJ$42+('Jul 21'!$G$8:$G$42=$AD10)*'Jul 21'!$AK$8:$AK$42)</f>
        <v>0</v>
      </c>
      <c r="AZ10">
        <f>SUMPRODUCT(('Jul 22'!$F$8:$F$42=$AD10)*'Jul 22'!$AJ$8:$AJ$42+('Jul 22'!$G$8:$G$42=$AD10)*'Jul 22'!$AK$8:$AK$42)</f>
        <v>0</v>
      </c>
      <c r="BA10">
        <f>SUMPRODUCT(('Jul 23'!$F$8:$F$42=$AD10)*'Jul 23'!$AJ$8:$AJ$42+('Jul 23'!$G$8:$G$42=$AD10)*'Jul 23'!$AK$8:$AK$42)</f>
        <v>0</v>
      </c>
      <c r="BB10">
        <f>SUMPRODUCT(('Jul 24'!$F$8:$F$42=$AD10)*'Jul 24'!$AJ$8:$AJ$42+('Jul 24'!$G$8:$G$42=$AD10)*'Jul 24'!$AK$8:$AK$42)</f>
        <v>0</v>
      </c>
      <c r="BC10">
        <f>SUMPRODUCT(('Jul 25'!$F$8:$F$42=$AD10)*'Jul 25'!$AJ$8:$AJ$42+('Jul 25'!$G$8:$G$42=$AD10)*'Jul 25'!$AK$8:$AK$42)</f>
        <v>0</v>
      </c>
      <c r="BD10">
        <f>SUMPRODUCT(('Jul 26'!$F$8:$F$42=$AD10)*'Jul 26'!$AJ$8:$AJ$42+('Jul 26'!$G$8:$G$42=$AD10)*'Jul 26'!$AK$8:$AK$42)</f>
        <v>0</v>
      </c>
      <c r="BE10">
        <f>SUMPRODUCT(('Jul 27'!$F$8:$F$42=$AD10)*'Jul 27'!$AJ$8:$AJ$42+('Jul 27'!$G$8:$G$42=$AD10)*'Jul 27'!$AK$8:$AK$42)</f>
        <v>0</v>
      </c>
      <c r="BF10">
        <f>SUMPRODUCT(('Jul 28'!$F$8:$F$42=$AD10)*'Jul 28'!$AJ$8:$AJ$42+('Jul 28'!$G$8:$G$42=$AD10)*'Jul 28'!$AK$8:$AK$42)</f>
        <v>0</v>
      </c>
      <c r="BG10">
        <f>SUMPRODUCT(('Jul 29'!$F$8:$F$42=$AD10)*'Jul 29'!$AJ$8:$AJ$42+('Jul 29'!$G$8:$G$42=$AD10)*'Jul 29'!$AK$8:$AK$42)</f>
        <v>0</v>
      </c>
      <c r="BH10">
        <f>SUMPRODUCT(('Jul 30'!$F$8:$F$42=$AD10)*'Jul 30'!$AJ$8:$AJ$42+('Jul 30'!$G$8:$G$42=$AD10)*'Jul 30'!$AK$8:$AK$42)</f>
        <v>0</v>
      </c>
      <c r="BI10">
        <f>SUMPRODUCT(('Jul 31'!$F$8:$F$42=$AD10)*'Jul 31'!$AJ$8:$AJ$42+('Jul 31'!$G$8:$G$42=$AD10)*'Jul 31'!$AK$8:$AK$42)</f>
        <v>0</v>
      </c>
      <c r="BK10">
        <f t="shared" si="0"/>
        <v>0</v>
      </c>
      <c r="BM10">
        <f t="shared" si="1"/>
        <v>0</v>
      </c>
      <c r="BN10">
        <f>RANK(BM10,$BM$4:$BM$19,0)+COUNTIF(BM$4:BM10,BM10)-1</f>
        <v>7</v>
      </c>
      <c r="BR10">
        <v>46211</v>
      </c>
    </row>
    <row r="11" spans="1:72" ht="20.100000000000001" customHeight="1" x14ac:dyDescent="0.25">
      <c r="B11" s="153" t="str">
        <f>IF(GoalUnitsTotal="","—",GoalUnitsTotal)</f>
        <v>—</v>
      </c>
      <c r="C11" s="138"/>
      <c r="D11" s="151" t="str">
        <f>IF(OR(GoalUnitsTotal="",GoalUnitsTotal=0),"—",BT6/GoalUnitsTotal)</f>
        <v>—</v>
      </c>
      <c r="E11" s="138"/>
      <c r="F11" s="157" t="str">
        <f>IF(GoalGrossTotal="","—",GoalGrossTotal)</f>
        <v>—</v>
      </c>
      <c r="G11" s="146"/>
      <c r="H11" s="138"/>
      <c r="I11" s="151" t="str">
        <f>IF(OR(GoalGrossTotal="",GoalGrossTotal=0),"—",BT7/GoalGrossTotal)</f>
        <v>—</v>
      </c>
      <c r="J11" s="138"/>
      <c r="K11" s="153">
        <f ca="1">BT5</f>
        <v>0</v>
      </c>
      <c r="L11" s="138"/>
      <c r="M11" s="147" t="str">
        <f>IF(GoalUnitsTotal="","—",IF(BT4=0,"● MONTH NOT STARTED",IF(BT6&gt;=GoalUnitsTotal,"✓ GOAL HIT",IF(BT6&gt;=GoalUnitsTotal*BT4/27,"● AHEAD OF PACE",IF(BT6&gt;=0.9*GoalUnitsTotal*BT4/27,"● ON PACE","● BEHIND PACE")))))</f>
        <v>—</v>
      </c>
      <c r="N11" s="146"/>
      <c r="O11" s="146"/>
      <c r="P11" s="146"/>
      <c r="Q11" s="146"/>
      <c r="R11" s="138"/>
      <c r="U11">
        <f>'Jul 8'!$G$47</f>
        <v>0</v>
      </c>
      <c r="V11">
        <f>'Jul 8'!$G$48</f>
        <v>0</v>
      </c>
      <c r="W11">
        <f>'Jul 8'!$C$54</f>
        <v>0</v>
      </c>
      <c r="X11">
        <f>'Jul 8'!$C$55</f>
        <v>0</v>
      </c>
      <c r="Y11">
        <f>'Jul 8'!$C$57</f>
        <v>0</v>
      </c>
      <c r="Z11">
        <f>COUNTIF('Jul 8'!$AM$8:$AM$42,"Y")</f>
        <v>0</v>
      </c>
      <c r="AA11">
        <f>COUNTIF('Jul 8'!$AN$8:$AN$42,"Y")</f>
        <v>0</v>
      </c>
      <c r="AB11">
        <f>COUNTIF('Jul 8'!$AO$8:$AO$42,"Y")</f>
        <v>0</v>
      </c>
      <c r="AD11" t="s">
        <v>97</v>
      </c>
      <c r="AE11">
        <f>SUMPRODUCT(('Jul 1'!$F$8:$F$42=$AD11)*'Jul 1'!$AJ$8:$AJ$42+('Jul 1'!$G$8:$G$42=$AD11)*'Jul 1'!$AK$8:$AK$42)</f>
        <v>0</v>
      </c>
      <c r="AF11">
        <f>SUMPRODUCT(('Jul 2'!$F$8:$F$42=$AD11)*'Jul 2'!$AJ$8:$AJ$42+('Jul 2'!$G$8:$G$42=$AD11)*'Jul 2'!$AK$8:$AK$42)</f>
        <v>0</v>
      </c>
      <c r="AG11">
        <f>SUMPRODUCT(('Jul 3'!$F$8:$F$42=$AD11)*'Jul 3'!$AJ$8:$AJ$42+('Jul 3'!$G$8:$G$42=$AD11)*'Jul 3'!$AK$8:$AK$42)</f>
        <v>0</v>
      </c>
      <c r="AH11">
        <f>SUMPRODUCT(('Jul 4'!$F$8:$F$42=$AD11)*'Jul 4'!$AJ$8:$AJ$42+('Jul 4'!$G$8:$G$42=$AD11)*'Jul 4'!$AK$8:$AK$42)</f>
        <v>0</v>
      </c>
      <c r="AI11">
        <f>SUMPRODUCT(('Jul 5'!$F$8:$F$42=$AD11)*'Jul 5'!$AJ$8:$AJ$42+('Jul 5'!$G$8:$G$42=$AD11)*'Jul 5'!$AK$8:$AK$42)</f>
        <v>0</v>
      </c>
      <c r="AJ11">
        <f>SUMPRODUCT(('Jul 6'!$F$8:$F$42=$AD11)*'Jul 6'!$AJ$8:$AJ$42+('Jul 6'!$G$8:$G$42=$AD11)*'Jul 6'!$AK$8:$AK$42)</f>
        <v>0</v>
      </c>
      <c r="AK11">
        <f>SUMPRODUCT(('Jul 7'!$F$8:$F$42=$AD11)*'Jul 7'!$AJ$8:$AJ$42+('Jul 7'!$G$8:$G$42=$AD11)*'Jul 7'!$AK$8:$AK$42)</f>
        <v>0</v>
      </c>
      <c r="AL11">
        <f>SUMPRODUCT(('Jul 8'!$F$8:$F$42=$AD11)*'Jul 8'!$AJ$8:$AJ$42+('Jul 8'!$G$8:$G$42=$AD11)*'Jul 8'!$AK$8:$AK$42)</f>
        <v>0</v>
      </c>
      <c r="AM11">
        <f>SUMPRODUCT(('Jul 9'!$F$8:$F$42=$AD11)*'Jul 9'!$AJ$8:$AJ$42+('Jul 9'!$G$8:$G$42=$AD11)*'Jul 9'!$AK$8:$AK$42)</f>
        <v>0</v>
      </c>
      <c r="AN11">
        <f>SUMPRODUCT(('Jul 10'!$F$8:$F$42=$AD11)*'Jul 10'!$AJ$8:$AJ$42+('Jul 10'!$G$8:$G$42=$AD11)*'Jul 10'!$AK$8:$AK$42)</f>
        <v>0</v>
      </c>
      <c r="AO11">
        <f>SUMPRODUCT(('Jul 11'!$F$8:$F$42=$AD11)*'Jul 11'!$AJ$8:$AJ$42+('Jul 11'!$G$8:$G$42=$AD11)*'Jul 11'!$AK$8:$AK$42)</f>
        <v>0</v>
      </c>
      <c r="AP11">
        <f>SUMPRODUCT(('Jul 12'!$F$8:$F$42=$AD11)*'Jul 12'!$AJ$8:$AJ$42+('Jul 12'!$G$8:$G$42=$AD11)*'Jul 12'!$AK$8:$AK$42)</f>
        <v>0</v>
      </c>
      <c r="AQ11">
        <f>SUMPRODUCT(('Jul 13'!$F$8:$F$42=$AD11)*'Jul 13'!$AJ$8:$AJ$42+('Jul 13'!$G$8:$G$42=$AD11)*'Jul 13'!$AK$8:$AK$42)</f>
        <v>0</v>
      </c>
      <c r="AR11">
        <f>SUMPRODUCT(('Jul 14'!$F$8:$F$42=$AD11)*'Jul 14'!$AJ$8:$AJ$42+('Jul 14'!$G$8:$G$42=$AD11)*'Jul 14'!$AK$8:$AK$42)</f>
        <v>0</v>
      </c>
      <c r="AS11">
        <f>SUMPRODUCT(('Jul 15'!$F$8:$F$42=$AD11)*'Jul 15'!$AJ$8:$AJ$42+('Jul 15'!$G$8:$G$42=$AD11)*'Jul 15'!$AK$8:$AK$42)</f>
        <v>0</v>
      </c>
      <c r="AT11">
        <f>SUMPRODUCT(('Jul 16'!$F$8:$F$42=$AD11)*'Jul 16'!$AJ$8:$AJ$42+('Jul 16'!$G$8:$G$42=$AD11)*'Jul 16'!$AK$8:$AK$42)</f>
        <v>0</v>
      </c>
      <c r="AU11">
        <f>SUMPRODUCT(('Jul 17'!$F$8:$F$42=$AD11)*'Jul 17'!$AJ$8:$AJ$42+('Jul 17'!$G$8:$G$42=$AD11)*'Jul 17'!$AK$8:$AK$42)</f>
        <v>0</v>
      </c>
      <c r="AV11">
        <f>SUMPRODUCT(('Jul 18'!$F$8:$F$42=$AD11)*'Jul 18'!$AJ$8:$AJ$42+('Jul 18'!$G$8:$G$42=$AD11)*'Jul 18'!$AK$8:$AK$42)</f>
        <v>0</v>
      </c>
      <c r="AW11">
        <f>SUMPRODUCT(('Jul 19'!$F$8:$F$42=$AD11)*'Jul 19'!$AJ$8:$AJ$42+('Jul 19'!$G$8:$G$42=$AD11)*'Jul 19'!$AK$8:$AK$42)</f>
        <v>0</v>
      </c>
      <c r="AX11">
        <f>SUMPRODUCT(('Jul 20'!$F$8:$F$42=$AD11)*'Jul 20'!$AJ$8:$AJ$42+('Jul 20'!$G$8:$G$42=$AD11)*'Jul 20'!$AK$8:$AK$42)</f>
        <v>0</v>
      </c>
      <c r="AY11">
        <f>SUMPRODUCT(('Jul 21'!$F$8:$F$42=$AD11)*'Jul 21'!$AJ$8:$AJ$42+('Jul 21'!$G$8:$G$42=$AD11)*'Jul 21'!$AK$8:$AK$42)</f>
        <v>0</v>
      </c>
      <c r="AZ11">
        <f>SUMPRODUCT(('Jul 22'!$F$8:$F$42=$AD11)*'Jul 22'!$AJ$8:$AJ$42+('Jul 22'!$G$8:$G$42=$AD11)*'Jul 22'!$AK$8:$AK$42)</f>
        <v>0</v>
      </c>
      <c r="BA11">
        <f>SUMPRODUCT(('Jul 23'!$F$8:$F$42=$AD11)*'Jul 23'!$AJ$8:$AJ$42+('Jul 23'!$G$8:$G$42=$AD11)*'Jul 23'!$AK$8:$AK$42)</f>
        <v>0</v>
      </c>
      <c r="BB11">
        <f>SUMPRODUCT(('Jul 24'!$F$8:$F$42=$AD11)*'Jul 24'!$AJ$8:$AJ$42+('Jul 24'!$G$8:$G$42=$AD11)*'Jul 24'!$AK$8:$AK$42)</f>
        <v>0</v>
      </c>
      <c r="BC11">
        <f>SUMPRODUCT(('Jul 25'!$F$8:$F$42=$AD11)*'Jul 25'!$AJ$8:$AJ$42+('Jul 25'!$G$8:$G$42=$AD11)*'Jul 25'!$AK$8:$AK$42)</f>
        <v>0</v>
      </c>
      <c r="BD11">
        <f>SUMPRODUCT(('Jul 26'!$F$8:$F$42=$AD11)*'Jul 26'!$AJ$8:$AJ$42+('Jul 26'!$G$8:$G$42=$AD11)*'Jul 26'!$AK$8:$AK$42)</f>
        <v>0</v>
      </c>
      <c r="BE11">
        <f>SUMPRODUCT(('Jul 27'!$F$8:$F$42=$AD11)*'Jul 27'!$AJ$8:$AJ$42+('Jul 27'!$G$8:$G$42=$AD11)*'Jul 27'!$AK$8:$AK$42)</f>
        <v>0</v>
      </c>
      <c r="BF11">
        <f>SUMPRODUCT(('Jul 28'!$F$8:$F$42=$AD11)*'Jul 28'!$AJ$8:$AJ$42+('Jul 28'!$G$8:$G$42=$AD11)*'Jul 28'!$AK$8:$AK$42)</f>
        <v>0</v>
      </c>
      <c r="BG11">
        <f>SUMPRODUCT(('Jul 29'!$F$8:$F$42=$AD11)*'Jul 29'!$AJ$8:$AJ$42+('Jul 29'!$G$8:$G$42=$AD11)*'Jul 29'!$AK$8:$AK$42)</f>
        <v>0</v>
      </c>
      <c r="BH11">
        <f>SUMPRODUCT(('Jul 30'!$F$8:$F$42=$AD11)*'Jul 30'!$AJ$8:$AJ$42+('Jul 30'!$G$8:$G$42=$AD11)*'Jul 30'!$AK$8:$AK$42)</f>
        <v>0</v>
      </c>
      <c r="BI11">
        <f>SUMPRODUCT(('Jul 31'!$F$8:$F$42=$AD11)*'Jul 31'!$AJ$8:$AJ$42+('Jul 31'!$G$8:$G$42=$AD11)*'Jul 31'!$AK$8:$AK$42)</f>
        <v>0</v>
      </c>
      <c r="BK11">
        <f t="shared" si="0"/>
        <v>0</v>
      </c>
      <c r="BM11">
        <f t="shared" si="1"/>
        <v>0</v>
      </c>
      <c r="BN11">
        <f>RANK(BM11,$BM$4:$BM$19,0)+COUNTIF(BM$4:BM11,BM11)-1</f>
        <v>8</v>
      </c>
      <c r="BR11">
        <v>46212</v>
      </c>
    </row>
    <row r="12" spans="1:72" x14ac:dyDescent="0.25">
      <c r="U12">
        <f>'Jul 9'!$G$47</f>
        <v>0</v>
      </c>
      <c r="V12">
        <f>'Jul 9'!$G$48</f>
        <v>0</v>
      </c>
      <c r="W12">
        <f>'Jul 9'!$C$54</f>
        <v>0</v>
      </c>
      <c r="X12">
        <f>'Jul 9'!$C$55</f>
        <v>0</v>
      </c>
      <c r="Y12">
        <f>'Jul 9'!$C$57</f>
        <v>0</v>
      </c>
      <c r="Z12">
        <f>COUNTIF('Jul 9'!$AM$8:$AM$42,"Y")</f>
        <v>0</v>
      </c>
      <c r="AA12">
        <f>COUNTIF('Jul 9'!$AN$8:$AN$42,"Y")</f>
        <v>0</v>
      </c>
      <c r="AB12">
        <f>COUNTIF('Jul 9'!$AO$8:$AO$42,"Y")</f>
        <v>0</v>
      </c>
      <c r="AD12" t="s">
        <v>98</v>
      </c>
      <c r="AE12">
        <f>SUMPRODUCT(('Jul 1'!$F$8:$F$42=$AD12)*'Jul 1'!$AJ$8:$AJ$42+('Jul 1'!$G$8:$G$42=$AD12)*'Jul 1'!$AK$8:$AK$42)</f>
        <v>0</v>
      </c>
      <c r="AF12">
        <f>SUMPRODUCT(('Jul 2'!$F$8:$F$42=$AD12)*'Jul 2'!$AJ$8:$AJ$42+('Jul 2'!$G$8:$G$42=$AD12)*'Jul 2'!$AK$8:$AK$42)</f>
        <v>0</v>
      </c>
      <c r="AG12">
        <f>SUMPRODUCT(('Jul 3'!$F$8:$F$42=$AD12)*'Jul 3'!$AJ$8:$AJ$42+('Jul 3'!$G$8:$G$42=$AD12)*'Jul 3'!$AK$8:$AK$42)</f>
        <v>0</v>
      </c>
      <c r="AH12">
        <f>SUMPRODUCT(('Jul 4'!$F$8:$F$42=$AD12)*'Jul 4'!$AJ$8:$AJ$42+('Jul 4'!$G$8:$G$42=$AD12)*'Jul 4'!$AK$8:$AK$42)</f>
        <v>0</v>
      </c>
      <c r="AI12">
        <f>SUMPRODUCT(('Jul 5'!$F$8:$F$42=$AD12)*'Jul 5'!$AJ$8:$AJ$42+('Jul 5'!$G$8:$G$42=$AD12)*'Jul 5'!$AK$8:$AK$42)</f>
        <v>0</v>
      </c>
      <c r="AJ12">
        <f>SUMPRODUCT(('Jul 6'!$F$8:$F$42=$AD12)*'Jul 6'!$AJ$8:$AJ$42+('Jul 6'!$G$8:$G$42=$AD12)*'Jul 6'!$AK$8:$AK$42)</f>
        <v>0</v>
      </c>
      <c r="AK12">
        <f>SUMPRODUCT(('Jul 7'!$F$8:$F$42=$AD12)*'Jul 7'!$AJ$8:$AJ$42+('Jul 7'!$G$8:$G$42=$AD12)*'Jul 7'!$AK$8:$AK$42)</f>
        <v>0</v>
      </c>
      <c r="AL12">
        <f>SUMPRODUCT(('Jul 8'!$F$8:$F$42=$AD12)*'Jul 8'!$AJ$8:$AJ$42+('Jul 8'!$G$8:$G$42=$AD12)*'Jul 8'!$AK$8:$AK$42)</f>
        <v>0</v>
      </c>
      <c r="AM12">
        <f>SUMPRODUCT(('Jul 9'!$F$8:$F$42=$AD12)*'Jul 9'!$AJ$8:$AJ$42+('Jul 9'!$G$8:$G$42=$AD12)*'Jul 9'!$AK$8:$AK$42)</f>
        <v>0</v>
      </c>
      <c r="AN12">
        <f>SUMPRODUCT(('Jul 10'!$F$8:$F$42=$AD12)*'Jul 10'!$AJ$8:$AJ$42+('Jul 10'!$G$8:$G$42=$AD12)*'Jul 10'!$AK$8:$AK$42)</f>
        <v>0</v>
      </c>
      <c r="AO12">
        <f>SUMPRODUCT(('Jul 11'!$F$8:$F$42=$AD12)*'Jul 11'!$AJ$8:$AJ$42+('Jul 11'!$G$8:$G$42=$AD12)*'Jul 11'!$AK$8:$AK$42)</f>
        <v>0</v>
      </c>
      <c r="AP12">
        <f>SUMPRODUCT(('Jul 12'!$F$8:$F$42=$AD12)*'Jul 12'!$AJ$8:$AJ$42+('Jul 12'!$G$8:$G$42=$AD12)*'Jul 12'!$AK$8:$AK$42)</f>
        <v>0</v>
      </c>
      <c r="AQ12">
        <f>SUMPRODUCT(('Jul 13'!$F$8:$F$42=$AD12)*'Jul 13'!$AJ$8:$AJ$42+('Jul 13'!$G$8:$G$42=$AD12)*'Jul 13'!$AK$8:$AK$42)</f>
        <v>0</v>
      </c>
      <c r="AR12">
        <f>SUMPRODUCT(('Jul 14'!$F$8:$F$42=$AD12)*'Jul 14'!$AJ$8:$AJ$42+('Jul 14'!$G$8:$G$42=$AD12)*'Jul 14'!$AK$8:$AK$42)</f>
        <v>0</v>
      </c>
      <c r="AS12">
        <f>SUMPRODUCT(('Jul 15'!$F$8:$F$42=$AD12)*'Jul 15'!$AJ$8:$AJ$42+('Jul 15'!$G$8:$G$42=$AD12)*'Jul 15'!$AK$8:$AK$42)</f>
        <v>0</v>
      </c>
      <c r="AT12">
        <f>SUMPRODUCT(('Jul 16'!$F$8:$F$42=$AD12)*'Jul 16'!$AJ$8:$AJ$42+('Jul 16'!$G$8:$G$42=$AD12)*'Jul 16'!$AK$8:$AK$42)</f>
        <v>0</v>
      </c>
      <c r="AU12">
        <f>SUMPRODUCT(('Jul 17'!$F$8:$F$42=$AD12)*'Jul 17'!$AJ$8:$AJ$42+('Jul 17'!$G$8:$G$42=$AD12)*'Jul 17'!$AK$8:$AK$42)</f>
        <v>0</v>
      </c>
      <c r="AV12">
        <f>SUMPRODUCT(('Jul 18'!$F$8:$F$42=$AD12)*'Jul 18'!$AJ$8:$AJ$42+('Jul 18'!$G$8:$G$42=$AD12)*'Jul 18'!$AK$8:$AK$42)</f>
        <v>0</v>
      </c>
      <c r="AW12">
        <f>SUMPRODUCT(('Jul 19'!$F$8:$F$42=$AD12)*'Jul 19'!$AJ$8:$AJ$42+('Jul 19'!$G$8:$G$42=$AD12)*'Jul 19'!$AK$8:$AK$42)</f>
        <v>0</v>
      </c>
      <c r="AX12">
        <f>SUMPRODUCT(('Jul 20'!$F$8:$F$42=$AD12)*'Jul 20'!$AJ$8:$AJ$42+('Jul 20'!$G$8:$G$42=$AD12)*'Jul 20'!$AK$8:$AK$42)</f>
        <v>0</v>
      </c>
      <c r="AY12">
        <f>SUMPRODUCT(('Jul 21'!$F$8:$F$42=$AD12)*'Jul 21'!$AJ$8:$AJ$42+('Jul 21'!$G$8:$G$42=$AD12)*'Jul 21'!$AK$8:$AK$42)</f>
        <v>0</v>
      </c>
      <c r="AZ12">
        <f>SUMPRODUCT(('Jul 22'!$F$8:$F$42=$AD12)*'Jul 22'!$AJ$8:$AJ$42+('Jul 22'!$G$8:$G$42=$AD12)*'Jul 22'!$AK$8:$AK$42)</f>
        <v>0</v>
      </c>
      <c r="BA12">
        <f>SUMPRODUCT(('Jul 23'!$F$8:$F$42=$AD12)*'Jul 23'!$AJ$8:$AJ$42+('Jul 23'!$G$8:$G$42=$AD12)*'Jul 23'!$AK$8:$AK$42)</f>
        <v>0</v>
      </c>
      <c r="BB12">
        <f>SUMPRODUCT(('Jul 24'!$F$8:$F$42=$AD12)*'Jul 24'!$AJ$8:$AJ$42+('Jul 24'!$G$8:$G$42=$AD12)*'Jul 24'!$AK$8:$AK$42)</f>
        <v>0</v>
      </c>
      <c r="BC12">
        <f>SUMPRODUCT(('Jul 25'!$F$8:$F$42=$AD12)*'Jul 25'!$AJ$8:$AJ$42+('Jul 25'!$G$8:$G$42=$AD12)*'Jul 25'!$AK$8:$AK$42)</f>
        <v>0</v>
      </c>
      <c r="BD12">
        <f>SUMPRODUCT(('Jul 26'!$F$8:$F$42=$AD12)*'Jul 26'!$AJ$8:$AJ$42+('Jul 26'!$G$8:$G$42=$AD12)*'Jul 26'!$AK$8:$AK$42)</f>
        <v>0</v>
      </c>
      <c r="BE12">
        <f>SUMPRODUCT(('Jul 27'!$F$8:$F$42=$AD12)*'Jul 27'!$AJ$8:$AJ$42+('Jul 27'!$G$8:$G$42=$AD12)*'Jul 27'!$AK$8:$AK$42)</f>
        <v>0</v>
      </c>
      <c r="BF12">
        <f>SUMPRODUCT(('Jul 28'!$F$8:$F$42=$AD12)*'Jul 28'!$AJ$8:$AJ$42+('Jul 28'!$G$8:$G$42=$AD12)*'Jul 28'!$AK$8:$AK$42)</f>
        <v>0</v>
      </c>
      <c r="BG12">
        <f>SUMPRODUCT(('Jul 29'!$F$8:$F$42=$AD12)*'Jul 29'!$AJ$8:$AJ$42+('Jul 29'!$G$8:$G$42=$AD12)*'Jul 29'!$AK$8:$AK$42)</f>
        <v>0</v>
      </c>
      <c r="BH12">
        <f>SUMPRODUCT(('Jul 30'!$F$8:$F$42=$AD12)*'Jul 30'!$AJ$8:$AJ$42+('Jul 30'!$G$8:$G$42=$AD12)*'Jul 30'!$AK$8:$AK$42)</f>
        <v>0</v>
      </c>
      <c r="BI12">
        <f>SUMPRODUCT(('Jul 31'!$F$8:$F$42=$AD12)*'Jul 31'!$AJ$8:$AJ$42+('Jul 31'!$G$8:$G$42=$AD12)*'Jul 31'!$AK$8:$AK$42)</f>
        <v>0</v>
      </c>
      <c r="BK12">
        <f t="shared" si="0"/>
        <v>0</v>
      </c>
      <c r="BM12">
        <f t="shared" si="1"/>
        <v>0</v>
      </c>
      <c r="BN12">
        <f>RANK(BM12,$BM$4:$BM$19,0)+COUNTIF(BM$4:BM12,BM12)-1</f>
        <v>9</v>
      </c>
      <c r="BR12">
        <v>46213</v>
      </c>
    </row>
    <row r="13" spans="1:72" x14ac:dyDescent="0.25">
      <c r="A13" s="154" t="s">
        <v>160</v>
      </c>
      <c r="B13" s="118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U13">
        <f>'Jul 10'!$G$47</f>
        <v>0</v>
      </c>
      <c r="V13">
        <f>'Jul 10'!$G$48</f>
        <v>0</v>
      </c>
      <c r="W13">
        <f>'Jul 10'!$C$54</f>
        <v>0</v>
      </c>
      <c r="X13">
        <f>'Jul 10'!$C$55</f>
        <v>0</v>
      </c>
      <c r="Y13">
        <f>'Jul 10'!$C$57</f>
        <v>0</v>
      </c>
      <c r="Z13">
        <f>COUNTIF('Jul 10'!$AM$8:$AM$42,"Y")</f>
        <v>0</v>
      </c>
      <c r="AA13">
        <f>COUNTIF('Jul 10'!$AN$8:$AN$42,"Y")</f>
        <v>0</v>
      </c>
      <c r="AB13">
        <f>COUNTIF('Jul 10'!$AO$8:$AO$42,"Y")</f>
        <v>0</v>
      </c>
      <c r="AD13" t="s">
        <v>99</v>
      </c>
      <c r="AE13">
        <f>SUMPRODUCT(('Jul 1'!$F$8:$F$42=$AD13)*'Jul 1'!$AJ$8:$AJ$42+('Jul 1'!$G$8:$G$42=$AD13)*'Jul 1'!$AK$8:$AK$42)</f>
        <v>0</v>
      </c>
      <c r="AF13">
        <f>SUMPRODUCT(('Jul 2'!$F$8:$F$42=$AD13)*'Jul 2'!$AJ$8:$AJ$42+('Jul 2'!$G$8:$G$42=$AD13)*'Jul 2'!$AK$8:$AK$42)</f>
        <v>0</v>
      </c>
      <c r="AG13">
        <f>SUMPRODUCT(('Jul 3'!$F$8:$F$42=$AD13)*'Jul 3'!$AJ$8:$AJ$42+('Jul 3'!$G$8:$G$42=$AD13)*'Jul 3'!$AK$8:$AK$42)</f>
        <v>0</v>
      </c>
      <c r="AH13">
        <f>SUMPRODUCT(('Jul 4'!$F$8:$F$42=$AD13)*'Jul 4'!$AJ$8:$AJ$42+('Jul 4'!$G$8:$G$42=$AD13)*'Jul 4'!$AK$8:$AK$42)</f>
        <v>0</v>
      </c>
      <c r="AI13">
        <f>SUMPRODUCT(('Jul 5'!$F$8:$F$42=$AD13)*'Jul 5'!$AJ$8:$AJ$42+('Jul 5'!$G$8:$G$42=$AD13)*'Jul 5'!$AK$8:$AK$42)</f>
        <v>0</v>
      </c>
      <c r="AJ13">
        <f>SUMPRODUCT(('Jul 6'!$F$8:$F$42=$AD13)*'Jul 6'!$AJ$8:$AJ$42+('Jul 6'!$G$8:$G$42=$AD13)*'Jul 6'!$AK$8:$AK$42)</f>
        <v>0</v>
      </c>
      <c r="AK13">
        <f>SUMPRODUCT(('Jul 7'!$F$8:$F$42=$AD13)*'Jul 7'!$AJ$8:$AJ$42+('Jul 7'!$G$8:$G$42=$AD13)*'Jul 7'!$AK$8:$AK$42)</f>
        <v>0</v>
      </c>
      <c r="AL13">
        <f>SUMPRODUCT(('Jul 8'!$F$8:$F$42=$AD13)*'Jul 8'!$AJ$8:$AJ$42+('Jul 8'!$G$8:$G$42=$AD13)*'Jul 8'!$AK$8:$AK$42)</f>
        <v>0</v>
      </c>
      <c r="AM13">
        <f>SUMPRODUCT(('Jul 9'!$F$8:$F$42=$AD13)*'Jul 9'!$AJ$8:$AJ$42+('Jul 9'!$G$8:$G$42=$AD13)*'Jul 9'!$AK$8:$AK$42)</f>
        <v>0</v>
      </c>
      <c r="AN13">
        <f>SUMPRODUCT(('Jul 10'!$F$8:$F$42=$AD13)*'Jul 10'!$AJ$8:$AJ$42+('Jul 10'!$G$8:$G$42=$AD13)*'Jul 10'!$AK$8:$AK$42)</f>
        <v>0</v>
      </c>
      <c r="AO13">
        <f>SUMPRODUCT(('Jul 11'!$F$8:$F$42=$AD13)*'Jul 11'!$AJ$8:$AJ$42+('Jul 11'!$G$8:$G$42=$AD13)*'Jul 11'!$AK$8:$AK$42)</f>
        <v>0</v>
      </c>
      <c r="AP13">
        <f>SUMPRODUCT(('Jul 12'!$F$8:$F$42=$AD13)*'Jul 12'!$AJ$8:$AJ$42+('Jul 12'!$G$8:$G$42=$AD13)*'Jul 12'!$AK$8:$AK$42)</f>
        <v>0</v>
      </c>
      <c r="AQ13">
        <f>SUMPRODUCT(('Jul 13'!$F$8:$F$42=$AD13)*'Jul 13'!$AJ$8:$AJ$42+('Jul 13'!$G$8:$G$42=$AD13)*'Jul 13'!$AK$8:$AK$42)</f>
        <v>0</v>
      </c>
      <c r="AR13">
        <f>SUMPRODUCT(('Jul 14'!$F$8:$F$42=$AD13)*'Jul 14'!$AJ$8:$AJ$42+('Jul 14'!$G$8:$G$42=$AD13)*'Jul 14'!$AK$8:$AK$42)</f>
        <v>0</v>
      </c>
      <c r="AS13">
        <f>SUMPRODUCT(('Jul 15'!$F$8:$F$42=$AD13)*'Jul 15'!$AJ$8:$AJ$42+('Jul 15'!$G$8:$G$42=$AD13)*'Jul 15'!$AK$8:$AK$42)</f>
        <v>0</v>
      </c>
      <c r="AT13">
        <f>SUMPRODUCT(('Jul 16'!$F$8:$F$42=$AD13)*'Jul 16'!$AJ$8:$AJ$42+('Jul 16'!$G$8:$G$42=$AD13)*'Jul 16'!$AK$8:$AK$42)</f>
        <v>0</v>
      </c>
      <c r="AU13">
        <f>SUMPRODUCT(('Jul 17'!$F$8:$F$42=$AD13)*'Jul 17'!$AJ$8:$AJ$42+('Jul 17'!$G$8:$G$42=$AD13)*'Jul 17'!$AK$8:$AK$42)</f>
        <v>0</v>
      </c>
      <c r="AV13">
        <f>SUMPRODUCT(('Jul 18'!$F$8:$F$42=$AD13)*'Jul 18'!$AJ$8:$AJ$42+('Jul 18'!$G$8:$G$42=$AD13)*'Jul 18'!$AK$8:$AK$42)</f>
        <v>0</v>
      </c>
      <c r="AW13">
        <f>SUMPRODUCT(('Jul 19'!$F$8:$F$42=$AD13)*'Jul 19'!$AJ$8:$AJ$42+('Jul 19'!$G$8:$G$42=$AD13)*'Jul 19'!$AK$8:$AK$42)</f>
        <v>0</v>
      </c>
      <c r="AX13">
        <f>SUMPRODUCT(('Jul 20'!$F$8:$F$42=$AD13)*'Jul 20'!$AJ$8:$AJ$42+('Jul 20'!$G$8:$G$42=$AD13)*'Jul 20'!$AK$8:$AK$42)</f>
        <v>0</v>
      </c>
      <c r="AY13">
        <f>SUMPRODUCT(('Jul 21'!$F$8:$F$42=$AD13)*'Jul 21'!$AJ$8:$AJ$42+('Jul 21'!$G$8:$G$42=$AD13)*'Jul 21'!$AK$8:$AK$42)</f>
        <v>0</v>
      </c>
      <c r="AZ13">
        <f>SUMPRODUCT(('Jul 22'!$F$8:$F$42=$AD13)*'Jul 22'!$AJ$8:$AJ$42+('Jul 22'!$G$8:$G$42=$AD13)*'Jul 22'!$AK$8:$AK$42)</f>
        <v>0</v>
      </c>
      <c r="BA13">
        <f>SUMPRODUCT(('Jul 23'!$F$8:$F$42=$AD13)*'Jul 23'!$AJ$8:$AJ$42+('Jul 23'!$G$8:$G$42=$AD13)*'Jul 23'!$AK$8:$AK$42)</f>
        <v>0</v>
      </c>
      <c r="BB13">
        <f>SUMPRODUCT(('Jul 24'!$F$8:$F$42=$AD13)*'Jul 24'!$AJ$8:$AJ$42+('Jul 24'!$G$8:$G$42=$AD13)*'Jul 24'!$AK$8:$AK$42)</f>
        <v>0</v>
      </c>
      <c r="BC13">
        <f>SUMPRODUCT(('Jul 25'!$F$8:$F$42=$AD13)*'Jul 25'!$AJ$8:$AJ$42+('Jul 25'!$G$8:$G$42=$AD13)*'Jul 25'!$AK$8:$AK$42)</f>
        <v>0</v>
      </c>
      <c r="BD13">
        <f>SUMPRODUCT(('Jul 26'!$F$8:$F$42=$AD13)*'Jul 26'!$AJ$8:$AJ$42+('Jul 26'!$G$8:$G$42=$AD13)*'Jul 26'!$AK$8:$AK$42)</f>
        <v>0</v>
      </c>
      <c r="BE13">
        <f>SUMPRODUCT(('Jul 27'!$F$8:$F$42=$AD13)*'Jul 27'!$AJ$8:$AJ$42+('Jul 27'!$G$8:$G$42=$AD13)*'Jul 27'!$AK$8:$AK$42)</f>
        <v>0</v>
      </c>
      <c r="BF13">
        <f>SUMPRODUCT(('Jul 28'!$F$8:$F$42=$AD13)*'Jul 28'!$AJ$8:$AJ$42+('Jul 28'!$G$8:$G$42=$AD13)*'Jul 28'!$AK$8:$AK$42)</f>
        <v>0</v>
      </c>
      <c r="BG13">
        <f>SUMPRODUCT(('Jul 29'!$F$8:$F$42=$AD13)*'Jul 29'!$AJ$8:$AJ$42+('Jul 29'!$G$8:$G$42=$AD13)*'Jul 29'!$AK$8:$AK$42)</f>
        <v>0</v>
      </c>
      <c r="BH13">
        <f>SUMPRODUCT(('Jul 30'!$F$8:$F$42=$AD13)*'Jul 30'!$AJ$8:$AJ$42+('Jul 30'!$G$8:$G$42=$AD13)*'Jul 30'!$AK$8:$AK$42)</f>
        <v>0</v>
      </c>
      <c r="BI13">
        <f>SUMPRODUCT(('Jul 31'!$F$8:$F$42=$AD13)*'Jul 31'!$AJ$8:$AJ$42+('Jul 31'!$G$8:$G$42=$AD13)*'Jul 31'!$AK$8:$AK$42)</f>
        <v>0</v>
      </c>
      <c r="BK13">
        <f t="shared" si="0"/>
        <v>0</v>
      </c>
      <c r="BM13">
        <f t="shared" si="1"/>
        <v>0</v>
      </c>
      <c r="BN13">
        <f>RANK(BM13,$BM$4:$BM$19,0)+COUNTIF(BM$4:BM13,BM13)-1</f>
        <v>10</v>
      </c>
      <c r="BR13">
        <v>46214</v>
      </c>
    </row>
    <row r="14" spans="1:72" x14ac:dyDescent="0.25">
      <c r="B14" s="134" t="s">
        <v>161</v>
      </c>
      <c r="C14" s="100"/>
      <c r="D14" s="134" t="s">
        <v>162</v>
      </c>
      <c r="E14" s="100"/>
      <c r="F14" s="134" t="s">
        <v>163</v>
      </c>
      <c r="G14" s="100"/>
      <c r="H14" s="134" t="s">
        <v>164</v>
      </c>
      <c r="I14" s="100"/>
      <c r="J14" s="134" t="s">
        <v>165</v>
      </c>
      <c r="K14" s="100"/>
      <c r="L14" s="134" t="s">
        <v>166</v>
      </c>
      <c r="M14" s="100"/>
      <c r="N14" s="134" t="s">
        <v>167</v>
      </c>
      <c r="O14" s="100"/>
      <c r="U14">
        <f>'Jul 11'!$G$47</f>
        <v>0</v>
      </c>
      <c r="V14">
        <f>'Jul 11'!$G$48</f>
        <v>0</v>
      </c>
      <c r="W14">
        <f>'Jul 11'!$C$54</f>
        <v>0</v>
      </c>
      <c r="X14">
        <f>'Jul 11'!$C$55</f>
        <v>0</v>
      </c>
      <c r="Y14">
        <f>'Jul 11'!$C$57</f>
        <v>0</v>
      </c>
      <c r="Z14">
        <f>COUNTIF('Jul 11'!$AM$8:$AM$42,"Y")</f>
        <v>0</v>
      </c>
      <c r="AA14">
        <f>COUNTIF('Jul 11'!$AN$8:$AN$42,"Y")</f>
        <v>0</v>
      </c>
      <c r="AB14">
        <f>COUNTIF('Jul 11'!$AO$8:$AO$42,"Y")</f>
        <v>0</v>
      </c>
      <c r="AD14" t="s">
        <v>100</v>
      </c>
      <c r="AE14">
        <f>SUMPRODUCT(('Jul 1'!$F$8:$F$42=$AD14)*'Jul 1'!$AJ$8:$AJ$42+('Jul 1'!$G$8:$G$42=$AD14)*'Jul 1'!$AK$8:$AK$42)</f>
        <v>0</v>
      </c>
      <c r="AF14">
        <f>SUMPRODUCT(('Jul 2'!$F$8:$F$42=$AD14)*'Jul 2'!$AJ$8:$AJ$42+('Jul 2'!$G$8:$G$42=$AD14)*'Jul 2'!$AK$8:$AK$42)</f>
        <v>0</v>
      </c>
      <c r="AG14">
        <f>SUMPRODUCT(('Jul 3'!$F$8:$F$42=$AD14)*'Jul 3'!$AJ$8:$AJ$42+('Jul 3'!$G$8:$G$42=$AD14)*'Jul 3'!$AK$8:$AK$42)</f>
        <v>0</v>
      </c>
      <c r="AH14">
        <f>SUMPRODUCT(('Jul 4'!$F$8:$F$42=$AD14)*'Jul 4'!$AJ$8:$AJ$42+('Jul 4'!$G$8:$G$42=$AD14)*'Jul 4'!$AK$8:$AK$42)</f>
        <v>0</v>
      </c>
      <c r="AI14">
        <f>SUMPRODUCT(('Jul 5'!$F$8:$F$42=$AD14)*'Jul 5'!$AJ$8:$AJ$42+('Jul 5'!$G$8:$G$42=$AD14)*'Jul 5'!$AK$8:$AK$42)</f>
        <v>0</v>
      </c>
      <c r="AJ14">
        <f>SUMPRODUCT(('Jul 6'!$F$8:$F$42=$AD14)*'Jul 6'!$AJ$8:$AJ$42+('Jul 6'!$G$8:$G$42=$AD14)*'Jul 6'!$AK$8:$AK$42)</f>
        <v>0</v>
      </c>
      <c r="AK14">
        <f>SUMPRODUCT(('Jul 7'!$F$8:$F$42=$AD14)*'Jul 7'!$AJ$8:$AJ$42+('Jul 7'!$G$8:$G$42=$AD14)*'Jul 7'!$AK$8:$AK$42)</f>
        <v>0</v>
      </c>
      <c r="AL14">
        <f>SUMPRODUCT(('Jul 8'!$F$8:$F$42=$AD14)*'Jul 8'!$AJ$8:$AJ$42+('Jul 8'!$G$8:$G$42=$AD14)*'Jul 8'!$AK$8:$AK$42)</f>
        <v>0</v>
      </c>
      <c r="AM14">
        <f>SUMPRODUCT(('Jul 9'!$F$8:$F$42=$AD14)*'Jul 9'!$AJ$8:$AJ$42+('Jul 9'!$G$8:$G$42=$AD14)*'Jul 9'!$AK$8:$AK$42)</f>
        <v>0</v>
      </c>
      <c r="AN14">
        <f>SUMPRODUCT(('Jul 10'!$F$8:$F$42=$AD14)*'Jul 10'!$AJ$8:$AJ$42+('Jul 10'!$G$8:$G$42=$AD14)*'Jul 10'!$AK$8:$AK$42)</f>
        <v>0</v>
      </c>
      <c r="AO14">
        <f>SUMPRODUCT(('Jul 11'!$F$8:$F$42=$AD14)*'Jul 11'!$AJ$8:$AJ$42+('Jul 11'!$G$8:$G$42=$AD14)*'Jul 11'!$AK$8:$AK$42)</f>
        <v>0</v>
      </c>
      <c r="AP14">
        <f>SUMPRODUCT(('Jul 12'!$F$8:$F$42=$AD14)*'Jul 12'!$AJ$8:$AJ$42+('Jul 12'!$G$8:$G$42=$AD14)*'Jul 12'!$AK$8:$AK$42)</f>
        <v>0</v>
      </c>
      <c r="AQ14">
        <f>SUMPRODUCT(('Jul 13'!$F$8:$F$42=$AD14)*'Jul 13'!$AJ$8:$AJ$42+('Jul 13'!$G$8:$G$42=$AD14)*'Jul 13'!$AK$8:$AK$42)</f>
        <v>0</v>
      </c>
      <c r="AR14">
        <f>SUMPRODUCT(('Jul 14'!$F$8:$F$42=$AD14)*'Jul 14'!$AJ$8:$AJ$42+('Jul 14'!$G$8:$G$42=$AD14)*'Jul 14'!$AK$8:$AK$42)</f>
        <v>0</v>
      </c>
      <c r="AS14">
        <f>SUMPRODUCT(('Jul 15'!$F$8:$F$42=$AD14)*'Jul 15'!$AJ$8:$AJ$42+('Jul 15'!$G$8:$G$42=$AD14)*'Jul 15'!$AK$8:$AK$42)</f>
        <v>0</v>
      </c>
      <c r="AT14">
        <f>SUMPRODUCT(('Jul 16'!$F$8:$F$42=$AD14)*'Jul 16'!$AJ$8:$AJ$42+('Jul 16'!$G$8:$G$42=$AD14)*'Jul 16'!$AK$8:$AK$42)</f>
        <v>0</v>
      </c>
      <c r="AU14">
        <f>SUMPRODUCT(('Jul 17'!$F$8:$F$42=$AD14)*'Jul 17'!$AJ$8:$AJ$42+('Jul 17'!$G$8:$G$42=$AD14)*'Jul 17'!$AK$8:$AK$42)</f>
        <v>0</v>
      </c>
      <c r="AV14">
        <f>SUMPRODUCT(('Jul 18'!$F$8:$F$42=$AD14)*'Jul 18'!$AJ$8:$AJ$42+('Jul 18'!$G$8:$G$42=$AD14)*'Jul 18'!$AK$8:$AK$42)</f>
        <v>0</v>
      </c>
      <c r="AW14">
        <f>SUMPRODUCT(('Jul 19'!$F$8:$F$42=$AD14)*'Jul 19'!$AJ$8:$AJ$42+('Jul 19'!$G$8:$G$42=$AD14)*'Jul 19'!$AK$8:$AK$42)</f>
        <v>0</v>
      </c>
      <c r="AX14">
        <f>SUMPRODUCT(('Jul 20'!$F$8:$F$42=$AD14)*'Jul 20'!$AJ$8:$AJ$42+('Jul 20'!$G$8:$G$42=$AD14)*'Jul 20'!$AK$8:$AK$42)</f>
        <v>0</v>
      </c>
      <c r="AY14">
        <f>SUMPRODUCT(('Jul 21'!$F$8:$F$42=$AD14)*'Jul 21'!$AJ$8:$AJ$42+('Jul 21'!$G$8:$G$42=$AD14)*'Jul 21'!$AK$8:$AK$42)</f>
        <v>0</v>
      </c>
      <c r="AZ14">
        <f>SUMPRODUCT(('Jul 22'!$F$8:$F$42=$AD14)*'Jul 22'!$AJ$8:$AJ$42+('Jul 22'!$G$8:$G$42=$AD14)*'Jul 22'!$AK$8:$AK$42)</f>
        <v>0</v>
      </c>
      <c r="BA14">
        <f>SUMPRODUCT(('Jul 23'!$F$8:$F$42=$AD14)*'Jul 23'!$AJ$8:$AJ$42+('Jul 23'!$G$8:$G$42=$AD14)*'Jul 23'!$AK$8:$AK$42)</f>
        <v>0</v>
      </c>
      <c r="BB14">
        <f>SUMPRODUCT(('Jul 24'!$F$8:$F$42=$AD14)*'Jul 24'!$AJ$8:$AJ$42+('Jul 24'!$G$8:$G$42=$AD14)*'Jul 24'!$AK$8:$AK$42)</f>
        <v>0</v>
      </c>
      <c r="BC14">
        <f>SUMPRODUCT(('Jul 25'!$F$8:$F$42=$AD14)*'Jul 25'!$AJ$8:$AJ$42+('Jul 25'!$G$8:$G$42=$AD14)*'Jul 25'!$AK$8:$AK$42)</f>
        <v>0</v>
      </c>
      <c r="BD14">
        <f>SUMPRODUCT(('Jul 26'!$F$8:$F$42=$AD14)*'Jul 26'!$AJ$8:$AJ$42+('Jul 26'!$G$8:$G$42=$AD14)*'Jul 26'!$AK$8:$AK$42)</f>
        <v>0</v>
      </c>
      <c r="BE14">
        <f>SUMPRODUCT(('Jul 27'!$F$8:$F$42=$AD14)*'Jul 27'!$AJ$8:$AJ$42+('Jul 27'!$G$8:$G$42=$AD14)*'Jul 27'!$AK$8:$AK$42)</f>
        <v>0</v>
      </c>
      <c r="BF14">
        <f>SUMPRODUCT(('Jul 28'!$F$8:$F$42=$AD14)*'Jul 28'!$AJ$8:$AJ$42+('Jul 28'!$G$8:$G$42=$AD14)*'Jul 28'!$AK$8:$AK$42)</f>
        <v>0</v>
      </c>
      <c r="BG14">
        <f>SUMPRODUCT(('Jul 29'!$F$8:$F$42=$AD14)*'Jul 29'!$AJ$8:$AJ$42+('Jul 29'!$G$8:$G$42=$AD14)*'Jul 29'!$AK$8:$AK$42)</f>
        <v>0</v>
      </c>
      <c r="BH14">
        <f>SUMPRODUCT(('Jul 30'!$F$8:$F$42=$AD14)*'Jul 30'!$AJ$8:$AJ$42+('Jul 30'!$G$8:$G$42=$AD14)*'Jul 30'!$AK$8:$AK$42)</f>
        <v>0</v>
      </c>
      <c r="BI14">
        <f>SUMPRODUCT(('Jul 31'!$F$8:$F$42=$AD14)*'Jul 31'!$AJ$8:$AJ$42+('Jul 31'!$G$8:$G$42=$AD14)*'Jul 31'!$AK$8:$AK$42)</f>
        <v>0</v>
      </c>
      <c r="BK14">
        <f t="shared" si="0"/>
        <v>0</v>
      </c>
      <c r="BM14">
        <f t="shared" si="1"/>
        <v>0</v>
      </c>
      <c r="BN14">
        <f>RANK(BM14,$BM$4:$BM$19,0)+COUNTIF(BM$4:BM14,BM14)-1</f>
        <v>11</v>
      </c>
      <c r="BR14">
        <v>46216</v>
      </c>
    </row>
    <row r="15" spans="1:72" ht="15.95" customHeight="1" x14ac:dyDescent="0.25">
      <c r="B15" s="35"/>
      <c r="C15" s="35"/>
      <c r="D15" s="35"/>
      <c r="E15" s="35"/>
      <c r="F15" s="35"/>
      <c r="G15" s="35"/>
      <c r="H15" s="149" t="str">
        <f>HYPERLINK("#'Jul 1'!A1","1")</f>
        <v>1</v>
      </c>
      <c r="I15" s="138"/>
      <c r="J15" s="149" t="str">
        <f>HYPERLINK("#'Jul 2'!A1","2")</f>
        <v>2</v>
      </c>
      <c r="K15" s="138"/>
      <c r="L15" s="149" t="str">
        <f>HYPERLINK("#'Jul 3'!A1","3")</f>
        <v>3</v>
      </c>
      <c r="M15" s="138"/>
      <c r="N15" s="149" t="str">
        <f>HYPERLINK("#'Jul 4'!A1","4")</f>
        <v>4</v>
      </c>
      <c r="O15" s="138"/>
      <c r="U15">
        <f>'Jul 12'!$G$47</f>
        <v>0</v>
      </c>
      <c r="V15">
        <f>'Jul 12'!$G$48</f>
        <v>0</v>
      </c>
      <c r="W15">
        <f>'Jul 12'!$C$54</f>
        <v>0</v>
      </c>
      <c r="X15">
        <f>'Jul 12'!$C$55</f>
        <v>0</v>
      </c>
      <c r="Y15">
        <f>'Jul 12'!$C$57</f>
        <v>0</v>
      </c>
      <c r="Z15">
        <f>COUNTIF('Jul 12'!$AM$8:$AM$42,"Y")</f>
        <v>0</v>
      </c>
      <c r="AA15">
        <f>COUNTIF('Jul 12'!$AN$8:$AN$42,"Y")</f>
        <v>0</v>
      </c>
      <c r="AB15">
        <f>COUNTIF('Jul 12'!$AO$8:$AO$42,"Y")</f>
        <v>0</v>
      </c>
      <c r="AD15" t="s">
        <v>101</v>
      </c>
      <c r="AE15">
        <f>SUMPRODUCT(('Jul 1'!$F$8:$F$42=$AD15)*'Jul 1'!$AJ$8:$AJ$42+('Jul 1'!$G$8:$G$42=$AD15)*'Jul 1'!$AK$8:$AK$42)</f>
        <v>0</v>
      </c>
      <c r="AF15">
        <f>SUMPRODUCT(('Jul 2'!$F$8:$F$42=$AD15)*'Jul 2'!$AJ$8:$AJ$42+('Jul 2'!$G$8:$G$42=$AD15)*'Jul 2'!$AK$8:$AK$42)</f>
        <v>0</v>
      </c>
      <c r="AG15">
        <f>SUMPRODUCT(('Jul 3'!$F$8:$F$42=$AD15)*'Jul 3'!$AJ$8:$AJ$42+('Jul 3'!$G$8:$G$42=$AD15)*'Jul 3'!$AK$8:$AK$42)</f>
        <v>0</v>
      </c>
      <c r="AH15">
        <f>SUMPRODUCT(('Jul 4'!$F$8:$F$42=$AD15)*'Jul 4'!$AJ$8:$AJ$42+('Jul 4'!$G$8:$G$42=$AD15)*'Jul 4'!$AK$8:$AK$42)</f>
        <v>0</v>
      </c>
      <c r="AI15">
        <f>SUMPRODUCT(('Jul 5'!$F$8:$F$42=$AD15)*'Jul 5'!$AJ$8:$AJ$42+('Jul 5'!$G$8:$G$42=$AD15)*'Jul 5'!$AK$8:$AK$42)</f>
        <v>0</v>
      </c>
      <c r="AJ15">
        <f>SUMPRODUCT(('Jul 6'!$F$8:$F$42=$AD15)*'Jul 6'!$AJ$8:$AJ$42+('Jul 6'!$G$8:$G$42=$AD15)*'Jul 6'!$AK$8:$AK$42)</f>
        <v>0</v>
      </c>
      <c r="AK15">
        <f>SUMPRODUCT(('Jul 7'!$F$8:$F$42=$AD15)*'Jul 7'!$AJ$8:$AJ$42+('Jul 7'!$G$8:$G$42=$AD15)*'Jul 7'!$AK$8:$AK$42)</f>
        <v>0</v>
      </c>
      <c r="AL15">
        <f>SUMPRODUCT(('Jul 8'!$F$8:$F$42=$AD15)*'Jul 8'!$AJ$8:$AJ$42+('Jul 8'!$G$8:$G$42=$AD15)*'Jul 8'!$AK$8:$AK$42)</f>
        <v>0</v>
      </c>
      <c r="AM15">
        <f>SUMPRODUCT(('Jul 9'!$F$8:$F$42=$AD15)*'Jul 9'!$AJ$8:$AJ$42+('Jul 9'!$G$8:$G$42=$AD15)*'Jul 9'!$AK$8:$AK$42)</f>
        <v>0</v>
      </c>
      <c r="AN15">
        <f>SUMPRODUCT(('Jul 10'!$F$8:$F$42=$AD15)*'Jul 10'!$AJ$8:$AJ$42+('Jul 10'!$G$8:$G$42=$AD15)*'Jul 10'!$AK$8:$AK$42)</f>
        <v>0</v>
      </c>
      <c r="AO15">
        <f>SUMPRODUCT(('Jul 11'!$F$8:$F$42=$AD15)*'Jul 11'!$AJ$8:$AJ$42+('Jul 11'!$G$8:$G$42=$AD15)*'Jul 11'!$AK$8:$AK$42)</f>
        <v>0</v>
      </c>
      <c r="AP15">
        <f>SUMPRODUCT(('Jul 12'!$F$8:$F$42=$AD15)*'Jul 12'!$AJ$8:$AJ$42+('Jul 12'!$G$8:$G$42=$AD15)*'Jul 12'!$AK$8:$AK$42)</f>
        <v>0</v>
      </c>
      <c r="AQ15">
        <f>SUMPRODUCT(('Jul 13'!$F$8:$F$42=$AD15)*'Jul 13'!$AJ$8:$AJ$42+('Jul 13'!$G$8:$G$42=$AD15)*'Jul 13'!$AK$8:$AK$42)</f>
        <v>0</v>
      </c>
      <c r="AR15">
        <f>SUMPRODUCT(('Jul 14'!$F$8:$F$42=$AD15)*'Jul 14'!$AJ$8:$AJ$42+('Jul 14'!$G$8:$G$42=$AD15)*'Jul 14'!$AK$8:$AK$42)</f>
        <v>0</v>
      </c>
      <c r="AS15">
        <f>SUMPRODUCT(('Jul 15'!$F$8:$F$42=$AD15)*'Jul 15'!$AJ$8:$AJ$42+('Jul 15'!$G$8:$G$42=$AD15)*'Jul 15'!$AK$8:$AK$42)</f>
        <v>0</v>
      </c>
      <c r="AT15">
        <f>SUMPRODUCT(('Jul 16'!$F$8:$F$42=$AD15)*'Jul 16'!$AJ$8:$AJ$42+('Jul 16'!$G$8:$G$42=$AD15)*'Jul 16'!$AK$8:$AK$42)</f>
        <v>0</v>
      </c>
      <c r="AU15">
        <f>SUMPRODUCT(('Jul 17'!$F$8:$F$42=$AD15)*'Jul 17'!$AJ$8:$AJ$42+('Jul 17'!$G$8:$G$42=$AD15)*'Jul 17'!$AK$8:$AK$42)</f>
        <v>0</v>
      </c>
      <c r="AV15">
        <f>SUMPRODUCT(('Jul 18'!$F$8:$F$42=$AD15)*'Jul 18'!$AJ$8:$AJ$42+('Jul 18'!$G$8:$G$42=$AD15)*'Jul 18'!$AK$8:$AK$42)</f>
        <v>0</v>
      </c>
      <c r="AW15">
        <f>SUMPRODUCT(('Jul 19'!$F$8:$F$42=$AD15)*'Jul 19'!$AJ$8:$AJ$42+('Jul 19'!$G$8:$G$42=$AD15)*'Jul 19'!$AK$8:$AK$42)</f>
        <v>0</v>
      </c>
      <c r="AX15">
        <f>SUMPRODUCT(('Jul 20'!$F$8:$F$42=$AD15)*'Jul 20'!$AJ$8:$AJ$42+('Jul 20'!$G$8:$G$42=$AD15)*'Jul 20'!$AK$8:$AK$42)</f>
        <v>0</v>
      </c>
      <c r="AY15">
        <f>SUMPRODUCT(('Jul 21'!$F$8:$F$42=$AD15)*'Jul 21'!$AJ$8:$AJ$42+('Jul 21'!$G$8:$G$42=$AD15)*'Jul 21'!$AK$8:$AK$42)</f>
        <v>0</v>
      </c>
      <c r="AZ15">
        <f>SUMPRODUCT(('Jul 22'!$F$8:$F$42=$AD15)*'Jul 22'!$AJ$8:$AJ$42+('Jul 22'!$G$8:$G$42=$AD15)*'Jul 22'!$AK$8:$AK$42)</f>
        <v>0</v>
      </c>
      <c r="BA15">
        <f>SUMPRODUCT(('Jul 23'!$F$8:$F$42=$AD15)*'Jul 23'!$AJ$8:$AJ$42+('Jul 23'!$G$8:$G$42=$AD15)*'Jul 23'!$AK$8:$AK$42)</f>
        <v>0</v>
      </c>
      <c r="BB15">
        <f>SUMPRODUCT(('Jul 24'!$F$8:$F$42=$AD15)*'Jul 24'!$AJ$8:$AJ$42+('Jul 24'!$G$8:$G$42=$AD15)*'Jul 24'!$AK$8:$AK$42)</f>
        <v>0</v>
      </c>
      <c r="BC15">
        <f>SUMPRODUCT(('Jul 25'!$F$8:$F$42=$AD15)*'Jul 25'!$AJ$8:$AJ$42+('Jul 25'!$G$8:$G$42=$AD15)*'Jul 25'!$AK$8:$AK$42)</f>
        <v>0</v>
      </c>
      <c r="BD15">
        <f>SUMPRODUCT(('Jul 26'!$F$8:$F$42=$AD15)*'Jul 26'!$AJ$8:$AJ$42+('Jul 26'!$G$8:$G$42=$AD15)*'Jul 26'!$AK$8:$AK$42)</f>
        <v>0</v>
      </c>
      <c r="BE15">
        <f>SUMPRODUCT(('Jul 27'!$F$8:$F$42=$AD15)*'Jul 27'!$AJ$8:$AJ$42+('Jul 27'!$G$8:$G$42=$AD15)*'Jul 27'!$AK$8:$AK$42)</f>
        <v>0</v>
      </c>
      <c r="BF15">
        <f>SUMPRODUCT(('Jul 28'!$F$8:$F$42=$AD15)*'Jul 28'!$AJ$8:$AJ$42+('Jul 28'!$G$8:$G$42=$AD15)*'Jul 28'!$AK$8:$AK$42)</f>
        <v>0</v>
      </c>
      <c r="BG15">
        <f>SUMPRODUCT(('Jul 29'!$F$8:$F$42=$AD15)*'Jul 29'!$AJ$8:$AJ$42+('Jul 29'!$G$8:$G$42=$AD15)*'Jul 29'!$AK$8:$AK$42)</f>
        <v>0</v>
      </c>
      <c r="BH15">
        <f>SUMPRODUCT(('Jul 30'!$F$8:$F$42=$AD15)*'Jul 30'!$AJ$8:$AJ$42+('Jul 30'!$G$8:$G$42=$AD15)*'Jul 30'!$AK$8:$AK$42)</f>
        <v>0</v>
      </c>
      <c r="BI15">
        <f>SUMPRODUCT(('Jul 31'!$F$8:$F$42=$AD15)*'Jul 31'!$AJ$8:$AJ$42+('Jul 31'!$G$8:$G$42=$AD15)*'Jul 31'!$AK$8:$AK$42)</f>
        <v>0</v>
      </c>
      <c r="BK15">
        <f t="shared" si="0"/>
        <v>0</v>
      </c>
      <c r="BM15">
        <f t="shared" si="1"/>
        <v>0</v>
      </c>
      <c r="BN15">
        <f>RANK(BM15,$BM$4:$BM$19,0)+COUNTIF(BM$4:BM15,BM15)-1</f>
        <v>12</v>
      </c>
      <c r="BR15">
        <v>46217</v>
      </c>
    </row>
    <row r="16" spans="1:72" ht="15" customHeight="1" x14ac:dyDescent="0.25">
      <c r="B16" s="35"/>
      <c r="C16" s="35"/>
      <c r="D16" s="35"/>
      <c r="E16" s="35"/>
      <c r="F16" s="35"/>
      <c r="G16" s="35"/>
      <c r="H16" s="137" t="str">
        <f>IF('Jul 1'!$G$46=0,"—",'Jul 1'!$G$46&amp;"u · $"&amp;TEXT('Jul 1'!$G$49/1000,"0.0")&amp;"k")</f>
        <v>—</v>
      </c>
      <c r="I16" s="138"/>
      <c r="J16" s="137" t="str">
        <f>IF('Jul 2'!$G$46=0,"—",'Jul 2'!$G$46&amp;"u · $"&amp;TEXT('Jul 2'!$G$49/1000,"0.0")&amp;"k")</f>
        <v>—</v>
      </c>
      <c r="K16" s="138"/>
      <c r="L16" s="137" t="str">
        <f>IF('Jul 3'!$G$46=0,"—",'Jul 3'!$G$46&amp;"u · $"&amp;TEXT('Jul 3'!$G$49/1000,"0.0")&amp;"k")</f>
        <v>—</v>
      </c>
      <c r="M16" s="138"/>
      <c r="N16" s="137" t="str">
        <f>IF('Jul 4'!$G$46=0,"—",'Jul 4'!$G$46&amp;"u · $"&amp;TEXT('Jul 4'!$G$49/1000,"0.0")&amp;"k")</f>
        <v>—</v>
      </c>
      <c r="O16" s="138"/>
      <c r="U16">
        <f>'Jul 13'!$G$47</f>
        <v>0</v>
      </c>
      <c r="V16">
        <f>'Jul 13'!$G$48</f>
        <v>0</v>
      </c>
      <c r="W16">
        <f>'Jul 13'!$C$54</f>
        <v>0</v>
      </c>
      <c r="X16">
        <f>'Jul 13'!$C$55</f>
        <v>0</v>
      </c>
      <c r="Y16">
        <f>'Jul 13'!$C$57</f>
        <v>0</v>
      </c>
      <c r="Z16">
        <f>COUNTIF('Jul 13'!$AM$8:$AM$42,"Y")</f>
        <v>0</v>
      </c>
      <c r="AA16">
        <f>COUNTIF('Jul 13'!$AN$8:$AN$42,"Y")</f>
        <v>0</v>
      </c>
      <c r="AB16">
        <f>COUNTIF('Jul 13'!$AO$8:$AO$42,"Y")</f>
        <v>0</v>
      </c>
      <c r="AD16" t="s">
        <v>102</v>
      </c>
      <c r="AE16">
        <f>SUMPRODUCT(('Jul 1'!$F$8:$F$42=$AD16)*'Jul 1'!$AJ$8:$AJ$42+('Jul 1'!$G$8:$G$42=$AD16)*'Jul 1'!$AK$8:$AK$42)</f>
        <v>0</v>
      </c>
      <c r="AF16">
        <f>SUMPRODUCT(('Jul 2'!$F$8:$F$42=$AD16)*'Jul 2'!$AJ$8:$AJ$42+('Jul 2'!$G$8:$G$42=$AD16)*'Jul 2'!$AK$8:$AK$42)</f>
        <v>0</v>
      </c>
      <c r="AG16">
        <f>SUMPRODUCT(('Jul 3'!$F$8:$F$42=$AD16)*'Jul 3'!$AJ$8:$AJ$42+('Jul 3'!$G$8:$G$42=$AD16)*'Jul 3'!$AK$8:$AK$42)</f>
        <v>0</v>
      </c>
      <c r="AH16">
        <f>SUMPRODUCT(('Jul 4'!$F$8:$F$42=$AD16)*'Jul 4'!$AJ$8:$AJ$42+('Jul 4'!$G$8:$G$42=$AD16)*'Jul 4'!$AK$8:$AK$42)</f>
        <v>0</v>
      </c>
      <c r="AI16">
        <f>SUMPRODUCT(('Jul 5'!$F$8:$F$42=$AD16)*'Jul 5'!$AJ$8:$AJ$42+('Jul 5'!$G$8:$G$42=$AD16)*'Jul 5'!$AK$8:$AK$42)</f>
        <v>0</v>
      </c>
      <c r="AJ16">
        <f>SUMPRODUCT(('Jul 6'!$F$8:$F$42=$AD16)*'Jul 6'!$AJ$8:$AJ$42+('Jul 6'!$G$8:$G$42=$AD16)*'Jul 6'!$AK$8:$AK$42)</f>
        <v>0</v>
      </c>
      <c r="AK16">
        <f>SUMPRODUCT(('Jul 7'!$F$8:$F$42=$AD16)*'Jul 7'!$AJ$8:$AJ$42+('Jul 7'!$G$8:$G$42=$AD16)*'Jul 7'!$AK$8:$AK$42)</f>
        <v>0</v>
      </c>
      <c r="AL16">
        <f>SUMPRODUCT(('Jul 8'!$F$8:$F$42=$AD16)*'Jul 8'!$AJ$8:$AJ$42+('Jul 8'!$G$8:$G$42=$AD16)*'Jul 8'!$AK$8:$AK$42)</f>
        <v>0</v>
      </c>
      <c r="AM16">
        <f>SUMPRODUCT(('Jul 9'!$F$8:$F$42=$AD16)*'Jul 9'!$AJ$8:$AJ$42+('Jul 9'!$G$8:$G$42=$AD16)*'Jul 9'!$AK$8:$AK$42)</f>
        <v>0</v>
      </c>
      <c r="AN16">
        <f>SUMPRODUCT(('Jul 10'!$F$8:$F$42=$AD16)*'Jul 10'!$AJ$8:$AJ$42+('Jul 10'!$G$8:$G$42=$AD16)*'Jul 10'!$AK$8:$AK$42)</f>
        <v>0</v>
      </c>
      <c r="AO16">
        <f>SUMPRODUCT(('Jul 11'!$F$8:$F$42=$AD16)*'Jul 11'!$AJ$8:$AJ$42+('Jul 11'!$G$8:$G$42=$AD16)*'Jul 11'!$AK$8:$AK$42)</f>
        <v>0</v>
      </c>
      <c r="AP16">
        <f>SUMPRODUCT(('Jul 12'!$F$8:$F$42=$AD16)*'Jul 12'!$AJ$8:$AJ$42+('Jul 12'!$G$8:$G$42=$AD16)*'Jul 12'!$AK$8:$AK$42)</f>
        <v>0</v>
      </c>
      <c r="AQ16">
        <f>SUMPRODUCT(('Jul 13'!$F$8:$F$42=$AD16)*'Jul 13'!$AJ$8:$AJ$42+('Jul 13'!$G$8:$G$42=$AD16)*'Jul 13'!$AK$8:$AK$42)</f>
        <v>0</v>
      </c>
      <c r="AR16">
        <f>SUMPRODUCT(('Jul 14'!$F$8:$F$42=$AD16)*'Jul 14'!$AJ$8:$AJ$42+('Jul 14'!$G$8:$G$42=$AD16)*'Jul 14'!$AK$8:$AK$42)</f>
        <v>0</v>
      </c>
      <c r="AS16">
        <f>SUMPRODUCT(('Jul 15'!$F$8:$F$42=$AD16)*'Jul 15'!$AJ$8:$AJ$42+('Jul 15'!$G$8:$G$42=$AD16)*'Jul 15'!$AK$8:$AK$42)</f>
        <v>0</v>
      </c>
      <c r="AT16">
        <f>SUMPRODUCT(('Jul 16'!$F$8:$F$42=$AD16)*'Jul 16'!$AJ$8:$AJ$42+('Jul 16'!$G$8:$G$42=$AD16)*'Jul 16'!$AK$8:$AK$42)</f>
        <v>0</v>
      </c>
      <c r="AU16">
        <f>SUMPRODUCT(('Jul 17'!$F$8:$F$42=$AD16)*'Jul 17'!$AJ$8:$AJ$42+('Jul 17'!$G$8:$G$42=$AD16)*'Jul 17'!$AK$8:$AK$42)</f>
        <v>0</v>
      </c>
      <c r="AV16">
        <f>SUMPRODUCT(('Jul 18'!$F$8:$F$42=$AD16)*'Jul 18'!$AJ$8:$AJ$42+('Jul 18'!$G$8:$G$42=$AD16)*'Jul 18'!$AK$8:$AK$42)</f>
        <v>0</v>
      </c>
      <c r="AW16">
        <f>SUMPRODUCT(('Jul 19'!$F$8:$F$42=$AD16)*'Jul 19'!$AJ$8:$AJ$42+('Jul 19'!$G$8:$G$42=$AD16)*'Jul 19'!$AK$8:$AK$42)</f>
        <v>0</v>
      </c>
      <c r="AX16">
        <f>SUMPRODUCT(('Jul 20'!$F$8:$F$42=$AD16)*'Jul 20'!$AJ$8:$AJ$42+('Jul 20'!$G$8:$G$42=$AD16)*'Jul 20'!$AK$8:$AK$42)</f>
        <v>0</v>
      </c>
      <c r="AY16">
        <f>SUMPRODUCT(('Jul 21'!$F$8:$F$42=$AD16)*'Jul 21'!$AJ$8:$AJ$42+('Jul 21'!$G$8:$G$42=$AD16)*'Jul 21'!$AK$8:$AK$42)</f>
        <v>0</v>
      </c>
      <c r="AZ16">
        <f>SUMPRODUCT(('Jul 22'!$F$8:$F$42=$AD16)*'Jul 22'!$AJ$8:$AJ$42+('Jul 22'!$G$8:$G$42=$AD16)*'Jul 22'!$AK$8:$AK$42)</f>
        <v>0</v>
      </c>
      <c r="BA16">
        <f>SUMPRODUCT(('Jul 23'!$F$8:$F$42=$AD16)*'Jul 23'!$AJ$8:$AJ$42+('Jul 23'!$G$8:$G$42=$AD16)*'Jul 23'!$AK$8:$AK$42)</f>
        <v>0</v>
      </c>
      <c r="BB16">
        <f>SUMPRODUCT(('Jul 24'!$F$8:$F$42=$AD16)*'Jul 24'!$AJ$8:$AJ$42+('Jul 24'!$G$8:$G$42=$AD16)*'Jul 24'!$AK$8:$AK$42)</f>
        <v>0</v>
      </c>
      <c r="BC16">
        <f>SUMPRODUCT(('Jul 25'!$F$8:$F$42=$AD16)*'Jul 25'!$AJ$8:$AJ$42+('Jul 25'!$G$8:$G$42=$AD16)*'Jul 25'!$AK$8:$AK$42)</f>
        <v>0</v>
      </c>
      <c r="BD16">
        <f>SUMPRODUCT(('Jul 26'!$F$8:$F$42=$AD16)*'Jul 26'!$AJ$8:$AJ$42+('Jul 26'!$G$8:$G$42=$AD16)*'Jul 26'!$AK$8:$AK$42)</f>
        <v>0</v>
      </c>
      <c r="BE16">
        <f>SUMPRODUCT(('Jul 27'!$F$8:$F$42=$AD16)*'Jul 27'!$AJ$8:$AJ$42+('Jul 27'!$G$8:$G$42=$AD16)*'Jul 27'!$AK$8:$AK$42)</f>
        <v>0</v>
      </c>
      <c r="BF16">
        <f>SUMPRODUCT(('Jul 28'!$F$8:$F$42=$AD16)*'Jul 28'!$AJ$8:$AJ$42+('Jul 28'!$G$8:$G$42=$AD16)*'Jul 28'!$AK$8:$AK$42)</f>
        <v>0</v>
      </c>
      <c r="BG16">
        <f>SUMPRODUCT(('Jul 29'!$F$8:$F$42=$AD16)*'Jul 29'!$AJ$8:$AJ$42+('Jul 29'!$G$8:$G$42=$AD16)*'Jul 29'!$AK$8:$AK$42)</f>
        <v>0</v>
      </c>
      <c r="BH16">
        <f>SUMPRODUCT(('Jul 30'!$F$8:$F$42=$AD16)*'Jul 30'!$AJ$8:$AJ$42+('Jul 30'!$G$8:$G$42=$AD16)*'Jul 30'!$AK$8:$AK$42)</f>
        <v>0</v>
      </c>
      <c r="BI16">
        <f>SUMPRODUCT(('Jul 31'!$F$8:$F$42=$AD16)*'Jul 31'!$AJ$8:$AJ$42+('Jul 31'!$G$8:$G$42=$AD16)*'Jul 31'!$AK$8:$AK$42)</f>
        <v>0</v>
      </c>
      <c r="BK16">
        <f t="shared" si="0"/>
        <v>0</v>
      </c>
      <c r="BM16">
        <f t="shared" si="1"/>
        <v>0</v>
      </c>
      <c r="BN16">
        <f>RANK(BM16,$BM$4:$BM$19,0)+COUNTIF(BM$4:BM16,BM16)-1</f>
        <v>13</v>
      </c>
      <c r="BR16">
        <v>46218</v>
      </c>
    </row>
    <row r="17" spans="1:70" ht="15.95" customHeight="1" x14ac:dyDescent="0.25">
      <c r="B17" s="155" t="str">
        <f>HYPERLINK("#'Jul 5'!A1","5")</f>
        <v>5</v>
      </c>
      <c r="C17" s="138"/>
      <c r="D17" s="149" t="str">
        <f>HYPERLINK("#'Jul 6'!A1","6")</f>
        <v>6</v>
      </c>
      <c r="E17" s="138"/>
      <c r="F17" s="149" t="str">
        <f>HYPERLINK("#'Jul 7'!A1","7")</f>
        <v>7</v>
      </c>
      <c r="G17" s="138"/>
      <c r="H17" s="149" t="str">
        <f>HYPERLINK("#'Jul 8'!A1","8")</f>
        <v>8</v>
      </c>
      <c r="I17" s="138"/>
      <c r="J17" s="149" t="str">
        <f>HYPERLINK("#'Jul 9'!A1","9")</f>
        <v>9</v>
      </c>
      <c r="K17" s="138"/>
      <c r="L17" s="149" t="str">
        <f>HYPERLINK("#'Jul 10'!A1","10")</f>
        <v>10</v>
      </c>
      <c r="M17" s="138"/>
      <c r="N17" s="149" t="str">
        <f>HYPERLINK("#'Jul 11'!A1","11")</f>
        <v>11</v>
      </c>
      <c r="O17" s="138"/>
      <c r="U17">
        <f>'Jul 14'!$G$47</f>
        <v>0</v>
      </c>
      <c r="V17">
        <f>'Jul 14'!$G$48</f>
        <v>0</v>
      </c>
      <c r="W17">
        <f>'Jul 14'!$C$54</f>
        <v>0</v>
      </c>
      <c r="X17">
        <f>'Jul 14'!$C$55</f>
        <v>0</v>
      </c>
      <c r="Y17">
        <f>'Jul 14'!$C$57</f>
        <v>0</v>
      </c>
      <c r="Z17">
        <f>COUNTIF('Jul 14'!$AM$8:$AM$42,"Y")</f>
        <v>0</v>
      </c>
      <c r="AA17">
        <f>COUNTIF('Jul 14'!$AN$8:$AN$42,"Y")</f>
        <v>0</v>
      </c>
      <c r="AB17">
        <f>COUNTIF('Jul 14'!$AO$8:$AO$42,"Y")</f>
        <v>0</v>
      </c>
      <c r="AD17" t="s">
        <v>103</v>
      </c>
      <c r="AE17">
        <f>SUMPRODUCT(('Jul 1'!$F$8:$F$42=$AD17)*'Jul 1'!$AJ$8:$AJ$42+('Jul 1'!$G$8:$G$42=$AD17)*'Jul 1'!$AK$8:$AK$42)</f>
        <v>0</v>
      </c>
      <c r="AF17">
        <f>SUMPRODUCT(('Jul 2'!$F$8:$F$42=$AD17)*'Jul 2'!$AJ$8:$AJ$42+('Jul 2'!$G$8:$G$42=$AD17)*'Jul 2'!$AK$8:$AK$42)</f>
        <v>0</v>
      </c>
      <c r="AG17">
        <f>SUMPRODUCT(('Jul 3'!$F$8:$F$42=$AD17)*'Jul 3'!$AJ$8:$AJ$42+('Jul 3'!$G$8:$G$42=$AD17)*'Jul 3'!$AK$8:$AK$42)</f>
        <v>0</v>
      </c>
      <c r="AH17">
        <f>SUMPRODUCT(('Jul 4'!$F$8:$F$42=$AD17)*'Jul 4'!$AJ$8:$AJ$42+('Jul 4'!$G$8:$G$42=$AD17)*'Jul 4'!$AK$8:$AK$42)</f>
        <v>0</v>
      </c>
      <c r="AI17">
        <f>SUMPRODUCT(('Jul 5'!$F$8:$F$42=$AD17)*'Jul 5'!$AJ$8:$AJ$42+('Jul 5'!$G$8:$G$42=$AD17)*'Jul 5'!$AK$8:$AK$42)</f>
        <v>0</v>
      </c>
      <c r="AJ17">
        <f>SUMPRODUCT(('Jul 6'!$F$8:$F$42=$AD17)*'Jul 6'!$AJ$8:$AJ$42+('Jul 6'!$G$8:$G$42=$AD17)*'Jul 6'!$AK$8:$AK$42)</f>
        <v>0</v>
      </c>
      <c r="AK17">
        <f>SUMPRODUCT(('Jul 7'!$F$8:$F$42=$AD17)*'Jul 7'!$AJ$8:$AJ$42+('Jul 7'!$G$8:$G$42=$AD17)*'Jul 7'!$AK$8:$AK$42)</f>
        <v>0</v>
      </c>
      <c r="AL17">
        <f>SUMPRODUCT(('Jul 8'!$F$8:$F$42=$AD17)*'Jul 8'!$AJ$8:$AJ$42+('Jul 8'!$G$8:$G$42=$AD17)*'Jul 8'!$AK$8:$AK$42)</f>
        <v>0</v>
      </c>
      <c r="AM17">
        <f>SUMPRODUCT(('Jul 9'!$F$8:$F$42=$AD17)*'Jul 9'!$AJ$8:$AJ$42+('Jul 9'!$G$8:$G$42=$AD17)*'Jul 9'!$AK$8:$AK$42)</f>
        <v>0</v>
      </c>
      <c r="AN17">
        <f>SUMPRODUCT(('Jul 10'!$F$8:$F$42=$AD17)*'Jul 10'!$AJ$8:$AJ$42+('Jul 10'!$G$8:$G$42=$AD17)*'Jul 10'!$AK$8:$AK$42)</f>
        <v>0</v>
      </c>
      <c r="AO17">
        <f>SUMPRODUCT(('Jul 11'!$F$8:$F$42=$AD17)*'Jul 11'!$AJ$8:$AJ$42+('Jul 11'!$G$8:$G$42=$AD17)*'Jul 11'!$AK$8:$AK$42)</f>
        <v>0</v>
      </c>
      <c r="AP17">
        <f>SUMPRODUCT(('Jul 12'!$F$8:$F$42=$AD17)*'Jul 12'!$AJ$8:$AJ$42+('Jul 12'!$G$8:$G$42=$AD17)*'Jul 12'!$AK$8:$AK$42)</f>
        <v>0</v>
      </c>
      <c r="AQ17">
        <f>SUMPRODUCT(('Jul 13'!$F$8:$F$42=$AD17)*'Jul 13'!$AJ$8:$AJ$42+('Jul 13'!$G$8:$G$42=$AD17)*'Jul 13'!$AK$8:$AK$42)</f>
        <v>0</v>
      </c>
      <c r="AR17">
        <f>SUMPRODUCT(('Jul 14'!$F$8:$F$42=$AD17)*'Jul 14'!$AJ$8:$AJ$42+('Jul 14'!$G$8:$G$42=$AD17)*'Jul 14'!$AK$8:$AK$42)</f>
        <v>0</v>
      </c>
      <c r="AS17">
        <f>SUMPRODUCT(('Jul 15'!$F$8:$F$42=$AD17)*'Jul 15'!$AJ$8:$AJ$42+('Jul 15'!$G$8:$G$42=$AD17)*'Jul 15'!$AK$8:$AK$42)</f>
        <v>0</v>
      </c>
      <c r="AT17">
        <f>SUMPRODUCT(('Jul 16'!$F$8:$F$42=$AD17)*'Jul 16'!$AJ$8:$AJ$42+('Jul 16'!$G$8:$G$42=$AD17)*'Jul 16'!$AK$8:$AK$42)</f>
        <v>0</v>
      </c>
      <c r="AU17">
        <f>SUMPRODUCT(('Jul 17'!$F$8:$F$42=$AD17)*'Jul 17'!$AJ$8:$AJ$42+('Jul 17'!$G$8:$G$42=$AD17)*'Jul 17'!$AK$8:$AK$42)</f>
        <v>0</v>
      </c>
      <c r="AV17">
        <f>SUMPRODUCT(('Jul 18'!$F$8:$F$42=$AD17)*'Jul 18'!$AJ$8:$AJ$42+('Jul 18'!$G$8:$G$42=$AD17)*'Jul 18'!$AK$8:$AK$42)</f>
        <v>0</v>
      </c>
      <c r="AW17">
        <f>SUMPRODUCT(('Jul 19'!$F$8:$F$42=$AD17)*'Jul 19'!$AJ$8:$AJ$42+('Jul 19'!$G$8:$G$42=$AD17)*'Jul 19'!$AK$8:$AK$42)</f>
        <v>0</v>
      </c>
      <c r="AX17">
        <f>SUMPRODUCT(('Jul 20'!$F$8:$F$42=$AD17)*'Jul 20'!$AJ$8:$AJ$42+('Jul 20'!$G$8:$G$42=$AD17)*'Jul 20'!$AK$8:$AK$42)</f>
        <v>0</v>
      </c>
      <c r="AY17">
        <f>SUMPRODUCT(('Jul 21'!$F$8:$F$42=$AD17)*'Jul 21'!$AJ$8:$AJ$42+('Jul 21'!$G$8:$G$42=$AD17)*'Jul 21'!$AK$8:$AK$42)</f>
        <v>0</v>
      </c>
      <c r="AZ17">
        <f>SUMPRODUCT(('Jul 22'!$F$8:$F$42=$AD17)*'Jul 22'!$AJ$8:$AJ$42+('Jul 22'!$G$8:$G$42=$AD17)*'Jul 22'!$AK$8:$AK$42)</f>
        <v>0</v>
      </c>
      <c r="BA17">
        <f>SUMPRODUCT(('Jul 23'!$F$8:$F$42=$AD17)*'Jul 23'!$AJ$8:$AJ$42+('Jul 23'!$G$8:$G$42=$AD17)*'Jul 23'!$AK$8:$AK$42)</f>
        <v>0</v>
      </c>
      <c r="BB17">
        <f>SUMPRODUCT(('Jul 24'!$F$8:$F$42=$AD17)*'Jul 24'!$AJ$8:$AJ$42+('Jul 24'!$G$8:$G$42=$AD17)*'Jul 24'!$AK$8:$AK$42)</f>
        <v>0</v>
      </c>
      <c r="BC17">
        <f>SUMPRODUCT(('Jul 25'!$F$8:$F$42=$AD17)*'Jul 25'!$AJ$8:$AJ$42+('Jul 25'!$G$8:$G$42=$AD17)*'Jul 25'!$AK$8:$AK$42)</f>
        <v>0</v>
      </c>
      <c r="BD17">
        <f>SUMPRODUCT(('Jul 26'!$F$8:$F$42=$AD17)*'Jul 26'!$AJ$8:$AJ$42+('Jul 26'!$G$8:$G$42=$AD17)*'Jul 26'!$AK$8:$AK$42)</f>
        <v>0</v>
      </c>
      <c r="BE17">
        <f>SUMPRODUCT(('Jul 27'!$F$8:$F$42=$AD17)*'Jul 27'!$AJ$8:$AJ$42+('Jul 27'!$G$8:$G$42=$AD17)*'Jul 27'!$AK$8:$AK$42)</f>
        <v>0</v>
      </c>
      <c r="BF17">
        <f>SUMPRODUCT(('Jul 28'!$F$8:$F$42=$AD17)*'Jul 28'!$AJ$8:$AJ$42+('Jul 28'!$G$8:$G$42=$AD17)*'Jul 28'!$AK$8:$AK$42)</f>
        <v>0</v>
      </c>
      <c r="BG17">
        <f>SUMPRODUCT(('Jul 29'!$F$8:$F$42=$AD17)*'Jul 29'!$AJ$8:$AJ$42+('Jul 29'!$G$8:$G$42=$AD17)*'Jul 29'!$AK$8:$AK$42)</f>
        <v>0</v>
      </c>
      <c r="BH17">
        <f>SUMPRODUCT(('Jul 30'!$F$8:$F$42=$AD17)*'Jul 30'!$AJ$8:$AJ$42+('Jul 30'!$G$8:$G$42=$AD17)*'Jul 30'!$AK$8:$AK$42)</f>
        <v>0</v>
      </c>
      <c r="BI17">
        <f>SUMPRODUCT(('Jul 31'!$F$8:$F$42=$AD17)*'Jul 31'!$AJ$8:$AJ$42+('Jul 31'!$G$8:$G$42=$AD17)*'Jul 31'!$AK$8:$AK$42)</f>
        <v>0</v>
      </c>
      <c r="BK17">
        <f t="shared" si="0"/>
        <v>0</v>
      </c>
      <c r="BM17">
        <f t="shared" si="1"/>
        <v>0</v>
      </c>
      <c r="BN17">
        <f>RANK(BM17,$BM$4:$BM$19,0)+COUNTIF(BM$4:BM17,BM17)-1</f>
        <v>14</v>
      </c>
      <c r="BR17">
        <v>46219</v>
      </c>
    </row>
    <row r="18" spans="1:70" ht="15" customHeight="1" x14ac:dyDescent="0.25">
      <c r="B18" s="156" t="s">
        <v>168</v>
      </c>
      <c r="C18" s="138"/>
      <c r="D18" s="137" t="str">
        <f>IF('Jul 6'!$G$46=0,"—",'Jul 6'!$G$46&amp;"u · $"&amp;TEXT('Jul 6'!$G$49/1000,"0.0")&amp;"k")</f>
        <v>—</v>
      </c>
      <c r="E18" s="138"/>
      <c r="F18" s="137" t="str">
        <f>IF('Jul 7'!$G$46=0,"—",'Jul 7'!$G$46&amp;"u · $"&amp;TEXT('Jul 7'!$G$49/1000,"0.0")&amp;"k")</f>
        <v>—</v>
      </c>
      <c r="G18" s="138"/>
      <c r="H18" s="137" t="str">
        <f>IF('Jul 8'!$G$46=0,"—",'Jul 8'!$G$46&amp;"u · $"&amp;TEXT('Jul 8'!$G$49/1000,"0.0")&amp;"k")</f>
        <v>—</v>
      </c>
      <c r="I18" s="138"/>
      <c r="J18" s="137" t="str">
        <f>IF('Jul 9'!$G$46=0,"—",'Jul 9'!$G$46&amp;"u · $"&amp;TEXT('Jul 9'!$G$49/1000,"0.0")&amp;"k")</f>
        <v>—</v>
      </c>
      <c r="K18" s="138"/>
      <c r="L18" s="137" t="str">
        <f>IF('Jul 10'!$G$46=0,"—",'Jul 10'!$G$46&amp;"u · $"&amp;TEXT('Jul 10'!$G$49/1000,"0.0")&amp;"k")</f>
        <v>—</v>
      </c>
      <c r="M18" s="138"/>
      <c r="N18" s="137" t="str">
        <f>IF('Jul 11'!$G$46=0,"—",'Jul 11'!$G$46&amp;"u · $"&amp;TEXT('Jul 11'!$G$49/1000,"0.0")&amp;"k")</f>
        <v>—</v>
      </c>
      <c r="O18" s="138"/>
      <c r="U18">
        <f>'Jul 15'!$G$47</f>
        <v>0</v>
      </c>
      <c r="V18">
        <f>'Jul 15'!$G$48</f>
        <v>0</v>
      </c>
      <c r="W18">
        <f>'Jul 15'!$C$54</f>
        <v>0</v>
      </c>
      <c r="X18">
        <f>'Jul 15'!$C$55</f>
        <v>0</v>
      </c>
      <c r="Y18">
        <f>'Jul 15'!$C$57</f>
        <v>0</v>
      </c>
      <c r="Z18">
        <f>COUNTIF('Jul 15'!$AM$8:$AM$42,"Y")</f>
        <v>0</v>
      </c>
      <c r="AA18">
        <f>COUNTIF('Jul 15'!$AN$8:$AN$42,"Y")</f>
        <v>0</v>
      </c>
      <c r="AB18">
        <f>COUNTIF('Jul 15'!$AO$8:$AO$42,"Y")</f>
        <v>0</v>
      </c>
      <c r="AD18" t="s">
        <v>104</v>
      </c>
      <c r="AE18">
        <f>SUMPRODUCT(('Jul 1'!$F$8:$F$42=$AD18)*'Jul 1'!$AJ$8:$AJ$42+('Jul 1'!$G$8:$G$42=$AD18)*'Jul 1'!$AK$8:$AK$42)</f>
        <v>0</v>
      </c>
      <c r="AF18">
        <f>SUMPRODUCT(('Jul 2'!$F$8:$F$42=$AD18)*'Jul 2'!$AJ$8:$AJ$42+('Jul 2'!$G$8:$G$42=$AD18)*'Jul 2'!$AK$8:$AK$42)</f>
        <v>0</v>
      </c>
      <c r="AG18">
        <f>SUMPRODUCT(('Jul 3'!$F$8:$F$42=$AD18)*'Jul 3'!$AJ$8:$AJ$42+('Jul 3'!$G$8:$G$42=$AD18)*'Jul 3'!$AK$8:$AK$42)</f>
        <v>0</v>
      </c>
      <c r="AH18">
        <f>SUMPRODUCT(('Jul 4'!$F$8:$F$42=$AD18)*'Jul 4'!$AJ$8:$AJ$42+('Jul 4'!$G$8:$G$42=$AD18)*'Jul 4'!$AK$8:$AK$42)</f>
        <v>0</v>
      </c>
      <c r="AI18">
        <f>SUMPRODUCT(('Jul 5'!$F$8:$F$42=$AD18)*'Jul 5'!$AJ$8:$AJ$42+('Jul 5'!$G$8:$G$42=$AD18)*'Jul 5'!$AK$8:$AK$42)</f>
        <v>0</v>
      </c>
      <c r="AJ18">
        <f>SUMPRODUCT(('Jul 6'!$F$8:$F$42=$AD18)*'Jul 6'!$AJ$8:$AJ$42+('Jul 6'!$G$8:$G$42=$AD18)*'Jul 6'!$AK$8:$AK$42)</f>
        <v>0</v>
      </c>
      <c r="AK18">
        <f>SUMPRODUCT(('Jul 7'!$F$8:$F$42=$AD18)*'Jul 7'!$AJ$8:$AJ$42+('Jul 7'!$G$8:$G$42=$AD18)*'Jul 7'!$AK$8:$AK$42)</f>
        <v>0</v>
      </c>
      <c r="AL18">
        <f>SUMPRODUCT(('Jul 8'!$F$8:$F$42=$AD18)*'Jul 8'!$AJ$8:$AJ$42+('Jul 8'!$G$8:$G$42=$AD18)*'Jul 8'!$AK$8:$AK$42)</f>
        <v>0</v>
      </c>
      <c r="AM18">
        <f>SUMPRODUCT(('Jul 9'!$F$8:$F$42=$AD18)*'Jul 9'!$AJ$8:$AJ$42+('Jul 9'!$G$8:$G$42=$AD18)*'Jul 9'!$AK$8:$AK$42)</f>
        <v>0</v>
      </c>
      <c r="AN18">
        <f>SUMPRODUCT(('Jul 10'!$F$8:$F$42=$AD18)*'Jul 10'!$AJ$8:$AJ$42+('Jul 10'!$G$8:$G$42=$AD18)*'Jul 10'!$AK$8:$AK$42)</f>
        <v>0</v>
      </c>
      <c r="AO18">
        <f>SUMPRODUCT(('Jul 11'!$F$8:$F$42=$AD18)*'Jul 11'!$AJ$8:$AJ$42+('Jul 11'!$G$8:$G$42=$AD18)*'Jul 11'!$AK$8:$AK$42)</f>
        <v>0</v>
      </c>
      <c r="AP18">
        <f>SUMPRODUCT(('Jul 12'!$F$8:$F$42=$AD18)*'Jul 12'!$AJ$8:$AJ$42+('Jul 12'!$G$8:$G$42=$AD18)*'Jul 12'!$AK$8:$AK$42)</f>
        <v>0</v>
      </c>
      <c r="AQ18">
        <f>SUMPRODUCT(('Jul 13'!$F$8:$F$42=$AD18)*'Jul 13'!$AJ$8:$AJ$42+('Jul 13'!$G$8:$G$42=$AD18)*'Jul 13'!$AK$8:$AK$42)</f>
        <v>0</v>
      </c>
      <c r="AR18">
        <f>SUMPRODUCT(('Jul 14'!$F$8:$F$42=$AD18)*'Jul 14'!$AJ$8:$AJ$42+('Jul 14'!$G$8:$G$42=$AD18)*'Jul 14'!$AK$8:$AK$42)</f>
        <v>0</v>
      </c>
      <c r="AS18">
        <f>SUMPRODUCT(('Jul 15'!$F$8:$F$42=$AD18)*'Jul 15'!$AJ$8:$AJ$42+('Jul 15'!$G$8:$G$42=$AD18)*'Jul 15'!$AK$8:$AK$42)</f>
        <v>0</v>
      </c>
      <c r="AT18">
        <f>SUMPRODUCT(('Jul 16'!$F$8:$F$42=$AD18)*'Jul 16'!$AJ$8:$AJ$42+('Jul 16'!$G$8:$G$42=$AD18)*'Jul 16'!$AK$8:$AK$42)</f>
        <v>0</v>
      </c>
      <c r="AU18">
        <f>SUMPRODUCT(('Jul 17'!$F$8:$F$42=$AD18)*'Jul 17'!$AJ$8:$AJ$42+('Jul 17'!$G$8:$G$42=$AD18)*'Jul 17'!$AK$8:$AK$42)</f>
        <v>0</v>
      </c>
      <c r="AV18">
        <f>SUMPRODUCT(('Jul 18'!$F$8:$F$42=$AD18)*'Jul 18'!$AJ$8:$AJ$42+('Jul 18'!$G$8:$G$42=$AD18)*'Jul 18'!$AK$8:$AK$42)</f>
        <v>0</v>
      </c>
      <c r="AW18">
        <f>SUMPRODUCT(('Jul 19'!$F$8:$F$42=$AD18)*'Jul 19'!$AJ$8:$AJ$42+('Jul 19'!$G$8:$G$42=$AD18)*'Jul 19'!$AK$8:$AK$42)</f>
        <v>0</v>
      </c>
      <c r="AX18">
        <f>SUMPRODUCT(('Jul 20'!$F$8:$F$42=$AD18)*'Jul 20'!$AJ$8:$AJ$42+('Jul 20'!$G$8:$G$42=$AD18)*'Jul 20'!$AK$8:$AK$42)</f>
        <v>0</v>
      </c>
      <c r="AY18">
        <f>SUMPRODUCT(('Jul 21'!$F$8:$F$42=$AD18)*'Jul 21'!$AJ$8:$AJ$42+('Jul 21'!$G$8:$G$42=$AD18)*'Jul 21'!$AK$8:$AK$42)</f>
        <v>0</v>
      </c>
      <c r="AZ18">
        <f>SUMPRODUCT(('Jul 22'!$F$8:$F$42=$AD18)*'Jul 22'!$AJ$8:$AJ$42+('Jul 22'!$G$8:$G$42=$AD18)*'Jul 22'!$AK$8:$AK$42)</f>
        <v>0</v>
      </c>
      <c r="BA18">
        <f>SUMPRODUCT(('Jul 23'!$F$8:$F$42=$AD18)*'Jul 23'!$AJ$8:$AJ$42+('Jul 23'!$G$8:$G$42=$AD18)*'Jul 23'!$AK$8:$AK$42)</f>
        <v>0</v>
      </c>
      <c r="BB18">
        <f>SUMPRODUCT(('Jul 24'!$F$8:$F$42=$AD18)*'Jul 24'!$AJ$8:$AJ$42+('Jul 24'!$G$8:$G$42=$AD18)*'Jul 24'!$AK$8:$AK$42)</f>
        <v>0</v>
      </c>
      <c r="BC18">
        <f>SUMPRODUCT(('Jul 25'!$F$8:$F$42=$AD18)*'Jul 25'!$AJ$8:$AJ$42+('Jul 25'!$G$8:$G$42=$AD18)*'Jul 25'!$AK$8:$AK$42)</f>
        <v>0</v>
      </c>
      <c r="BD18">
        <f>SUMPRODUCT(('Jul 26'!$F$8:$F$42=$AD18)*'Jul 26'!$AJ$8:$AJ$42+('Jul 26'!$G$8:$G$42=$AD18)*'Jul 26'!$AK$8:$AK$42)</f>
        <v>0</v>
      </c>
      <c r="BE18">
        <f>SUMPRODUCT(('Jul 27'!$F$8:$F$42=$AD18)*'Jul 27'!$AJ$8:$AJ$42+('Jul 27'!$G$8:$G$42=$AD18)*'Jul 27'!$AK$8:$AK$42)</f>
        <v>0</v>
      </c>
      <c r="BF18">
        <f>SUMPRODUCT(('Jul 28'!$F$8:$F$42=$AD18)*'Jul 28'!$AJ$8:$AJ$42+('Jul 28'!$G$8:$G$42=$AD18)*'Jul 28'!$AK$8:$AK$42)</f>
        <v>0</v>
      </c>
      <c r="BG18">
        <f>SUMPRODUCT(('Jul 29'!$F$8:$F$42=$AD18)*'Jul 29'!$AJ$8:$AJ$42+('Jul 29'!$G$8:$G$42=$AD18)*'Jul 29'!$AK$8:$AK$42)</f>
        <v>0</v>
      </c>
      <c r="BH18">
        <f>SUMPRODUCT(('Jul 30'!$F$8:$F$42=$AD18)*'Jul 30'!$AJ$8:$AJ$42+('Jul 30'!$G$8:$G$42=$AD18)*'Jul 30'!$AK$8:$AK$42)</f>
        <v>0</v>
      </c>
      <c r="BI18">
        <f>SUMPRODUCT(('Jul 31'!$F$8:$F$42=$AD18)*'Jul 31'!$AJ$8:$AJ$42+('Jul 31'!$G$8:$G$42=$AD18)*'Jul 31'!$AK$8:$AK$42)</f>
        <v>0</v>
      </c>
      <c r="BK18">
        <f t="shared" si="0"/>
        <v>0</v>
      </c>
      <c r="BM18">
        <f t="shared" si="1"/>
        <v>0</v>
      </c>
      <c r="BN18">
        <f>RANK(BM18,$BM$4:$BM$19,0)+COUNTIF(BM$4:BM18,BM18)-1</f>
        <v>15</v>
      </c>
      <c r="BR18">
        <v>46220</v>
      </c>
    </row>
    <row r="19" spans="1:70" ht="15.95" customHeight="1" x14ac:dyDescent="0.25">
      <c r="B19" s="155" t="str">
        <f>HYPERLINK("#'Jul 12'!A1","12")</f>
        <v>12</v>
      </c>
      <c r="C19" s="138"/>
      <c r="D19" s="149" t="str">
        <f>HYPERLINK("#'Jul 13'!A1","13")</f>
        <v>13</v>
      </c>
      <c r="E19" s="138"/>
      <c r="F19" s="149" t="str">
        <f>HYPERLINK("#'Jul 14'!A1","14")</f>
        <v>14</v>
      </c>
      <c r="G19" s="138"/>
      <c r="H19" s="149" t="str">
        <f>HYPERLINK("#'Jul 15'!A1","15")</f>
        <v>15</v>
      </c>
      <c r="I19" s="138"/>
      <c r="J19" s="149" t="str">
        <f>HYPERLINK("#'Jul 16'!A1","16")</f>
        <v>16</v>
      </c>
      <c r="K19" s="138"/>
      <c r="L19" s="149" t="str">
        <f>HYPERLINK("#'Jul 17'!A1","17")</f>
        <v>17</v>
      </c>
      <c r="M19" s="138"/>
      <c r="N19" s="149" t="str">
        <f>HYPERLINK("#'Jul 18'!A1","18")</f>
        <v>18</v>
      </c>
      <c r="O19" s="138"/>
      <c r="U19">
        <f>'Jul 16'!$G$47</f>
        <v>0</v>
      </c>
      <c r="V19">
        <f>'Jul 16'!$G$48</f>
        <v>0</v>
      </c>
      <c r="W19">
        <f>'Jul 16'!$C$54</f>
        <v>0</v>
      </c>
      <c r="X19">
        <f>'Jul 16'!$C$55</f>
        <v>0</v>
      </c>
      <c r="Y19">
        <f>'Jul 16'!$C$57</f>
        <v>0</v>
      </c>
      <c r="Z19">
        <f>COUNTIF('Jul 16'!$AM$8:$AM$42,"Y")</f>
        <v>0</v>
      </c>
      <c r="AA19">
        <f>COUNTIF('Jul 16'!$AN$8:$AN$42,"Y")</f>
        <v>0</v>
      </c>
      <c r="AB19">
        <f>COUNTIF('Jul 16'!$AO$8:$AO$42,"Y")</f>
        <v>0</v>
      </c>
      <c r="AD19" t="s">
        <v>105</v>
      </c>
      <c r="AE19">
        <f>SUMPRODUCT(('Jul 1'!$F$8:$F$42=$AD19)*'Jul 1'!$AJ$8:$AJ$42+('Jul 1'!$G$8:$G$42=$AD19)*'Jul 1'!$AK$8:$AK$42)</f>
        <v>0</v>
      </c>
      <c r="AF19">
        <f>SUMPRODUCT(('Jul 2'!$F$8:$F$42=$AD19)*'Jul 2'!$AJ$8:$AJ$42+('Jul 2'!$G$8:$G$42=$AD19)*'Jul 2'!$AK$8:$AK$42)</f>
        <v>0</v>
      </c>
      <c r="AG19">
        <f>SUMPRODUCT(('Jul 3'!$F$8:$F$42=$AD19)*'Jul 3'!$AJ$8:$AJ$42+('Jul 3'!$G$8:$G$42=$AD19)*'Jul 3'!$AK$8:$AK$42)</f>
        <v>0</v>
      </c>
      <c r="AH19">
        <f>SUMPRODUCT(('Jul 4'!$F$8:$F$42=$AD19)*'Jul 4'!$AJ$8:$AJ$42+('Jul 4'!$G$8:$G$42=$AD19)*'Jul 4'!$AK$8:$AK$42)</f>
        <v>0</v>
      </c>
      <c r="AI19">
        <f>SUMPRODUCT(('Jul 5'!$F$8:$F$42=$AD19)*'Jul 5'!$AJ$8:$AJ$42+('Jul 5'!$G$8:$G$42=$AD19)*'Jul 5'!$AK$8:$AK$42)</f>
        <v>0</v>
      </c>
      <c r="AJ19">
        <f>SUMPRODUCT(('Jul 6'!$F$8:$F$42=$AD19)*'Jul 6'!$AJ$8:$AJ$42+('Jul 6'!$G$8:$G$42=$AD19)*'Jul 6'!$AK$8:$AK$42)</f>
        <v>0</v>
      </c>
      <c r="AK19">
        <f>SUMPRODUCT(('Jul 7'!$F$8:$F$42=$AD19)*'Jul 7'!$AJ$8:$AJ$42+('Jul 7'!$G$8:$G$42=$AD19)*'Jul 7'!$AK$8:$AK$42)</f>
        <v>0</v>
      </c>
      <c r="AL19">
        <f>SUMPRODUCT(('Jul 8'!$F$8:$F$42=$AD19)*'Jul 8'!$AJ$8:$AJ$42+('Jul 8'!$G$8:$G$42=$AD19)*'Jul 8'!$AK$8:$AK$42)</f>
        <v>0</v>
      </c>
      <c r="AM19">
        <f>SUMPRODUCT(('Jul 9'!$F$8:$F$42=$AD19)*'Jul 9'!$AJ$8:$AJ$42+('Jul 9'!$G$8:$G$42=$AD19)*'Jul 9'!$AK$8:$AK$42)</f>
        <v>0</v>
      </c>
      <c r="AN19">
        <f>SUMPRODUCT(('Jul 10'!$F$8:$F$42=$AD19)*'Jul 10'!$AJ$8:$AJ$42+('Jul 10'!$G$8:$G$42=$AD19)*'Jul 10'!$AK$8:$AK$42)</f>
        <v>0</v>
      </c>
      <c r="AO19">
        <f>SUMPRODUCT(('Jul 11'!$F$8:$F$42=$AD19)*'Jul 11'!$AJ$8:$AJ$42+('Jul 11'!$G$8:$G$42=$AD19)*'Jul 11'!$AK$8:$AK$42)</f>
        <v>0</v>
      </c>
      <c r="AP19">
        <f>SUMPRODUCT(('Jul 12'!$F$8:$F$42=$AD19)*'Jul 12'!$AJ$8:$AJ$42+('Jul 12'!$G$8:$G$42=$AD19)*'Jul 12'!$AK$8:$AK$42)</f>
        <v>0</v>
      </c>
      <c r="AQ19">
        <f>SUMPRODUCT(('Jul 13'!$F$8:$F$42=$AD19)*'Jul 13'!$AJ$8:$AJ$42+('Jul 13'!$G$8:$G$42=$AD19)*'Jul 13'!$AK$8:$AK$42)</f>
        <v>0</v>
      </c>
      <c r="AR19">
        <f>SUMPRODUCT(('Jul 14'!$F$8:$F$42=$AD19)*'Jul 14'!$AJ$8:$AJ$42+('Jul 14'!$G$8:$G$42=$AD19)*'Jul 14'!$AK$8:$AK$42)</f>
        <v>0</v>
      </c>
      <c r="AS19">
        <f>SUMPRODUCT(('Jul 15'!$F$8:$F$42=$AD19)*'Jul 15'!$AJ$8:$AJ$42+('Jul 15'!$G$8:$G$42=$AD19)*'Jul 15'!$AK$8:$AK$42)</f>
        <v>0</v>
      </c>
      <c r="AT19">
        <f>SUMPRODUCT(('Jul 16'!$F$8:$F$42=$AD19)*'Jul 16'!$AJ$8:$AJ$42+('Jul 16'!$G$8:$G$42=$AD19)*'Jul 16'!$AK$8:$AK$42)</f>
        <v>0</v>
      </c>
      <c r="AU19">
        <f>SUMPRODUCT(('Jul 17'!$F$8:$F$42=$AD19)*'Jul 17'!$AJ$8:$AJ$42+('Jul 17'!$G$8:$G$42=$AD19)*'Jul 17'!$AK$8:$AK$42)</f>
        <v>0</v>
      </c>
      <c r="AV19">
        <f>SUMPRODUCT(('Jul 18'!$F$8:$F$42=$AD19)*'Jul 18'!$AJ$8:$AJ$42+('Jul 18'!$G$8:$G$42=$AD19)*'Jul 18'!$AK$8:$AK$42)</f>
        <v>0</v>
      </c>
      <c r="AW19">
        <f>SUMPRODUCT(('Jul 19'!$F$8:$F$42=$AD19)*'Jul 19'!$AJ$8:$AJ$42+('Jul 19'!$G$8:$G$42=$AD19)*'Jul 19'!$AK$8:$AK$42)</f>
        <v>0</v>
      </c>
      <c r="AX19">
        <f>SUMPRODUCT(('Jul 20'!$F$8:$F$42=$AD19)*'Jul 20'!$AJ$8:$AJ$42+('Jul 20'!$G$8:$G$42=$AD19)*'Jul 20'!$AK$8:$AK$42)</f>
        <v>0</v>
      </c>
      <c r="AY19">
        <f>SUMPRODUCT(('Jul 21'!$F$8:$F$42=$AD19)*'Jul 21'!$AJ$8:$AJ$42+('Jul 21'!$G$8:$G$42=$AD19)*'Jul 21'!$AK$8:$AK$42)</f>
        <v>0</v>
      </c>
      <c r="AZ19">
        <f>SUMPRODUCT(('Jul 22'!$F$8:$F$42=$AD19)*'Jul 22'!$AJ$8:$AJ$42+('Jul 22'!$G$8:$G$42=$AD19)*'Jul 22'!$AK$8:$AK$42)</f>
        <v>0</v>
      </c>
      <c r="BA19">
        <f>SUMPRODUCT(('Jul 23'!$F$8:$F$42=$AD19)*'Jul 23'!$AJ$8:$AJ$42+('Jul 23'!$G$8:$G$42=$AD19)*'Jul 23'!$AK$8:$AK$42)</f>
        <v>0</v>
      </c>
      <c r="BB19">
        <f>SUMPRODUCT(('Jul 24'!$F$8:$F$42=$AD19)*'Jul 24'!$AJ$8:$AJ$42+('Jul 24'!$G$8:$G$42=$AD19)*'Jul 24'!$AK$8:$AK$42)</f>
        <v>0</v>
      </c>
      <c r="BC19">
        <f>SUMPRODUCT(('Jul 25'!$F$8:$F$42=$AD19)*'Jul 25'!$AJ$8:$AJ$42+('Jul 25'!$G$8:$G$42=$AD19)*'Jul 25'!$AK$8:$AK$42)</f>
        <v>0</v>
      </c>
      <c r="BD19">
        <f>SUMPRODUCT(('Jul 26'!$F$8:$F$42=$AD19)*'Jul 26'!$AJ$8:$AJ$42+('Jul 26'!$G$8:$G$42=$AD19)*'Jul 26'!$AK$8:$AK$42)</f>
        <v>0</v>
      </c>
      <c r="BE19">
        <f>SUMPRODUCT(('Jul 27'!$F$8:$F$42=$AD19)*'Jul 27'!$AJ$8:$AJ$42+('Jul 27'!$G$8:$G$42=$AD19)*'Jul 27'!$AK$8:$AK$42)</f>
        <v>0</v>
      </c>
      <c r="BF19">
        <f>SUMPRODUCT(('Jul 28'!$F$8:$F$42=$AD19)*'Jul 28'!$AJ$8:$AJ$42+('Jul 28'!$G$8:$G$42=$AD19)*'Jul 28'!$AK$8:$AK$42)</f>
        <v>0</v>
      </c>
      <c r="BG19">
        <f>SUMPRODUCT(('Jul 29'!$F$8:$F$42=$AD19)*'Jul 29'!$AJ$8:$AJ$42+('Jul 29'!$G$8:$G$42=$AD19)*'Jul 29'!$AK$8:$AK$42)</f>
        <v>0</v>
      </c>
      <c r="BH19">
        <f>SUMPRODUCT(('Jul 30'!$F$8:$F$42=$AD19)*'Jul 30'!$AJ$8:$AJ$42+('Jul 30'!$G$8:$G$42=$AD19)*'Jul 30'!$AK$8:$AK$42)</f>
        <v>0</v>
      </c>
      <c r="BI19">
        <f>SUMPRODUCT(('Jul 31'!$F$8:$F$42=$AD19)*'Jul 31'!$AJ$8:$AJ$42+('Jul 31'!$G$8:$G$42=$AD19)*'Jul 31'!$AK$8:$AK$42)</f>
        <v>0</v>
      </c>
      <c r="BK19">
        <f t="shared" si="0"/>
        <v>0</v>
      </c>
      <c r="BM19">
        <f t="shared" si="1"/>
        <v>0</v>
      </c>
      <c r="BN19">
        <f>RANK(BM19,$BM$4:$BM$19,0)+COUNTIF(BM$4:BM19,BM19)-1</f>
        <v>16</v>
      </c>
      <c r="BR19">
        <v>46221</v>
      </c>
    </row>
    <row r="20" spans="1:70" ht="15" customHeight="1" x14ac:dyDescent="0.25">
      <c r="B20" s="156" t="s">
        <v>168</v>
      </c>
      <c r="C20" s="138"/>
      <c r="D20" s="137" t="str">
        <f>IF('Jul 13'!$G$46=0,"—",'Jul 13'!$G$46&amp;"u · $"&amp;TEXT('Jul 13'!$G$49/1000,"0.0")&amp;"k")</f>
        <v>—</v>
      </c>
      <c r="E20" s="138"/>
      <c r="F20" s="137" t="str">
        <f>IF('Jul 14'!$G$46=0,"—",'Jul 14'!$G$46&amp;"u · $"&amp;TEXT('Jul 14'!$G$49/1000,"0.0")&amp;"k")</f>
        <v>—</v>
      </c>
      <c r="G20" s="138"/>
      <c r="H20" s="137" t="str">
        <f>IF('Jul 15'!$G$46=0,"—",'Jul 15'!$G$46&amp;"u · $"&amp;TEXT('Jul 15'!$G$49/1000,"0.0")&amp;"k")</f>
        <v>—</v>
      </c>
      <c r="I20" s="138"/>
      <c r="J20" s="137" t="str">
        <f>IF('Jul 16'!$G$46=0,"—",'Jul 16'!$G$46&amp;"u · $"&amp;TEXT('Jul 16'!$G$49/1000,"0.0")&amp;"k")</f>
        <v>—</v>
      </c>
      <c r="K20" s="138"/>
      <c r="L20" s="137" t="str">
        <f>IF('Jul 17'!$G$46=0,"—",'Jul 17'!$G$46&amp;"u · $"&amp;TEXT('Jul 17'!$G$49/1000,"0.0")&amp;"k")</f>
        <v>—</v>
      </c>
      <c r="M20" s="138"/>
      <c r="N20" s="137" t="str">
        <f>IF('Jul 18'!$G$46=0,"—",'Jul 18'!$G$46&amp;"u · $"&amp;TEXT('Jul 18'!$G$49/1000,"0.0")&amp;"k")</f>
        <v>—</v>
      </c>
      <c r="O20" s="138"/>
      <c r="U20">
        <f>'Jul 17'!$G$47</f>
        <v>0</v>
      </c>
      <c r="V20">
        <f>'Jul 17'!$G$48</f>
        <v>0</v>
      </c>
      <c r="W20">
        <f>'Jul 17'!$C$54</f>
        <v>0</v>
      </c>
      <c r="X20">
        <f>'Jul 17'!$C$55</f>
        <v>0</v>
      </c>
      <c r="Y20">
        <f>'Jul 17'!$C$57</f>
        <v>0</v>
      </c>
      <c r="Z20">
        <f>COUNTIF('Jul 17'!$AM$8:$AM$42,"Y")</f>
        <v>0</v>
      </c>
      <c r="AA20">
        <f>COUNTIF('Jul 17'!$AN$8:$AN$42,"Y")</f>
        <v>0</v>
      </c>
      <c r="AB20">
        <f>COUNTIF('Jul 17'!$AO$8:$AO$42,"Y")</f>
        <v>0</v>
      </c>
      <c r="BR20">
        <v>46223</v>
      </c>
    </row>
    <row r="21" spans="1:70" ht="15.95" customHeight="1" x14ac:dyDescent="0.25">
      <c r="B21" s="155" t="str">
        <f>HYPERLINK("#'Jul 19'!A1","19")</f>
        <v>19</v>
      </c>
      <c r="C21" s="138"/>
      <c r="D21" s="149" t="str">
        <f>HYPERLINK("#'Jul 20'!A1","20")</f>
        <v>20</v>
      </c>
      <c r="E21" s="138"/>
      <c r="F21" s="149" t="str">
        <f>HYPERLINK("#'Jul 21'!A1","21")</f>
        <v>21</v>
      </c>
      <c r="G21" s="138"/>
      <c r="H21" s="149" t="str">
        <f>HYPERLINK("#'Jul 22'!A1","22")</f>
        <v>22</v>
      </c>
      <c r="I21" s="138"/>
      <c r="J21" s="149" t="str">
        <f>HYPERLINK("#'Jul 23'!A1","23")</f>
        <v>23</v>
      </c>
      <c r="K21" s="138"/>
      <c r="L21" s="149" t="str">
        <f>HYPERLINK("#'Jul 24'!A1","24")</f>
        <v>24</v>
      </c>
      <c r="M21" s="138"/>
      <c r="N21" s="149" t="str">
        <f>HYPERLINK("#'Jul 25'!A1","25")</f>
        <v>25</v>
      </c>
      <c r="O21" s="138"/>
      <c r="U21">
        <f>'Jul 18'!$G$47</f>
        <v>0</v>
      </c>
      <c r="V21">
        <f>'Jul 18'!$G$48</f>
        <v>0</v>
      </c>
      <c r="W21">
        <f>'Jul 18'!$C$54</f>
        <v>0</v>
      </c>
      <c r="X21">
        <f>'Jul 18'!$C$55</f>
        <v>0</v>
      </c>
      <c r="Y21">
        <f>'Jul 18'!$C$57</f>
        <v>0</v>
      </c>
      <c r="Z21">
        <f>COUNTIF('Jul 18'!$AM$8:$AM$42,"Y")</f>
        <v>0</v>
      </c>
      <c r="AA21">
        <f>COUNTIF('Jul 18'!$AN$8:$AN$42,"Y")</f>
        <v>0</v>
      </c>
      <c r="AB21">
        <f>COUNTIF('Jul 18'!$AO$8:$AO$42,"Y")</f>
        <v>0</v>
      </c>
      <c r="BR21">
        <v>46224</v>
      </c>
    </row>
    <row r="22" spans="1:70" ht="15" customHeight="1" x14ac:dyDescent="0.25">
      <c r="B22" s="156" t="s">
        <v>168</v>
      </c>
      <c r="C22" s="138"/>
      <c r="D22" s="137" t="str">
        <f>IF('Jul 20'!$G$46=0,"—",'Jul 20'!$G$46&amp;"u · $"&amp;TEXT('Jul 20'!$G$49/1000,"0.0")&amp;"k")</f>
        <v>—</v>
      </c>
      <c r="E22" s="138"/>
      <c r="F22" s="137" t="str">
        <f>IF('Jul 21'!$G$46=0,"—",'Jul 21'!$G$46&amp;"u · $"&amp;TEXT('Jul 21'!$G$49/1000,"0.0")&amp;"k")</f>
        <v>—</v>
      </c>
      <c r="G22" s="138"/>
      <c r="H22" s="137" t="str">
        <f>IF('Jul 22'!$G$46=0,"—",'Jul 22'!$G$46&amp;"u · $"&amp;TEXT('Jul 22'!$G$49/1000,"0.0")&amp;"k")</f>
        <v>—</v>
      </c>
      <c r="I22" s="138"/>
      <c r="J22" s="137" t="str">
        <f>IF('Jul 23'!$G$46=0,"—",'Jul 23'!$G$46&amp;"u · $"&amp;TEXT('Jul 23'!$G$49/1000,"0.0")&amp;"k")</f>
        <v>—</v>
      </c>
      <c r="K22" s="138"/>
      <c r="L22" s="137" t="str">
        <f>IF('Jul 24'!$G$46=0,"—",'Jul 24'!$G$46&amp;"u · $"&amp;TEXT('Jul 24'!$G$49/1000,"0.0")&amp;"k")</f>
        <v>—</v>
      </c>
      <c r="M22" s="138"/>
      <c r="N22" s="137" t="str">
        <f>IF('Jul 25'!$G$46=0,"—",'Jul 25'!$G$46&amp;"u · $"&amp;TEXT('Jul 25'!$G$49/1000,"0.0")&amp;"k")</f>
        <v>—</v>
      </c>
      <c r="O22" s="138"/>
      <c r="U22">
        <f>'Jul 19'!$G$47</f>
        <v>0</v>
      </c>
      <c r="V22">
        <f>'Jul 19'!$G$48</f>
        <v>0</v>
      </c>
      <c r="W22">
        <f>'Jul 19'!$C$54</f>
        <v>0</v>
      </c>
      <c r="X22">
        <f>'Jul 19'!$C$55</f>
        <v>0</v>
      </c>
      <c r="Y22">
        <f>'Jul 19'!$C$57</f>
        <v>0</v>
      </c>
      <c r="Z22">
        <f>COUNTIF('Jul 19'!$AM$8:$AM$42,"Y")</f>
        <v>0</v>
      </c>
      <c r="AA22">
        <f>COUNTIF('Jul 19'!$AN$8:$AN$42,"Y")</f>
        <v>0</v>
      </c>
      <c r="AB22">
        <f>COUNTIF('Jul 19'!$AO$8:$AO$42,"Y")</f>
        <v>0</v>
      </c>
      <c r="BR22">
        <v>46225</v>
      </c>
    </row>
    <row r="23" spans="1:70" ht="15.95" customHeight="1" x14ac:dyDescent="0.25">
      <c r="B23" s="155" t="str">
        <f>HYPERLINK("#'Jul 26'!A1","26")</f>
        <v>26</v>
      </c>
      <c r="C23" s="138"/>
      <c r="D23" s="149" t="str">
        <f>HYPERLINK("#'Jul 27'!A1","27")</f>
        <v>27</v>
      </c>
      <c r="E23" s="138"/>
      <c r="F23" s="149" t="str">
        <f>HYPERLINK("#'Jul 28'!A1","28")</f>
        <v>28</v>
      </c>
      <c r="G23" s="138"/>
      <c r="H23" s="149" t="str">
        <f>HYPERLINK("#'Jul 29'!A1","29")</f>
        <v>29</v>
      </c>
      <c r="I23" s="138"/>
      <c r="J23" s="149" t="str">
        <f>HYPERLINK("#'Jul 30'!A1","30")</f>
        <v>30</v>
      </c>
      <c r="K23" s="138"/>
      <c r="L23" s="149" t="str">
        <f>HYPERLINK("#'Jul 31'!A1","31")</f>
        <v>31</v>
      </c>
      <c r="M23" s="138"/>
      <c r="N23" s="35"/>
      <c r="O23" s="35"/>
      <c r="U23">
        <f>'Jul 20'!$G$47</f>
        <v>0</v>
      </c>
      <c r="V23">
        <f>'Jul 20'!$G$48</f>
        <v>0</v>
      </c>
      <c r="W23">
        <f>'Jul 20'!$C$54</f>
        <v>0</v>
      </c>
      <c r="X23">
        <f>'Jul 20'!$C$55</f>
        <v>0</v>
      </c>
      <c r="Y23">
        <f>'Jul 20'!$C$57</f>
        <v>0</v>
      </c>
      <c r="Z23">
        <f>COUNTIF('Jul 20'!$AM$8:$AM$42,"Y")</f>
        <v>0</v>
      </c>
      <c r="AA23">
        <f>COUNTIF('Jul 20'!$AN$8:$AN$42,"Y")</f>
        <v>0</v>
      </c>
      <c r="AB23">
        <f>COUNTIF('Jul 20'!$AO$8:$AO$42,"Y")</f>
        <v>0</v>
      </c>
      <c r="AE23">
        <f>SUMPRODUCT((('Jul 1'!$F$8:$F$42=$AD4)*'Jul 1'!$AJ$8:$AJ$42+('Jul 1'!$G$8:$G$42=$AD4)*'Jul 1'!$AK$8:$AK$42)*('Jul 1'!$Q$8:$Q$42+'Jul 1'!$R$8:$R$42))</f>
        <v>0</v>
      </c>
      <c r="AF23">
        <f>SUMPRODUCT((('Jul 2'!$F$8:$F$42=$AD4)*'Jul 2'!$AJ$8:$AJ$42+('Jul 2'!$G$8:$G$42=$AD4)*'Jul 2'!$AK$8:$AK$42)*('Jul 2'!$Q$8:$Q$42+'Jul 2'!$R$8:$R$42))</f>
        <v>0</v>
      </c>
      <c r="AG23">
        <f>SUMPRODUCT((('Jul 3'!$F$8:$F$42=$AD4)*'Jul 3'!$AJ$8:$AJ$42+('Jul 3'!$G$8:$G$42=$AD4)*'Jul 3'!$AK$8:$AK$42)*('Jul 3'!$Q$8:$Q$42+'Jul 3'!$R$8:$R$42))</f>
        <v>0</v>
      </c>
      <c r="AH23">
        <f>SUMPRODUCT((('Jul 4'!$F$8:$F$42=$AD4)*'Jul 4'!$AJ$8:$AJ$42+('Jul 4'!$G$8:$G$42=$AD4)*'Jul 4'!$AK$8:$AK$42)*('Jul 4'!$Q$8:$Q$42+'Jul 4'!$R$8:$R$42))</f>
        <v>0</v>
      </c>
      <c r="AI23">
        <f>SUMPRODUCT((('Jul 5'!$F$8:$F$42=$AD4)*'Jul 5'!$AJ$8:$AJ$42+('Jul 5'!$G$8:$G$42=$AD4)*'Jul 5'!$AK$8:$AK$42)*('Jul 5'!$Q$8:$Q$42+'Jul 5'!$R$8:$R$42))</f>
        <v>0</v>
      </c>
      <c r="AJ23">
        <f>SUMPRODUCT((('Jul 6'!$F$8:$F$42=$AD4)*'Jul 6'!$AJ$8:$AJ$42+('Jul 6'!$G$8:$G$42=$AD4)*'Jul 6'!$AK$8:$AK$42)*('Jul 6'!$Q$8:$Q$42+'Jul 6'!$R$8:$R$42))</f>
        <v>0</v>
      </c>
      <c r="AK23">
        <f>SUMPRODUCT((('Jul 7'!$F$8:$F$42=$AD4)*'Jul 7'!$AJ$8:$AJ$42+('Jul 7'!$G$8:$G$42=$AD4)*'Jul 7'!$AK$8:$AK$42)*('Jul 7'!$Q$8:$Q$42+'Jul 7'!$R$8:$R$42))</f>
        <v>0</v>
      </c>
      <c r="AL23">
        <f>SUMPRODUCT((('Jul 8'!$F$8:$F$42=$AD4)*'Jul 8'!$AJ$8:$AJ$42+('Jul 8'!$G$8:$G$42=$AD4)*'Jul 8'!$AK$8:$AK$42)*('Jul 8'!$Q$8:$Q$42+'Jul 8'!$R$8:$R$42))</f>
        <v>0</v>
      </c>
      <c r="AM23">
        <f>SUMPRODUCT((('Jul 9'!$F$8:$F$42=$AD4)*'Jul 9'!$AJ$8:$AJ$42+('Jul 9'!$G$8:$G$42=$AD4)*'Jul 9'!$AK$8:$AK$42)*('Jul 9'!$Q$8:$Q$42+'Jul 9'!$R$8:$R$42))</f>
        <v>0</v>
      </c>
      <c r="AN23">
        <f>SUMPRODUCT((('Jul 10'!$F$8:$F$42=$AD4)*'Jul 10'!$AJ$8:$AJ$42+('Jul 10'!$G$8:$G$42=$AD4)*'Jul 10'!$AK$8:$AK$42)*('Jul 10'!$Q$8:$Q$42+'Jul 10'!$R$8:$R$42))</f>
        <v>0</v>
      </c>
      <c r="AO23">
        <f>SUMPRODUCT((('Jul 11'!$F$8:$F$42=$AD4)*'Jul 11'!$AJ$8:$AJ$42+('Jul 11'!$G$8:$G$42=$AD4)*'Jul 11'!$AK$8:$AK$42)*('Jul 11'!$Q$8:$Q$42+'Jul 11'!$R$8:$R$42))</f>
        <v>0</v>
      </c>
      <c r="AP23">
        <f>SUMPRODUCT((('Jul 12'!$F$8:$F$42=$AD4)*'Jul 12'!$AJ$8:$AJ$42+('Jul 12'!$G$8:$G$42=$AD4)*'Jul 12'!$AK$8:$AK$42)*('Jul 12'!$Q$8:$Q$42+'Jul 12'!$R$8:$R$42))</f>
        <v>0</v>
      </c>
      <c r="AQ23">
        <f>SUMPRODUCT((('Jul 13'!$F$8:$F$42=$AD4)*'Jul 13'!$AJ$8:$AJ$42+('Jul 13'!$G$8:$G$42=$AD4)*'Jul 13'!$AK$8:$AK$42)*('Jul 13'!$Q$8:$Q$42+'Jul 13'!$R$8:$R$42))</f>
        <v>0</v>
      </c>
      <c r="AR23">
        <f>SUMPRODUCT((('Jul 14'!$F$8:$F$42=$AD4)*'Jul 14'!$AJ$8:$AJ$42+('Jul 14'!$G$8:$G$42=$AD4)*'Jul 14'!$AK$8:$AK$42)*('Jul 14'!$Q$8:$Q$42+'Jul 14'!$R$8:$R$42))</f>
        <v>0</v>
      </c>
      <c r="AS23">
        <f>SUMPRODUCT((('Jul 15'!$F$8:$F$42=$AD4)*'Jul 15'!$AJ$8:$AJ$42+('Jul 15'!$G$8:$G$42=$AD4)*'Jul 15'!$AK$8:$AK$42)*('Jul 15'!$Q$8:$Q$42+'Jul 15'!$R$8:$R$42))</f>
        <v>0</v>
      </c>
      <c r="AT23">
        <f>SUMPRODUCT((('Jul 16'!$F$8:$F$42=$AD4)*'Jul 16'!$AJ$8:$AJ$42+('Jul 16'!$G$8:$G$42=$AD4)*'Jul 16'!$AK$8:$AK$42)*('Jul 16'!$Q$8:$Q$42+'Jul 16'!$R$8:$R$42))</f>
        <v>0</v>
      </c>
      <c r="AU23">
        <f>SUMPRODUCT((('Jul 17'!$F$8:$F$42=$AD4)*'Jul 17'!$AJ$8:$AJ$42+('Jul 17'!$G$8:$G$42=$AD4)*'Jul 17'!$AK$8:$AK$42)*('Jul 17'!$Q$8:$Q$42+'Jul 17'!$R$8:$R$42))</f>
        <v>0</v>
      </c>
      <c r="AV23">
        <f>SUMPRODUCT((('Jul 18'!$F$8:$F$42=$AD4)*'Jul 18'!$AJ$8:$AJ$42+('Jul 18'!$G$8:$G$42=$AD4)*'Jul 18'!$AK$8:$AK$42)*('Jul 18'!$Q$8:$Q$42+'Jul 18'!$R$8:$R$42))</f>
        <v>0</v>
      </c>
      <c r="AW23">
        <f>SUMPRODUCT((('Jul 19'!$F$8:$F$42=$AD4)*'Jul 19'!$AJ$8:$AJ$42+('Jul 19'!$G$8:$G$42=$AD4)*'Jul 19'!$AK$8:$AK$42)*('Jul 19'!$Q$8:$Q$42+'Jul 19'!$R$8:$R$42))</f>
        <v>0</v>
      </c>
      <c r="AX23">
        <f>SUMPRODUCT((('Jul 20'!$F$8:$F$42=$AD4)*'Jul 20'!$AJ$8:$AJ$42+('Jul 20'!$G$8:$G$42=$AD4)*'Jul 20'!$AK$8:$AK$42)*('Jul 20'!$Q$8:$Q$42+'Jul 20'!$R$8:$R$42))</f>
        <v>0</v>
      </c>
      <c r="AY23">
        <f>SUMPRODUCT((('Jul 21'!$F$8:$F$42=$AD4)*'Jul 21'!$AJ$8:$AJ$42+('Jul 21'!$G$8:$G$42=$AD4)*'Jul 21'!$AK$8:$AK$42)*('Jul 21'!$Q$8:$Q$42+'Jul 21'!$R$8:$R$42))</f>
        <v>0</v>
      </c>
      <c r="AZ23">
        <f>SUMPRODUCT((('Jul 22'!$F$8:$F$42=$AD4)*'Jul 22'!$AJ$8:$AJ$42+('Jul 22'!$G$8:$G$42=$AD4)*'Jul 22'!$AK$8:$AK$42)*('Jul 22'!$Q$8:$Q$42+'Jul 22'!$R$8:$R$42))</f>
        <v>0</v>
      </c>
      <c r="BA23">
        <f>SUMPRODUCT((('Jul 23'!$F$8:$F$42=$AD4)*'Jul 23'!$AJ$8:$AJ$42+('Jul 23'!$G$8:$G$42=$AD4)*'Jul 23'!$AK$8:$AK$42)*('Jul 23'!$Q$8:$Q$42+'Jul 23'!$R$8:$R$42))</f>
        <v>0</v>
      </c>
      <c r="BB23">
        <f>SUMPRODUCT((('Jul 24'!$F$8:$F$42=$AD4)*'Jul 24'!$AJ$8:$AJ$42+('Jul 24'!$G$8:$G$42=$AD4)*'Jul 24'!$AK$8:$AK$42)*('Jul 24'!$Q$8:$Q$42+'Jul 24'!$R$8:$R$42))</f>
        <v>0</v>
      </c>
      <c r="BC23">
        <f>SUMPRODUCT((('Jul 25'!$F$8:$F$42=$AD4)*'Jul 25'!$AJ$8:$AJ$42+('Jul 25'!$G$8:$G$42=$AD4)*'Jul 25'!$AK$8:$AK$42)*('Jul 25'!$Q$8:$Q$42+'Jul 25'!$R$8:$R$42))</f>
        <v>0</v>
      </c>
      <c r="BD23">
        <f>SUMPRODUCT((('Jul 26'!$F$8:$F$42=$AD4)*'Jul 26'!$AJ$8:$AJ$42+('Jul 26'!$G$8:$G$42=$AD4)*'Jul 26'!$AK$8:$AK$42)*('Jul 26'!$Q$8:$Q$42+'Jul 26'!$R$8:$R$42))</f>
        <v>0</v>
      </c>
      <c r="BE23">
        <f>SUMPRODUCT((('Jul 27'!$F$8:$F$42=$AD4)*'Jul 27'!$AJ$8:$AJ$42+('Jul 27'!$G$8:$G$42=$AD4)*'Jul 27'!$AK$8:$AK$42)*('Jul 27'!$Q$8:$Q$42+'Jul 27'!$R$8:$R$42))</f>
        <v>0</v>
      </c>
      <c r="BF23">
        <f>SUMPRODUCT((('Jul 28'!$F$8:$F$42=$AD4)*'Jul 28'!$AJ$8:$AJ$42+('Jul 28'!$G$8:$G$42=$AD4)*'Jul 28'!$AK$8:$AK$42)*('Jul 28'!$Q$8:$Q$42+'Jul 28'!$R$8:$R$42))</f>
        <v>0</v>
      </c>
      <c r="BG23">
        <f>SUMPRODUCT((('Jul 29'!$F$8:$F$42=$AD4)*'Jul 29'!$AJ$8:$AJ$42+('Jul 29'!$G$8:$G$42=$AD4)*'Jul 29'!$AK$8:$AK$42)*('Jul 29'!$Q$8:$Q$42+'Jul 29'!$R$8:$R$42))</f>
        <v>0</v>
      </c>
      <c r="BH23">
        <f>SUMPRODUCT((('Jul 30'!$F$8:$F$42=$AD4)*'Jul 30'!$AJ$8:$AJ$42+('Jul 30'!$G$8:$G$42=$AD4)*'Jul 30'!$AK$8:$AK$42)*('Jul 30'!$Q$8:$Q$42+'Jul 30'!$R$8:$R$42))</f>
        <v>0</v>
      </c>
      <c r="BI23">
        <f>SUMPRODUCT((('Jul 31'!$F$8:$F$42=$AD4)*'Jul 31'!$AJ$8:$AJ$42+('Jul 31'!$G$8:$G$42=$AD4)*'Jul 31'!$AK$8:$AK$42)*('Jul 31'!$Q$8:$Q$42+'Jul 31'!$R$8:$R$42))</f>
        <v>0</v>
      </c>
      <c r="BK23">
        <f t="shared" ref="BK23:BK38" si="2">SUM(AE23:BI23)</f>
        <v>0</v>
      </c>
      <c r="BR23">
        <v>46226</v>
      </c>
    </row>
    <row r="24" spans="1:70" ht="15" customHeight="1" x14ac:dyDescent="0.25">
      <c r="B24" s="156" t="s">
        <v>168</v>
      </c>
      <c r="C24" s="138"/>
      <c r="D24" s="137" t="str">
        <f>IF('Jul 27'!$G$46=0,"—",'Jul 27'!$G$46&amp;"u · $"&amp;TEXT('Jul 27'!$G$49/1000,"0.0")&amp;"k")</f>
        <v>—</v>
      </c>
      <c r="E24" s="138"/>
      <c r="F24" s="137" t="str">
        <f>IF('Jul 28'!$G$46=0,"—",'Jul 28'!$G$46&amp;"u · $"&amp;TEXT('Jul 28'!$G$49/1000,"0.0")&amp;"k")</f>
        <v>—</v>
      </c>
      <c r="G24" s="138"/>
      <c r="H24" s="137" t="str">
        <f>IF('Jul 29'!$G$46=0,"—",'Jul 29'!$G$46&amp;"u · $"&amp;TEXT('Jul 29'!$G$49/1000,"0.0")&amp;"k")</f>
        <v>—</v>
      </c>
      <c r="I24" s="138"/>
      <c r="J24" s="137" t="str">
        <f>IF('Jul 30'!$G$46=0,"—",'Jul 30'!$G$46&amp;"u · $"&amp;TEXT('Jul 30'!$G$49/1000,"0.0")&amp;"k")</f>
        <v>—</v>
      </c>
      <c r="K24" s="138"/>
      <c r="L24" s="137" t="str">
        <f>IF('Jul 31'!$G$46=0,"—",'Jul 31'!$G$46&amp;"u · $"&amp;TEXT('Jul 31'!$G$49/1000,"0.0")&amp;"k")</f>
        <v>—</v>
      </c>
      <c r="M24" s="138"/>
      <c r="N24" s="35"/>
      <c r="O24" s="35"/>
      <c r="U24">
        <f>'Jul 21'!$G$47</f>
        <v>0</v>
      </c>
      <c r="V24">
        <f>'Jul 21'!$G$48</f>
        <v>0</v>
      </c>
      <c r="W24">
        <f>'Jul 21'!$C$54</f>
        <v>0</v>
      </c>
      <c r="X24">
        <f>'Jul 21'!$C$55</f>
        <v>0</v>
      </c>
      <c r="Y24">
        <f>'Jul 21'!$C$57</f>
        <v>0</v>
      </c>
      <c r="Z24">
        <f>COUNTIF('Jul 21'!$AM$8:$AM$42,"Y")</f>
        <v>0</v>
      </c>
      <c r="AA24">
        <f>COUNTIF('Jul 21'!$AN$8:$AN$42,"Y")</f>
        <v>0</v>
      </c>
      <c r="AB24">
        <f>COUNTIF('Jul 21'!$AO$8:$AO$42,"Y")</f>
        <v>0</v>
      </c>
      <c r="AE24">
        <f>SUMPRODUCT((('Jul 1'!$F$8:$F$42=$AD5)*'Jul 1'!$AJ$8:$AJ$42+('Jul 1'!$G$8:$G$42=$AD5)*'Jul 1'!$AK$8:$AK$42)*('Jul 1'!$Q$8:$Q$42+'Jul 1'!$R$8:$R$42))</f>
        <v>0</v>
      </c>
      <c r="AF24">
        <f>SUMPRODUCT((('Jul 2'!$F$8:$F$42=$AD5)*'Jul 2'!$AJ$8:$AJ$42+('Jul 2'!$G$8:$G$42=$AD5)*'Jul 2'!$AK$8:$AK$42)*('Jul 2'!$Q$8:$Q$42+'Jul 2'!$R$8:$R$42))</f>
        <v>0</v>
      </c>
      <c r="AG24">
        <f>SUMPRODUCT((('Jul 3'!$F$8:$F$42=$AD5)*'Jul 3'!$AJ$8:$AJ$42+('Jul 3'!$G$8:$G$42=$AD5)*'Jul 3'!$AK$8:$AK$42)*('Jul 3'!$Q$8:$Q$42+'Jul 3'!$R$8:$R$42))</f>
        <v>0</v>
      </c>
      <c r="AH24">
        <f>SUMPRODUCT((('Jul 4'!$F$8:$F$42=$AD5)*'Jul 4'!$AJ$8:$AJ$42+('Jul 4'!$G$8:$G$42=$AD5)*'Jul 4'!$AK$8:$AK$42)*('Jul 4'!$Q$8:$Q$42+'Jul 4'!$R$8:$R$42))</f>
        <v>0</v>
      </c>
      <c r="AI24">
        <f>SUMPRODUCT((('Jul 5'!$F$8:$F$42=$AD5)*'Jul 5'!$AJ$8:$AJ$42+('Jul 5'!$G$8:$G$42=$AD5)*'Jul 5'!$AK$8:$AK$42)*('Jul 5'!$Q$8:$Q$42+'Jul 5'!$R$8:$R$42))</f>
        <v>0</v>
      </c>
      <c r="AJ24">
        <f>SUMPRODUCT((('Jul 6'!$F$8:$F$42=$AD5)*'Jul 6'!$AJ$8:$AJ$42+('Jul 6'!$G$8:$G$42=$AD5)*'Jul 6'!$AK$8:$AK$42)*('Jul 6'!$Q$8:$Q$42+'Jul 6'!$R$8:$R$42))</f>
        <v>0</v>
      </c>
      <c r="AK24">
        <f>SUMPRODUCT((('Jul 7'!$F$8:$F$42=$AD5)*'Jul 7'!$AJ$8:$AJ$42+('Jul 7'!$G$8:$G$42=$AD5)*'Jul 7'!$AK$8:$AK$42)*('Jul 7'!$Q$8:$Q$42+'Jul 7'!$R$8:$R$42))</f>
        <v>0</v>
      </c>
      <c r="AL24">
        <f>SUMPRODUCT((('Jul 8'!$F$8:$F$42=$AD5)*'Jul 8'!$AJ$8:$AJ$42+('Jul 8'!$G$8:$G$42=$AD5)*'Jul 8'!$AK$8:$AK$42)*('Jul 8'!$Q$8:$Q$42+'Jul 8'!$R$8:$R$42))</f>
        <v>0</v>
      </c>
      <c r="AM24">
        <f>SUMPRODUCT((('Jul 9'!$F$8:$F$42=$AD5)*'Jul 9'!$AJ$8:$AJ$42+('Jul 9'!$G$8:$G$42=$AD5)*'Jul 9'!$AK$8:$AK$42)*('Jul 9'!$Q$8:$Q$42+'Jul 9'!$R$8:$R$42))</f>
        <v>0</v>
      </c>
      <c r="AN24">
        <f>SUMPRODUCT((('Jul 10'!$F$8:$F$42=$AD5)*'Jul 10'!$AJ$8:$AJ$42+('Jul 10'!$G$8:$G$42=$AD5)*'Jul 10'!$AK$8:$AK$42)*('Jul 10'!$Q$8:$Q$42+'Jul 10'!$R$8:$R$42))</f>
        <v>0</v>
      </c>
      <c r="AO24">
        <f>SUMPRODUCT((('Jul 11'!$F$8:$F$42=$AD5)*'Jul 11'!$AJ$8:$AJ$42+('Jul 11'!$G$8:$G$42=$AD5)*'Jul 11'!$AK$8:$AK$42)*('Jul 11'!$Q$8:$Q$42+'Jul 11'!$R$8:$R$42))</f>
        <v>0</v>
      </c>
      <c r="AP24">
        <f>SUMPRODUCT((('Jul 12'!$F$8:$F$42=$AD5)*'Jul 12'!$AJ$8:$AJ$42+('Jul 12'!$G$8:$G$42=$AD5)*'Jul 12'!$AK$8:$AK$42)*('Jul 12'!$Q$8:$Q$42+'Jul 12'!$R$8:$R$42))</f>
        <v>0</v>
      </c>
      <c r="AQ24">
        <f>SUMPRODUCT((('Jul 13'!$F$8:$F$42=$AD5)*'Jul 13'!$AJ$8:$AJ$42+('Jul 13'!$G$8:$G$42=$AD5)*'Jul 13'!$AK$8:$AK$42)*('Jul 13'!$Q$8:$Q$42+'Jul 13'!$R$8:$R$42))</f>
        <v>0</v>
      </c>
      <c r="AR24">
        <f>SUMPRODUCT((('Jul 14'!$F$8:$F$42=$AD5)*'Jul 14'!$AJ$8:$AJ$42+('Jul 14'!$G$8:$G$42=$AD5)*'Jul 14'!$AK$8:$AK$42)*('Jul 14'!$Q$8:$Q$42+'Jul 14'!$R$8:$R$42))</f>
        <v>0</v>
      </c>
      <c r="AS24">
        <f>SUMPRODUCT((('Jul 15'!$F$8:$F$42=$AD5)*'Jul 15'!$AJ$8:$AJ$42+('Jul 15'!$G$8:$G$42=$AD5)*'Jul 15'!$AK$8:$AK$42)*('Jul 15'!$Q$8:$Q$42+'Jul 15'!$R$8:$R$42))</f>
        <v>0</v>
      </c>
      <c r="AT24">
        <f>SUMPRODUCT((('Jul 16'!$F$8:$F$42=$AD5)*'Jul 16'!$AJ$8:$AJ$42+('Jul 16'!$G$8:$G$42=$AD5)*'Jul 16'!$AK$8:$AK$42)*('Jul 16'!$Q$8:$Q$42+'Jul 16'!$R$8:$R$42))</f>
        <v>0</v>
      </c>
      <c r="AU24">
        <f>SUMPRODUCT((('Jul 17'!$F$8:$F$42=$AD5)*'Jul 17'!$AJ$8:$AJ$42+('Jul 17'!$G$8:$G$42=$AD5)*'Jul 17'!$AK$8:$AK$42)*('Jul 17'!$Q$8:$Q$42+'Jul 17'!$R$8:$R$42))</f>
        <v>0</v>
      </c>
      <c r="AV24">
        <f>SUMPRODUCT((('Jul 18'!$F$8:$F$42=$AD5)*'Jul 18'!$AJ$8:$AJ$42+('Jul 18'!$G$8:$G$42=$AD5)*'Jul 18'!$AK$8:$AK$42)*('Jul 18'!$Q$8:$Q$42+'Jul 18'!$R$8:$R$42))</f>
        <v>0</v>
      </c>
      <c r="AW24">
        <f>SUMPRODUCT((('Jul 19'!$F$8:$F$42=$AD5)*'Jul 19'!$AJ$8:$AJ$42+('Jul 19'!$G$8:$G$42=$AD5)*'Jul 19'!$AK$8:$AK$42)*('Jul 19'!$Q$8:$Q$42+'Jul 19'!$R$8:$R$42))</f>
        <v>0</v>
      </c>
      <c r="AX24">
        <f>SUMPRODUCT((('Jul 20'!$F$8:$F$42=$AD5)*'Jul 20'!$AJ$8:$AJ$42+('Jul 20'!$G$8:$G$42=$AD5)*'Jul 20'!$AK$8:$AK$42)*('Jul 20'!$Q$8:$Q$42+'Jul 20'!$R$8:$R$42))</f>
        <v>0</v>
      </c>
      <c r="AY24">
        <f>SUMPRODUCT((('Jul 21'!$F$8:$F$42=$AD5)*'Jul 21'!$AJ$8:$AJ$42+('Jul 21'!$G$8:$G$42=$AD5)*'Jul 21'!$AK$8:$AK$42)*('Jul 21'!$Q$8:$Q$42+'Jul 21'!$R$8:$R$42))</f>
        <v>0</v>
      </c>
      <c r="AZ24">
        <f>SUMPRODUCT((('Jul 22'!$F$8:$F$42=$AD5)*'Jul 22'!$AJ$8:$AJ$42+('Jul 22'!$G$8:$G$42=$AD5)*'Jul 22'!$AK$8:$AK$42)*('Jul 22'!$Q$8:$Q$42+'Jul 22'!$R$8:$R$42))</f>
        <v>0</v>
      </c>
      <c r="BA24">
        <f>SUMPRODUCT((('Jul 23'!$F$8:$F$42=$AD5)*'Jul 23'!$AJ$8:$AJ$42+('Jul 23'!$G$8:$G$42=$AD5)*'Jul 23'!$AK$8:$AK$42)*('Jul 23'!$Q$8:$Q$42+'Jul 23'!$R$8:$R$42))</f>
        <v>0</v>
      </c>
      <c r="BB24">
        <f>SUMPRODUCT((('Jul 24'!$F$8:$F$42=$AD5)*'Jul 24'!$AJ$8:$AJ$42+('Jul 24'!$G$8:$G$42=$AD5)*'Jul 24'!$AK$8:$AK$42)*('Jul 24'!$Q$8:$Q$42+'Jul 24'!$R$8:$R$42))</f>
        <v>0</v>
      </c>
      <c r="BC24">
        <f>SUMPRODUCT((('Jul 25'!$F$8:$F$42=$AD5)*'Jul 25'!$AJ$8:$AJ$42+('Jul 25'!$G$8:$G$42=$AD5)*'Jul 25'!$AK$8:$AK$42)*('Jul 25'!$Q$8:$Q$42+'Jul 25'!$R$8:$R$42))</f>
        <v>0</v>
      </c>
      <c r="BD24">
        <f>SUMPRODUCT((('Jul 26'!$F$8:$F$42=$AD5)*'Jul 26'!$AJ$8:$AJ$42+('Jul 26'!$G$8:$G$42=$AD5)*'Jul 26'!$AK$8:$AK$42)*('Jul 26'!$Q$8:$Q$42+'Jul 26'!$R$8:$R$42))</f>
        <v>0</v>
      </c>
      <c r="BE24">
        <f>SUMPRODUCT((('Jul 27'!$F$8:$F$42=$AD5)*'Jul 27'!$AJ$8:$AJ$42+('Jul 27'!$G$8:$G$42=$AD5)*'Jul 27'!$AK$8:$AK$42)*('Jul 27'!$Q$8:$Q$42+'Jul 27'!$R$8:$R$42))</f>
        <v>0</v>
      </c>
      <c r="BF24">
        <f>SUMPRODUCT((('Jul 28'!$F$8:$F$42=$AD5)*'Jul 28'!$AJ$8:$AJ$42+('Jul 28'!$G$8:$G$42=$AD5)*'Jul 28'!$AK$8:$AK$42)*('Jul 28'!$Q$8:$Q$42+'Jul 28'!$R$8:$R$42))</f>
        <v>0</v>
      </c>
      <c r="BG24">
        <f>SUMPRODUCT((('Jul 29'!$F$8:$F$42=$AD5)*'Jul 29'!$AJ$8:$AJ$42+('Jul 29'!$G$8:$G$42=$AD5)*'Jul 29'!$AK$8:$AK$42)*('Jul 29'!$Q$8:$Q$42+'Jul 29'!$R$8:$R$42))</f>
        <v>0</v>
      </c>
      <c r="BH24">
        <f>SUMPRODUCT((('Jul 30'!$F$8:$F$42=$AD5)*'Jul 30'!$AJ$8:$AJ$42+('Jul 30'!$G$8:$G$42=$AD5)*'Jul 30'!$AK$8:$AK$42)*('Jul 30'!$Q$8:$Q$42+'Jul 30'!$R$8:$R$42))</f>
        <v>0</v>
      </c>
      <c r="BI24">
        <f>SUMPRODUCT((('Jul 31'!$F$8:$F$42=$AD5)*'Jul 31'!$AJ$8:$AJ$42+('Jul 31'!$G$8:$G$42=$AD5)*'Jul 31'!$AK$8:$AK$42)*('Jul 31'!$Q$8:$Q$42+'Jul 31'!$R$8:$R$42))</f>
        <v>0</v>
      </c>
      <c r="BK24">
        <f t="shared" si="2"/>
        <v>0</v>
      </c>
      <c r="BR24">
        <v>46227</v>
      </c>
    </row>
    <row r="25" spans="1:70" x14ac:dyDescent="0.25">
      <c r="U25">
        <f>'Jul 22'!$G$47</f>
        <v>0</v>
      </c>
      <c r="V25">
        <f>'Jul 22'!$G$48</f>
        <v>0</v>
      </c>
      <c r="W25">
        <f>'Jul 22'!$C$54</f>
        <v>0</v>
      </c>
      <c r="X25">
        <f>'Jul 22'!$C$55</f>
        <v>0</v>
      </c>
      <c r="Y25">
        <f>'Jul 22'!$C$57</f>
        <v>0</v>
      </c>
      <c r="Z25">
        <f>COUNTIF('Jul 22'!$AM$8:$AM$42,"Y")</f>
        <v>0</v>
      </c>
      <c r="AA25">
        <f>COUNTIF('Jul 22'!$AN$8:$AN$42,"Y")</f>
        <v>0</v>
      </c>
      <c r="AB25">
        <f>COUNTIF('Jul 22'!$AO$8:$AO$42,"Y")</f>
        <v>0</v>
      </c>
      <c r="AE25">
        <f>SUMPRODUCT((('Jul 1'!$F$8:$F$42=$AD6)*'Jul 1'!$AJ$8:$AJ$42+('Jul 1'!$G$8:$G$42=$AD6)*'Jul 1'!$AK$8:$AK$42)*('Jul 1'!$Q$8:$Q$42+'Jul 1'!$R$8:$R$42))</f>
        <v>0</v>
      </c>
      <c r="AF25">
        <f>SUMPRODUCT((('Jul 2'!$F$8:$F$42=$AD6)*'Jul 2'!$AJ$8:$AJ$42+('Jul 2'!$G$8:$G$42=$AD6)*'Jul 2'!$AK$8:$AK$42)*('Jul 2'!$Q$8:$Q$42+'Jul 2'!$R$8:$R$42))</f>
        <v>0</v>
      </c>
      <c r="AG25">
        <f>SUMPRODUCT((('Jul 3'!$F$8:$F$42=$AD6)*'Jul 3'!$AJ$8:$AJ$42+('Jul 3'!$G$8:$G$42=$AD6)*'Jul 3'!$AK$8:$AK$42)*('Jul 3'!$Q$8:$Q$42+'Jul 3'!$R$8:$R$42))</f>
        <v>0</v>
      </c>
      <c r="AH25">
        <f>SUMPRODUCT((('Jul 4'!$F$8:$F$42=$AD6)*'Jul 4'!$AJ$8:$AJ$42+('Jul 4'!$G$8:$G$42=$AD6)*'Jul 4'!$AK$8:$AK$42)*('Jul 4'!$Q$8:$Q$42+'Jul 4'!$R$8:$R$42))</f>
        <v>0</v>
      </c>
      <c r="AI25">
        <f>SUMPRODUCT((('Jul 5'!$F$8:$F$42=$AD6)*'Jul 5'!$AJ$8:$AJ$42+('Jul 5'!$G$8:$G$42=$AD6)*'Jul 5'!$AK$8:$AK$42)*('Jul 5'!$Q$8:$Q$42+'Jul 5'!$R$8:$R$42))</f>
        <v>0</v>
      </c>
      <c r="AJ25">
        <f>SUMPRODUCT((('Jul 6'!$F$8:$F$42=$AD6)*'Jul 6'!$AJ$8:$AJ$42+('Jul 6'!$G$8:$G$42=$AD6)*'Jul 6'!$AK$8:$AK$42)*('Jul 6'!$Q$8:$Q$42+'Jul 6'!$R$8:$R$42))</f>
        <v>0</v>
      </c>
      <c r="AK25">
        <f>SUMPRODUCT((('Jul 7'!$F$8:$F$42=$AD6)*'Jul 7'!$AJ$8:$AJ$42+('Jul 7'!$G$8:$G$42=$AD6)*'Jul 7'!$AK$8:$AK$42)*('Jul 7'!$Q$8:$Q$42+'Jul 7'!$R$8:$R$42))</f>
        <v>0</v>
      </c>
      <c r="AL25">
        <f>SUMPRODUCT((('Jul 8'!$F$8:$F$42=$AD6)*'Jul 8'!$AJ$8:$AJ$42+('Jul 8'!$G$8:$G$42=$AD6)*'Jul 8'!$AK$8:$AK$42)*('Jul 8'!$Q$8:$Q$42+'Jul 8'!$R$8:$R$42))</f>
        <v>0</v>
      </c>
      <c r="AM25">
        <f>SUMPRODUCT((('Jul 9'!$F$8:$F$42=$AD6)*'Jul 9'!$AJ$8:$AJ$42+('Jul 9'!$G$8:$G$42=$AD6)*'Jul 9'!$AK$8:$AK$42)*('Jul 9'!$Q$8:$Q$42+'Jul 9'!$R$8:$R$42))</f>
        <v>0</v>
      </c>
      <c r="AN25">
        <f>SUMPRODUCT((('Jul 10'!$F$8:$F$42=$AD6)*'Jul 10'!$AJ$8:$AJ$42+('Jul 10'!$G$8:$G$42=$AD6)*'Jul 10'!$AK$8:$AK$42)*('Jul 10'!$Q$8:$Q$42+'Jul 10'!$R$8:$R$42))</f>
        <v>0</v>
      </c>
      <c r="AO25">
        <f>SUMPRODUCT((('Jul 11'!$F$8:$F$42=$AD6)*'Jul 11'!$AJ$8:$AJ$42+('Jul 11'!$G$8:$G$42=$AD6)*'Jul 11'!$AK$8:$AK$42)*('Jul 11'!$Q$8:$Q$42+'Jul 11'!$R$8:$R$42))</f>
        <v>0</v>
      </c>
      <c r="AP25">
        <f>SUMPRODUCT((('Jul 12'!$F$8:$F$42=$AD6)*'Jul 12'!$AJ$8:$AJ$42+('Jul 12'!$G$8:$G$42=$AD6)*'Jul 12'!$AK$8:$AK$42)*('Jul 12'!$Q$8:$Q$42+'Jul 12'!$R$8:$R$42))</f>
        <v>0</v>
      </c>
      <c r="AQ25">
        <f>SUMPRODUCT((('Jul 13'!$F$8:$F$42=$AD6)*'Jul 13'!$AJ$8:$AJ$42+('Jul 13'!$G$8:$G$42=$AD6)*'Jul 13'!$AK$8:$AK$42)*('Jul 13'!$Q$8:$Q$42+'Jul 13'!$R$8:$R$42))</f>
        <v>0</v>
      </c>
      <c r="AR25">
        <f>SUMPRODUCT((('Jul 14'!$F$8:$F$42=$AD6)*'Jul 14'!$AJ$8:$AJ$42+('Jul 14'!$G$8:$G$42=$AD6)*'Jul 14'!$AK$8:$AK$42)*('Jul 14'!$Q$8:$Q$42+'Jul 14'!$R$8:$R$42))</f>
        <v>0</v>
      </c>
      <c r="AS25">
        <f>SUMPRODUCT((('Jul 15'!$F$8:$F$42=$AD6)*'Jul 15'!$AJ$8:$AJ$42+('Jul 15'!$G$8:$G$42=$AD6)*'Jul 15'!$AK$8:$AK$42)*('Jul 15'!$Q$8:$Q$42+'Jul 15'!$R$8:$R$42))</f>
        <v>0</v>
      </c>
      <c r="AT25">
        <f>SUMPRODUCT((('Jul 16'!$F$8:$F$42=$AD6)*'Jul 16'!$AJ$8:$AJ$42+('Jul 16'!$G$8:$G$42=$AD6)*'Jul 16'!$AK$8:$AK$42)*('Jul 16'!$Q$8:$Q$42+'Jul 16'!$R$8:$R$42))</f>
        <v>0</v>
      </c>
      <c r="AU25">
        <f>SUMPRODUCT((('Jul 17'!$F$8:$F$42=$AD6)*'Jul 17'!$AJ$8:$AJ$42+('Jul 17'!$G$8:$G$42=$AD6)*'Jul 17'!$AK$8:$AK$42)*('Jul 17'!$Q$8:$Q$42+'Jul 17'!$R$8:$R$42))</f>
        <v>0</v>
      </c>
      <c r="AV25">
        <f>SUMPRODUCT((('Jul 18'!$F$8:$F$42=$AD6)*'Jul 18'!$AJ$8:$AJ$42+('Jul 18'!$G$8:$G$42=$AD6)*'Jul 18'!$AK$8:$AK$42)*('Jul 18'!$Q$8:$Q$42+'Jul 18'!$R$8:$R$42))</f>
        <v>0</v>
      </c>
      <c r="AW25">
        <f>SUMPRODUCT((('Jul 19'!$F$8:$F$42=$AD6)*'Jul 19'!$AJ$8:$AJ$42+('Jul 19'!$G$8:$G$42=$AD6)*'Jul 19'!$AK$8:$AK$42)*('Jul 19'!$Q$8:$Q$42+'Jul 19'!$R$8:$R$42))</f>
        <v>0</v>
      </c>
      <c r="AX25">
        <f>SUMPRODUCT((('Jul 20'!$F$8:$F$42=$AD6)*'Jul 20'!$AJ$8:$AJ$42+('Jul 20'!$G$8:$G$42=$AD6)*'Jul 20'!$AK$8:$AK$42)*('Jul 20'!$Q$8:$Q$42+'Jul 20'!$R$8:$R$42))</f>
        <v>0</v>
      </c>
      <c r="AY25">
        <f>SUMPRODUCT((('Jul 21'!$F$8:$F$42=$AD6)*'Jul 21'!$AJ$8:$AJ$42+('Jul 21'!$G$8:$G$42=$AD6)*'Jul 21'!$AK$8:$AK$42)*('Jul 21'!$Q$8:$Q$42+'Jul 21'!$R$8:$R$42))</f>
        <v>0</v>
      </c>
      <c r="AZ25">
        <f>SUMPRODUCT((('Jul 22'!$F$8:$F$42=$AD6)*'Jul 22'!$AJ$8:$AJ$42+('Jul 22'!$G$8:$G$42=$AD6)*'Jul 22'!$AK$8:$AK$42)*('Jul 22'!$Q$8:$Q$42+'Jul 22'!$R$8:$R$42))</f>
        <v>0</v>
      </c>
      <c r="BA25">
        <f>SUMPRODUCT((('Jul 23'!$F$8:$F$42=$AD6)*'Jul 23'!$AJ$8:$AJ$42+('Jul 23'!$G$8:$G$42=$AD6)*'Jul 23'!$AK$8:$AK$42)*('Jul 23'!$Q$8:$Q$42+'Jul 23'!$R$8:$R$42))</f>
        <v>0</v>
      </c>
      <c r="BB25">
        <f>SUMPRODUCT((('Jul 24'!$F$8:$F$42=$AD6)*'Jul 24'!$AJ$8:$AJ$42+('Jul 24'!$G$8:$G$42=$AD6)*'Jul 24'!$AK$8:$AK$42)*('Jul 24'!$Q$8:$Q$42+'Jul 24'!$R$8:$R$42))</f>
        <v>0</v>
      </c>
      <c r="BC25">
        <f>SUMPRODUCT((('Jul 25'!$F$8:$F$42=$AD6)*'Jul 25'!$AJ$8:$AJ$42+('Jul 25'!$G$8:$G$42=$AD6)*'Jul 25'!$AK$8:$AK$42)*('Jul 25'!$Q$8:$Q$42+'Jul 25'!$R$8:$R$42))</f>
        <v>0</v>
      </c>
      <c r="BD25">
        <f>SUMPRODUCT((('Jul 26'!$F$8:$F$42=$AD6)*'Jul 26'!$AJ$8:$AJ$42+('Jul 26'!$G$8:$G$42=$AD6)*'Jul 26'!$AK$8:$AK$42)*('Jul 26'!$Q$8:$Q$42+'Jul 26'!$R$8:$R$42))</f>
        <v>0</v>
      </c>
      <c r="BE25">
        <f>SUMPRODUCT((('Jul 27'!$F$8:$F$42=$AD6)*'Jul 27'!$AJ$8:$AJ$42+('Jul 27'!$G$8:$G$42=$AD6)*'Jul 27'!$AK$8:$AK$42)*('Jul 27'!$Q$8:$Q$42+'Jul 27'!$R$8:$R$42))</f>
        <v>0</v>
      </c>
      <c r="BF25">
        <f>SUMPRODUCT((('Jul 28'!$F$8:$F$42=$AD6)*'Jul 28'!$AJ$8:$AJ$42+('Jul 28'!$G$8:$G$42=$AD6)*'Jul 28'!$AK$8:$AK$42)*('Jul 28'!$Q$8:$Q$42+'Jul 28'!$R$8:$R$42))</f>
        <v>0</v>
      </c>
      <c r="BG25">
        <f>SUMPRODUCT((('Jul 29'!$F$8:$F$42=$AD6)*'Jul 29'!$AJ$8:$AJ$42+('Jul 29'!$G$8:$G$42=$AD6)*'Jul 29'!$AK$8:$AK$42)*('Jul 29'!$Q$8:$Q$42+'Jul 29'!$R$8:$R$42))</f>
        <v>0</v>
      </c>
      <c r="BH25">
        <f>SUMPRODUCT((('Jul 30'!$F$8:$F$42=$AD6)*'Jul 30'!$AJ$8:$AJ$42+('Jul 30'!$G$8:$G$42=$AD6)*'Jul 30'!$AK$8:$AK$42)*('Jul 30'!$Q$8:$Q$42+'Jul 30'!$R$8:$R$42))</f>
        <v>0</v>
      </c>
      <c r="BI25">
        <f>SUMPRODUCT((('Jul 31'!$F$8:$F$42=$AD6)*'Jul 31'!$AJ$8:$AJ$42+('Jul 31'!$G$8:$G$42=$AD6)*'Jul 31'!$AK$8:$AK$42)*('Jul 31'!$Q$8:$Q$42+'Jul 31'!$R$8:$R$42))</f>
        <v>0</v>
      </c>
      <c r="BK25">
        <f t="shared" si="2"/>
        <v>0</v>
      </c>
      <c r="BR25">
        <v>46228</v>
      </c>
    </row>
    <row r="26" spans="1:70" x14ac:dyDescent="0.25">
      <c r="A26" s="154" t="s">
        <v>169</v>
      </c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54" t="s">
        <v>170</v>
      </c>
      <c r="O26" s="118"/>
      <c r="P26" s="118"/>
      <c r="Q26" s="118"/>
      <c r="R26" s="118"/>
      <c r="U26">
        <f>'Jul 23'!$G$47</f>
        <v>0</v>
      </c>
      <c r="V26">
        <f>'Jul 23'!$G$48</f>
        <v>0</v>
      </c>
      <c r="W26">
        <f>'Jul 23'!$C$54</f>
        <v>0</v>
      </c>
      <c r="X26">
        <f>'Jul 23'!$C$55</f>
        <v>0</v>
      </c>
      <c r="Y26">
        <f>'Jul 23'!$C$57</f>
        <v>0</v>
      </c>
      <c r="Z26">
        <f>COUNTIF('Jul 23'!$AM$8:$AM$42,"Y")</f>
        <v>0</v>
      </c>
      <c r="AA26">
        <f>COUNTIF('Jul 23'!$AN$8:$AN$42,"Y")</f>
        <v>0</v>
      </c>
      <c r="AB26">
        <f>COUNTIF('Jul 23'!$AO$8:$AO$42,"Y")</f>
        <v>0</v>
      </c>
      <c r="AE26">
        <f>SUMPRODUCT((('Jul 1'!$F$8:$F$42=$AD7)*'Jul 1'!$AJ$8:$AJ$42+('Jul 1'!$G$8:$G$42=$AD7)*'Jul 1'!$AK$8:$AK$42)*('Jul 1'!$Q$8:$Q$42+'Jul 1'!$R$8:$R$42))</f>
        <v>0</v>
      </c>
      <c r="AF26">
        <f>SUMPRODUCT((('Jul 2'!$F$8:$F$42=$AD7)*'Jul 2'!$AJ$8:$AJ$42+('Jul 2'!$G$8:$G$42=$AD7)*'Jul 2'!$AK$8:$AK$42)*('Jul 2'!$Q$8:$Q$42+'Jul 2'!$R$8:$R$42))</f>
        <v>0</v>
      </c>
      <c r="AG26">
        <f>SUMPRODUCT((('Jul 3'!$F$8:$F$42=$AD7)*'Jul 3'!$AJ$8:$AJ$42+('Jul 3'!$G$8:$G$42=$AD7)*'Jul 3'!$AK$8:$AK$42)*('Jul 3'!$Q$8:$Q$42+'Jul 3'!$R$8:$R$42))</f>
        <v>0</v>
      </c>
      <c r="AH26">
        <f>SUMPRODUCT((('Jul 4'!$F$8:$F$42=$AD7)*'Jul 4'!$AJ$8:$AJ$42+('Jul 4'!$G$8:$G$42=$AD7)*'Jul 4'!$AK$8:$AK$42)*('Jul 4'!$Q$8:$Q$42+'Jul 4'!$R$8:$R$42))</f>
        <v>0</v>
      </c>
      <c r="AI26">
        <f>SUMPRODUCT((('Jul 5'!$F$8:$F$42=$AD7)*'Jul 5'!$AJ$8:$AJ$42+('Jul 5'!$G$8:$G$42=$AD7)*'Jul 5'!$AK$8:$AK$42)*('Jul 5'!$Q$8:$Q$42+'Jul 5'!$R$8:$R$42))</f>
        <v>0</v>
      </c>
      <c r="AJ26">
        <f>SUMPRODUCT((('Jul 6'!$F$8:$F$42=$AD7)*'Jul 6'!$AJ$8:$AJ$42+('Jul 6'!$G$8:$G$42=$AD7)*'Jul 6'!$AK$8:$AK$42)*('Jul 6'!$Q$8:$Q$42+'Jul 6'!$R$8:$R$42))</f>
        <v>0</v>
      </c>
      <c r="AK26">
        <f>SUMPRODUCT((('Jul 7'!$F$8:$F$42=$AD7)*'Jul 7'!$AJ$8:$AJ$42+('Jul 7'!$G$8:$G$42=$AD7)*'Jul 7'!$AK$8:$AK$42)*('Jul 7'!$Q$8:$Q$42+'Jul 7'!$R$8:$R$42))</f>
        <v>0</v>
      </c>
      <c r="AL26">
        <f>SUMPRODUCT((('Jul 8'!$F$8:$F$42=$AD7)*'Jul 8'!$AJ$8:$AJ$42+('Jul 8'!$G$8:$G$42=$AD7)*'Jul 8'!$AK$8:$AK$42)*('Jul 8'!$Q$8:$Q$42+'Jul 8'!$R$8:$R$42))</f>
        <v>0</v>
      </c>
      <c r="AM26">
        <f>SUMPRODUCT((('Jul 9'!$F$8:$F$42=$AD7)*'Jul 9'!$AJ$8:$AJ$42+('Jul 9'!$G$8:$G$42=$AD7)*'Jul 9'!$AK$8:$AK$42)*('Jul 9'!$Q$8:$Q$42+'Jul 9'!$R$8:$R$42))</f>
        <v>0</v>
      </c>
      <c r="AN26">
        <f>SUMPRODUCT((('Jul 10'!$F$8:$F$42=$AD7)*'Jul 10'!$AJ$8:$AJ$42+('Jul 10'!$G$8:$G$42=$AD7)*'Jul 10'!$AK$8:$AK$42)*('Jul 10'!$Q$8:$Q$42+'Jul 10'!$R$8:$R$42))</f>
        <v>0</v>
      </c>
      <c r="AO26">
        <f>SUMPRODUCT((('Jul 11'!$F$8:$F$42=$AD7)*'Jul 11'!$AJ$8:$AJ$42+('Jul 11'!$G$8:$G$42=$AD7)*'Jul 11'!$AK$8:$AK$42)*('Jul 11'!$Q$8:$Q$42+'Jul 11'!$R$8:$R$42))</f>
        <v>0</v>
      </c>
      <c r="AP26">
        <f>SUMPRODUCT((('Jul 12'!$F$8:$F$42=$AD7)*'Jul 12'!$AJ$8:$AJ$42+('Jul 12'!$G$8:$G$42=$AD7)*'Jul 12'!$AK$8:$AK$42)*('Jul 12'!$Q$8:$Q$42+'Jul 12'!$R$8:$R$42))</f>
        <v>0</v>
      </c>
      <c r="AQ26">
        <f>SUMPRODUCT((('Jul 13'!$F$8:$F$42=$AD7)*'Jul 13'!$AJ$8:$AJ$42+('Jul 13'!$G$8:$G$42=$AD7)*'Jul 13'!$AK$8:$AK$42)*('Jul 13'!$Q$8:$Q$42+'Jul 13'!$R$8:$R$42))</f>
        <v>0</v>
      </c>
      <c r="AR26">
        <f>SUMPRODUCT((('Jul 14'!$F$8:$F$42=$AD7)*'Jul 14'!$AJ$8:$AJ$42+('Jul 14'!$G$8:$G$42=$AD7)*'Jul 14'!$AK$8:$AK$42)*('Jul 14'!$Q$8:$Q$42+'Jul 14'!$R$8:$R$42))</f>
        <v>0</v>
      </c>
      <c r="AS26">
        <f>SUMPRODUCT((('Jul 15'!$F$8:$F$42=$AD7)*'Jul 15'!$AJ$8:$AJ$42+('Jul 15'!$G$8:$G$42=$AD7)*'Jul 15'!$AK$8:$AK$42)*('Jul 15'!$Q$8:$Q$42+'Jul 15'!$R$8:$R$42))</f>
        <v>0</v>
      </c>
      <c r="AT26">
        <f>SUMPRODUCT((('Jul 16'!$F$8:$F$42=$AD7)*'Jul 16'!$AJ$8:$AJ$42+('Jul 16'!$G$8:$G$42=$AD7)*'Jul 16'!$AK$8:$AK$42)*('Jul 16'!$Q$8:$Q$42+'Jul 16'!$R$8:$R$42))</f>
        <v>0</v>
      </c>
      <c r="AU26">
        <f>SUMPRODUCT((('Jul 17'!$F$8:$F$42=$AD7)*'Jul 17'!$AJ$8:$AJ$42+('Jul 17'!$G$8:$G$42=$AD7)*'Jul 17'!$AK$8:$AK$42)*('Jul 17'!$Q$8:$Q$42+'Jul 17'!$R$8:$R$42))</f>
        <v>0</v>
      </c>
      <c r="AV26">
        <f>SUMPRODUCT((('Jul 18'!$F$8:$F$42=$AD7)*'Jul 18'!$AJ$8:$AJ$42+('Jul 18'!$G$8:$G$42=$AD7)*'Jul 18'!$AK$8:$AK$42)*('Jul 18'!$Q$8:$Q$42+'Jul 18'!$R$8:$R$42))</f>
        <v>0</v>
      </c>
      <c r="AW26">
        <f>SUMPRODUCT((('Jul 19'!$F$8:$F$42=$AD7)*'Jul 19'!$AJ$8:$AJ$42+('Jul 19'!$G$8:$G$42=$AD7)*'Jul 19'!$AK$8:$AK$42)*('Jul 19'!$Q$8:$Q$42+'Jul 19'!$R$8:$R$42))</f>
        <v>0</v>
      </c>
      <c r="AX26">
        <f>SUMPRODUCT((('Jul 20'!$F$8:$F$42=$AD7)*'Jul 20'!$AJ$8:$AJ$42+('Jul 20'!$G$8:$G$42=$AD7)*'Jul 20'!$AK$8:$AK$42)*('Jul 20'!$Q$8:$Q$42+'Jul 20'!$R$8:$R$42))</f>
        <v>0</v>
      </c>
      <c r="AY26">
        <f>SUMPRODUCT((('Jul 21'!$F$8:$F$42=$AD7)*'Jul 21'!$AJ$8:$AJ$42+('Jul 21'!$G$8:$G$42=$AD7)*'Jul 21'!$AK$8:$AK$42)*('Jul 21'!$Q$8:$Q$42+'Jul 21'!$R$8:$R$42))</f>
        <v>0</v>
      </c>
      <c r="AZ26">
        <f>SUMPRODUCT((('Jul 22'!$F$8:$F$42=$AD7)*'Jul 22'!$AJ$8:$AJ$42+('Jul 22'!$G$8:$G$42=$AD7)*'Jul 22'!$AK$8:$AK$42)*('Jul 22'!$Q$8:$Q$42+'Jul 22'!$R$8:$R$42))</f>
        <v>0</v>
      </c>
      <c r="BA26">
        <f>SUMPRODUCT((('Jul 23'!$F$8:$F$42=$AD7)*'Jul 23'!$AJ$8:$AJ$42+('Jul 23'!$G$8:$G$42=$AD7)*'Jul 23'!$AK$8:$AK$42)*('Jul 23'!$Q$8:$Q$42+'Jul 23'!$R$8:$R$42))</f>
        <v>0</v>
      </c>
      <c r="BB26">
        <f>SUMPRODUCT((('Jul 24'!$F$8:$F$42=$AD7)*'Jul 24'!$AJ$8:$AJ$42+('Jul 24'!$G$8:$G$42=$AD7)*'Jul 24'!$AK$8:$AK$42)*('Jul 24'!$Q$8:$Q$42+'Jul 24'!$R$8:$R$42))</f>
        <v>0</v>
      </c>
      <c r="BC26">
        <f>SUMPRODUCT((('Jul 25'!$F$8:$F$42=$AD7)*'Jul 25'!$AJ$8:$AJ$42+('Jul 25'!$G$8:$G$42=$AD7)*'Jul 25'!$AK$8:$AK$42)*('Jul 25'!$Q$8:$Q$42+'Jul 25'!$R$8:$R$42))</f>
        <v>0</v>
      </c>
      <c r="BD26">
        <f>SUMPRODUCT((('Jul 26'!$F$8:$F$42=$AD7)*'Jul 26'!$AJ$8:$AJ$42+('Jul 26'!$G$8:$G$42=$AD7)*'Jul 26'!$AK$8:$AK$42)*('Jul 26'!$Q$8:$Q$42+'Jul 26'!$R$8:$R$42))</f>
        <v>0</v>
      </c>
      <c r="BE26">
        <f>SUMPRODUCT((('Jul 27'!$F$8:$F$42=$AD7)*'Jul 27'!$AJ$8:$AJ$42+('Jul 27'!$G$8:$G$42=$AD7)*'Jul 27'!$AK$8:$AK$42)*('Jul 27'!$Q$8:$Q$42+'Jul 27'!$R$8:$R$42))</f>
        <v>0</v>
      </c>
      <c r="BF26">
        <f>SUMPRODUCT((('Jul 28'!$F$8:$F$42=$AD7)*'Jul 28'!$AJ$8:$AJ$42+('Jul 28'!$G$8:$G$42=$AD7)*'Jul 28'!$AK$8:$AK$42)*('Jul 28'!$Q$8:$Q$42+'Jul 28'!$R$8:$R$42))</f>
        <v>0</v>
      </c>
      <c r="BG26">
        <f>SUMPRODUCT((('Jul 29'!$F$8:$F$42=$AD7)*'Jul 29'!$AJ$8:$AJ$42+('Jul 29'!$G$8:$G$42=$AD7)*'Jul 29'!$AK$8:$AK$42)*('Jul 29'!$Q$8:$Q$42+'Jul 29'!$R$8:$R$42))</f>
        <v>0</v>
      </c>
      <c r="BH26">
        <f>SUMPRODUCT((('Jul 30'!$F$8:$F$42=$AD7)*'Jul 30'!$AJ$8:$AJ$42+('Jul 30'!$G$8:$G$42=$AD7)*'Jul 30'!$AK$8:$AK$42)*('Jul 30'!$Q$8:$Q$42+'Jul 30'!$R$8:$R$42))</f>
        <v>0</v>
      </c>
      <c r="BI26">
        <f>SUMPRODUCT((('Jul 31'!$F$8:$F$42=$AD7)*'Jul 31'!$AJ$8:$AJ$42+('Jul 31'!$G$8:$G$42=$AD7)*'Jul 31'!$AK$8:$AK$42)*('Jul 31'!$Q$8:$Q$42+'Jul 31'!$R$8:$R$42))</f>
        <v>0</v>
      </c>
      <c r="BK26">
        <f t="shared" si="2"/>
        <v>0</v>
      </c>
      <c r="BR26">
        <v>46230</v>
      </c>
    </row>
    <row r="27" spans="1:70" x14ac:dyDescent="0.25">
      <c r="A27" s="37" t="s">
        <v>81</v>
      </c>
      <c r="B27" s="140" t="s">
        <v>82</v>
      </c>
      <c r="C27" s="100"/>
      <c r="D27" s="100"/>
      <c r="E27" s="100"/>
      <c r="F27" s="100"/>
      <c r="G27" s="100"/>
      <c r="H27" s="134" t="s">
        <v>29</v>
      </c>
      <c r="I27" s="100"/>
      <c r="J27" s="134" t="s">
        <v>30</v>
      </c>
      <c r="K27" s="100"/>
      <c r="L27" s="134" t="s">
        <v>171</v>
      </c>
      <c r="M27" s="100"/>
      <c r="N27" s="140" t="s">
        <v>172</v>
      </c>
      <c r="O27" s="100"/>
      <c r="P27" s="37" t="s">
        <v>173</v>
      </c>
      <c r="Q27" s="134" t="s">
        <v>174</v>
      </c>
      <c r="R27" s="100"/>
      <c r="U27">
        <f>'Jul 24'!$G$47</f>
        <v>0</v>
      </c>
      <c r="V27">
        <f>'Jul 24'!$G$48</f>
        <v>0</v>
      </c>
      <c r="W27">
        <f>'Jul 24'!$C$54</f>
        <v>0</v>
      </c>
      <c r="X27">
        <f>'Jul 24'!$C$55</f>
        <v>0</v>
      </c>
      <c r="Y27">
        <f>'Jul 24'!$C$57</f>
        <v>0</v>
      </c>
      <c r="Z27">
        <f>COUNTIF('Jul 24'!$AM$8:$AM$42,"Y")</f>
        <v>0</v>
      </c>
      <c r="AA27">
        <f>COUNTIF('Jul 24'!$AN$8:$AN$42,"Y")</f>
        <v>0</v>
      </c>
      <c r="AB27">
        <f>COUNTIF('Jul 24'!$AO$8:$AO$42,"Y")</f>
        <v>0</v>
      </c>
      <c r="AE27">
        <f>SUMPRODUCT((('Jul 1'!$F$8:$F$42=$AD8)*'Jul 1'!$AJ$8:$AJ$42+('Jul 1'!$G$8:$G$42=$AD8)*'Jul 1'!$AK$8:$AK$42)*('Jul 1'!$Q$8:$Q$42+'Jul 1'!$R$8:$R$42))</f>
        <v>0</v>
      </c>
      <c r="AF27">
        <f>SUMPRODUCT((('Jul 2'!$F$8:$F$42=$AD8)*'Jul 2'!$AJ$8:$AJ$42+('Jul 2'!$G$8:$G$42=$AD8)*'Jul 2'!$AK$8:$AK$42)*('Jul 2'!$Q$8:$Q$42+'Jul 2'!$R$8:$R$42))</f>
        <v>0</v>
      </c>
      <c r="AG27">
        <f>SUMPRODUCT((('Jul 3'!$F$8:$F$42=$AD8)*'Jul 3'!$AJ$8:$AJ$42+('Jul 3'!$G$8:$G$42=$AD8)*'Jul 3'!$AK$8:$AK$42)*('Jul 3'!$Q$8:$Q$42+'Jul 3'!$R$8:$R$42))</f>
        <v>0</v>
      </c>
      <c r="AH27">
        <f>SUMPRODUCT((('Jul 4'!$F$8:$F$42=$AD8)*'Jul 4'!$AJ$8:$AJ$42+('Jul 4'!$G$8:$G$42=$AD8)*'Jul 4'!$AK$8:$AK$42)*('Jul 4'!$Q$8:$Q$42+'Jul 4'!$R$8:$R$42))</f>
        <v>0</v>
      </c>
      <c r="AI27">
        <f>SUMPRODUCT((('Jul 5'!$F$8:$F$42=$AD8)*'Jul 5'!$AJ$8:$AJ$42+('Jul 5'!$G$8:$G$42=$AD8)*'Jul 5'!$AK$8:$AK$42)*('Jul 5'!$Q$8:$Q$42+'Jul 5'!$R$8:$R$42))</f>
        <v>0</v>
      </c>
      <c r="AJ27">
        <f>SUMPRODUCT((('Jul 6'!$F$8:$F$42=$AD8)*'Jul 6'!$AJ$8:$AJ$42+('Jul 6'!$G$8:$G$42=$AD8)*'Jul 6'!$AK$8:$AK$42)*('Jul 6'!$Q$8:$Q$42+'Jul 6'!$R$8:$R$42))</f>
        <v>0</v>
      </c>
      <c r="AK27">
        <f>SUMPRODUCT((('Jul 7'!$F$8:$F$42=$AD8)*'Jul 7'!$AJ$8:$AJ$42+('Jul 7'!$G$8:$G$42=$AD8)*'Jul 7'!$AK$8:$AK$42)*('Jul 7'!$Q$8:$Q$42+'Jul 7'!$R$8:$R$42))</f>
        <v>0</v>
      </c>
      <c r="AL27">
        <f>SUMPRODUCT((('Jul 8'!$F$8:$F$42=$AD8)*'Jul 8'!$AJ$8:$AJ$42+('Jul 8'!$G$8:$G$42=$AD8)*'Jul 8'!$AK$8:$AK$42)*('Jul 8'!$Q$8:$Q$42+'Jul 8'!$R$8:$R$42))</f>
        <v>0</v>
      </c>
      <c r="AM27">
        <f>SUMPRODUCT((('Jul 9'!$F$8:$F$42=$AD8)*'Jul 9'!$AJ$8:$AJ$42+('Jul 9'!$G$8:$G$42=$AD8)*'Jul 9'!$AK$8:$AK$42)*('Jul 9'!$Q$8:$Q$42+'Jul 9'!$R$8:$R$42))</f>
        <v>0</v>
      </c>
      <c r="AN27">
        <f>SUMPRODUCT((('Jul 10'!$F$8:$F$42=$AD8)*'Jul 10'!$AJ$8:$AJ$42+('Jul 10'!$G$8:$G$42=$AD8)*'Jul 10'!$AK$8:$AK$42)*('Jul 10'!$Q$8:$Q$42+'Jul 10'!$R$8:$R$42))</f>
        <v>0</v>
      </c>
      <c r="AO27">
        <f>SUMPRODUCT((('Jul 11'!$F$8:$F$42=$AD8)*'Jul 11'!$AJ$8:$AJ$42+('Jul 11'!$G$8:$G$42=$AD8)*'Jul 11'!$AK$8:$AK$42)*('Jul 11'!$Q$8:$Q$42+'Jul 11'!$R$8:$R$42))</f>
        <v>0</v>
      </c>
      <c r="AP27">
        <f>SUMPRODUCT((('Jul 12'!$F$8:$F$42=$AD8)*'Jul 12'!$AJ$8:$AJ$42+('Jul 12'!$G$8:$G$42=$AD8)*'Jul 12'!$AK$8:$AK$42)*('Jul 12'!$Q$8:$Q$42+'Jul 12'!$R$8:$R$42))</f>
        <v>0</v>
      </c>
      <c r="AQ27">
        <f>SUMPRODUCT((('Jul 13'!$F$8:$F$42=$AD8)*'Jul 13'!$AJ$8:$AJ$42+('Jul 13'!$G$8:$G$42=$AD8)*'Jul 13'!$AK$8:$AK$42)*('Jul 13'!$Q$8:$Q$42+'Jul 13'!$R$8:$R$42))</f>
        <v>0</v>
      </c>
      <c r="AR27">
        <f>SUMPRODUCT((('Jul 14'!$F$8:$F$42=$AD8)*'Jul 14'!$AJ$8:$AJ$42+('Jul 14'!$G$8:$G$42=$AD8)*'Jul 14'!$AK$8:$AK$42)*('Jul 14'!$Q$8:$Q$42+'Jul 14'!$R$8:$R$42))</f>
        <v>0</v>
      </c>
      <c r="AS27">
        <f>SUMPRODUCT((('Jul 15'!$F$8:$F$42=$AD8)*'Jul 15'!$AJ$8:$AJ$42+('Jul 15'!$G$8:$G$42=$AD8)*'Jul 15'!$AK$8:$AK$42)*('Jul 15'!$Q$8:$Q$42+'Jul 15'!$R$8:$R$42))</f>
        <v>0</v>
      </c>
      <c r="AT27">
        <f>SUMPRODUCT((('Jul 16'!$F$8:$F$42=$AD8)*'Jul 16'!$AJ$8:$AJ$42+('Jul 16'!$G$8:$G$42=$AD8)*'Jul 16'!$AK$8:$AK$42)*('Jul 16'!$Q$8:$Q$42+'Jul 16'!$R$8:$R$42))</f>
        <v>0</v>
      </c>
      <c r="AU27">
        <f>SUMPRODUCT((('Jul 17'!$F$8:$F$42=$AD8)*'Jul 17'!$AJ$8:$AJ$42+('Jul 17'!$G$8:$G$42=$AD8)*'Jul 17'!$AK$8:$AK$42)*('Jul 17'!$Q$8:$Q$42+'Jul 17'!$R$8:$R$42))</f>
        <v>0</v>
      </c>
      <c r="AV27">
        <f>SUMPRODUCT((('Jul 18'!$F$8:$F$42=$AD8)*'Jul 18'!$AJ$8:$AJ$42+('Jul 18'!$G$8:$G$42=$AD8)*'Jul 18'!$AK$8:$AK$42)*('Jul 18'!$Q$8:$Q$42+'Jul 18'!$R$8:$R$42))</f>
        <v>0</v>
      </c>
      <c r="AW27">
        <f>SUMPRODUCT((('Jul 19'!$F$8:$F$42=$AD8)*'Jul 19'!$AJ$8:$AJ$42+('Jul 19'!$G$8:$G$42=$AD8)*'Jul 19'!$AK$8:$AK$42)*('Jul 19'!$Q$8:$Q$42+'Jul 19'!$R$8:$R$42))</f>
        <v>0</v>
      </c>
      <c r="AX27">
        <f>SUMPRODUCT((('Jul 20'!$F$8:$F$42=$AD8)*'Jul 20'!$AJ$8:$AJ$42+('Jul 20'!$G$8:$G$42=$AD8)*'Jul 20'!$AK$8:$AK$42)*('Jul 20'!$Q$8:$Q$42+'Jul 20'!$R$8:$R$42))</f>
        <v>0</v>
      </c>
      <c r="AY27">
        <f>SUMPRODUCT((('Jul 21'!$F$8:$F$42=$AD8)*'Jul 21'!$AJ$8:$AJ$42+('Jul 21'!$G$8:$G$42=$AD8)*'Jul 21'!$AK$8:$AK$42)*('Jul 21'!$Q$8:$Q$42+'Jul 21'!$R$8:$R$42))</f>
        <v>0</v>
      </c>
      <c r="AZ27">
        <f>SUMPRODUCT((('Jul 22'!$F$8:$F$42=$AD8)*'Jul 22'!$AJ$8:$AJ$42+('Jul 22'!$G$8:$G$42=$AD8)*'Jul 22'!$AK$8:$AK$42)*('Jul 22'!$Q$8:$Q$42+'Jul 22'!$R$8:$R$42))</f>
        <v>0</v>
      </c>
      <c r="BA27">
        <f>SUMPRODUCT((('Jul 23'!$F$8:$F$42=$AD8)*'Jul 23'!$AJ$8:$AJ$42+('Jul 23'!$G$8:$G$42=$AD8)*'Jul 23'!$AK$8:$AK$42)*('Jul 23'!$Q$8:$Q$42+'Jul 23'!$R$8:$R$42))</f>
        <v>0</v>
      </c>
      <c r="BB27">
        <f>SUMPRODUCT((('Jul 24'!$F$8:$F$42=$AD8)*'Jul 24'!$AJ$8:$AJ$42+('Jul 24'!$G$8:$G$42=$AD8)*'Jul 24'!$AK$8:$AK$42)*('Jul 24'!$Q$8:$Q$42+'Jul 24'!$R$8:$R$42))</f>
        <v>0</v>
      </c>
      <c r="BC27">
        <f>SUMPRODUCT((('Jul 25'!$F$8:$F$42=$AD8)*'Jul 25'!$AJ$8:$AJ$42+('Jul 25'!$G$8:$G$42=$AD8)*'Jul 25'!$AK$8:$AK$42)*('Jul 25'!$Q$8:$Q$42+'Jul 25'!$R$8:$R$42))</f>
        <v>0</v>
      </c>
      <c r="BD27">
        <f>SUMPRODUCT((('Jul 26'!$F$8:$F$42=$AD8)*'Jul 26'!$AJ$8:$AJ$42+('Jul 26'!$G$8:$G$42=$AD8)*'Jul 26'!$AK$8:$AK$42)*('Jul 26'!$Q$8:$Q$42+'Jul 26'!$R$8:$R$42))</f>
        <v>0</v>
      </c>
      <c r="BE27">
        <f>SUMPRODUCT((('Jul 27'!$F$8:$F$42=$AD8)*'Jul 27'!$AJ$8:$AJ$42+('Jul 27'!$G$8:$G$42=$AD8)*'Jul 27'!$AK$8:$AK$42)*('Jul 27'!$Q$8:$Q$42+'Jul 27'!$R$8:$R$42))</f>
        <v>0</v>
      </c>
      <c r="BF27">
        <f>SUMPRODUCT((('Jul 28'!$F$8:$F$42=$AD8)*'Jul 28'!$AJ$8:$AJ$42+('Jul 28'!$G$8:$G$42=$AD8)*'Jul 28'!$AK$8:$AK$42)*('Jul 28'!$Q$8:$Q$42+'Jul 28'!$R$8:$R$42))</f>
        <v>0</v>
      </c>
      <c r="BG27">
        <f>SUMPRODUCT((('Jul 29'!$F$8:$F$42=$AD8)*'Jul 29'!$AJ$8:$AJ$42+('Jul 29'!$G$8:$G$42=$AD8)*'Jul 29'!$AK$8:$AK$42)*('Jul 29'!$Q$8:$Q$42+'Jul 29'!$R$8:$R$42))</f>
        <v>0</v>
      </c>
      <c r="BH27">
        <f>SUMPRODUCT((('Jul 30'!$F$8:$F$42=$AD8)*'Jul 30'!$AJ$8:$AJ$42+('Jul 30'!$G$8:$G$42=$AD8)*'Jul 30'!$AK$8:$AK$42)*('Jul 30'!$Q$8:$Q$42+'Jul 30'!$R$8:$R$42))</f>
        <v>0</v>
      </c>
      <c r="BI27">
        <f>SUMPRODUCT((('Jul 31'!$F$8:$F$42=$AD8)*'Jul 31'!$AJ$8:$AJ$42+('Jul 31'!$G$8:$G$42=$AD8)*'Jul 31'!$AK$8:$AK$42)*('Jul 31'!$Q$8:$Q$42+'Jul 31'!$R$8:$R$42))</f>
        <v>0</v>
      </c>
      <c r="BK27">
        <f t="shared" si="2"/>
        <v>0</v>
      </c>
      <c r="BR27">
        <v>46231</v>
      </c>
    </row>
    <row r="28" spans="1:70" ht="15" customHeight="1" x14ac:dyDescent="0.25">
      <c r="A28" s="39">
        <v>1</v>
      </c>
      <c r="B28" s="148" t="str">
        <f>IFERROR(INDEX($AD$4:$AD$19,MATCH(1,$BN$4:$BN$19,0)),"")</f>
        <v>FEDY ALI</v>
      </c>
      <c r="C28" s="111"/>
      <c r="D28" s="111"/>
      <c r="E28" s="111"/>
      <c r="F28" s="111"/>
      <c r="G28" s="111"/>
      <c r="H28" s="142">
        <f>IFERROR(INDEX($BK$4:$BK$19,MATCH(1,$BN$4:$BN$19,0)),0)</f>
        <v>0</v>
      </c>
      <c r="I28" s="111"/>
      <c r="J28" s="141">
        <f>IFERROR(INDEX($BK$23:$BK$38,MATCH(1,$BN$4:$BN$19,0)),0)</f>
        <v>0</v>
      </c>
      <c r="K28" s="111"/>
      <c r="L28" s="141" t="str">
        <f t="shared" ref="L28:L43" si="3">IF(N(H28)=0,"—",J28/H28)</f>
        <v>—</v>
      </c>
      <c r="M28" s="111"/>
      <c r="N28" s="148" t="str">
        <f>$BP41</f>
        <v>Internet</v>
      </c>
      <c r="O28" s="111"/>
      <c r="P28" s="44">
        <f>$BK41</f>
        <v>0</v>
      </c>
      <c r="Q28" s="143" t="str">
        <f>IF(SUM($BK$41:$BK$45)=0,"—",$BK41/SUM($BK$41:$BK$45))</f>
        <v>—</v>
      </c>
      <c r="R28" s="111"/>
      <c r="U28">
        <f>'Jul 25'!$G$47</f>
        <v>0</v>
      </c>
      <c r="V28">
        <f>'Jul 25'!$G$48</f>
        <v>0</v>
      </c>
      <c r="W28">
        <f>'Jul 25'!$C$54</f>
        <v>0</v>
      </c>
      <c r="X28">
        <f>'Jul 25'!$C$55</f>
        <v>0</v>
      </c>
      <c r="Y28">
        <f>'Jul 25'!$C$57</f>
        <v>0</v>
      </c>
      <c r="Z28">
        <f>COUNTIF('Jul 25'!$AM$8:$AM$42,"Y")</f>
        <v>0</v>
      </c>
      <c r="AA28">
        <f>COUNTIF('Jul 25'!$AN$8:$AN$42,"Y")</f>
        <v>0</v>
      </c>
      <c r="AB28">
        <f>COUNTIF('Jul 25'!$AO$8:$AO$42,"Y")</f>
        <v>0</v>
      </c>
      <c r="AE28">
        <f>SUMPRODUCT((('Jul 1'!$F$8:$F$42=$AD9)*'Jul 1'!$AJ$8:$AJ$42+('Jul 1'!$G$8:$G$42=$AD9)*'Jul 1'!$AK$8:$AK$42)*('Jul 1'!$Q$8:$Q$42+'Jul 1'!$R$8:$R$42))</f>
        <v>0</v>
      </c>
      <c r="AF28">
        <f>SUMPRODUCT((('Jul 2'!$F$8:$F$42=$AD9)*'Jul 2'!$AJ$8:$AJ$42+('Jul 2'!$G$8:$G$42=$AD9)*'Jul 2'!$AK$8:$AK$42)*('Jul 2'!$Q$8:$Q$42+'Jul 2'!$R$8:$R$42))</f>
        <v>0</v>
      </c>
      <c r="AG28">
        <f>SUMPRODUCT((('Jul 3'!$F$8:$F$42=$AD9)*'Jul 3'!$AJ$8:$AJ$42+('Jul 3'!$G$8:$G$42=$AD9)*'Jul 3'!$AK$8:$AK$42)*('Jul 3'!$Q$8:$Q$42+'Jul 3'!$R$8:$R$42))</f>
        <v>0</v>
      </c>
      <c r="AH28">
        <f>SUMPRODUCT((('Jul 4'!$F$8:$F$42=$AD9)*'Jul 4'!$AJ$8:$AJ$42+('Jul 4'!$G$8:$G$42=$AD9)*'Jul 4'!$AK$8:$AK$42)*('Jul 4'!$Q$8:$Q$42+'Jul 4'!$R$8:$R$42))</f>
        <v>0</v>
      </c>
      <c r="AI28">
        <f>SUMPRODUCT((('Jul 5'!$F$8:$F$42=$AD9)*'Jul 5'!$AJ$8:$AJ$42+('Jul 5'!$G$8:$G$42=$AD9)*'Jul 5'!$AK$8:$AK$42)*('Jul 5'!$Q$8:$Q$42+'Jul 5'!$R$8:$R$42))</f>
        <v>0</v>
      </c>
      <c r="AJ28">
        <f>SUMPRODUCT((('Jul 6'!$F$8:$F$42=$AD9)*'Jul 6'!$AJ$8:$AJ$42+('Jul 6'!$G$8:$G$42=$AD9)*'Jul 6'!$AK$8:$AK$42)*('Jul 6'!$Q$8:$Q$42+'Jul 6'!$R$8:$R$42))</f>
        <v>0</v>
      </c>
      <c r="AK28">
        <f>SUMPRODUCT((('Jul 7'!$F$8:$F$42=$AD9)*'Jul 7'!$AJ$8:$AJ$42+('Jul 7'!$G$8:$G$42=$AD9)*'Jul 7'!$AK$8:$AK$42)*('Jul 7'!$Q$8:$Q$42+'Jul 7'!$R$8:$R$42))</f>
        <v>0</v>
      </c>
      <c r="AL28">
        <f>SUMPRODUCT((('Jul 8'!$F$8:$F$42=$AD9)*'Jul 8'!$AJ$8:$AJ$42+('Jul 8'!$G$8:$G$42=$AD9)*'Jul 8'!$AK$8:$AK$42)*('Jul 8'!$Q$8:$Q$42+'Jul 8'!$R$8:$R$42))</f>
        <v>0</v>
      </c>
      <c r="AM28">
        <f>SUMPRODUCT((('Jul 9'!$F$8:$F$42=$AD9)*'Jul 9'!$AJ$8:$AJ$42+('Jul 9'!$G$8:$G$42=$AD9)*'Jul 9'!$AK$8:$AK$42)*('Jul 9'!$Q$8:$Q$42+'Jul 9'!$R$8:$R$42))</f>
        <v>0</v>
      </c>
      <c r="AN28">
        <f>SUMPRODUCT((('Jul 10'!$F$8:$F$42=$AD9)*'Jul 10'!$AJ$8:$AJ$42+('Jul 10'!$G$8:$G$42=$AD9)*'Jul 10'!$AK$8:$AK$42)*('Jul 10'!$Q$8:$Q$42+'Jul 10'!$R$8:$R$42))</f>
        <v>0</v>
      </c>
      <c r="AO28">
        <f>SUMPRODUCT((('Jul 11'!$F$8:$F$42=$AD9)*'Jul 11'!$AJ$8:$AJ$42+('Jul 11'!$G$8:$G$42=$AD9)*'Jul 11'!$AK$8:$AK$42)*('Jul 11'!$Q$8:$Q$42+'Jul 11'!$R$8:$R$42))</f>
        <v>0</v>
      </c>
      <c r="AP28">
        <f>SUMPRODUCT((('Jul 12'!$F$8:$F$42=$AD9)*'Jul 12'!$AJ$8:$AJ$42+('Jul 12'!$G$8:$G$42=$AD9)*'Jul 12'!$AK$8:$AK$42)*('Jul 12'!$Q$8:$Q$42+'Jul 12'!$R$8:$R$42))</f>
        <v>0</v>
      </c>
      <c r="AQ28">
        <f>SUMPRODUCT((('Jul 13'!$F$8:$F$42=$AD9)*'Jul 13'!$AJ$8:$AJ$42+('Jul 13'!$G$8:$G$42=$AD9)*'Jul 13'!$AK$8:$AK$42)*('Jul 13'!$Q$8:$Q$42+'Jul 13'!$R$8:$R$42))</f>
        <v>0</v>
      </c>
      <c r="AR28">
        <f>SUMPRODUCT((('Jul 14'!$F$8:$F$42=$AD9)*'Jul 14'!$AJ$8:$AJ$42+('Jul 14'!$G$8:$G$42=$AD9)*'Jul 14'!$AK$8:$AK$42)*('Jul 14'!$Q$8:$Q$42+'Jul 14'!$R$8:$R$42))</f>
        <v>0</v>
      </c>
      <c r="AS28">
        <f>SUMPRODUCT((('Jul 15'!$F$8:$F$42=$AD9)*'Jul 15'!$AJ$8:$AJ$42+('Jul 15'!$G$8:$G$42=$AD9)*'Jul 15'!$AK$8:$AK$42)*('Jul 15'!$Q$8:$Q$42+'Jul 15'!$R$8:$R$42))</f>
        <v>0</v>
      </c>
      <c r="AT28">
        <f>SUMPRODUCT((('Jul 16'!$F$8:$F$42=$AD9)*'Jul 16'!$AJ$8:$AJ$42+('Jul 16'!$G$8:$G$42=$AD9)*'Jul 16'!$AK$8:$AK$42)*('Jul 16'!$Q$8:$Q$42+'Jul 16'!$R$8:$R$42))</f>
        <v>0</v>
      </c>
      <c r="AU28">
        <f>SUMPRODUCT((('Jul 17'!$F$8:$F$42=$AD9)*'Jul 17'!$AJ$8:$AJ$42+('Jul 17'!$G$8:$G$42=$AD9)*'Jul 17'!$AK$8:$AK$42)*('Jul 17'!$Q$8:$Q$42+'Jul 17'!$R$8:$R$42))</f>
        <v>0</v>
      </c>
      <c r="AV28">
        <f>SUMPRODUCT((('Jul 18'!$F$8:$F$42=$AD9)*'Jul 18'!$AJ$8:$AJ$42+('Jul 18'!$G$8:$G$42=$AD9)*'Jul 18'!$AK$8:$AK$42)*('Jul 18'!$Q$8:$Q$42+'Jul 18'!$R$8:$R$42))</f>
        <v>0</v>
      </c>
      <c r="AW28">
        <f>SUMPRODUCT((('Jul 19'!$F$8:$F$42=$AD9)*'Jul 19'!$AJ$8:$AJ$42+('Jul 19'!$G$8:$G$42=$AD9)*'Jul 19'!$AK$8:$AK$42)*('Jul 19'!$Q$8:$Q$42+'Jul 19'!$R$8:$R$42))</f>
        <v>0</v>
      </c>
      <c r="AX28">
        <f>SUMPRODUCT((('Jul 20'!$F$8:$F$42=$AD9)*'Jul 20'!$AJ$8:$AJ$42+('Jul 20'!$G$8:$G$42=$AD9)*'Jul 20'!$AK$8:$AK$42)*('Jul 20'!$Q$8:$Q$42+'Jul 20'!$R$8:$R$42))</f>
        <v>0</v>
      </c>
      <c r="AY28">
        <f>SUMPRODUCT((('Jul 21'!$F$8:$F$42=$AD9)*'Jul 21'!$AJ$8:$AJ$42+('Jul 21'!$G$8:$G$42=$AD9)*'Jul 21'!$AK$8:$AK$42)*('Jul 21'!$Q$8:$Q$42+'Jul 21'!$R$8:$R$42))</f>
        <v>0</v>
      </c>
      <c r="AZ28">
        <f>SUMPRODUCT((('Jul 22'!$F$8:$F$42=$AD9)*'Jul 22'!$AJ$8:$AJ$42+('Jul 22'!$G$8:$G$42=$AD9)*'Jul 22'!$AK$8:$AK$42)*('Jul 22'!$Q$8:$Q$42+'Jul 22'!$R$8:$R$42))</f>
        <v>0</v>
      </c>
      <c r="BA28">
        <f>SUMPRODUCT((('Jul 23'!$F$8:$F$42=$AD9)*'Jul 23'!$AJ$8:$AJ$42+('Jul 23'!$G$8:$G$42=$AD9)*'Jul 23'!$AK$8:$AK$42)*('Jul 23'!$Q$8:$Q$42+'Jul 23'!$R$8:$R$42))</f>
        <v>0</v>
      </c>
      <c r="BB28">
        <f>SUMPRODUCT((('Jul 24'!$F$8:$F$42=$AD9)*'Jul 24'!$AJ$8:$AJ$42+('Jul 24'!$G$8:$G$42=$AD9)*'Jul 24'!$AK$8:$AK$42)*('Jul 24'!$Q$8:$Q$42+'Jul 24'!$R$8:$R$42))</f>
        <v>0</v>
      </c>
      <c r="BC28">
        <f>SUMPRODUCT((('Jul 25'!$F$8:$F$42=$AD9)*'Jul 25'!$AJ$8:$AJ$42+('Jul 25'!$G$8:$G$42=$AD9)*'Jul 25'!$AK$8:$AK$42)*('Jul 25'!$Q$8:$Q$42+'Jul 25'!$R$8:$R$42))</f>
        <v>0</v>
      </c>
      <c r="BD28">
        <f>SUMPRODUCT((('Jul 26'!$F$8:$F$42=$AD9)*'Jul 26'!$AJ$8:$AJ$42+('Jul 26'!$G$8:$G$42=$AD9)*'Jul 26'!$AK$8:$AK$42)*('Jul 26'!$Q$8:$Q$42+'Jul 26'!$R$8:$R$42))</f>
        <v>0</v>
      </c>
      <c r="BE28">
        <f>SUMPRODUCT((('Jul 27'!$F$8:$F$42=$AD9)*'Jul 27'!$AJ$8:$AJ$42+('Jul 27'!$G$8:$G$42=$AD9)*'Jul 27'!$AK$8:$AK$42)*('Jul 27'!$Q$8:$Q$42+'Jul 27'!$R$8:$R$42))</f>
        <v>0</v>
      </c>
      <c r="BF28">
        <f>SUMPRODUCT((('Jul 28'!$F$8:$F$42=$AD9)*'Jul 28'!$AJ$8:$AJ$42+('Jul 28'!$G$8:$G$42=$AD9)*'Jul 28'!$AK$8:$AK$42)*('Jul 28'!$Q$8:$Q$42+'Jul 28'!$R$8:$R$42))</f>
        <v>0</v>
      </c>
      <c r="BG28">
        <f>SUMPRODUCT((('Jul 29'!$F$8:$F$42=$AD9)*'Jul 29'!$AJ$8:$AJ$42+('Jul 29'!$G$8:$G$42=$AD9)*'Jul 29'!$AK$8:$AK$42)*('Jul 29'!$Q$8:$Q$42+'Jul 29'!$R$8:$R$42))</f>
        <v>0</v>
      </c>
      <c r="BH28">
        <f>SUMPRODUCT((('Jul 30'!$F$8:$F$42=$AD9)*'Jul 30'!$AJ$8:$AJ$42+('Jul 30'!$G$8:$G$42=$AD9)*'Jul 30'!$AK$8:$AK$42)*('Jul 30'!$Q$8:$Q$42+'Jul 30'!$R$8:$R$42))</f>
        <v>0</v>
      </c>
      <c r="BI28">
        <f>SUMPRODUCT((('Jul 31'!$F$8:$F$42=$AD9)*'Jul 31'!$AJ$8:$AJ$42+('Jul 31'!$G$8:$G$42=$AD9)*'Jul 31'!$AK$8:$AK$42)*('Jul 31'!$Q$8:$Q$42+'Jul 31'!$R$8:$R$42))</f>
        <v>0</v>
      </c>
      <c r="BK28">
        <f t="shared" si="2"/>
        <v>0</v>
      </c>
      <c r="BR28">
        <v>46232</v>
      </c>
    </row>
    <row r="29" spans="1:70" ht="15" customHeight="1" x14ac:dyDescent="0.25">
      <c r="A29" s="46">
        <v>2</v>
      </c>
      <c r="B29" s="144" t="str">
        <f>IFERROR(INDEX($AD$4:$AD$19,MATCH(2,$BN$4:$BN$19,0)),"")</f>
        <v>CHAD EMBRY</v>
      </c>
      <c r="C29" s="111"/>
      <c r="D29" s="111"/>
      <c r="E29" s="111"/>
      <c r="F29" s="111"/>
      <c r="G29" s="111"/>
      <c r="H29" s="139">
        <f>IFERROR(INDEX($BK$4:$BK$19,MATCH(2,$BN$4:$BN$19,0)),0)</f>
        <v>0</v>
      </c>
      <c r="I29" s="111"/>
      <c r="J29" s="136">
        <f>IFERROR(INDEX($BK$23:$BK$38,MATCH(2,$BN$4:$BN$19,0)),0)</f>
        <v>0</v>
      </c>
      <c r="K29" s="111"/>
      <c r="L29" s="136" t="str">
        <f t="shared" si="3"/>
        <v>—</v>
      </c>
      <c r="M29" s="111"/>
      <c r="N29" s="148" t="str">
        <f>$BP42</f>
        <v>Phone</v>
      </c>
      <c r="O29" s="111"/>
      <c r="P29" s="44">
        <f>$BK42</f>
        <v>0</v>
      </c>
      <c r="Q29" s="143" t="str">
        <f>IF(SUM($BK$41:$BK$45)=0,"—",$BK42/SUM($BK$41:$BK$45))</f>
        <v>—</v>
      </c>
      <c r="R29" s="111"/>
      <c r="U29">
        <f>'Jul 26'!$G$47</f>
        <v>0</v>
      </c>
      <c r="V29">
        <f>'Jul 26'!$G$48</f>
        <v>0</v>
      </c>
      <c r="W29">
        <f>'Jul 26'!$C$54</f>
        <v>0</v>
      </c>
      <c r="X29">
        <f>'Jul 26'!$C$55</f>
        <v>0</v>
      </c>
      <c r="Y29">
        <f>'Jul 26'!$C$57</f>
        <v>0</v>
      </c>
      <c r="Z29">
        <f>COUNTIF('Jul 26'!$AM$8:$AM$42,"Y")</f>
        <v>0</v>
      </c>
      <c r="AA29">
        <f>COUNTIF('Jul 26'!$AN$8:$AN$42,"Y")</f>
        <v>0</v>
      </c>
      <c r="AB29">
        <f>COUNTIF('Jul 26'!$AO$8:$AO$42,"Y")</f>
        <v>0</v>
      </c>
      <c r="AE29">
        <f>SUMPRODUCT((('Jul 1'!$F$8:$F$42=$AD10)*'Jul 1'!$AJ$8:$AJ$42+('Jul 1'!$G$8:$G$42=$AD10)*'Jul 1'!$AK$8:$AK$42)*('Jul 1'!$Q$8:$Q$42+'Jul 1'!$R$8:$R$42))</f>
        <v>0</v>
      </c>
      <c r="AF29">
        <f>SUMPRODUCT((('Jul 2'!$F$8:$F$42=$AD10)*'Jul 2'!$AJ$8:$AJ$42+('Jul 2'!$G$8:$G$42=$AD10)*'Jul 2'!$AK$8:$AK$42)*('Jul 2'!$Q$8:$Q$42+'Jul 2'!$R$8:$R$42))</f>
        <v>0</v>
      </c>
      <c r="AG29">
        <f>SUMPRODUCT((('Jul 3'!$F$8:$F$42=$AD10)*'Jul 3'!$AJ$8:$AJ$42+('Jul 3'!$G$8:$G$42=$AD10)*'Jul 3'!$AK$8:$AK$42)*('Jul 3'!$Q$8:$Q$42+'Jul 3'!$R$8:$R$42))</f>
        <v>0</v>
      </c>
      <c r="AH29">
        <f>SUMPRODUCT((('Jul 4'!$F$8:$F$42=$AD10)*'Jul 4'!$AJ$8:$AJ$42+('Jul 4'!$G$8:$G$42=$AD10)*'Jul 4'!$AK$8:$AK$42)*('Jul 4'!$Q$8:$Q$42+'Jul 4'!$R$8:$R$42))</f>
        <v>0</v>
      </c>
      <c r="AI29">
        <f>SUMPRODUCT((('Jul 5'!$F$8:$F$42=$AD10)*'Jul 5'!$AJ$8:$AJ$42+('Jul 5'!$G$8:$G$42=$AD10)*'Jul 5'!$AK$8:$AK$42)*('Jul 5'!$Q$8:$Q$42+'Jul 5'!$R$8:$R$42))</f>
        <v>0</v>
      </c>
      <c r="AJ29">
        <f>SUMPRODUCT((('Jul 6'!$F$8:$F$42=$AD10)*'Jul 6'!$AJ$8:$AJ$42+('Jul 6'!$G$8:$G$42=$AD10)*'Jul 6'!$AK$8:$AK$42)*('Jul 6'!$Q$8:$Q$42+'Jul 6'!$R$8:$R$42))</f>
        <v>0</v>
      </c>
      <c r="AK29">
        <f>SUMPRODUCT((('Jul 7'!$F$8:$F$42=$AD10)*'Jul 7'!$AJ$8:$AJ$42+('Jul 7'!$G$8:$G$42=$AD10)*'Jul 7'!$AK$8:$AK$42)*('Jul 7'!$Q$8:$Q$42+'Jul 7'!$R$8:$R$42))</f>
        <v>0</v>
      </c>
      <c r="AL29">
        <f>SUMPRODUCT((('Jul 8'!$F$8:$F$42=$AD10)*'Jul 8'!$AJ$8:$AJ$42+('Jul 8'!$G$8:$G$42=$AD10)*'Jul 8'!$AK$8:$AK$42)*('Jul 8'!$Q$8:$Q$42+'Jul 8'!$R$8:$R$42))</f>
        <v>0</v>
      </c>
      <c r="AM29">
        <f>SUMPRODUCT((('Jul 9'!$F$8:$F$42=$AD10)*'Jul 9'!$AJ$8:$AJ$42+('Jul 9'!$G$8:$G$42=$AD10)*'Jul 9'!$AK$8:$AK$42)*('Jul 9'!$Q$8:$Q$42+'Jul 9'!$R$8:$R$42))</f>
        <v>0</v>
      </c>
      <c r="AN29">
        <f>SUMPRODUCT((('Jul 10'!$F$8:$F$42=$AD10)*'Jul 10'!$AJ$8:$AJ$42+('Jul 10'!$G$8:$G$42=$AD10)*'Jul 10'!$AK$8:$AK$42)*('Jul 10'!$Q$8:$Q$42+'Jul 10'!$R$8:$R$42))</f>
        <v>0</v>
      </c>
      <c r="AO29">
        <f>SUMPRODUCT((('Jul 11'!$F$8:$F$42=$AD10)*'Jul 11'!$AJ$8:$AJ$42+('Jul 11'!$G$8:$G$42=$AD10)*'Jul 11'!$AK$8:$AK$42)*('Jul 11'!$Q$8:$Q$42+'Jul 11'!$R$8:$R$42))</f>
        <v>0</v>
      </c>
      <c r="AP29">
        <f>SUMPRODUCT((('Jul 12'!$F$8:$F$42=$AD10)*'Jul 12'!$AJ$8:$AJ$42+('Jul 12'!$G$8:$G$42=$AD10)*'Jul 12'!$AK$8:$AK$42)*('Jul 12'!$Q$8:$Q$42+'Jul 12'!$R$8:$R$42))</f>
        <v>0</v>
      </c>
      <c r="AQ29">
        <f>SUMPRODUCT((('Jul 13'!$F$8:$F$42=$AD10)*'Jul 13'!$AJ$8:$AJ$42+('Jul 13'!$G$8:$G$42=$AD10)*'Jul 13'!$AK$8:$AK$42)*('Jul 13'!$Q$8:$Q$42+'Jul 13'!$R$8:$R$42))</f>
        <v>0</v>
      </c>
      <c r="AR29">
        <f>SUMPRODUCT((('Jul 14'!$F$8:$F$42=$AD10)*'Jul 14'!$AJ$8:$AJ$42+('Jul 14'!$G$8:$G$42=$AD10)*'Jul 14'!$AK$8:$AK$42)*('Jul 14'!$Q$8:$Q$42+'Jul 14'!$R$8:$R$42))</f>
        <v>0</v>
      </c>
      <c r="AS29">
        <f>SUMPRODUCT((('Jul 15'!$F$8:$F$42=$AD10)*'Jul 15'!$AJ$8:$AJ$42+('Jul 15'!$G$8:$G$42=$AD10)*'Jul 15'!$AK$8:$AK$42)*('Jul 15'!$Q$8:$Q$42+'Jul 15'!$R$8:$R$42))</f>
        <v>0</v>
      </c>
      <c r="AT29">
        <f>SUMPRODUCT((('Jul 16'!$F$8:$F$42=$AD10)*'Jul 16'!$AJ$8:$AJ$42+('Jul 16'!$G$8:$G$42=$AD10)*'Jul 16'!$AK$8:$AK$42)*('Jul 16'!$Q$8:$Q$42+'Jul 16'!$R$8:$R$42))</f>
        <v>0</v>
      </c>
      <c r="AU29">
        <f>SUMPRODUCT((('Jul 17'!$F$8:$F$42=$AD10)*'Jul 17'!$AJ$8:$AJ$42+('Jul 17'!$G$8:$G$42=$AD10)*'Jul 17'!$AK$8:$AK$42)*('Jul 17'!$Q$8:$Q$42+'Jul 17'!$R$8:$R$42))</f>
        <v>0</v>
      </c>
      <c r="AV29">
        <f>SUMPRODUCT((('Jul 18'!$F$8:$F$42=$AD10)*'Jul 18'!$AJ$8:$AJ$42+('Jul 18'!$G$8:$G$42=$AD10)*'Jul 18'!$AK$8:$AK$42)*('Jul 18'!$Q$8:$Q$42+'Jul 18'!$R$8:$R$42))</f>
        <v>0</v>
      </c>
      <c r="AW29">
        <f>SUMPRODUCT((('Jul 19'!$F$8:$F$42=$AD10)*'Jul 19'!$AJ$8:$AJ$42+('Jul 19'!$G$8:$G$42=$AD10)*'Jul 19'!$AK$8:$AK$42)*('Jul 19'!$Q$8:$Q$42+'Jul 19'!$R$8:$R$42))</f>
        <v>0</v>
      </c>
      <c r="AX29">
        <f>SUMPRODUCT((('Jul 20'!$F$8:$F$42=$AD10)*'Jul 20'!$AJ$8:$AJ$42+('Jul 20'!$G$8:$G$42=$AD10)*'Jul 20'!$AK$8:$AK$42)*('Jul 20'!$Q$8:$Q$42+'Jul 20'!$R$8:$R$42))</f>
        <v>0</v>
      </c>
      <c r="AY29">
        <f>SUMPRODUCT((('Jul 21'!$F$8:$F$42=$AD10)*'Jul 21'!$AJ$8:$AJ$42+('Jul 21'!$G$8:$G$42=$AD10)*'Jul 21'!$AK$8:$AK$42)*('Jul 21'!$Q$8:$Q$42+'Jul 21'!$R$8:$R$42))</f>
        <v>0</v>
      </c>
      <c r="AZ29">
        <f>SUMPRODUCT((('Jul 22'!$F$8:$F$42=$AD10)*'Jul 22'!$AJ$8:$AJ$42+('Jul 22'!$G$8:$G$42=$AD10)*'Jul 22'!$AK$8:$AK$42)*('Jul 22'!$Q$8:$Q$42+'Jul 22'!$R$8:$R$42))</f>
        <v>0</v>
      </c>
      <c r="BA29">
        <f>SUMPRODUCT((('Jul 23'!$F$8:$F$42=$AD10)*'Jul 23'!$AJ$8:$AJ$42+('Jul 23'!$G$8:$G$42=$AD10)*'Jul 23'!$AK$8:$AK$42)*('Jul 23'!$Q$8:$Q$42+'Jul 23'!$R$8:$R$42))</f>
        <v>0</v>
      </c>
      <c r="BB29">
        <f>SUMPRODUCT((('Jul 24'!$F$8:$F$42=$AD10)*'Jul 24'!$AJ$8:$AJ$42+('Jul 24'!$G$8:$G$42=$AD10)*'Jul 24'!$AK$8:$AK$42)*('Jul 24'!$Q$8:$Q$42+'Jul 24'!$R$8:$R$42))</f>
        <v>0</v>
      </c>
      <c r="BC29">
        <f>SUMPRODUCT((('Jul 25'!$F$8:$F$42=$AD10)*'Jul 25'!$AJ$8:$AJ$42+('Jul 25'!$G$8:$G$42=$AD10)*'Jul 25'!$AK$8:$AK$42)*('Jul 25'!$Q$8:$Q$42+'Jul 25'!$R$8:$R$42))</f>
        <v>0</v>
      </c>
      <c r="BD29">
        <f>SUMPRODUCT((('Jul 26'!$F$8:$F$42=$AD10)*'Jul 26'!$AJ$8:$AJ$42+('Jul 26'!$G$8:$G$42=$AD10)*'Jul 26'!$AK$8:$AK$42)*('Jul 26'!$Q$8:$Q$42+'Jul 26'!$R$8:$R$42))</f>
        <v>0</v>
      </c>
      <c r="BE29">
        <f>SUMPRODUCT((('Jul 27'!$F$8:$F$42=$AD10)*'Jul 27'!$AJ$8:$AJ$42+('Jul 27'!$G$8:$G$42=$AD10)*'Jul 27'!$AK$8:$AK$42)*('Jul 27'!$Q$8:$Q$42+'Jul 27'!$R$8:$R$42))</f>
        <v>0</v>
      </c>
      <c r="BF29">
        <f>SUMPRODUCT((('Jul 28'!$F$8:$F$42=$AD10)*'Jul 28'!$AJ$8:$AJ$42+('Jul 28'!$G$8:$G$42=$AD10)*'Jul 28'!$AK$8:$AK$42)*('Jul 28'!$Q$8:$Q$42+'Jul 28'!$R$8:$R$42))</f>
        <v>0</v>
      </c>
      <c r="BG29">
        <f>SUMPRODUCT((('Jul 29'!$F$8:$F$42=$AD10)*'Jul 29'!$AJ$8:$AJ$42+('Jul 29'!$G$8:$G$42=$AD10)*'Jul 29'!$AK$8:$AK$42)*('Jul 29'!$Q$8:$Q$42+'Jul 29'!$R$8:$R$42))</f>
        <v>0</v>
      </c>
      <c r="BH29">
        <f>SUMPRODUCT((('Jul 30'!$F$8:$F$42=$AD10)*'Jul 30'!$AJ$8:$AJ$42+('Jul 30'!$G$8:$G$42=$AD10)*'Jul 30'!$AK$8:$AK$42)*('Jul 30'!$Q$8:$Q$42+'Jul 30'!$R$8:$R$42))</f>
        <v>0</v>
      </c>
      <c r="BI29">
        <f>SUMPRODUCT((('Jul 31'!$F$8:$F$42=$AD10)*'Jul 31'!$AJ$8:$AJ$42+('Jul 31'!$G$8:$G$42=$AD10)*'Jul 31'!$AK$8:$AK$42)*('Jul 31'!$Q$8:$Q$42+'Jul 31'!$R$8:$R$42))</f>
        <v>0</v>
      </c>
      <c r="BK29">
        <f t="shared" si="2"/>
        <v>0</v>
      </c>
      <c r="BR29">
        <v>46233</v>
      </c>
    </row>
    <row r="30" spans="1:70" ht="15" customHeight="1" x14ac:dyDescent="0.25">
      <c r="A30" s="39">
        <v>3</v>
      </c>
      <c r="B30" s="148" t="str">
        <f>IFERROR(INDEX($AD$4:$AD$19,MATCH(3,$BN$4:$BN$19,0)),"")</f>
        <v>RICH AMMERMAN</v>
      </c>
      <c r="C30" s="111"/>
      <c r="D30" s="111"/>
      <c r="E30" s="111"/>
      <c r="F30" s="111"/>
      <c r="G30" s="111"/>
      <c r="H30" s="142">
        <f>IFERROR(INDEX($BK$4:$BK$19,MATCH(3,$BN$4:$BN$19,0)),0)</f>
        <v>0</v>
      </c>
      <c r="I30" s="111"/>
      <c r="J30" s="141">
        <f>IFERROR(INDEX($BK$23:$BK$38,MATCH(3,$BN$4:$BN$19,0)),0)</f>
        <v>0</v>
      </c>
      <c r="K30" s="111"/>
      <c r="L30" s="141" t="str">
        <f t="shared" si="3"/>
        <v>—</v>
      </c>
      <c r="M30" s="111"/>
      <c r="N30" s="148" t="str">
        <f>$BP43</f>
        <v>Showroom</v>
      </c>
      <c r="O30" s="111"/>
      <c r="P30" s="44">
        <f>$BK43</f>
        <v>0</v>
      </c>
      <c r="Q30" s="143" t="str">
        <f>IF(SUM($BK$41:$BK$45)=0,"—",$BK43/SUM($BK$41:$BK$45))</f>
        <v>—</v>
      </c>
      <c r="R30" s="111"/>
      <c r="U30">
        <f>'Jul 27'!$G$47</f>
        <v>0</v>
      </c>
      <c r="V30">
        <f>'Jul 27'!$G$48</f>
        <v>0</v>
      </c>
      <c r="W30">
        <f>'Jul 27'!$C$54</f>
        <v>0</v>
      </c>
      <c r="X30">
        <f>'Jul 27'!$C$55</f>
        <v>0</v>
      </c>
      <c r="Y30">
        <f>'Jul 27'!$C$57</f>
        <v>0</v>
      </c>
      <c r="Z30">
        <f>COUNTIF('Jul 27'!$AM$8:$AM$42,"Y")</f>
        <v>0</v>
      </c>
      <c r="AA30">
        <f>COUNTIF('Jul 27'!$AN$8:$AN$42,"Y")</f>
        <v>0</v>
      </c>
      <c r="AB30">
        <f>COUNTIF('Jul 27'!$AO$8:$AO$42,"Y")</f>
        <v>0</v>
      </c>
      <c r="AE30">
        <f>SUMPRODUCT((('Jul 1'!$F$8:$F$42=$AD11)*'Jul 1'!$AJ$8:$AJ$42+('Jul 1'!$G$8:$G$42=$AD11)*'Jul 1'!$AK$8:$AK$42)*('Jul 1'!$Q$8:$Q$42+'Jul 1'!$R$8:$R$42))</f>
        <v>0</v>
      </c>
      <c r="AF30">
        <f>SUMPRODUCT((('Jul 2'!$F$8:$F$42=$AD11)*'Jul 2'!$AJ$8:$AJ$42+('Jul 2'!$G$8:$G$42=$AD11)*'Jul 2'!$AK$8:$AK$42)*('Jul 2'!$Q$8:$Q$42+'Jul 2'!$R$8:$R$42))</f>
        <v>0</v>
      </c>
      <c r="AG30">
        <f>SUMPRODUCT((('Jul 3'!$F$8:$F$42=$AD11)*'Jul 3'!$AJ$8:$AJ$42+('Jul 3'!$G$8:$G$42=$AD11)*'Jul 3'!$AK$8:$AK$42)*('Jul 3'!$Q$8:$Q$42+'Jul 3'!$R$8:$R$42))</f>
        <v>0</v>
      </c>
      <c r="AH30">
        <f>SUMPRODUCT((('Jul 4'!$F$8:$F$42=$AD11)*'Jul 4'!$AJ$8:$AJ$42+('Jul 4'!$G$8:$G$42=$AD11)*'Jul 4'!$AK$8:$AK$42)*('Jul 4'!$Q$8:$Q$42+'Jul 4'!$R$8:$R$42))</f>
        <v>0</v>
      </c>
      <c r="AI30">
        <f>SUMPRODUCT((('Jul 5'!$F$8:$F$42=$AD11)*'Jul 5'!$AJ$8:$AJ$42+('Jul 5'!$G$8:$G$42=$AD11)*'Jul 5'!$AK$8:$AK$42)*('Jul 5'!$Q$8:$Q$42+'Jul 5'!$R$8:$R$42))</f>
        <v>0</v>
      </c>
      <c r="AJ30">
        <f>SUMPRODUCT((('Jul 6'!$F$8:$F$42=$AD11)*'Jul 6'!$AJ$8:$AJ$42+('Jul 6'!$G$8:$G$42=$AD11)*'Jul 6'!$AK$8:$AK$42)*('Jul 6'!$Q$8:$Q$42+'Jul 6'!$R$8:$R$42))</f>
        <v>0</v>
      </c>
      <c r="AK30">
        <f>SUMPRODUCT((('Jul 7'!$F$8:$F$42=$AD11)*'Jul 7'!$AJ$8:$AJ$42+('Jul 7'!$G$8:$G$42=$AD11)*'Jul 7'!$AK$8:$AK$42)*('Jul 7'!$Q$8:$Q$42+'Jul 7'!$R$8:$R$42))</f>
        <v>0</v>
      </c>
      <c r="AL30">
        <f>SUMPRODUCT((('Jul 8'!$F$8:$F$42=$AD11)*'Jul 8'!$AJ$8:$AJ$42+('Jul 8'!$G$8:$G$42=$AD11)*'Jul 8'!$AK$8:$AK$42)*('Jul 8'!$Q$8:$Q$42+'Jul 8'!$R$8:$R$42))</f>
        <v>0</v>
      </c>
      <c r="AM30">
        <f>SUMPRODUCT((('Jul 9'!$F$8:$F$42=$AD11)*'Jul 9'!$AJ$8:$AJ$42+('Jul 9'!$G$8:$G$42=$AD11)*'Jul 9'!$AK$8:$AK$42)*('Jul 9'!$Q$8:$Q$42+'Jul 9'!$R$8:$R$42))</f>
        <v>0</v>
      </c>
      <c r="AN30">
        <f>SUMPRODUCT((('Jul 10'!$F$8:$F$42=$AD11)*'Jul 10'!$AJ$8:$AJ$42+('Jul 10'!$G$8:$G$42=$AD11)*'Jul 10'!$AK$8:$AK$42)*('Jul 10'!$Q$8:$Q$42+'Jul 10'!$R$8:$R$42))</f>
        <v>0</v>
      </c>
      <c r="AO30">
        <f>SUMPRODUCT((('Jul 11'!$F$8:$F$42=$AD11)*'Jul 11'!$AJ$8:$AJ$42+('Jul 11'!$G$8:$G$42=$AD11)*'Jul 11'!$AK$8:$AK$42)*('Jul 11'!$Q$8:$Q$42+'Jul 11'!$R$8:$R$42))</f>
        <v>0</v>
      </c>
      <c r="AP30">
        <f>SUMPRODUCT((('Jul 12'!$F$8:$F$42=$AD11)*'Jul 12'!$AJ$8:$AJ$42+('Jul 12'!$G$8:$G$42=$AD11)*'Jul 12'!$AK$8:$AK$42)*('Jul 12'!$Q$8:$Q$42+'Jul 12'!$R$8:$R$42))</f>
        <v>0</v>
      </c>
      <c r="AQ30">
        <f>SUMPRODUCT((('Jul 13'!$F$8:$F$42=$AD11)*'Jul 13'!$AJ$8:$AJ$42+('Jul 13'!$G$8:$G$42=$AD11)*'Jul 13'!$AK$8:$AK$42)*('Jul 13'!$Q$8:$Q$42+'Jul 13'!$R$8:$R$42))</f>
        <v>0</v>
      </c>
      <c r="AR30">
        <f>SUMPRODUCT((('Jul 14'!$F$8:$F$42=$AD11)*'Jul 14'!$AJ$8:$AJ$42+('Jul 14'!$G$8:$G$42=$AD11)*'Jul 14'!$AK$8:$AK$42)*('Jul 14'!$Q$8:$Q$42+'Jul 14'!$R$8:$R$42))</f>
        <v>0</v>
      </c>
      <c r="AS30">
        <f>SUMPRODUCT((('Jul 15'!$F$8:$F$42=$AD11)*'Jul 15'!$AJ$8:$AJ$42+('Jul 15'!$G$8:$G$42=$AD11)*'Jul 15'!$AK$8:$AK$42)*('Jul 15'!$Q$8:$Q$42+'Jul 15'!$R$8:$R$42))</f>
        <v>0</v>
      </c>
      <c r="AT30">
        <f>SUMPRODUCT((('Jul 16'!$F$8:$F$42=$AD11)*'Jul 16'!$AJ$8:$AJ$42+('Jul 16'!$G$8:$G$42=$AD11)*'Jul 16'!$AK$8:$AK$42)*('Jul 16'!$Q$8:$Q$42+'Jul 16'!$R$8:$R$42))</f>
        <v>0</v>
      </c>
      <c r="AU30">
        <f>SUMPRODUCT((('Jul 17'!$F$8:$F$42=$AD11)*'Jul 17'!$AJ$8:$AJ$42+('Jul 17'!$G$8:$G$42=$AD11)*'Jul 17'!$AK$8:$AK$42)*('Jul 17'!$Q$8:$Q$42+'Jul 17'!$R$8:$R$42))</f>
        <v>0</v>
      </c>
      <c r="AV30">
        <f>SUMPRODUCT((('Jul 18'!$F$8:$F$42=$AD11)*'Jul 18'!$AJ$8:$AJ$42+('Jul 18'!$G$8:$G$42=$AD11)*'Jul 18'!$AK$8:$AK$42)*('Jul 18'!$Q$8:$Q$42+'Jul 18'!$R$8:$R$42))</f>
        <v>0</v>
      </c>
      <c r="AW30">
        <f>SUMPRODUCT((('Jul 19'!$F$8:$F$42=$AD11)*'Jul 19'!$AJ$8:$AJ$42+('Jul 19'!$G$8:$G$42=$AD11)*'Jul 19'!$AK$8:$AK$42)*('Jul 19'!$Q$8:$Q$42+'Jul 19'!$R$8:$R$42))</f>
        <v>0</v>
      </c>
      <c r="AX30">
        <f>SUMPRODUCT((('Jul 20'!$F$8:$F$42=$AD11)*'Jul 20'!$AJ$8:$AJ$42+('Jul 20'!$G$8:$G$42=$AD11)*'Jul 20'!$AK$8:$AK$42)*('Jul 20'!$Q$8:$Q$42+'Jul 20'!$R$8:$R$42))</f>
        <v>0</v>
      </c>
      <c r="AY30">
        <f>SUMPRODUCT((('Jul 21'!$F$8:$F$42=$AD11)*'Jul 21'!$AJ$8:$AJ$42+('Jul 21'!$G$8:$G$42=$AD11)*'Jul 21'!$AK$8:$AK$42)*('Jul 21'!$Q$8:$Q$42+'Jul 21'!$R$8:$R$42))</f>
        <v>0</v>
      </c>
      <c r="AZ30">
        <f>SUMPRODUCT((('Jul 22'!$F$8:$F$42=$AD11)*'Jul 22'!$AJ$8:$AJ$42+('Jul 22'!$G$8:$G$42=$AD11)*'Jul 22'!$AK$8:$AK$42)*('Jul 22'!$Q$8:$Q$42+'Jul 22'!$R$8:$R$42))</f>
        <v>0</v>
      </c>
      <c r="BA30">
        <f>SUMPRODUCT((('Jul 23'!$F$8:$F$42=$AD11)*'Jul 23'!$AJ$8:$AJ$42+('Jul 23'!$G$8:$G$42=$AD11)*'Jul 23'!$AK$8:$AK$42)*('Jul 23'!$Q$8:$Q$42+'Jul 23'!$R$8:$R$42))</f>
        <v>0</v>
      </c>
      <c r="BB30">
        <f>SUMPRODUCT((('Jul 24'!$F$8:$F$42=$AD11)*'Jul 24'!$AJ$8:$AJ$42+('Jul 24'!$G$8:$G$42=$AD11)*'Jul 24'!$AK$8:$AK$42)*('Jul 24'!$Q$8:$Q$42+'Jul 24'!$R$8:$R$42))</f>
        <v>0</v>
      </c>
      <c r="BC30">
        <f>SUMPRODUCT((('Jul 25'!$F$8:$F$42=$AD11)*'Jul 25'!$AJ$8:$AJ$42+('Jul 25'!$G$8:$G$42=$AD11)*'Jul 25'!$AK$8:$AK$42)*('Jul 25'!$Q$8:$Q$42+'Jul 25'!$R$8:$R$42))</f>
        <v>0</v>
      </c>
      <c r="BD30">
        <f>SUMPRODUCT((('Jul 26'!$F$8:$F$42=$AD11)*'Jul 26'!$AJ$8:$AJ$42+('Jul 26'!$G$8:$G$42=$AD11)*'Jul 26'!$AK$8:$AK$42)*('Jul 26'!$Q$8:$Q$42+'Jul 26'!$R$8:$R$42))</f>
        <v>0</v>
      </c>
      <c r="BE30">
        <f>SUMPRODUCT((('Jul 27'!$F$8:$F$42=$AD11)*'Jul 27'!$AJ$8:$AJ$42+('Jul 27'!$G$8:$G$42=$AD11)*'Jul 27'!$AK$8:$AK$42)*('Jul 27'!$Q$8:$Q$42+'Jul 27'!$R$8:$R$42))</f>
        <v>0</v>
      </c>
      <c r="BF30">
        <f>SUMPRODUCT((('Jul 28'!$F$8:$F$42=$AD11)*'Jul 28'!$AJ$8:$AJ$42+('Jul 28'!$G$8:$G$42=$AD11)*'Jul 28'!$AK$8:$AK$42)*('Jul 28'!$Q$8:$Q$42+'Jul 28'!$R$8:$R$42))</f>
        <v>0</v>
      </c>
      <c r="BG30">
        <f>SUMPRODUCT((('Jul 29'!$F$8:$F$42=$AD11)*'Jul 29'!$AJ$8:$AJ$42+('Jul 29'!$G$8:$G$42=$AD11)*'Jul 29'!$AK$8:$AK$42)*('Jul 29'!$Q$8:$Q$42+'Jul 29'!$R$8:$R$42))</f>
        <v>0</v>
      </c>
      <c r="BH30">
        <f>SUMPRODUCT((('Jul 30'!$F$8:$F$42=$AD11)*'Jul 30'!$AJ$8:$AJ$42+('Jul 30'!$G$8:$G$42=$AD11)*'Jul 30'!$AK$8:$AK$42)*('Jul 30'!$Q$8:$Q$42+'Jul 30'!$R$8:$R$42))</f>
        <v>0</v>
      </c>
      <c r="BI30">
        <f>SUMPRODUCT((('Jul 31'!$F$8:$F$42=$AD11)*'Jul 31'!$AJ$8:$AJ$42+('Jul 31'!$G$8:$G$42=$AD11)*'Jul 31'!$AK$8:$AK$42)*('Jul 31'!$Q$8:$Q$42+'Jul 31'!$R$8:$R$42))</f>
        <v>0</v>
      </c>
      <c r="BK30">
        <f t="shared" si="2"/>
        <v>0</v>
      </c>
      <c r="BR30">
        <v>46234</v>
      </c>
    </row>
    <row r="31" spans="1:70" ht="15" customHeight="1" x14ac:dyDescent="0.25">
      <c r="A31" s="50">
        <v>4</v>
      </c>
      <c r="B31" s="144" t="str">
        <f>IFERROR(INDEX($AD$4:$AD$19,MATCH(4,$BN$4:$BN$19,0)),"")</f>
        <v>GARRET SCHWETTMAN</v>
      </c>
      <c r="C31" s="111"/>
      <c r="D31" s="111"/>
      <c r="E31" s="111"/>
      <c r="F31" s="111"/>
      <c r="G31" s="111"/>
      <c r="H31" s="139">
        <f>IFERROR(INDEX($BK$4:$BK$19,MATCH(4,$BN$4:$BN$19,0)),0)</f>
        <v>0</v>
      </c>
      <c r="I31" s="111"/>
      <c r="J31" s="136">
        <f>IFERROR(INDEX($BK$23:$BK$38,MATCH(4,$BN$4:$BN$19,0)),0)</f>
        <v>0</v>
      </c>
      <c r="K31" s="111"/>
      <c r="L31" s="136" t="str">
        <f t="shared" si="3"/>
        <v>—</v>
      </c>
      <c r="M31" s="111"/>
      <c r="N31" s="148" t="str">
        <f>$BP44</f>
        <v>Campaign</v>
      </c>
      <c r="O31" s="111"/>
      <c r="P31" s="44">
        <f>$BK44</f>
        <v>0</v>
      </c>
      <c r="Q31" s="143" t="str">
        <f>IF(SUM($BK$41:$BK$45)=0,"—",$BK44/SUM($BK$41:$BK$45))</f>
        <v>—</v>
      </c>
      <c r="R31" s="111"/>
      <c r="U31">
        <f>'Jul 28'!$G$47</f>
        <v>0</v>
      </c>
      <c r="V31">
        <f>'Jul 28'!$G$48</f>
        <v>0</v>
      </c>
      <c r="W31">
        <f>'Jul 28'!$C$54</f>
        <v>0</v>
      </c>
      <c r="X31">
        <f>'Jul 28'!$C$55</f>
        <v>0</v>
      </c>
      <c r="Y31">
        <f>'Jul 28'!$C$57</f>
        <v>0</v>
      </c>
      <c r="Z31">
        <f>COUNTIF('Jul 28'!$AM$8:$AM$42,"Y")</f>
        <v>0</v>
      </c>
      <c r="AA31">
        <f>COUNTIF('Jul 28'!$AN$8:$AN$42,"Y")</f>
        <v>0</v>
      </c>
      <c r="AB31">
        <f>COUNTIF('Jul 28'!$AO$8:$AO$42,"Y")</f>
        <v>0</v>
      </c>
      <c r="AE31">
        <f>SUMPRODUCT((('Jul 1'!$F$8:$F$42=$AD12)*'Jul 1'!$AJ$8:$AJ$42+('Jul 1'!$G$8:$G$42=$AD12)*'Jul 1'!$AK$8:$AK$42)*('Jul 1'!$Q$8:$Q$42+'Jul 1'!$R$8:$R$42))</f>
        <v>0</v>
      </c>
      <c r="AF31">
        <f>SUMPRODUCT((('Jul 2'!$F$8:$F$42=$AD12)*'Jul 2'!$AJ$8:$AJ$42+('Jul 2'!$G$8:$G$42=$AD12)*'Jul 2'!$AK$8:$AK$42)*('Jul 2'!$Q$8:$Q$42+'Jul 2'!$R$8:$R$42))</f>
        <v>0</v>
      </c>
      <c r="AG31">
        <f>SUMPRODUCT((('Jul 3'!$F$8:$F$42=$AD12)*'Jul 3'!$AJ$8:$AJ$42+('Jul 3'!$G$8:$G$42=$AD12)*'Jul 3'!$AK$8:$AK$42)*('Jul 3'!$Q$8:$Q$42+'Jul 3'!$R$8:$R$42))</f>
        <v>0</v>
      </c>
      <c r="AH31">
        <f>SUMPRODUCT((('Jul 4'!$F$8:$F$42=$AD12)*'Jul 4'!$AJ$8:$AJ$42+('Jul 4'!$G$8:$G$42=$AD12)*'Jul 4'!$AK$8:$AK$42)*('Jul 4'!$Q$8:$Q$42+'Jul 4'!$R$8:$R$42))</f>
        <v>0</v>
      </c>
      <c r="AI31">
        <f>SUMPRODUCT((('Jul 5'!$F$8:$F$42=$AD12)*'Jul 5'!$AJ$8:$AJ$42+('Jul 5'!$G$8:$G$42=$AD12)*'Jul 5'!$AK$8:$AK$42)*('Jul 5'!$Q$8:$Q$42+'Jul 5'!$R$8:$R$42))</f>
        <v>0</v>
      </c>
      <c r="AJ31">
        <f>SUMPRODUCT((('Jul 6'!$F$8:$F$42=$AD12)*'Jul 6'!$AJ$8:$AJ$42+('Jul 6'!$G$8:$G$42=$AD12)*'Jul 6'!$AK$8:$AK$42)*('Jul 6'!$Q$8:$Q$42+'Jul 6'!$R$8:$R$42))</f>
        <v>0</v>
      </c>
      <c r="AK31">
        <f>SUMPRODUCT((('Jul 7'!$F$8:$F$42=$AD12)*'Jul 7'!$AJ$8:$AJ$42+('Jul 7'!$G$8:$G$42=$AD12)*'Jul 7'!$AK$8:$AK$42)*('Jul 7'!$Q$8:$Q$42+'Jul 7'!$R$8:$R$42))</f>
        <v>0</v>
      </c>
      <c r="AL31">
        <f>SUMPRODUCT((('Jul 8'!$F$8:$F$42=$AD12)*'Jul 8'!$AJ$8:$AJ$42+('Jul 8'!$G$8:$G$42=$AD12)*'Jul 8'!$AK$8:$AK$42)*('Jul 8'!$Q$8:$Q$42+'Jul 8'!$R$8:$R$42))</f>
        <v>0</v>
      </c>
      <c r="AM31">
        <f>SUMPRODUCT((('Jul 9'!$F$8:$F$42=$AD12)*'Jul 9'!$AJ$8:$AJ$42+('Jul 9'!$G$8:$G$42=$AD12)*'Jul 9'!$AK$8:$AK$42)*('Jul 9'!$Q$8:$Q$42+'Jul 9'!$R$8:$R$42))</f>
        <v>0</v>
      </c>
      <c r="AN31">
        <f>SUMPRODUCT((('Jul 10'!$F$8:$F$42=$AD12)*'Jul 10'!$AJ$8:$AJ$42+('Jul 10'!$G$8:$G$42=$AD12)*'Jul 10'!$AK$8:$AK$42)*('Jul 10'!$Q$8:$Q$42+'Jul 10'!$R$8:$R$42))</f>
        <v>0</v>
      </c>
      <c r="AO31">
        <f>SUMPRODUCT((('Jul 11'!$F$8:$F$42=$AD12)*'Jul 11'!$AJ$8:$AJ$42+('Jul 11'!$G$8:$G$42=$AD12)*'Jul 11'!$AK$8:$AK$42)*('Jul 11'!$Q$8:$Q$42+'Jul 11'!$R$8:$R$42))</f>
        <v>0</v>
      </c>
      <c r="AP31">
        <f>SUMPRODUCT((('Jul 12'!$F$8:$F$42=$AD12)*'Jul 12'!$AJ$8:$AJ$42+('Jul 12'!$G$8:$G$42=$AD12)*'Jul 12'!$AK$8:$AK$42)*('Jul 12'!$Q$8:$Q$42+'Jul 12'!$R$8:$R$42))</f>
        <v>0</v>
      </c>
      <c r="AQ31">
        <f>SUMPRODUCT((('Jul 13'!$F$8:$F$42=$AD12)*'Jul 13'!$AJ$8:$AJ$42+('Jul 13'!$G$8:$G$42=$AD12)*'Jul 13'!$AK$8:$AK$42)*('Jul 13'!$Q$8:$Q$42+'Jul 13'!$R$8:$R$42))</f>
        <v>0</v>
      </c>
      <c r="AR31">
        <f>SUMPRODUCT((('Jul 14'!$F$8:$F$42=$AD12)*'Jul 14'!$AJ$8:$AJ$42+('Jul 14'!$G$8:$G$42=$AD12)*'Jul 14'!$AK$8:$AK$42)*('Jul 14'!$Q$8:$Q$42+'Jul 14'!$R$8:$R$42))</f>
        <v>0</v>
      </c>
      <c r="AS31">
        <f>SUMPRODUCT((('Jul 15'!$F$8:$F$42=$AD12)*'Jul 15'!$AJ$8:$AJ$42+('Jul 15'!$G$8:$G$42=$AD12)*'Jul 15'!$AK$8:$AK$42)*('Jul 15'!$Q$8:$Q$42+'Jul 15'!$R$8:$R$42))</f>
        <v>0</v>
      </c>
      <c r="AT31">
        <f>SUMPRODUCT((('Jul 16'!$F$8:$F$42=$AD12)*'Jul 16'!$AJ$8:$AJ$42+('Jul 16'!$G$8:$G$42=$AD12)*'Jul 16'!$AK$8:$AK$42)*('Jul 16'!$Q$8:$Q$42+'Jul 16'!$R$8:$R$42))</f>
        <v>0</v>
      </c>
      <c r="AU31">
        <f>SUMPRODUCT((('Jul 17'!$F$8:$F$42=$AD12)*'Jul 17'!$AJ$8:$AJ$42+('Jul 17'!$G$8:$G$42=$AD12)*'Jul 17'!$AK$8:$AK$42)*('Jul 17'!$Q$8:$Q$42+'Jul 17'!$R$8:$R$42))</f>
        <v>0</v>
      </c>
      <c r="AV31">
        <f>SUMPRODUCT((('Jul 18'!$F$8:$F$42=$AD12)*'Jul 18'!$AJ$8:$AJ$42+('Jul 18'!$G$8:$G$42=$AD12)*'Jul 18'!$AK$8:$AK$42)*('Jul 18'!$Q$8:$Q$42+'Jul 18'!$R$8:$R$42))</f>
        <v>0</v>
      </c>
      <c r="AW31">
        <f>SUMPRODUCT((('Jul 19'!$F$8:$F$42=$AD12)*'Jul 19'!$AJ$8:$AJ$42+('Jul 19'!$G$8:$G$42=$AD12)*'Jul 19'!$AK$8:$AK$42)*('Jul 19'!$Q$8:$Q$42+'Jul 19'!$R$8:$R$42))</f>
        <v>0</v>
      </c>
      <c r="AX31">
        <f>SUMPRODUCT((('Jul 20'!$F$8:$F$42=$AD12)*'Jul 20'!$AJ$8:$AJ$42+('Jul 20'!$G$8:$G$42=$AD12)*'Jul 20'!$AK$8:$AK$42)*('Jul 20'!$Q$8:$Q$42+'Jul 20'!$R$8:$R$42))</f>
        <v>0</v>
      </c>
      <c r="AY31">
        <f>SUMPRODUCT((('Jul 21'!$F$8:$F$42=$AD12)*'Jul 21'!$AJ$8:$AJ$42+('Jul 21'!$G$8:$G$42=$AD12)*'Jul 21'!$AK$8:$AK$42)*('Jul 21'!$Q$8:$Q$42+'Jul 21'!$R$8:$R$42))</f>
        <v>0</v>
      </c>
      <c r="AZ31">
        <f>SUMPRODUCT((('Jul 22'!$F$8:$F$42=$AD12)*'Jul 22'!$AJ$8:$AJ$42+('Jul 22'!$G$8:$G$42=$AD12)*'Jul 22'!$AK$8:$AK$42)*('Jul 22'!$Q$8:$Q$42+'Jul 22'!$R$8:$R$42))</f>
        <v>0</v>
      </c>
      <c r="BA31">
        <f>SUMPRODUCT((('Jul 23'!$F$8:$F$42=$AD12)*'Jul 23'!$AJ$8:$AJ$42+('Jul 23'!$G$8:$G$42=$AD12)*'Jul 23'!$AK$8:$AK$42)*('Jul 23'!$Q$8:$Q$42+'Jul 23'!$R$8:$R$42))</f>
        <v>0</v>
      </c>
      <c r="BB31">
        <f>SUMPRODUCT((('Jul 24'!$F$8:$F$42=$AD12)*'Jul 24'!$AJ$8:$AJ$42+('Jul 24'!$G$8:$G$42=$AD12)*'Jul 24'!$AK$8:$AK$42)*('Jul 24'!$Q$8:$Q$42+'Jul 24'!$R$8:$R$42))</f>
        <v>0</v>
      </c>
      <c r="BC31">
        <f>SUMPRODUCT((('Jul 25'!$F$8:$F$42=$AD12)*'Jul 25'!$AJ$8:$AJ$42+('Jul 25'!$G$8:$G$42=$AD12)*'Jul 25'!$AK$8:$AK$42)*('Jul 25'!$Q$8:$Q$42+'Jul 25'!$R$8:$R$42))</f>
        <v>0</v>
      </c>
      <c r="BD31">
        <f>SUMPRODUCT((('Jul 26'!$F$8:$F$42=$AD12)*'Jul 26'!$AJ$8:$AJ$42+('Jul 26'!$G$8:$G$42=$AD12)*'Jul 26'!$AK$8:$AK$42)*('Jul 26'!$Q$8:$Q$42+'Jul 26'!$R$8:$R$42))</f>
        <v>0</v>
      </c>
      <c r="BE31">
        <f>SUMPRODUCT((('Jul 27'!$F$8:$F$42=$AD12)*'Jul 27'!$AJ$8:$AJ$42+('Jul 27'!$G$8:$G$42=$AD12)*'Jul 27'!$AK$8:$AK$42)*('Jul 27'!$Q$8:$Q$42+'Jul 27'!$R$8:$R$42))</f>
        <v>0</v>
      </c>
      <c r="BF31">
        <f>SUMPRODUCT((('Jul 28'!$F$8:$F$42=$AD12)*'Jul 28'!$AJ$8:$AJ$42+('Jul 28'!$G$8:$G$42=$AD12)*'Jul 28'!$AK$8:$AK$42)*('Jul 28'!$Q$8:$Q$42+'Jul 28'!$R$8:$R$42))</f>
        <v>0</v>
      </c>
      <c r="BG31">
        <f>SUMPRODUCT((('Jul 29'!$F$8:$F$42=$AD12)*'Jul 29'!$AJ$8:$AJ$42+('Jul 29'!$G$8:$G$42=$AD12)*'Jul 29'!$AK$8:$AK$42)*('Jul 29'!$Q$8:$Q$42+'Jul 29'!$R$8:$R$42))</f>
        <v>0</v>
      </c>
      <c r="BH31">
        <f>SUMPRODUCT((('Jul 30'!$F$8:$F$42=$AD12)*'Jul 30'!$AJ$8:$AJ$42+('Jul 30'!$G$8:$G$42=$AD12)*'Jul 30'!$AK$8:$AK$42)*('Jul 30'!$Q$8:$Q$42+'Jul 30'!$R$8:$R$42))</f>
        <v>0</v>
      </c>
      <c r="BI31">
        <f>SUMPRODUCT((('Jul 31'!$F$8:$F$42=$AD12)*'Jul 31'!$AJ$8:$AJ$42+('Jul 31'!$G$8:$G$42=$AD12)*'Jul 31'!$AK$8:$AK$42)*('Jul 31'!$Q$8:$Q$42+'Jul 31'!$R$8:$R$42))</f>
        <v>0</v>
      </c>
      <c r="BK31">
        <f t="shared" si="2"/>
        <v>0</v>
      </c>
    </row>
    <row r="32" spans="1:70" ht="15" customHeight="1" x14ac:dyDescent="0.25">
      <c r="A32" s="44">
        <v>5</v>
      </c>
      <c r="B32" s="148" t="str">
        <f>IFERROR(INDEX($AD$4:$AD$19,MATCH(5,$BN$4:$BN$19,0)),"")</f>
        <v>MERCEDES CLARK</v>
      </c>
      <c r="C32" s="111"/>
      <c r="D32" s="111"/>
      <c r="E32" s="111"/>
      <c r="F32" s="111"/>
      <c r="G32" s="111"/>
      <c r="H32" s="142">
        <f>IFERROR(INDEX($BK$4:$BK$19,MATCH(5,$BN$4:$BN$19,0)),0)</f>
        <v>0</v>
      </c>
      <c r="I32" s="111"/>
      <c r="J32" s="141">
        <f>IFERROR(INDEX($BK$23:$BK$38,MATCH(5,$BN$4:$BN$19,0)),0)</f>
        <v>0</v>
      </c>
      <c r="K32" s="111"/>
      <c r="L32" s="141" t="str">
        <f t="shared" si="3"/>
        <v>—</v>
      </c>
      <c r="M32" s="111"/>
      <c r="N32" s="148" t="str">
        <f>$BP45</f>
        <v>Untagged</v>
      </c>
      <c r="O32" s="111"/>
      <c r="P32" s="44">
        <f>$BK45</f>
        <v>0</v>
      </c>
      <c r="Q32" s="143" t="str">
        <f>IF(SUM($BK$41:$BK$45)=0,"—",$BK45/SUM($BK$41:$BK$45))</f>
        <v>—</v>
      </c>
      <c r="R32" s="111"/>
      <c r="U32">
        <f>'Jul 29'!$G$47</f>
        <v>0</v>
      </c>
      <c r="V32">
        <f>'Jul 29'!$G$48</f>
        <v>0</v>
      </c>
      <c r="W32">
        <f>'Jul 29'!$C$54</f>
        <v>0</v>
      </c>
      <c r="X32">
        <f>'Jul 29'!$C$55</f>
        <v>0</v>
      </c>
      <c r="Y32">
        <f>'Jul 29'!$C$57</f>
        <v>0</v>
      </c>
      <c r="Z32">
        <f>COUNTIF('Jul 29'!$AM$8:$AM$42,"Y")</f>
        <v>0</v>
      </c>
      <c r="AA32">
        <f>COUNTIF('Jul 29'!$AN$8:$AN$42,"Y")</f>
        <v>0</v>
      </c>
      <c r="AB32">
        <f>COUNTIF('Jul 29'!$AO$8:$AO$42,"Y")</f>
        <v>0</v>
      </c>
      <c r="AE32">
        <f>SUMPRODUCT((('Jul 1'!$F$8:$F$42=$AD13)*'Jul 1'!$AJ$8:$AJ$42+('Jul 1'!$G$8:$G$42=$AD13)*'Jul 1'!$AK$8:$AK$42)*('Jul 1'!$Q$8:$Q$42+'Jul 1'!$R$8:$R$42))</f>
        <v>0</v>
      </c>
      <c r="AF32">
        <f>SUMPRODUCT((('Jul 2'!$F$8:$F$42=$AD13)*'Jul 2'!$AJ$8:$AJ$42+('Jul 2'!$G$8:$G$42=$AD13)*'Jul 2'!$AK$8:$AK$42)*('Jul 2'!$Q$8:$Q$42+'Jul 2'!$R$8:$R$42))</f>
        <v>0</v>
      </c>
      <c r="AG32">
        <f>SUMPRODUCT((('Jul 3'!$F$8:$F$42=$AD13)*'Jul 3'!$AJ$8:$AJ$42+('Jul 3'!$G$8:$G$42=$AD13)*'Jul 3'!$AK$8:$AK$42)*('Jul 3'!$Q$8:$Q$42+'Jul 3'!$R$8:$R$42))</f>
        <v>0</v>
      </c>
      <c r="AH32">
        <f>SUMPRODUCT((('Jul 4'!$F$8:$F$42=$AD13)*'Jul 4'!$AJ$8:$AJ$42+('Jul 4'!$G$8:$G$42=$AD13)*'Jul 4'!$AK$8:$AK$42)*('Jul 4'!$Q$8:$Q$42+'Jul 4'!$R$8:$R$42))</f>
        <v>0</v>
      </c>
      <c r="AI32">
        <f>SUMPRODUCT((('Jul 5'!$F$8:$F$42=$AD13)*'Jul 5'!$AJ$8:$AJ$42+('Jul 5'!$G$8:$G$42=$AD13)*'Jul 5'!$AK$8:$AK$42)*('Jul 5'!$Q$8:$Q$42+'Jul 5'!$R$8:$R$42))</f>
        <v>0</v>
      </c>
      <c r="AJ32">
        <f>SUMPRODUCT((('Jul 6'!$F$8:$F$42=$AD13)*'Jul 6'!$AJ$8:$AJ$42+('Jul 6'!$G$8:$G$42=$AD13)*'Jul 6'!$AK$8:$AK$42)*('Jul 6'!$Q$8:$Q$42+'Jul 6'!$R$8:$R$42))</f>
        <v>0</v>
      </c>
      <c r="AK32">
        <f>SUMPRODUCT((('Jul 7'!$F$8:$F$42=$AD13)*'Jul 7'!$AJ$8:$AJ$42+('Jul 7'!$G$8:$G$42=$AD13)*'Jul 7'!$AK$8:$AK$42)*('Jul 7'!$Q$8:$Q$42+'Jul 7'!$R$8:$R$42))</f>
        <v>0</v>
      </c>
      <c r="AL32">
        <f>SUMPRODUCT((('Jul 8'!$F$8:$F$42=$AD13)*'Jul 8'!$AJ$8:$AJ$42+('Jul 8'!$G$8:$G$42=$AD13)*'Jul 8'!$AK$8:$AK$42)*('Jul 8'!$Q$8:$Q$42+'Jul 8'!$R$8:$R$42))</f>
        <v>0</v>
      </c>
      <c r="AM32">
        <f>SUMPRODUCT((('Jul 9'!$F$8:$F$42=$AD13)*'Jul 9'!$AJ$8:$AJ$42+('Jul 9'!$G$8:$G$42=$AD13)*'Jul 9'!$AK$8:$AK$42)*('Jul 9'!$Q$8:$Q$42+'Jul 9'!$R$8:$R$42))</f>
        <v>0</v>
      </c>
      <c r="AN32">
        <f>SUMPRODUCT((('Jul 10'!$F$8:$F$42=$AD13)*'Jul 10'!$AJ$8:$AJ$42+('Jul 10'!$G$8:$G$42=$AD13)*'Jul 10'!$AK$8:$AK$42)*('Jul 10'!$Q$8:$Q$42+'Jul 10'!$R$8:$R$42))</f>
        <v>0</v>
      </c>
      <c r="AO32">
        <f>SUMPRODUCT((('Jul 11'!$F$8:$F$42=$AD13)*'Jul 11'!$AJ$8:$AJ$42+('Jul 11'!$G$8:$G$42=$AD13)*'Jul 11'!$AK$8:$AK$42)*('Jul 11'!$Q$8:$Q$42+'Jul 11'!$R$8:$R$42))</f>
        <v>0</v>
      </c>
      <c r="AP32">
        <f>SUMPRODUCT((('Jul 12'!$F$8:$F$42=$AD13)*'Jul 12'!$AJ$8:$AJ$42+('Jul 12'!$G$8:$G$42=$AD13)*'Jul 12'!$AK$8:$AK$42)*('Jul 12'!$Q$8:$Q$42+'Jul 12'!$R$8:$R$42))</f>
        <v>0</v>
      </c>
      <c r="AQ32">
        <f>SUMPRODUCT((('Jul 13'!$F$8:$F$42=$AD13)*'Jul 13'!$AJ$8:$AJ$42+('Jul 13'!$G$8:$G$42=$AD13)*'Jul 13'!$AK$8:$AK$42)*('Jul 13'!$Q$8:$Q$42+'Jul 13'!$R$8:$R$42))</f>
        <v>0</v>
      </c>
      <c r="AR32">
        <f>SUMPRODUCT((('Jul 14'!$F$8:$F$42=$AD13)*'Jul 14'!$AJ$8:$AJ$42+('Jul 14'!$G$8:$G$42=$AD13)*'Jul 14'!$AK$8:$AK$42)*('Jul 14'!$Q$8:$Q$42+'Jul 14'!$R$8:$R$42))</f>
        <v>0</v>
      </c>
      <c r="AS32">
        <f>SUMPRODUCT((('Jul 15'!$F$8:$F$42=$AD13)*'Jul 15'!$AJ$8:$AJ$42+('Jul 15'!$G$8:$G$42=$AD13)*'Jul 15'!$AK$8:$AK$42)*('Jul 15'!$Q$8:$Q$42+'Jul 15'!$R$8:$R$42))</f>
        <v>0</v>
      </c>
      <c r="AT32">
        <f>SUMPRODUCT((('Jul 16'!$F$8:$F$42=$AD13)*'Jul 16'!$AJ$8:$AJ$42+('Jul 16'!$G$8:$G$42=$AD13)*'Jul 16'!$AK$8:$AK$42)*('Jul 16'!$Q$8:$Q$42+'Jul 16'!$R$8:$R$42))</f>
        <v>0</v>
      </c>
      <c r="AU32">
        <f>SUMPRODUCT((('Jul 17'!$F$8:$F$42=$AD13)*'Jul 17'!$AJ$8:$AJ$42+('Jul 17'!$G$8:$G$42=$AD13)*'Jul 17'!$AK$8:$AK$42)*('Jul 17'!$Q$8:$Q$42+'Jul 17'!$R$8:$R$42))</f>
        <v>0</v>
      </c>
      <c r="AV32">
        <f>SUMPRODUCT((('Jul 18'!$F$8:$F$42=$AD13)*'Jul 18'!$AJ$8:$AJ$42+('Jul 18'!$G$8:$G$42=$AD13)*'Jul 18'!$AK$8:$AK$42)*('Jul 18'!$Q$8:$Q$42+'Jul 18'!$R$8:$R$42))</f>
        <v>0</v>
      </c>
      <c r="AW32">
        <f>SUMPRODUCT((('Jul 19'!$F$8:$F$42=$AD13)*'Jul 19'!$AJ$8:$AJ$42+('Jul 19'!$G$8:$G$42=$AD13)*'Jul 19'!$AK$8:$AK$42)*('Jul 19'!$Q$8:$Q$42+'Jul 19'!$R$8:$R$42))</f>
        <v>0</v>
      </c>
      <c r="AX32">
        <f>SUMPRODUCT((('Jul 20'!$F$8:$F$42=$AD13)*'Jul 20'!$AJ$8:$AJ$42+('Jul 20'!$G$8:$G$42=$AD13)*'Jul 20'!$AK$8:$AK$42)*('Jul 20'!$Q$8:$Q$42+'Jul 20'!$R$8:$R$42))</f>
        <v>0</v>
      </c>
      <c r="AY32">
        <f>SUMPRODUCT((('Jul 21'!$F$8:$F$42=$AD13)*'Jul 21'!$AJ$8:$AJ$42+('Jul 21'!$G$8:$G$42=$AD13)*'Jul 21'!$AK$8:$AK$42)*('Jul 21'!$Q$8:$Q$42+'Jul 21'!$R$8:$R$42))</f>
        <v>0</v>
      </c>
      <c r="AZ32">
        <f>SUMPRODUCT((('Jul 22'!$F$8:$F$42=$AD13)*'Jul 22'!$AJ$8:$AJ$42+('Jul 22'!$G$8:$G$42=$AD13)*'Jul 22'!$AK$8:$AK$42)*('Jul 22'!$Q$8:$Q$42+'Jul 22'!$R$8:$R$42))</f>
        <v>0</v>
      </c>
      <c r="BA32">
        <f>SUMPRODUCT((('Jul 23'!$F$8:$F$42=$AD13)*'Jul 23'!$AJ$8:$AJ$42+('Jul 23'!$G$8:$G$42=$AD13)*'Jul 23'!$AK$8:$AK$42)*('Jul 23'!$Q$8:$Q$42+'Jul 23'!$R$8:$R$42))</f>
        <v>0</v>
      </c>
      <c r="BB32">
        <f>SUMPRODUCT((('Jul 24'!$F$8:$F$42=$AD13)*'Jul 24'!$AJ$8:$AJ$42+('Jul 24'!$G$8:$G$42=$AD13)*'Jul 24'!$AK$8:$AK$42)*('Jul 24'!$Q$8:$Q$42+'Jul 24'!$R$8:$R$42))</f>
        <v>0</v>
      </c>
      <c r="BC32">
        <f>SUMPRODUCT((('Jul 25'!$F$8:$F$42=$AD13)*'Jul 25'!$AJ$8:$AJ$42+('Jul 25'!$G$8:$G$42=$AD13)*'Jul 25'!$AK$8:$AK$42)*('Jul 25'!$Q$8:$Q$42+'Jul 25'!$R$8:$R$42))</f>
        <v>0</v>
      </c>
      <c r="BD32">
        <f>SUMPRODUCT((('Jul 26'!$F$8:$F$42=$AD13)*'Jul 26'!$AJ$8:$AJ$42+('Jul 26'!$G$8:$G$42=$AD13)*'Jul 26'!$AK$8:$AK$42)*('Jul 26'!$Q$8:$Q$42+'Jul 26'!$R$8:$R$42))</f>
        <v>0</v>
      </c>
      <c r="BE32">
        <f>SUMPRODUCT((('Jul 27'!$F$8:$F$42=$AD13)*'Jul 27'!$AJ$8:$AJ$42+('Jul 27'!$G$8:$G$42=$AD13)*'Jul 27'!$AK$8:$AK$42)*('Jul 27'!$Q$8:$Q$42+'Jul 27'!$R$8:$R$42))</f>
        <v>0</v>
      </c>
      <c r="BF32">
        <f>SUMPRODUCT((('Jul 28'!$F$8:$F$42=$AD13)*'Jul 28'!$AJ$8:$AJ$42+('Jul 28'!$G$8:$G$42=$AD13)*'Jul 28'!$AK$8:$AK$42)*('Jul 28'!$Q$8:$Q$42+'Jul 28'!$R$8:$R$42))</f>
        <v>0</v>
      </c>
      <c r="BG32">
        <f>SUMPRODUCT((('Jul 29'!$F$8:$F$42=$AD13)*'Jul 29'!$AJ$8:$AJ$42+('Jul 29'!$G$8:$G$42=$AD13)*'Jul 29'!$AK$8:$AK$42)*('Jul 29'!$Q$8:$Q$42+'Jul 29'!$R$8:$R$42))</f>
        <v>0</v>
      </c>
      <c r="BH32">
        <f>SUMPRODUCT((('Jul 30'!$F$8:$F$42=$AD13)*'Jul 30'!$AJ$8:$AJ$42+('Jul 30'!$G$8:$G$42=$AD13)*'Jul 30'!$AK$8:$AK$42)*('Jul 30'!$Q$8:$Q$42+'Jul 30'!$R$8:$R$42))</f>
        <v>0</v>
      </c>
      <c r="BI32">
        <f>SUMPRODUCT((('Jul 31'!$F$8:$F$42=$AD13)*'Jul 31'!$AJ$8:$AJ$42+('Jul 31'!$G$8:$G$42=$AD13)*'Jul 31'!$AK$8:$AK$42)*('Jul 31'!$Q$8:$Q$42+'Jul 31'!$R$8:$R$42))</f>
        <v>0</v>
      </c>
      <c r="BK32">
        <f t="shared" si="2"/>
        <v>0</v>
      </c>
    </row>
    <row r="33" spans="1:68" ht="15" customHeight="1" x14ac:dyDescent="0.25">
      <c r="A33" s="50">
        <v>6</v>
      </c>
      <c r="B33" s="144" t="str">
        <f>IFERROR(INDEX($AD$4:$AD$19,MATCH(6,$BN$4:$BN$19,0)),"")</f>
        <v>ZAY JOHNSON</v>
      </c>
      <c r="C33" s="111"/>
      <c r="D33" s="111"/>
      <c r="E33" s="111"/>
      <c r="F33" s="111"/>
      <c r="G33" s="111"/>
      <c r="H33" s="139">
        <f>IFERROR(INDEX($BK$4:$BK$19,MATCH(6,$BN$4:$BN$19,0)),0)</f>
        <v>0</v>
      </c>
      <c r="I33" s="111"/>
      <c r="J33" s="136">
        <f>IFERROR(INDEX($BK$23:$BK$38,MATCH(6,$BN$4:$BN$19,0)),0)</f>
        <v>0</v>
      </c>
      <c r="K33" s="111"/>
      <c r="L33" s="136" t="str">
        <f t="shared" si="3"/>
        <v>—</v>
      </c>
      <c r="M33" s="111"/>
      <c r="U33">
        <f>'Jul 30'!$G$47</f>
        <v>0</v>
      </c>
      <c r="V33">
        <f>'Jul 30'!$G$48</f>
        <v>0</v>
      </c>
      <c r="W33">
        <f>'Jul 30'!$C$54</f>
        <v>0</v>
      </c>
      <c r="X33">
        <f>'Jul 30'!$C$55</f>
        <v>0</v>
      </c>
      <c r="Y33">
        <f>'Jul 30'!$C$57</f>
        <v>0</v>
      </c>
      <c r="Z33">
        <f>COUNTIF('Jul 30'!$AM$8:$AM$42,"Y")</f>
        <v>0</v>
      </c>
      <c r="AA33">
        <f>COUNTIF('Jul 30'!$AN$8:$AN$42,"Y")</f>
        <v>0</v>
      </c>
      <c r="AB33">
        <f>COUNTIF('Jul 30'!$AO$8:$AO$42,"Y")</f>
        <v>0</v>
      </c>
      <c r="AE33">
        <f>SUMPRODUCT((('Jul 1'!$F$8:$F$42=$AD14)*'Jul 1'!$AJ$8:$AJ$42+('Jul 1'!$G$8:$G$42=$AD14)*'Jul 1'!$AK$8:$AK$42)*('Jul 1'!$Q$8:$Q$42+'Jul 1'!$R$8:$R$42))</f>
        <v>0</v>
      </c>
      <c r="AF33">
        <f>SUMPRODUCT((('Jul 2'!$F$8:$F$42=$AD14)*'Jul 2'!$AJ$8:$AJ$42+('Jul 2'!$G$8:$G$42=$AD14)*'Jul 2'!$AK$8:$AK$42)*('Jul 2'!$Q$8:$Q$42+'Jul 2'!$R$8:$R$42))</f>
        <v>0</v>
      </c>
      <c r="AG33">
        <f>SUMPRODUCT((('Jul 3'!$F$8:$F$42=$AD14)*'Jul 3'!$AJ$8:$AJ$42+('Jul 3'!$G$8:$G$42=$AD14)*'Jul 3'!$AK$8:$AK$42)*('Jul 3'!$Q$8:$Q$42+'Jul 3'!$R$8:$R$42))</f>
        <v>0</v>
      </c>
      <c r="AH33">
        <f>SUMPRODUCT((('Jul 4'!$F$8:$F$42=$AD14)*'Jul 4'!$AJ$8:$AJ$42+('Jul 4'!$G$8:$G$42=$AD14)*'Jul 4'!$AK$8:$AK$42)*('Jul 4'!$Q$8:$Q$42+'Jul 4'!$R$8:$R$42))</f>
        <v>0</v>
      </c>
      <c r="AI33">
        <f>SUMPRODUCT((('Jul 5'!$F$8:$F$42=$AD14)*'Jul 5'!$AJ$8:$AJ$42+('Jul 5'!$G$8:$G$42=$AD14)*'Jul 5'!$AK$8:$AK$42)*('Jul 5'!$Q$8:$Q$42+'Jul 5'!$R$8:$R$42))</f>
        <v>0</v>
      </c>
      <c r="AJ33">
        <f>SUMPRODUCT((('Jul 6'!$F$8:$F$42=$AD14)*'Jul 6'!$AJ$8:$AJ$42+('Jul 6'!$G$8:$G$42=$AD14)*'Jul 6'!$AK$8:$AK$42)*('Jul 6'!$Q$8:$Q$42+'Jul 6'!$R$8:$R$42))</f>
        <v>0</v>
      </c>
      <c r="AK33">
        <f>SUMPRODUCT((('Jul 7'!$F$8:$F$42=$AD14)*'Jul 7'!$AJ$8:$AJ$42+('Jul 7'!$G$8:$G$42=$AD14)*'Jul 7'!$AK$8:$AK$42)*('Jul 7'!$Q$8:$Q$42+'Jul 7'!$R$8:$R$42))</f>
        <v>0</v>
      </c>
      <c r="AL33">
        <f>SUMPRODUCT((('Jul 8'!$F$8:$F$42=$AD14)*'Jul 8'!$AJ$8:$AJ$42+('Jul 8'!$G$8:$G$42=$AD14)*'Jul 8'!$AK$8:$AK$42)*('Jul 8'!$Q$8:$Q$42+'Jul 8'!$R$8:$R$42))</f>
        <v>0</v>
      </c>
      <c r="AM33">
        <f>SUMPRODUCT((('Jul 9'!$F$8:$F$42=$AD14)*'Jul 9'!$AJ$8:$AJ$42+('Jul 9'!$G$8:$G$42=$AD14)*'Jul 9'!$AK$8:$AK$42)*('Jul 9'!$Q$8:$Q$42+'Jul 9'!$R$8:$R$42))</f>
        <v>0</v>
      </c>
      <c r="AN33">
        <f>SUMPRODUCT((('Jul 10'!$F$8:$F$42=$AD14)*'Jul 10'!$AJ$8:$AJ$42+('Jul 10'!$G$8:$G$42=$AD14)*'Jul 10'!$AK$8:$AK$42)*('Jul 10'!$Q$8:$Q$42+'Jul 10'!$R$8:$R$42))</f>
        <v>0</v>
      </c>
      <c r="AO33">
        <f>SUMPRODUCT((('Jul 11'!$F$8:$F$42=$AD14)*'Jul 11'!$AJ$8:$AJ$42+('Jul 11'!$G$8:$G$42=$AD14)*'Jul 11'!$AK$8:$AK$42)*('Jul 11'!$Q$8:$Q$42+'Jul 11'!$R$8:$R$42))</f>
        <v>0</v>
      </c>
      <c r="AP33">
        <f>SUMPRODUCT((('Jul 12'!$F$8:$F$42=$AD14)*'Jul 12'!$AJ$8:$AJ$42+('Jul 12'!$G$8:$G$42=$AD14)*'Jul 12'!$AK$8:$AK$42)*('Jul 12'!$Q$8:$Q$42+'Jul 12'!$R$8:$R$42))</f>
        <v>0</v>
      </c>
      <c r="AQ33">
        <f>SUMPRODUCT((('Jul 13'!$F$8:$F$42=$AD14)*'Jul 13'!$AJ$8:$AJ$42+('Jul 13'!$G$8:$G$42=$AD14)*'Jul 13'!$AK$8:$AK$42)*('Jul 13'!$Q$8:$Q$42+'Jul 13'!$R$8:$R$42))</f>
        <v>0</v>
      </c>
      <c r="AR33">
        <f>SUMPRODUCT((('Jul 14'!$F$8:$F$42=$AD14)*'Jul 14'!$AJ$8:$AJ$42+('Jul 14'!$G$8:$G$42=$AD14)*'Jul 14'!$AK$8:$AK$42)*('Jul 14'!$Q$8:$Q$42+'Jul 14'!$R$8:$R$42))</f>
        <v>0</v>
      </c>
      <c r="AS33">
        <f>SUMPRODUCT((('Jul 15'!$F$8:$F$42=$AD14)*'Jul 15'!$AJ$8:$AJ$42+('Jul 15'!$G$8:$G$42=$AD14)*'Jul 15'!$AK$8:$AK$42)*('Jul 15'!$Q$8:$Q$42+'Jul 15'!$R$8:$R$42))</f>
        <v>0</v>
      </c>
      <c r="AT33">
        <f>SUMPRODUCT((('Jul 16'!$F$8:$F$42=$AD14)*'Jul 16'!$AJ$8:$AJ$42+('Jul 16'!$G$8:$G$42=$AD14)*'Jul 16'!$AK$8:$AK$42)*('Jul 16'!$Q$8:$Q$42+'Jul 16'!$R$8:$R$42))</f>
        <v>0</v>
      </c>
      <c r="AU33">
        <f>SUMPRODUCT((('Jul 17'!$F$8:$F$42=$AD14)*'Jul 17'!$AJ$8:$AJ$42+('Jul 17'!$G$8:$G$42=$AD14)*'Jul 17'!$AK$8:$AK$42)*('Jul 17'!$Q$8:$Q$42+'Jul 17'!$R$8:$R$42))</f>
        <v>0</v>
      </c>
      <c r="AV33">
        <f>SUMPRODUCT((('Jul 18'!$F$8:$F$42=$AD14)*'Jul 18'!$AJ$8:$AJ$42+('Jul 18'!$G$8:$G$42=$AD14)*'Jul 18'!$AK$8:$AK$42)*('Jul 18'!$Q$8:$Q$42+'Jul 18'!$R$8:$R$42))</f>
        <v>0</v>
      </c>
      <c r="AW33">
        <f>SUMPRODUCT((('Jul 19'!$F$8:$F$42=$AD14)*'Jul 19'!$AJ$8:$AJ$42+('Jul 19'!$G$8:$G$42=$AD14)*'Jul 19'!$AK$8:$AK$42)*('Jul 19'!$Q$8:$Q$42+'Jul 19'!$R$8:$R$42))</f>
        <v>0</v>
      </c>
      <c r="AX33">
        <f>SUMPRODUCT((('Jul 20'!$F$8:$F$42=$AD14)*'Jul 20'!$AJ$8:$AJ$42+('Jul 20'!$G$8:$G$42=$AD14)*'Jul 20'!$AK$8:$AK$42)*('Jul 20'!$Q$8:$Q$42+'Jul 20'!$R$8:$R$42))</f>
        <v>0</v>
      </c>
      <c r="AY33">
        <f>SUMPRODUCT((('Jul 21'!$F$8:$F$42=$AD14)*'Jul 21'!$AJ$8:$AJ$42+('Jul 21'!$G$8:$G$42=$AD14)*'Jul 21'!$AK$8:$AK$42)*('Jul 21'!$Q$8:$Q$42+'Jul 21'!$R$8:$R$42))</f>
        <v>0</v>
      </c>
      <c r="AZ33">
        <f>SUMPRODUCT((('Jul 22'!$F$8:$F$42=$AD14)*'Jul 22'!$AJ$8:$AJ$42+('Jul 22'!$G$8:$G$42=$AD14)*'Jul 22'!$AK$8:$AK$42)*('Jul 22'!$Q$8:$Q$42+'Jul 22'!$R$8:$R$42))</f>
        <v>0</v>
      </c>
      <c r="BA33">
        <f>SUMPRODUCT((('Jul 23'!$F$8:$F$42=$AD14)*'Jul 23'!$AJ$8:$AJ$42+('Jul 23'!$G$8:$G$42=$AD14)*'Jul 23'!$AK$8:$AK$42)*('Jul 23'!$Q$8:$Q$42+'Jul 23'!$R$8:$R$42))</f>
        <v>0</v>
      </c>
      <c r="BB33">
        <f>SUMPRODUCT((('Jul 24'!$F$8:$F$42=$AD14)*'Jul 24'!$AJ$8:$AJ$42+('Jul 24'!$G$8:$G$42=$AD14)*'Jul 24'!$AK$8:$AK$42)*('Jul 24'!$Q$8:$Q$42+'Jul 24'!$R$8:$R$42))</f>
        <v>0</v>
      </c>
      <c r="BC33">
        <f>SUMPRODUCT((('Jul 25'!$F$8:$F$42=$AD14)*'Jul 25'!$AJ$8:$AJ$42+('Jul 25'!$G$8:$G$42=$AD14)*'Jul 25'!$AK$8:$AK$42)*('Jul 25'!$Q$8:$Q$42+'Jul 25'!$R$8:$R$42))</f>
        <v>0</v>
      </c>
      <c r="BD33">
        <f>SUMPRODUCT((('Jul 26'!$F$8:$F$42=$AD14)*'Jul 26'!$AJ$8:$AJ$42+('Jul 26'!$G$8:$G$42=$AD14)*'Jul 26'!$AK$8:$AK$42)*('Jul 26'!$Q$8:$Q$42+'Jul 26'!$R$8:$R$42))</f>
        <v>0</v>
      </c>
      <c r="BE33">
        <f>SUMPRODUCT((('Jul 27'!$F$8:$F$42=$AD14)*'Jul 27'!$AJ$8:$AJ$42+('Jul 27'!$G$8:$G$42=$AD14)*'Jul 27'!$AK$8:$AK$42)*('Jul 27'!$Q$8:$Q$42+'Jul 27'!$R$8:$R$42))</f>
        <v>0</v>
      </c>
      <c r="BF33">
        <f>SUMPRODUCT((('Jul 28'!$F$8:$F$42=$AD14)*'Jul 28'!$AJ$8:$AJ$42+('Jul 28'!$G$8:$G$42=$AD14)*'Jul 28'!$AK$8:$AK$42)*('Jul 28'!$Q$8:$Q$42+'Jul 28'!$R$8:$R$42))</f>
        <v>0</v>
      </c>
      <c r="BG33">
        <f>SUMPRODUCT((('Jul 29'!$F$8:$F$42=$AD14)*'Jul 29'!$AJ$8:$AJ$42+('Jul 29'!$G$8:$G$42=$AD14)*'Jul 29'!$AK$8:$AK$42)*('Jul 29'!$Q$8:$Q$42+'Jul 29'!$R$8:$R$42))</f>
        <v>0</v>
      </c>
      <c r="BH33">
        <f>SUMPRODUCT((('Jul 30'!$F$8:$F$42=$AD14)*'Jul 30'!$AJ$8:$AJ$42+('Jul 30'!$G$8:$G$42=$AD14)*'Jul 30'!$AK$8:$AK$42)*('Jul 30'!$Q$8:$Q$42+'Jul 30'!$R$8:$R$42))</f>
        <v>0</v>
      </c>
      <c r="BI33">
        <f>SUMPRODUCT((('Jul 31'!$F$8:$F$42=$AD14)*'Jul 31'!$AJ$8:$AJ$42+('Jul 31'!$G$8:$G$42=$AD14)*'Jul 31'!$AK$8:$AK$42)*('Jul 31'!$Q$8:$Q$42+'Jul 31'!$R$8:$R$42))</f>
        <v>0</v>
      </c>
      <c r="BK33">
        <f t="shared" si="2"/>
        <v>0</v>
      </c>
    </row>
    <row r="34" spans="1:68" ht="15" customHeight="1" x14ac:dyDescent="0.25">
      <c r="A34" s="44">
        <v>7</v>
      </c>
      <c r="B34" s="148" t="str">
        <f>IFERROR(INDEX($AD$4:$AD$19,MATCH(7,$BN$4:$BN$19,0)),"")</f>
        <v>JUSTIN ROLLER</v>
      </c>
      <c r="C34" s="111"/>
      <c r="D34" s="111"/>
      <c r="E34" s="111"/>
      <c r="F34" s="111"/>
      <c r="G34" s="111"/>
      <c r="H34" s="142">
        <f>IFERROR(INDEX($BK$4:$BK$19,MATCH(7,$BN$4:$BN$19,0)),0)</f>
        <v>0</v>
      </c>
      <c r="I34" s="111"/>
      <c r="J34" s="141">
        <f>IFERROR(INDEX($BK$23:$BK$38,MATCH(7,$BN$4:$BN$19,0)),0)</f>
        <v>0</v>
      </c>
      <c r="K34" s="111"/>
      <c r="L34" s="141" t="str">
        <f t="shared" si="3"/>
        <v>—</v>
      </c>
      <c r="M34" s="111"/>
      <c r="N34" s="154" t="s">
        <v>175</v>
      </c>
      <c r="O34" s="118"/>
      <c r="P34" s="118"/>
      <c r="Q34" s="118"/>
      <c r="R34" s="118"/>
      <c r="U34">
        <f>'Jul 31'!$G$47</f>
        <v>0</v>
      </c>
      <c r="V34">
        <f>'Jul 31'!$G$48</f>
        <v>0</v>
      </c>
      <c r="W34">
        <f>'Jul 31'!$C$54</f>
        <v>0</v>
      </c>
      <c r="X34">
        <f>'Jul 31'!$C$55</f>
        <v>0</v>
      </c>
      <c r="Y34">
        <f>'Jul 31'!$C$57</f>
        <v>0</v>
      </c>
      <c r="Z34">
        <f>COUNTIF('Jul 31'!$AM$8:$AM$42,"Y")</f>
        <v>0</v>
      </c>
      <c r="AA34">
        <f>COUNTIF('Jul 31'!$AN$8:$AN$42,"Y")</f>
        <v>0</v>
      </c>
      <c r="AB34">
        <f>COUNTIF('Jul 31'!$AO$8:$AO$42,"Y")</f>
        <v>0</v>
      </c>
      <c r="AE34">
        <f>SUMPRODUCT((('Jul 1'!$F$8:$F$42=$AD15)*'Jul 1'!$AJ$8:$AJ$42+('Jul 1'!$G$8:$G$42=$AD15)*'Jul 1'!$AK$8:$AK$42)*('Jul 1'!$Q$8:$Q$42+'Jul 1'!$R$8:$R$42))</f>
        <v>0</v>
      </c>
      <c r="AF34">
        <f>SUMPRODUCT((('Jul 2'!$F$8:$F$42=$AD15)*'Jul 2'!$AJ$8:$AJ$42+('Jul 2'!$G$8:$G$42=$AD15)*'Jul 2'!$AK$8:$AK$42)*('Jul 2'!$Q$8:$Q$42+'Jul 2'!$R$8:$R$42))</f>
        <v>0</v>
      </c>
      <c r="AG34">
        <f>SUMPRODUCT((('Jul 3'!$F$8:$F$42=$AD15)*'Jul 3'!$AJ$8:$AJ$42+('Jul 3'!$G$8:$G$42=$AD15)*'Jul 3'!$AK$8:$AK$42)*('Jul 3'!$Q$8:$Q$42+'Jul 3'!$R$8:$R$42))</f>
        <v>0</v>
      </c>
      <c r="AH34">
        <f>SUMPRODUCT((('Jul 4'!$F$8:$F$42=$AD15)*'Jul 4'!$AJ$8:$AJ$42+('Jul 4'!$G$8:$G$42=$AD15)*'Jul 4'!$AK$8:$AK$42)*('Jul 4'!$Q$8:$Q$42+'Jul 4'!$R$8:$R$42))</f>
        <v>0</v>
      </c>
      <c r="AI34">
        <f>SUMPRODUCT((('Jul 5'!$F$8:$F$42=$AD15)*'Jul 5'!$AJ$8:$AJ$42+('Jul 5'!$G$8:$G$42=$AD15)*'Jul 5'!$AK$8:$AK$42)*('Jul 5'!$Q$8:$Q$42+'Jul 5'!$R$8:$R$42))</f>
        <v>0</v>
      </c>
      <c r="AJ34">
        <f>SUMPRODUCT((('Jul 6'!$F$8:$F$42=$AD15)*'Jul 6'!$AJ$8:$AJ$42+('Jul 6'!$G$8:$G$42=$AD15)*'Jul 6'!$AK$8:$AK$42)*('Jul 6'!$Q$8:$Q$42+'Jul 6'!$R$8:$R$42))</f>
        <v>0</v>
      </c>
      <c r="AK34">
        <f>SUMPRODUCT((('Jul 7'!$F$8:$F$42=$AD15)*'Jul 7'!$AJ$8:$AJ$42+('Jul 7'!$G$8:$G$42=$AD15)*'Jul 7'!$AK$8:$AK$42)*('Jul 7'!$Q$8:$Q$42+'Jul 7'!$R$8:$R$42))</f>
        <v>0</v>
      </c>
      <c r="AL34">
        <f>SUMPRODUCT((('Jul 8'!$F$8:$F$42=$AD15)*'Jul 8'!$AJ$8:$AJ$42+('Jul 8'!$G$8:$G$42=$AD15)*'Jul 8'!$AK$8:$AK$42)*('Jul 8'!$Q$8:$Q$42+'Jul 8'!$R$8:$R$42))</f>
        <v>0</v>
      </c>
      <c r="AM34">
        <f>SUMPRODUCT((('Jul 9'!$F$8:$F$42=$AD15)*'Jul 9'!$AJ$8:$AJ$42+('Jul 9'!$G$8:$G$42=$AD15)*'Jul 9'!$AK$8:$AK$42)*('Jul 9'!$Q$8:$Q$42+'Jul 9'!$R$8:$R$42))</f>
        <v>0</v>
      </c>
      <c r="AN34">
        <f>SUMPRODUCT((('Jul 10'!$F$8:$F$42=$AD15)*'Jul 10'!$AJ$8:$AJ$42+('Jul 10'!$G$8:$G$42=$AD15)*'Jul 10'!$AK$8:$AK$42)*('Jul 10'!$Q$8:$Q$42+'Jul 10'!$R$8:$R$42))</f>
        <v>0</v>
      </c>
      <c r="AO34">
        <f>SUMPRODUCT((('Jul 11'!$F$8:$F$42=$AD15)*'Jul 11'!$AJ$8:$AJ$42+('Jul 11'!$G$8:$G$42=$AD15)*'Jul 11'!$AK$8:$AK$42)*('Jul 11'!$Q$8:$Q$42+'Jul 11'!$R$8:$R$42))</f>
        <v>0</v>
      </c>
      <c r="AP34">
        <f>SUMPRODUCT((('Jul 12'!$F$8:$F$42=$AD15)*'Jul 12'!$AJ$8:$AJ$42+('Jul 12'!$G$8:$G$42=$AD15)*'Jul 12'!$AK$8:$AK$42)*('Jul 12'!$Q$8:$Q$42+'Jul 12'!$R$8:$R$42))</f>
        <v>0</v>
      </c>
      <c r="AQ34">
        <f>SUMPRODUCT((('Jul 13'!$F$8:$F$42=$AD15)*'Jul 13'!$AJ$8:$AJ$42+('Jul 13'!$G$8:$G$42=$AD15)*'Jul 13'!$AK$8:$AK$42)*('Jul 13'!$Q$8:$Q$42+'Jul 13'!$R$8:$R$42))</f>
        <v>0</v>
      </c>
      <c r="AR34">
        <f>SUMPRODUCT((('Jul 14'!$F$8:$F$42=$AD15)*'Jul 14'!$AJ$8:$AJ$42+('Jul 14'!$G$8:$G$42=$AD15)*'Jul 14'!$AK$8:$AK$42)*('Jul 14'!$Q$8:$Q$42+'Jul 14'!$R$8:$R$42))</f>
        <v>0</v>
      </c>
      <c r="AS34">
        <f>SUMPRODUCT((('Jul 15'!$F$8:$F$42=$AD15)*'Jul 15'!$AJ$8:$AJ$42+('Jul 15'!$G$8:$G$42=$AD15)*'Jul 15'!$AK$8:$AK$42)*('Jul 15'!$Q$8:$Q$42+'Jul 15'!$R$8:$R$42))</f>
        <v>0</v>
      </c>
      <c r="AT34">
        <f>SUMPRODUCT((('Jul 16'!$F$8:$F$42=$AD15)*'Jul 16'!$AJ$8:$AJ$42+('Jul 16'!$G$8:$G$42=$AD15)*'Jul 16'!$AK$8:$AK$42)*('Jul 16'!$Q$8:$Q$42+'Jul 16'!$R$8:$R$42))</f>
        <v>0</v>
      </c>
      <c r="AU34">
        <f>SUMPRODUCT((('Jul 17'!$F$8:$F$42=$AD15)*'Jul 17'!$AJ$8:$AJ$42+('Jul 17'!$G$8:$G$42=$AD15)*'Jul 17'!$AK$8:$AK$42)*('Jul 17'!$Q$8:$Q$42+'Jul 17'!$R$8:$R$42))</f>
        <v>0</v>
      </c>
      <c r="AV34">
        <f>SUMPRODUCT((('Jul 18'!$F$8:$F$42=$AD15)*'Jul 18'!$AJ$8:$AJ$42+('Jul 18'!$G$8:$G$42=$AD15)*'Jul 18'!$AK$8:$AK$42)*('Jul 18'!$Q$8:$Q$42+'Jul 18'!$R$8:$R$42))</f>
        <v>0</v>
      </c>
      <c r="AW34">
        <f>SUMPRODUCT((('Jul 19'!$F$8:$F$42=$AD15)*'Jul 19'!$AJ$8:$AJ$42+('Jul 19'!$G$8:$G$42=$AD15)*'Jul 19'!$AK$8:$AK$42)*('Jul 19'!$Q$8:$Q$42+'Jul 19'!$R$8:$R$42))</f>
        <v>0</v>
      </c>
      <c r="AX34">
        <f>SUMPRODUCT((('Jul 20'!$F$8:$F$42=$AD15)*'Jul 20'!$AJ$8:$AJ$42+('Jul 20'!$G$8:$G$42=$AD15)*'Jul 20'!$AK$8:$AK$42)*('Jul 20'!$Q$8:$Q$42+'Jul 20'!$R$8:$R$42))</f>
        <v>0</v>
      </c>
      <c r="AY34">
        <f>SUMPRODUCT((('Jul 21'!$F$8:$F$42=$AD15)*'Jul 21'!$AJ$8:$AJ$42+('Jul 21'!$G$8:$G$42=$AD15)*'Jul 21'!$AK$8:$AK$42)*('Jul 21'!$Q$8:$Q$42+'Jul 21'!$R$8:$R$42))</f>
        <v>0</v>
      </c>
      <c r="AZ34">
        <f>SUMPRODUCT((('Jul 22'!$F$8:$F$42=$AD15)*'Jul 22'!$AJ$8:$AJ$42+('Jul 22'!$G$8:$G$42=$AD15)*'Jul 22'!$AK$8:$AK$42)*('Jul 22'!$Q$8:$Q$42+'Jul 22'!$R$8:$R$42))</f>
        <v>0</v>
      </c>
      <c r="BA34">
        <f>SUMPRODUCT((('Jul 23'!$F$8:$F$42=$AD15)*'Jul 23'!$AJ$8:$AJ$42+('Jul 23'!$G$8:$G$42=$AD15)*'Jul 23'!$AK$8:$AK$42)*('Jul 23'!$Q$8:$Q$42+'Jul 23'!$R$8:$R$42))</f>
        <v>0</v>
      </c>
      <c r="BB34">
        <f>SUMPRODUCT((('Jul 24'!$F$8:$F$42=$AD15)*'Jul 24'!$AJ$8:$AJ$42+('Jul 24'!$G$8:$G$42=$AD15)*'Jul 24'!$AK$8:$AK$42)*('Jul 24'!$Q$8:$Q$42+'Jul 24'!$R$8:$R$42))</f>
        <v>0</v>
      </c>
      <c r="BC34">
        <f>SUMPRODUCT((('Jul 25'!$F$8:$F$42=$AD15)*'Jul 25'!$AJ$8:$AJ$42+('Jul 25'!$G$8:$G$42=$AD15)*'Jul 25'!$AK$8:$AK$42)*('Jul 25'!$Q$8:$Q$42+'Jul 25'!$R$8:$R$42))</f>
        <v>0</v>
      </c>
      <c r="BD34">
        <f>SUMPRODUCT((('Jul 26'!$F$8:$F$42=$AD15)*'Jul 26'!$AJ$8:$AJ$42+('Jul 26'!$G$8:$G$42=$AD15)*'Jul 26'!$AK$8:$AK$42)*('Jul 26'!$Q$8:$Q$42+'Jul 26'!$R$8:$R$42))</f>
        <v>0</v>
      </c>
      <c r="BE34">
        <f>SUMPRODUCT((('Jul 27'!$F$8:$F$42=$AD15)*'Jul 27'!$AJ$8:$AJ$42+('Jul 27'!$G$8:$G$42=$AD15)*'Jul 27'!$AK$8:$AK$42)*('Jul 27'!$Q$8:$Q$42+'Jul 27'!$R$8:$R$42))</f>
        <v>0</v>
      </c>
      <c r="BF34">
        <f>SUMPRODUCT((('Jul 28'!$F$8:$F$42=$AD15)*'Jul 28'!$AJ$8:$AJ$42+('Jul 28'!$G$8:$G$42=$AD15)*'Jul 28'!$AK$8:$AK$42)*('Jul 28'!$Q$8:$Q$42+'Jul 28'!$R$8:$R$42))</f>
        <v>0</v>
      </c>
      <c r="BG34">
        <f>SUMPRODUCT((('Jul 29'!$F$8:$F$42=$AD15)*'Jul 29'!$AJ$8:$AJ$42+('Jul 29'!$G$8:$G$42=$AD15)*'Jul 29'!$AK$8:$AK$42)*('Jul 29'!$Q$8:$Q$42+'Jul 29'!$R$8:$R$42))</f>
        <v>0</v>
      </c>
      <c r="BH34">
        <f>SUMPRODUCT((('Jul 30'!$F$8:$F$42=$AD15)*'Jul 30'!$AJ$8:$AJ$42+('Jul 30'!$G$8:$G$42=$AD15)*'Jul 30'!$AK$8:$AK$42)*('Jul 30'!$Q$8:$Q$42+'Jul 30'!$R$8:$R$42))</f>
        <v>0</v>
      </c>
      <c r="BI34">
        <f>SUMPRODUCT((('Jul 31'!$F$8:$F$42=$AD15)*'Jul 31'!$AJ$8:$AJ$42+('Jul 31'!$G$8:$G$42=$AD15)*'Jul 31'!$AK$8:$AK$42)*('Jul 31'!$Q$8:$Q$42+'Jul 31'!$R$8:$R$42))</f>
        <v>0</v>
      </c>
      <c r="BK34">
        <f t="shared" si="2"/>
        <v>0</v>
      </c>
    </row>
    <row r="35" spans="1:68" ht="15" customHeight="1" x14ac:dyDescent="0.25">
      <c r="A35" s="50">
        <v>8</v>
      </c>
      <c r="B35" s="144" t="str">
        <f>IFERROR(INDEX($AD$4:$AD$19,MATCH(8,$BN$4:$BN$19,0)),"")</f>
        <v>MATT ALFIERI</v>
      </c>
      <c r="C35" s="111"/>
      <c r="D35" s="111"/>
      <c r="E35" s="111"/>
      <c r="F35" s="111"/>
      <c r="G35" s="111"/>
      <c r="H35" s="139">
        <f>IFERROR(INDEX($BK$4:$BK$19,MATCH(8,$BN$4:$BN$19,0)),0)</f>
        <v>0</v>
      </c>
      <c r="I35" s="111"/>
      <c r="J35" s="136">
        <f>IFERROR(INDEX($BK$23:$BK$38,MATCH(8,$BN$4:$BN$19,0)),0)</f>
        <v>0</v>
      </c>
      <c r="K35" s="111"/>
      <c r="L35" s="136" t="str">
        <f t="shared" si="3"/>
        <v>—</v>
      </c>
      <c r="M35" s="111"/>
      <c r="N35" s="148" t="s">
        <v>140</v>
      </c>
      <c r="O35" s="111"/>
      <c r="P35" s="111"/>
      <c r="Q35" s="158">
        <f>SUM(Z4:Z34)</f>
        <v>0</v>
      </c>
      <c r="R35" s="111"/>
      <c r="AE35">
        <f>SUMPRODUCT((('Jul 1'!$F$8:$F$42=$AD16)*'Jul 1'!$AJ$8:$AJ$42+('Jul 1'!$G$8:$G$42=$AD16)*'Jul 1'!$AK$8:$AK$42)*('Jul 1'!$Q$8:$Q$42+'Jul 1'!$R$8:$R$42))</f>
        <v>0</v>
      </c>
      <c r="AF35">
        <f>SUMPRODUCT((('Jul 2'!$F$8:$F$42=$AD16)*'Jul 2'!$AJ$8:$AJ$42+('Jul 2'!$G$8:$G$42=$AD16)*'Jul 2'!$AK$8:$AK$42)*('Jul 2'!$Q$8:$Q$42+'Jul 2'!$R$8:$R$42))</f>
        <v>0</v>
      </c>
      <c r="AG35">
        <f>SUMPRODUCT((('Jul 3'!$F$8:$F$42=$AD16)*'Jul 3'!$AJ$8:$AJ$42+('Jul 3'!$G$8:$G$42=$AD16)*'Jul 3'!$AK$8:$AK$42)*('Jul 3'!$Q$8:$Q$42+'Jul 3'!$R$8:$R$42))</f>
        <v>0</v>
      </c>
      <c r="AH35">
        <f>SUMPRODUCT((('Jul 4'!$F$8:$F$42=$AD16)*'Jul 4'!$AJ$8:$AJ$42+('Jul 4'!$G$8:$G$42=$AD16)*'Jul 4'!$AK$8:$AK$42)*('Jul 4'!$Q$8:$Q$42+'Jul 4'!$R$8:$R$42))</f>
        <v>0</v>
      </c>
      <c r="AI35">
        <f>SUMPRODUCT((('Jul 5'!$F$8:$F$42=$AD16)*'Jul 5'!$AJ$8:$AJ$42+('Jul 5'!$G$8:$G$42=$AD16)*'Jul 5'!$AK$8:$AK$42)*('Jul 5'!$Q$8:$Q$42+'Jul 5'!$R$8:$R$42))</f>
        <v>0</v>
      </c>
      <c r="AJ35">
        <f>SUMPRODUCT((('Jul 6'!$F$8:$F$42=$AD16)*'Jul 6'!$AJ$8:$AJ$42+('Jul 6'!$G$8:$G$42=$AD16)*'Jul 6'!$AK$8:$AK$42)*('Jul 6'!$Q$8:$Q$42+'Jul 6'!$R$8:$R$42))</f>
        <v>0</v>
      </c>
      <c r="AK35">
        <f>SUMPRODUCT((('Jul 7'!$F$8:$F$42=$AD16)*'Jul 7'!$AJ$8:$AJ$42+('Jul 7'!$G$8:$G$42=$AD16)*'Jul 7'!$AK$8:$AK$42)*('Jul 7'!$Q$8:$Q$42+'Jul 7'!$R$8:$R$42))</f>
        <v>0</v>
      </c>
      <c r="AL35">
        <f>SUMPRODUCT((('Jul 8'!$F$8:$F$42=$AD16)*'Jul 8'!$AJ$8:$AJ$42+('Jul 8'!$G$8:$G$42=$AD16)*'Jul 8'!$AK$8:$AK$42)*('Jul 8'!$Q$8:$Q$42+'Jul 8'!$R$8:$R$42))</f>
        <v>0</v>
      </c>
      <c r="AM35">
        <f>SUMPRODUCT((('Jul 9'!$F$8:$F$42=$AD16)*'Jul 9'!$AJ$8:$AJ$42+('Jul 9'!$G$8:$G$42=$AD16)*'Jul 9'!$AK$8:$AK$42)*('Jul 9'!$Q$8:$Q$42+'Jul 9'!$R$8:$R$42))</f>
        <v>0</v>
      </c>
      <c r="AN35">
        <f>SUMPRODUCT((('Jul 10'!$F$8:$F$42=$AD16)*'Jul 10'!$AJ$8:$AJ$42+('Jul 10'!$G$8:$G$42=$AD16)*'Jul 10'!$AK$8:$AK$42)*('Jul 10'!$Q$8:$Q$42+'Jul 10'!$R$8:$R$42))</f>
        <v>0</v>
      </c>
      <c r="AO35">
        <f>SUMPRODUCT((('Jul 11'!$F$8:$F$42=$AD16)*'Jul 11'!$AJ$8:$AJ$42+('Jul 11'!$G$8:$G$42=$AD16)*'Jul 11'!$AK$8:$AK$42)*('Jul 11'!$Q$8:$Q$42+'Jul 11'!$R$8:$R$42))</f>
        <v>0</v>
      </c>
      <c r="AP35">
        <f>SUMPRODUCT((('Jul 12'!$F$8:$F$42=$AD16)*'Jul 12'!$AJ$8:$AJ$42+('Jul 12'!$G$8:$G$42=$AD16)*'Jul 12'!$AK$8:$AK$42)*('Jul 12'!$Q$8:$Q$42+'Jul 12'!$R$8:$R$42))</f>
        <v>0</v>
      </c>
      <c r="AQ35">
        <f>SUMPRODUCT((('Jul 13'!$F$8:$F$42=$AD16)*'Jul 13'!$AJ$8:$AJ$42+('Jul 13'!$G$8:$G$42=$AD16)*'Jul 13'!$AK$8:$AK$42)*('Jul 13'!$Q$8:$Q$42+'Jul 13'!$R$8:$R$42))</f>
        <v>0</v>
      </c>
      <c r="AR35">
        <f>SUMPRODUCT((('Jul 14'!$F$8:$F$42=$AD16)*'Jul 14'!$AJ$8:$AJ$42+('Jul 14'!$G$8:$G$42=$AD16)*'Jul 14'!$AK$8:$AK$42)*('Jul 14'!$Q$8:$Q$42+'Jul 14'!$R$8:$R$42))</f>
        <v>0</v>
      </c>
      <c r="AS35">
        <f>SUMPRODUCT((('Jul 15'!$F$8:$F$42=$AD16)*'Jul 15'!$AJ$8:$AJ$42+('Jul 15'!$G$8:$G$42=$AD16)*'Jul 15'!$AK$8:$AK$42)*('Jul 15'!$Q$8:$Q$42+'Jul 15'!$R$8:$R$42))</f>
        <v>0</v>
      </c>
      <c r="AT35">
        <f>SUMPRODUCT((('Jul 16'!$F$8:$F$42=$AD16)*'Jul 16'!$AJ$8:$AJ$42+('Jul 16'!$G$8:$G$42=$AD16)*'Jul 16'!$AK$8:$AK$42)*('Jul 16'!$Q$8:$Q$42+'Jul 16'!$R$8:$R$42))</f>
        <v>0</v>
      </c>
      <c r="AU35">
        <f>SUMPRODUCT((('Jul 17'!$F$8:$F$42=$AD16)*'Jul 17'!$AJ$8:$AJ$42+('Jul 17'!$G$8:$G$42=$AD16)*'Jul 17'!$AK$8:$AK$42)*('Jul 17'!$Q$8:$Q$42+'Jul 17'!$R$8:$R$42))</f>
        <v>0</v>
      </c>
      <c r="AV35">
        <f>SUMPRODUCT((('Jul 18'!$F$8:$F$42=$AD16)*'Jul 18'!$AJ$8:$AJ$42+('Jul 18'!$G$8:$G$42=$AD16)*'Jul 18'!$AK$8:$AK$42)*('Jul 18'!$Q$8:$Q$42+'Jul 18'!$R$8:$R$42))</f>
        <v>0</v>
      </c>
      <c r="AW35">
        <f>SUMPRODUCT((('Jul 19'!$F$8:$F$42=$AD16)*'Jul 19'!$AJ$8:$AJ$42+('Jul 19'!$G$8:$G$42=$AD16)*'Jul 19'!$AK$8:$AK$42)*('Jul 19'!$Q$8:$Q$42+'Jul 19'!$R$8:$R$42))</f>
        <v>0</v>
      </c>
      <c r="AX35">
        <f>SUMPRODUCT((('Jul 20'!$F$8:$F$42=$AD16)*'Jul 20'!$AJ$8:$AJ$42+('Jul 20'!$G$8:$G$42=$AD16)*'Jul 20'!$AK$8:$AK$42)*('Jul 20'!$Q$8:$Q$42+'Jul 20'!$R$8:$R$42))</f>
        <v>0</v>
      </c>
      <c r="AY35">
        <f>SUMPRODUCT((('Jul 21'!$F$8:$F$42=$AD16)*'Jul 21'!$AJ$8:$AJ$42+('Jul 21'!$G$8:$G$42=$AD16)*'Jul 21'!$AK$8:$AK$42)*('Jul 21'!$Q$8:$Q$42+'Jul 21'!$R$8:$R$42))</f>
        <v>0</v>
      </c>
      <c r="AZ35">
        <f>SUMPRODUCT((('Jul 22'!$F$8:$F$42=$AD16)*'Jul 22'!$AJ$8:$AJ$42+('Jul 22'!$G$8:$G$42=$AD16)*'Jul 22'!$AK$8:$AK$42)*('Jul 22'!$Q$8:$Q$42+'Jul 22'!$R$8:$R$42))</f>
        <v>0</v>
      </c>
      <c r="BA35">
        <f>SUMPRODUCT((('Jul 23'!$F$8:$F$42=$AD16)*'Jul 23'!$AJ$8:$AJ$42+('Jul 23'!$G$8:$G$42=$AD16)*'Jul 23'!$AK$8:$AK$42)*('Jul 23'!$Q$8:$Q$42+'Jul 23'!$R$8:$R$42))</f>
        <v>0</v>
      </c>
      <c r="BB35">
        <f>SUMPRODUCT((('Jul 24'!$F$8:$F$42=$AD16)*'Jul 24'!$AJ$8:$AJ$42+('Jul 24'!$G$8:$G$42=$AD16)*'Jul 24'!$AK$8:$AK$42)*('Jul 24'!$Q$8:$Q$42+'Jul 24'!$R$8:$R$42))</f>
        <v>0</v>
      </c>
      <c r="BC35">
        <f>SUMPRODUCT((('Jul 25'!$F$8:$F$42=$AD16)*'Jul 25'!$AJ$8:$AJ$42+('Jul 25'!$G$8:$G$42=$AD16)*'Jul 25'!$AK$8:$AK$42)*('Jul 25'!$Q$8:$Q$42+'Jul 25'!$R$8:$R$42))</f>
        <v>0</v>
      </c>
      <c r="BD35">
        <f>SUMPRODUCT((('Jul 26'!$F$8:$F$42=$AD16)*'Jul 26'!$AJ$8:$AJ$42+('Jul 26'!$G$8:$G$42=$AD16)*'Jul 26'!$AK$8:$AK$42)*('Jul 26'!$Q$8:$Q$42+'Jul 26'!$R$8:$R$42))</f>
        <v>0</v>
      </c>
      <c r="BE35">
        <f>SUMPRODUCT((('Jul 27'!$F$8:$F$42=$AD16)*'Jul 27'!$AJ$8:$AJ$42+('Jul 27'!$G$8:$G$42=$AD16)*'Jul 27'!$AK$8:$AK$42)*('Jul 27'!$Q$8:$Q$42+'Jul 27'!$R$8:$R$42))</f>
        <v>0</v>
      </c>
      <c r="BF35">
        <f>SUMPRODUCT((('Jul 28'!$F$8:$F$42=$AD16)*'Jul 28'!$AJ$8:$AJ$42+('Jul 28'!$G$8:$G$42=$AD16)*'Jul 28'!$AK$8:$AK$42)*('Jul 28'!$Q$8:$Q$42+'Jul 28'!$R$8:$R$42))</f>
        <v>0</v>
      </c>
      <c r="BG35">
        <f>SUMPRODUCT((('Jul 29'!$F$8:$F$42=$AD16)*'Jul 29'!$AJ$8:$AJ$42+('Jul 29'!$G$8:$G$42=$AD16)*'Jul 29'!$AK$8:$AK$42)*('Jul 29'!$Q$8:$Q$42+'Jul 29'!$R$8:$R$42))</f>
        <v>0</v>
      </c>
      <c r="BH35">
        <f>SUMPRODUCT((('Jul 30'!$F$8:$F$42=$AD16)*'Jul 30'!$AJ$8:$AJ$42+('Jul 30'!$G$8:$G$42=$AD16)*'Jul 30'!$AK$8:$AK$42)*('Jul 30'!$Q$8:$Q$42+'Jul 30'!$R$8:$R$42))</f>
        <v>0</v>
      </c>
      <c r="BI35">
        <f>SUMPRODUCT((('Jul 31'!$F$8:$F$42=$AD16)*'Jul 31'!$AJ$8:$AJ$42+('Jul 31'!$G$8:$G$42=$AD16)*'Jul 31'!$AK$8:$AK$42)*('Jul 31'!$Q$8:$Q$42+'Jul 31'!$R$8:$R$42))</f>
        <v>0</v>
      </c>
      <c r="BK35">
        <f t="shared" si="2"/>
        <v>0</v>
      </c>
    </row>
    <row r="36" spans="1:68" ht="15" customHeight="1" x14ac:dyDescent="0.25">
      <c r="A36" s="44">
        <v>9</v>
      </c>
      <c r="B36" s="148" t="str">
        <f>IFERROR(INDEX($AD$4:$AD$19,MATCH(9,$BN$4:$BN$19,0)),"")</f>
        <v>ZACH CUPP</v>
      </c>
      <c r="C36" s="111"/>
      <c r="D36" s="111"/>
      <c r="E36" s="111"/>
      <c r="F36" s="111"/>
      <c r="G36" s="111"/>
      <c r="H36" s="142">
        <f>IFERROR(INDEX($BK$4:$BK$19,MATCH(9,$BN$4:$BN$19,0)),0)</f>
        <v>0</v>
      </c>
      <c r="I36" s="111"/>
      <c r="J36" s="141">
        <f>IFERROR(INDEX($BK$23:$BK$38,MATCH(9,$BN$4:$BN$19,0)),0)</f>
        <v>0</v>
      </c>
      <c r="K36" s="111"/>
      <c r="L36" s="141" t="str">
        <f t="shared" si="3"/>
        <v>—</v>
      </c>
      <c r="M36" s="111"/>
      <c r="N36" s="148" t="s">
        <v>139</v>
      </c>
      <c r="O36" s="111"/>
      <c r="P36" s="111"/>
      <c r="Q36" s="158">
        <f>SUM(AA4:AA34)</f>
        <v>0</v>
      </c>
      <c r="R36" s="111"/>
      <c r="AE36">
        <f>SUMPRODUCT((('Jul 1'!$F$8:$F$42=$AD17)*'Jul 1'!$AJ$8:$AJ$42+('Jul 1'!$G$8:$G$42=$AD17)*'Jul 1'!$AK$8:$AK$42)*('Jul 1'!$Q$8:$Q$42+'Jul 1'!$R$8:$R$42))</f>
        <v>0</v>
      </c>
      <c r="AF36">
        <f>SUMPRODUCT((('Jul 2'!$F$8:$F$42=$AD17)*'Jul 2'!$AJ$8:$AJ$42+('Jul 2'!$G$8:$G$42=$AD17)*'Jul 2'!$AK$8:$AK$42)*('Jul 2'!$Q$8:$Q$42+'Jul 2'!$R$8:$R$42))</f>
        <v>0</v>
      </c>
      <c r="AG36">
        <f>SUMPRODUCT((('Jul 3'!$F$8:$F$42=$AD17)*'Jul 3'!$AJ$8:$AJ$42+('Jul 3'!$G$8:$G$42=$AD17)*'Jul 3'!$AK$8:$AK$42)*('Jul 3'!$Q$8:$Q$42+'Jul 3'!$R$8:$R$42))</f>
        <v>0</v>
      </c>
      <c r="AH36">
        <f>SUMPRODUCT((('Jul 4'!$F$8:$F$42=$AD17)*'Jul 4'!$AJ$8:$AJ$42+('Jul 4'!$G$8:$G$42=$AD17)*'Jul 4'!$AK$8:$AK$42)*('Jul 4'!$Q$8:$Q$42+'Jul 4'!$R$8:$R$42))</f>
        <v>0</v>
      </c>
      <c r="AI36">
        <f>SUMPRODUCT((('Jul 5'!$F$8:$F$42=$AD17)*'Jul 5'!$AJ$8:$AJ$42+('Jul 5'!$G$8:$G$42=$AD17)*'Jul 5'!$AK$8:$AK$42)*('Jul 5'!$Q$8:$Q$42+'Jul 5'!$R$8:$R$42))</f>
        <v>0</v>
      </c>
      <c r="AJ36">
        <f>SUMPRODUCT((('Jul 6'!$F$8:$F$42=$AD17)*'Jul 6'!$AJ$8:$AJ$42+('Jul 6'!$G$8:$G$42=$AD17)*'Jul 6'!$AK$8:$AK$42)*('Jul 6'!$Q$8:$Q$42+'Jul 6'!$R$8:$R$42))</f>
        <v>0</v>
      </c>
      <c r="AK36">
        <f>SUMPRODUCT((('Jul 7'!$F$8:$F$42=$AD17)*'Jul 7'!$AJ$8:$AJ$42+('Jul 7'!$G$8:$G$42=$AD17)*'Jul 7'!$AK$8:$AK$42)*('Jul 7'!$Q$8:$Q$42+'Jul 7'!$R$8:$R$42))</f>
        <v>0</v>
      </c>
      <c r="AL36">
        <f>SUMPRODUCT((('Jul 8'!$F$8:$F$42=$AD17)*'Jul 8'!$AJ$8:$AJ$42+('Jul 8'!$G$8:$G$42=$AD17)*'Jul 8'!$AK$8:$AK$42)*('Jul 8'!$Q$8:$Q$42+'Jul 8'!$R$8:$R$42))</f>
        <v>0</v>
      </c>
      <c r="AM36">
        <f>SUMPRODUCT((('Jul 9'!$F$8:$F$42=$AD17)*'Jul 9'!$AJ$8:$AJ$42+('Jul 9'!$G$8:$G$42=$AD17)*'Jul 9'!$AK$8:$AK$42)*('Jul 9'!$Q$8:$Q$42+'Jul 9'!$R$8:$R$42))</f>
        <v>0</v>
      </c>
      <c r="AN36">
        <f>SUMPRODUCT((('Jul 10'!$F$8:$F$42=$AD17)*'Jul 10'!$AJ$8:$AJ$42+('Jul 10'!$G$8:$G$42=$AD17)*'Jul 10'!$AK$8:$AK$42)*('Jul 10'!$Q$8:$Q$42+'Jul 10'!$R$8:$R$42))</f>
        <v>0</v>
      </c>
      <c r="AO36">
        <f>SUMPRODUCT((('Jul 11'!$F$8:$F$42=$AD17)*'Jul 11'!$AJ$8:$AJ$42+('Jul 11'!$G$8:$G$42=$AD17)*'Jul 11'!$AK$8:$AK$42)*('Jul 11'!$Q$8:$Q$42+'Jul 11'!$R$8:$R$42))</f>
        <v>0</v>
      </c>
      <c r="AP36">
        <f>SUMPRODUCT((('Jul 12'!$F$8:$F$42=$AD17)*'Jul 12'!$AJ$8:$AJ$42+('Jul 12'!$G$8:$G$42=$AD17)*'Jul 12'!$AK$8:$AK$42)*('Jul 12'!$Q$8:$Q$42+'Jul 12'!$R$8:$R$42))</f>
        <v>0</v>
      </c>
      <c r="AQ36">
        <f>SUMPRODUCT((('Jul 13'!$F$8:$F$42=$AD17)*'Jul 13'!$AJ$8:$AJ$42+('Jul 13'!$G$8:$G$42=$AD17)*'Jul 13'!$AK$8:$AK$42)*('Jul 13'!$Q$8:$Q$42+'Jul 13'!$R$8:$R$42))</f>
        <v>0</v>
      </c>
      <c r="AR36">
        <f>SUMPRODUCT((('Jul 14'!$F$8:$F$42=$AD17)*'Jul 14'!$AJ$8:$AJ$42+('Jul 14'!$G$8:$G$42=$AD17)*'Jul 14'!$AK$8:$AK$42)*('Jul 14'!$Q$8:$Q$42+'Jul 14'!$R$8:$R$42))</f>
        <v>0</v>
      </c>
      <c r="AS36">
        <f>SUMPRODUCT((('Jul 15'!$F$8:$F$42=$AD17)*'Jul 15'!$AJ$8:$AJ$42+('Jul 15'!$G$8:$G$42=$AD17)*'Jul 15'!$AK$8:$AK$42)*('Jul 15'!$Q$8:$Q$42+'Jul 15'!$R$8:$R$42))</f>
        <v>0</v>
      </c>
      <c r="AT36">
        <f>SUMPRODUCT((('Jul 16'!$F$8:$F$42=$AD17)*'Jul 16'!$AJ$8:$AJ$42+('Jul 16'!$G$8:$G$42=$AD17)*'Jul 16'!$AK$8:$AK$42)*('Jul 16'!$Q$8:$Q$42+'Jul 16'!$R$8:$R$42))</f>
        <v>0</v>
      </c>
      <c r="AU36">
        <f>SUMPRODUCT((('Jul 17'!$F$8:$F$42=$AD17)*'Jul 17'!$AJ$8:$AJ$42+('Jul 17'!$G$8:$G$42=$AD17)*'Jul 17'!$AK$8:$AK$42)*('Jul 17'!$Q$8:$Q$42+'Jul 17'!$R$8:$R$42))</f>
        <v>0</v>
      </c>
      <c r="AV36">
        <f>SUMPRODUCT((('Jul 18'!$F$8:$F$42=$AD17)*'Jul 18'!$AJ$8:$AJ$42+('Jul 18'!$G$8:$G$42=$AD17)*'Jul 18'!$AK$8:$AK$42)*('Jul 18'!$Q$8:$Q$42+'Jul 18'!$R$8:$R$42))</f>
        <v>0</v>
      </c>
      <c r="AW36">
        <f>SUMPRODUCT((('Jul 19'!$F$8:$F$42=$AD17)*'Jul 19'!$AJ$8:$AJ$42+('Jul 19'!$G$8:$G$42=$AD17)*'Jul 19'!$AK$8:$AK$42)*('Jul 19'!$Q$8:$Q$42+'Jul 19'!$R$8:$R$42))</f>
        <v>0</v>
      </c>
      <c r="AX36">
        <f>SUMPRODUCT((('Jul 20'!$F$8:$F$42=$AD17)*'Jul 20'!$AJ$8:$AJ$42+('Jul 20'!$G$8:$G$42=$AD17)*'Jul 20'!$AK$8:$AK$42)*('Jul 20'!$Q$8:$Q$42+'Jul 20'!$R$8:$R$42))</f>
        <v>0</v>
      </c>
      <c r="AY36">
        <f>SUMPRODUCT((('Jul 21'!$F$8:$F$42=$AD17)*'Jul 21'!$AJ$8:$AJ$42+('Jul 21'!$G$8:$G$42=$AD17)*'Jul 21'!$AK$8:$AK$42)*('Jul 21'!$Q$8:$Q$42+'Jul 21'!$R$8:$R$42))</f>
        <v>0</v>
      </c>
      <c r="AZ36">
        <f>SUMPRODUCT((('Jul 22'!$F$8:$F$42=$AD17)*'Jul 22'!$AJ$8:$AJ$42+('Jul 22'!$G$8:$G$42=$AD17)*'Jul 22'!$AK$8:$AK$42)*('Jul 22'!$Q$8:$Q$42+'Jul 22'!$R$8:$R$42))</f>
        <v>0</v>
      </c>
      <c r="BA36">
        <f>SUMPRODUCT((('Jul 23'!$F$8:$F$42=$AD17)*'Jul 23'!$AJ$8:$AJ$42+('Jul 23'!$G$8:$G$42=$AD17)*'Jul 23'!$AK$8:$AK$42)*('Jul 23'!$Q$8:$Q$42+'Jul 23'!$R$8:$R$42))</f>
        <v>0</v>
      </c>
      <c r="BB36">
        <f>SUMPRODUCT((('Jul 24'!$F$8:$F$42=$AD17)*'Jul 24'!$AJ$8:$AJ$42+('Jul 24'!$G$8:$G$42=$AD17)*'Jul 24'!$AK$8:$AK$42)*('Jul 24'!$Q$8:$Q$42+'Jul 24'!$R$8:$R$42))</f>
        <v>0</v>
      </c>
      <c r="BC36">
        <f>SUMPRODUCT((('Jul 25'!$F$8:$F$42=$AD17)*'Jul 25'!$AJ$8:$AJ$42+('Jul 25'!$G$8:$G$42=$AD17)*'Jul 25'!$AK$8:$AK$42)*('Jul 25'!$Q$8:$Q$42+'Jul 25'!$R$8:$R$42))</f>
        <v>0</v>
      </c>
      <c r="BD36">
        <f>SUMPRODUCT((('Jul 26'!$F$8:$F$42=$AD17)*'Jul 26'!$AJ$8:$AJ$42+('Jul 26'!$G$8:$G$42=$AD17)*'Jul 26'!$AK$8:$AK$42)*('Jul 26'!$Q$8:$Q$42+'Jul 26'!$R$8:$R$42))</f>
        <v>0</v>
      </c>
      <c r="BE36">
        <f>SUMPRODUCT((('Jul 27'!$F$8:$F$42=$AD17)*'Jul 27'!$AJ$8:$AJ$42+('Jul 27'!$G$8:$G$42=$AD17)*'Jul 27'!$AK$8:$AK$42)*('Jul 27'!$Q$8:$Q$42+'Jul 27'!$R$8:$R$42))</f>
        <v>0</v>
      </c>
      <c r="BF36">
        <f>SUMPRODUCT((('Jul 28'!$F$8:$F$42=$AD17)*'Jul 28'!$AJ$8:$AJ$42+('Jul 28'!$G$8:$G$42=$AD17)*'Jul 28'!$AK$8:$AK$42)*('Jul 28'!$Q$8:$Q$42+'Jul 28'!$R$8:$R$42))</f>
        <v>0</v>
      </c>
      <c r="BG36">
        <f>SUMPRODUCT((('Jul 29'!$F$8:$F$42=$AD17)*'Jul 29'!$AJ$8:$AJ$42+('Jul 29'!$G$8:$G$42=$AD17)*'Jul 29'!$AK$8:$AK$42)*('Jul 29'!$Q$8:$Q$42+'Jul 29'!$R$8:$R$42))</f>
        <v>0</v>
      </c>
      <c r="BH36">
        <f>SUMPRODUCT((('Jul 30'!$F$8:$F$42=$AD17)*'Jul 30'!$AJ$8:$AJ$42+('Jul 30'!$G$8:$G$42=$AD17)*'Jul 30'!$AK$8:$AK$42)*('Jul 30'!$Q$8:$Q$42+'Jul 30'!$R$8:$R$42))</f>
        <v>0</v>
      </c>
      <c r="BI36">
        <f>SUMPRODUCT((('Jul 31'!$F$8:$F$42=$AD17)*'Jul 31'!$AJ$8:$AJ$42+('Jul 31'!$G$8:$G$42=$AD17)*'Jul 31'!$AK$8:$AK$42)*('Jul 31'!$Q$8:$Q$42+'Jul 31'!$R$8:$R$42))</f>
        <v>0</v>
      </c>
      <c r="BK36">
        <f t="shared" si="2"/>
        <v>0</v>
      </c>
    </row>
    <row r="37" spans="1:68" ht="15" customHeight="1" x14ac:dyDescent="0.25">
      <c r="A37" s="50">
        <v>10</v>
      </c>
      <c r="B37" s="144" t="str">
        <f>IFERROR(INDEX($AD$4:$AD$19,MATCH(10,$BN$4:$BN$19,0)),"")</f>
        <v>ANDREW MIEIR</v>
      </c>
      <c r="C37" s="111"/>
      <c r="D37" s="111"/>
      <c r="E37" s="111"/>
      <c r="F37" s="111"/>
      <c r="G37" s="111"/>
      <c r="H37" s="139">
        <f>IFERROR(INDEX($BK$4:$BK$19,MATCH(10,$BN$4:$BN$19,0)),0)</f>
        <v>0</v>
      </c>
      <c r="I37" s="111"/>
      <c r="J37" s="136">
        <f>IFERROR(INDEX($BK$23:$BK$38,MATCH(10,$BN$4:$BN$19,0)),0)</f>
        <v>0</v>
      </c>
      <c r="K37" s="111"/>
      <c r="L37" s="136" t="str">
        <f t="shared" si="3"/>
        <v>—</v>
      </c>
      <c r="M37" s="111"/>
      <c r="N37" s="148" t="s">
        <v>137</v>
      </c>
      <c r="O37" s="111"/>
      <c r="P37" s="111"/>
      <c r="Q37" s="158">
        <f>SUM(AB4:AB34)</f>
        <v>0</v>
      </c>
      <c r="R37" s="111"/>
      <c r="AE37">
        <f>SUMPRODUCT((('Jul 1'!$F$8:$F$42=$AD18)*'Jul 1'!$AJ$8:$AJ$42+('Jul 1'!$G$8:$G$42=$AD18)*'Jul 1'!$AK$8:$AK$42)*('Jul 1'!$Q$8:$Q$42+'Jul 1'!$R$8:$R$42))</f>
        <v>0</v>
      </c>
      <c r="AF37">
        <f>SUMPRODUCT((('Jul 2'!$F$8:$F$42=$AD18)*'Jul 2'!$AJ$8:$AJ$42+('Jul 2'!$G$8:$G$42=$AD18)*'Jul 2'!$AK$8:$AK$42)*('Jul 2'!$Q$8:$Q$42+'Jul 2'!$R$8:$R$42))</f>
        <v>0</v>
      </c>
      <c r="AG37">
        <f>SUMPRODUCT((('Jul 3'!$F$8:$F$42=$AD18)*'Jul 3'!$AJ$8:$AJ$42+('Jul 3'!$G$8:$G$42=$AD18)*'Jul 3'!$AK$8:$AK$42)*('Jul 3'!$Q$8:$Q$42+'Jul 3'!$R$8:$R$42))</f>
        <v>0</v>
      </c>
      <c r="AH37">
        <f>SUMPRODUCT((('Jul 4'!$F$8:$F$42=$AD18)*'Jul 4'!$AJ$8:$AJ$42+('Jul 4'!$G$8:$G$42=$AD18)*'Jul 4'!$AK$8:$AK$42)*('Jul 4'!$Q$8:$Q$42+'Jul 4'!$R$8:$R$42))</f>
        <v>0</v>
      </c>
      <c r="AI37">
        <f>SUMPRODUCT((('Jul 5'!$F$8:$F$42=$AD18)*'Jul 5'!$AJ$8:$AJ$42+('Jul 5'!$G$8:$G$42=$AD18)*'Jul 5'!$AK$8:$AK$42)*('Jul 5'!$Q$8:$Q$42+'Jul 5'!$R$8:$R$42))</f>
        <v>0</v>
      </c>
      <c r="AJ37">
        <f>SUMPRODUCT((('Jul 6'!$F$8:$F$42=$AD18)*'Jul 6'!$AJ$8:$AJ$42+('Jul 6'!$G$8:$G$42=$AD18)*'Jul 6'!$AK$8:$AK$42)*('Jul 6'!$Q$8:$Q$42+'Jul 6'!$R$8:$R$42))</f>
        <v>0</v>
      </c>
      <c r="AK37">
        <f>SUMPRODUCT((('Jul 7'!$F$8:$F$42=$AD18)*'Jul 7'!$AJ$8:$AJ$42+('Jul 7'!$G$8:$G$42=$AD18)*'Jul 7'!$AK$8:$AK$42)*('Jul 7'!$Q$8:$Q$42+'Jul 7'!$R$8:$R$42))</f>
        <v>0</v>
      </c>
      <c r="AL37">
        <f>SUMPRODUCT((('Jul 8'!$F$8:$F$42=$AD18)*'Jul 8'!$AJ$8:$AJ$42+('Jul 8'!$G$8:$G$42=$AD18)*'Jul 8'!$AK$8:$AK$42)*('Jul 8'!$Q$8:$Q$42+'Jul 8'!$R$8:$R$42))</f>
        <v>0</v>
      </c>
      <c r="AM37">
        <f>SUMPRODUCT((('Jul 9'!$F$8:$F$42=$AD18)*'Jul 9'!$AJ$8:$AJ$42+('Jul 9'!$G$8:$G$42=$AD18)*'Jul 9'!$AK$8:$AK$42)*('Jul 9'!$Q$8:$Q$42+'Jul 9'!$R$8:$R$42))</f>
        <v>0</v>
      </c>
      <c r="AN37">
        <f>SUMPRODUCT((('Jul 10'!$F$8:$F$42=$AD18)*'Jul 10'!$AJ$8:$AJ$42+('Jul 10'!$G$8:$G$42=$AD18)*'Jul 10'!$AK$8:$AK$42)*('Jul 10'!$Q$8:$Q$42+'Jul 10'!$R$8:$R$42))</f>
        <v>0</v>
      </c>
      <c r="AO37">
        <f>SUMPRODUCT((('Jul 11'!$F$8:$F$42=$AD18)*'Jul 11'!$AJ$8:$AJ$42+('Jul 11'!$G$8:$G$42=$AD18)*'Jul 11'!$AK$8:$AK$42)*('Jul 11'!$Q$8:$Q$42+'Jul 11'!$R$8:$R$42))</f>
        <v>0</v>
      </c>
      <c r="AP37">
        <f>SUMPRODUCT((('Jul 12'!$F$8:$F$42=$AD18)*'Jul 12'!$AJ$8:$AJ$42+('Jul 12'!$G$8:$G$42=$AD18)*'Jul 12'!$AK$8:$AK$42)*('Jul 12'!$Q$8:$Q$42+'Jul 12'!$R$8:$R$42))</f>
        <v>0</v>
      </c>
      <c r="AQ37">
        <f>SUMPRODUCT((('Jul 13'!$F$8:$F$42=$AD18)*'Jul 13'!$AJ$8:$AJ$42+('Jul 13'!$G$8:$G$42=$AD18)*'Jul 13'!$AK$8:$AK$42)*('Jul 13'!$Q$8:$Q$42+'Jul 13'!$R$8:$R$42))</f>
        <v>0</v>
      </c>
      <c r="AR37">
        <f>SUMPRODUCT((('Jul 14'!$F$8:$F$42=$AD18)*'Jul 14'!$AJ$8:$AJ$42+('Jul 14'!$G$8:$G$42=$AD18)*'Jul 14'!$AK$8:$AK$42)*('Jul 14'!$Q$8:$Q$42+'Jul 14'!$R$8:$R$42))</f>
        <v>0</v>
      </c>
      <c r="AS37">
        <f>SUMPRODUCT((('Jul 15'!$F$8:$F$42=$AD18)*'Jul 15'!$AJ$8:$AJ$42+('Jul 15'!$G$8:$G$42=$AD18)*'Jul 15'!$AK$8:$AK$42)*('Jul 15'!$Q$8:$Q$42+'Jul 15'!$R$8:$R$42))</f>
        <v>0</v>
      </c>
      <c r="AT37">
        <f>SUMPRODUCT((('Jul 16'!$F$8:$F$42=$AD18)*'Jul 16'!$AJ$8:$AJ$42+('Jul 16'!$G$8:$G$42=$AD18)*'Jul 16'!$AK$8:$AK$42)*('Jul 16'!$Q$8:$Q$42+'Jul 16'!$R$8:$R$42))</f>
        <v>0</v>
      </c>
      <c r="AU37">
        <f>SUMPRODUCT((('Jul 17'!$F$8:$F$42=$AD18)*'Jul 17'!$AJ$8:$AJ$42+('Jul 17'!$G$8:$G$42=$AD18)*'Jul 17'!$AK$8:$AK$42)*('Jul 17'!$Q$8:$Q$42+'Jul 17'!$R$8:$R$42))</f>
        <v>0</v>
      </c>
      <c r="AV37">
        <f>SUMPRODUCT((('Jul 18'!$F$8:$F$42=$AD18)*'Jul 18'!$AJ$8:$AJ$42+('Jul 18'!$G$8:$G$42=$AD18)*'Jul 18'!$AK$8:$AK$42)*('Jul 18'!$Q$8:$Q$42+'Jul 18'!$R$8:$R$42))</f>
        <v>0</v>
      </c>
      <c r="AW37">
        <f>SUMPRODUCT((('Jul 19'!$F$8:$F$42=$AD18)*'Jul 19'!$AJ$8:$AJ$42+('Jul 19'!$G$8:$G$42=$AD18)*'Jul 19'!$AK$8:$AK$42)*('Jul 19'!$Q$8:$Q$42+'Jul 19'!$R$8:$R$42))</f>
        <v>0</v>
      </c>
      <c r="AX37">
        <f>SUMPRODUCT((('Jul 20'!$F$8:$F$42=$AD18)*'Jul 20'!$AJ$8:$AJ$42+('Jul 20'!$G$8:$G$42=$AD18)*'Jul 20'!$AK$8:$AK$42)*('Jul 20'!$Q$8:$Q$42+'Jul 20'!$R$8:$R$42))</f>
        <v>0</v>
      </c>
      <c r="AY37">
        <f>SUMPRODUCT((('Jul 21'!$F$8:$F$42=$AD18)*'Jul 21'!$AJ$8:$AJ$42+('Jul 21'!$G$8:$G$42=$AD18)*'Jul 21'!$AK$8:$AK$42)*('Jul 21'!$Q$8:$Q$42+'Jul 21'!$R$8:$R$42))</f>
        <v>0</v>
      </c>
      <c r="AZ37">
        <f>SUMPRODUCT((('Jul 22'!$F$8:$F$42=$AD18)*'Jul 22'!$AJ$8:$AJ$42+('Jul 22'!$G$8:$G$42=$AD18)*'Jul 22'!$AK$8:$AK$42)*('Jul 22'!$Q$8:$Q$42+'Jul 22'!$R$8:$R$42))</f>
        <v>0</v>
      </c>
      <c r="BA37">
        <f>SUMPRODUCT((('Jul 23'!$F$8:$F$42=$AD18)*'Jul 23'!$AJ$8:$AJ$42+('Jul 23'!$G$8:$G$42=$AD18)*'Jul 23'!$AK$8:$AK$42)*('Jul 23'!$Q$8:$Q$42+'Jul 23'!$R$8:$R$42))</f>
        <v>0</v>
      </c>
      <c r="BB37">
        <f>SUMPRODUCT((('Jul 24'!$F$8:$F$42=$AD18)*'Jul 24'!$AJ$8:$AJ$42+('Jul 24'!$G$8:$G$42=$AD18)*'Jul 24'!$AK$8:$AK$42)*('Jul 24'!$Q$8:$Q$42+'Jul 24'!$R$8:$R$42))</f>
        <v>0</v>
      </c>
      <c r="BC37">
        <f>SUMPRODUCT((('Jul 25'!$F$8:$F$42=$AD18)*'Jul 25'!$AJ$8:$AJ$42+('Jul 25'!$G$8:$G$42=$AD18)*'Jul 25'!$AK$8:$AK$42)*('Jul 25'!$Q$8:$Q$42+'Jul 25'!$R$8:$R$42))</f>
        <v>0</v>
      </c>
      <c r="BD37">
        <f>SUMPRODUCT((('Jul 26'!$F$8:$F$42=$AD18)*'Jul 26'!$AJ$8:$AJ$42+('Jul 26'!$G$8:$G$42=$AD18)*'Jul 26'!$AK$8:$AK$42)*('Jul 26'!$Q$8:$Q$42+'Jul 26'!$R$8:$R$42))</f>
        <v>0</v>
      </c>
      <c r="BE37">
        <f>SUMPRODUCT((('Jul 27'!$F$8:$F$42=$AD18)*'Jul 27'!$AJ$8:$AJ$42+('Jul 27'!$G$8:$G$42=$AD18)*'Jul 27'!$AK$8:$AK$42)*('Jul 27'!$Q$8:$Q$42+'Jul 27'!$R$8:$R$42))</f>
        <v>0</v>
      </c>
      <c r="BF37">
        <f>SUMPRODUCT((('Jul 28'!$F$8:$F$42=$AD18)*'Jul 28'!$AJ$8:$AJ$42+('Jul 28'!$G$8:$G$42=$AD18)*'Jul 28'!$AK$8:$AK$42)*('Jul 28'!$Q$8:$Q$42+'Jul 28'!$R$8:$R$42))</f>
        <v>0</v>
      </c>
      <c r="BG37">
        <f>SUMPRODUCT((('Jul 29'!$F$8:$F$42=$AD18)*'Jul 29'!$AJ$8:$AJ$42+('Jul 29'!$G$8:$G$42=$AD18)*'Jul 29'!$AK$8:$AK$42)*('Jul 29'!$Q$8:$Q$42+'Jul 29'!$R$8:$R$42))</f>
        <v>0</v>
      </c>
      <c r="BH37">
        <f>SUMPRODUCT((('Jul 30'!$F$8:$F$42=$AD18)*'Jul 30'!$AJ$8:$AJ$42+('Jul 30'!$G$8:$G$42=$AD18)*'Jul 30'!$AK$8:$AK$42)*('Jul 30'!$Q$8:$Q$42+'Jul 30'!$R$8:$R$42))</f>
        <v>0</v>
      </c>
      <c r="BI37">
        <f>SUMPRODUCT((('Jul 31'!$F$8:$F$42=$AD18)*'Jul 31'!$AJ$8:$AJ$42+('Jul 31'!$G$8:$G$42=$AD18)*'Jul 31'!$AK$8:$AK$42)*('Jul 31'!$Q$8:$Q$42+'Jul 31'!$R$8:$R$42))</f>
        <v>0</v>
      </c>
      <c r="BK37">
        <f t="shared" si="2"/>
        <v>0</v>
      </c>
    </row>
    <row r="38" spans="1:68" ht="15" customHeight="1" x14ac:dyDescent="0.25">
      <c r="A38" s="44">
        <v>11</v>
      </c>
      <c r="B38" s="148" t="str">
        <f>IFERROR(INDEX($AD$4:$AD$19,MATCH(11,$BN$4:$BN$19,0)),"")</f>
        <v>RAFAEL CAMPOS</v>
      </c>
      <c r="C38" s="111"/>
      <c r="D38" s="111"/>
      <c r="E38" s="111"/>
      <c r="F38" s="111"/>
      <c r="G38" s="111"/>
      <c r="H38" s="142">
        <f>IFERROR(INDEX($BK$4:$BK$19,MATCH(11,$BN$4:$BN$19,0)),0)</f>
        <v>0</v>
      </c>
      <c r="I38" s="111"/>
      <c r="J38" s="141">
        <f>IFERROR(INDEX($BK$23:$BK$38,MATCH(11,$BN$4:$BN$19,0)),0)</f>
        <v>0</v>
      </c>
      <c r="K38" s="111"/>
      <c r="L38" s="141" t="str">
        <f t="shared" si="3"/>
        <v>—</v>
      </c>
      <c r="M38" s="111"/>
      <c r="AE38">
        <f>SUMPRODUCT((('Jul 1'!$F$8:$F$42=$AD19)*'Jul 1'!$AJ$8:$AJ$42+('Jul 1'!$G$8:$G$42=$AD19)*'Jul 1'!$AK$8:$AK$42)*('Jul 1'!$Q$8:$Q$42+'Jul 1'!$R$8:$R$42))</f>
        <v>0</v>
      </c>
      <c r="AF38">
        <f>SUMPRODUCT((('Jul 2'!$F$8:$F$42=$AD19)*'Jul 2'!$AJ$8:$AJ$42+('Jul 2'!$G$8:$G$42=$AD19)*'Jul 2'!$AK$8:$AK$42)*('Jul 2'!$Q$8:$Q$42+'Jul 2'!$R$8:$R$42))</f>
        <v>0</v>
      </c>
      <c r="AG38">
        <f>SUMPRODUCT((('Jul 3'!$F$8:$F$42=$AD19)*'Jul 3'!$AJ$8:$AJ$42+('Jul 3'!$G$8:$G$42=$AD19)*'Jul 3'!$AK$8:$AK$42)*('Jul 3'!$Q$8:$Q$42+'Jul 3'!$R$8:$R$42))</f>
        <v>0</v>
      </c>
      <c r="AH38">
        <f>SUMPRODUCT((('Jul 4'!$F$8:$F$42=$AD19)*'Jul 4'!$AJ$8:$AJ$42+('Jul 4'!$G$8:$G$42=$AD19)*'Jul 4'!$AK$8:$AK$42)*('Jul 4'!$Q$8:$Q$42+'Jul 4'!$R$8:$R$42))</f>
        <v>0</v>
      </c>
      <c r="AI38">
        <f>SUMPRODUCT((('Jul 5'!$F$8:$F$42=$AD19)*'Jul 5'!$AJ$8:$AJ$42+('Jul 5'!$G$8:$G$42=$AD19)*'Jul 5'!$AK$8:$AK$42)*('Jul 5'!$Q$8:$Q$42+'Jul 5'!$R$8:$R$42))</f>
        <v>0</v>
      </c>
      <c r="AJ38">
        <f>SUMPRODUCT((('Jul 6'!$F$8:$F$42=$AD19)*'Jul 6'!$AJ$8:$AJ$42+('Jul 6'!$G$8:$G$42=$AD19)*'Jul 6'!$AK$8:$AK$42)*('Jul 6'!$Q$8:$Q$42+'Jul 6'!$R$8:$R$42))</f>
        <v>0</v>
      </c>
      <c r="AK38">
        <f>SUMPRODUCT((('Jul 7'!$F$8:$F$42=$AD19)*'Jul 7'!$AJ$8:$AJ$42+('Jul 7'!$G$8:$G$42=$AD19)*'Jul 7'!$AK$8:$AK$42)*('Jul 7'!$Q$8:$Q$42+'Jul 7'!$R$8:$R$42))</f>
        <v>0</v>
      </c>
      <c r="AL38">
        <f>SUMPRODUCT((('Jul 8'!$F$8:$F$42=$AD19)*'Jul 8'!$AJ$8:$AJ$42+('Jul 8'!$G$8:$G$42=$AD19)*'Jul 8'!$AK$8:$AK$42)*('Jul 8'!$Q$8:$Q$42+'Jul 8'!$R$8:$R$42))</f>
        <v>0</v>
      </c>
      <c r="AM38">
        <f>SUMPRODUCT((('Jul 9'!$F$8:$F$42=$AD19)*'Jul 9'!$AJ$8:$AJ$42+('Jul 9'!$G$8:$G$42=$AD19)*'Jul 9'!$AK$8:$AK$42)*('Jul 9'!$Q$8:$Q$42+'Jul 9'!$R$8:$R$42))</f>
        <v>0</v>
      </c>
      <c r="AN38">
        <f>SUMPRODUCT((('Jul 10'!$F$8:$F$42=$AD19)*'Jul 10'!$AJ$8:$AJ$42+('Jul 10'!$G$8:$G$42=$AD19)*'Jul 10'!$AK$8:$AK$42)*('Jul 10'!$Q$8:$Q$42+'Jul 10'!$R$8:$R$42))</f>
        <v>0</v>
      </c>
      <c r="AO38">
        <f>SUMPRODUCT((('Jul 11'!$F$8:$F$42=$AD19)*'Jul 11'!$AJ$8:$AJ$42+('Jul 11'!$G$8:$G$42=$AD19)*'Jul 11'!$AK$8:$AK$42)*('Jul 11'!$Q$8:$Q$42+'Jul 11'!$R$8:$R$42))</f>
        <v>0</v>
      </c>
      <c r="AP38">
        <f>SUMPRODUCT((('Jul 12'!$F$8:$F$42=$AD19)*'Jul 12'!$AJ$8:$AJ$42+('Jul 12'!$G$8:$G$42=$AD19)*'Jul 12'!$AK$8:$AK$42)*('Jul 12'!$Q$8:$Q$42+'Jul 12'!$R$8:$R$42))</f>
        <v>0</v>
      </c>
      <c r="AQ38">
        <f>SUMPRODUCT((('Jul 13'!$F$8:$F$42=$AD19)*'Jul 13'!$AJ$8:$AJ$42+('Jul 13'!$G$8:$G$42=$AD19)*'Jul 13'!$AK$8:$AK$42)*('Jul 13'!$Q$8:$Q$42+'Jul 13'!$R$8:$R$42))</f>
        <v>0</v>
      </c>
      <c r="AR38">
        <f>SUMPRODUCT((('Jul 14'!$F$8:$F$42=$AD19)*'Jul 14'!$AJ$8:$AJ$42+('Jul 14'!$G$8:$G$42=$AD19)*'Jul 14'!$AK$8:$AK$42)*('Jul 14'!$Q$8:$Q$42+'Jul 14'!$R$8:$R$42))</f>
        <v>0</v>
      </c>
      <c r="AS38">
        <f>SUMPRODUCT((('Jul 15'!$F$8:$F$42=$AD19)*'Jul 15'!$AJ$8:$AJ$42+('Jul 15'!$G$8:$G$42=$AD19)*'Jul 15'!$AK$8:$AK$42)*('Jul 15'!$Q$8:$Q$42+'Jul 15'!$R$8:$R$42))</f>
        <v>0</v>
      </c>
      <c r="AT38">
        <f>SUMPRODUCT((('Jul 16'!$F$8:$F$42=$AD19)*'Jul 16'!$AJ$8:$AJ$42+('Jul 16'!$G$8:$G$42=$AD19)*'Jul 16'!$AK$8:$AK$42)*('Jul 16'!$Q$8:$Q$42+'Jul 16'!$R$8:$R$42))</f>
        <v>0</v>
      </c>
      <c r="AU38">
        <f>SUMPRODUCT((('Jul 17'!$F$8:$F$42=$AD19)*'Jul 17'!$AJ$8:$AJ$42+('Jul 17'!$G$8:$G$42=$AD19)*'Jul 17'!$AK$8:$AK$42)*('Jul 17'!$Q$8:$Q$42+'Jul 17'!$R$8:$R$42))</f>
        <v>0</v>
      </c>
      <c r="AV38">
        <f>SUMPRODUCT((('Jul 18'!$F$8:$F$42=$AD19)*'Jul 18'!$AJ$8:$AJ$42+('Jul 18'!$G$8:$G$42=$AD19)*'Jul 18'!$AK$8:$AK$42)*('Jul 18'!$Q$8:$Q$42+'Jul 18'!$R$8:$R$42))</f>
        <v>0</v>
      </c>
      <c r="AW38">
        <f>SUMPRODUCT((('Jul 19'!$F$8:$F$42=$AD19)*'Jul 19'!$AJ$8:$AJ$42+('Jul 19'!$G$8:$G$42=$AD19)*'Jul 19'!$AK$8:$AK$42)*('Jul 19'!$Q$8:$Q$42+'Jul 19'!$R$8:$R$42))</f>
        <v>0</v>
      </c>
      <c r="AX38">
        <f>SUMPRODUCT((('Jul 20'!$F$8:$F$42=$AD19)*'Jul 20'!$AJ$8:$AJ$42+('Jul 20'!$G$8:$G$42=$AD19)*'Jul 20'!$AK$8:$AK$42)*('Jul 20'!$Q$8:$Q$42+'Jul 20'!$R$8:$R$42))</f>
        <v>0</v>
      </c>
      <c r="AY38">
        <f>SUMPRODUCT((('Jul 21'!$F$8:$F$42=$AD19)*'Jul 21'!$AJ$8:$AJ$42+('Jul 21'!$G$8:$G$42=$AD19)*'Jul 21'!$AK$8:$AK$42)*('Jul 21'!$Q$8:$Q$42+'Jul 21'!$R$8:$R$42))</f>
        <v>0</v>
      </c>
      <c r="AZ38">
        <f>SUMPRODUCT((('Jul 22'!$F$8:$F$42=$AD19)*'Jul 22'!$AJ$8:$AJ$42+('Jul 22'!$G$8:$G$42=$AD19)*'Jul 22'!$AK$8:$AK$42)*('Jul 22'!$Q$8:$Q$42+'Jul 22'!$R$8:$R$42))</f>
        <v>0</v>
      </c>
      <c r="BA38">
        <f>SUMPRODUCT((('Jul 23'!$F$8:$F$42=$AD19)*'Jul 23'!$AJ$8:$AJ$42+('Jul 23'!$G$8:$G$42=$AD19)*'Jul 23'!$AK$8:$AK$42)*('Jul 23'!$Q$8:$Q$42+'Jul 23'!$R$8:$R$42))</f>
        <v>0</v>
      </c>
      <c r="BB38">
        <f>SUMPRODUCT((('Jul 24'!$F$8:$F$42=$AD19)*'Jul 24'!$AJ$8:$AJ$42+('Jul 24'!$G$8:$G$42=$AD19)*'Jul 24'!$AK$8:$AK$42)*('Jul 24'!$Q$8:$Q$42+'Jul 24'!$R$8:$R$42))</f>
        <v>0</v>
      </c>
      <c r="BC38">
        <f>SUMPRODUCT((('Jul 25'!$F$8:$F$42=$AD19)*'Jul 25'!$AJ$8:$AJ$42+('Jul 25'!$G$8:$G$42=$AD19)*'Jul 25'!$AK$8:$AK$42)*('Jul 25'!$Q$8:$Q$42+'Jul 25'!$R$8:$R$42))</f>
        <v>0</v>
      </c>
      <c r="BD38">
        <f>SUMPRODUCT((('Jul 26'!$F$8:$F$42=$AD19)*'Jul 26'!$AJ$8:$AJ$42+('Jul 26'!$G$8:$G$42=$AD19)*'Jul 26'!$AK$8:$AK$42)*('Jul 26'!$Q$8:$Q$42+'Jul 26'!$R$8:$R$42))</f>
        <v>0</v>
      </c>
      <c r="BE38">
        <f>SUMPRODUCT((('Jul 27'!$F$8:$F$42=$AD19)*'Jul 27'!$AJ$8:$AJ$42+('Jul 27'!$G$8:$G$42=$AD19)*'Jul 27'!$AK$8:$AK$42)*('Jul 27'!$Q$8:$Q$42+'Jul 27'!$R$8:$R$42))</f>
        <v>0</v>
      </c>
      <c r="BF38">
        <f>SUMPRODUCT((('Jul 28'!$F$8:$F$42=$AD19)*'Jul 28'!$AJ$8:$AJ$42+('Jul 28'!$G$8:$G$42=$AD19)*'Jul 28'!$AK$8:$AK$42)*('Jul 28'!$Q$8:$Q$42+'Jul 28'!$R$8:$R$42))</f>
        <v>0</v>
      </c>
      <c r="BG38">
        <f>SUMPRODUCT((('Jul 29'!$F$8:$F$42=$AD19)*'Jul 29'!$AJ$8:$AJ$42+('Jul 29'!$G$8:$G$42=$AD19)*'Jul 29'!$AK$8:$AK$42)*('Jul 29'!$Q$8:$Q$42+'Jul 29'!$R$8:$R$42))</f>
        <v>0</v>
      </c>
      <c r="BH38">
        <f>SUMPRODUCT((('Jul 30'!$F$8:$F$42=$AD19)*'Jul 30'!$AJ$8:$AJ$42+('Jul 30'!$G$8:$G$42=$AD19)*'Jul 30'!$AK$8:$AK$42)*('Jul 30'!$Q$8:$Q$42+'Jul 30'!$R$8:$R$42))</f>
        <v>0</v>
      </c>
      <c r="BI38">
        <f>SUMPRODUCT((('Jul 31'!$F$8:$F$42=$AD19)*'Jul 31'!$AJ$8:$AJ$42+('Jul 31'!$G$8:$G$42=$AD19)*'Jul 31'!$AK$8:$AK$42)*('Jul 31'!$Q$8:$Q$42+'Jul 31'!$R$8:$R$42))</f>
        <v>0</v>
      </c>
      <c r="BK38">
        <f t="shared" si="2"/>
        <v>0</v>
      </c>
    </row>
    <row r="39" spans="1:68" ht="15" customHeight="1" x14ac:dyDescent="0.25">
      <c r="A39" s="50">
        <v>12</v>
      </c>
      <c r="B39" s="144" t="str">
        <f>IFERROR(INDEX($AD$4:$AD$19,MATCH(12,$BN$4:$BN$19,0)),"")</f>
        <v>JACOB LICHTENSTRAHL</v>
      </c>
      <c r="C39" s="111"/>
      <c r="D39" s="111"/>
      <c r="E39" s="111"/>
      <c r="F39" s="111"/>
      <c r="G39" s="111"/>
      <c r="H39" s="139">
        <f>IFERROR(INDEX($BK$4:$BK$19,MATCH(12,$BN$4:$BN$19,0)),0)</f>
        <v>0</v>
      </c>
      <c r="I39" s="111"/>
      <c r="J39" s="136">
        <f>IFERROR(INDEX($BK$23:$BK$38,MATCH(12,$BN$4:$BN$19,0)),0)</f>
        <v>0</v>
      </c>
      <c r="K39" s="111"/>
      <c r="L39" s="136" t="str">
        <f t="shared" si="3"/>
        <v>—</v>
      </c>
      <c r="M39" s="111"/>
    </row>
    <row r="40" spans="1:68" ht="15" customHeight="1" x14ac:dyDescent="0.25">
      <c r="A40" s="44">
        <v>13</v>
      </c>
      <c r="B40" s="148" t="str">
        <f>IFERROR(INDEX($AD$4:$AD$19,MATCH(13,$BN$4:$BN$19,0)),"")</f>
        <v>BRAYDON JOHNSON</v>
      </c>
      <c r="C40" s="111"/>
      <c r="D40" s="111"/>
      <c r="E40" s="111"/>
      <c r="F40" s="111"/>
      <c r="G40" s="111"/>
      <c r="H40" s="142">
        <f>IFERROR(INDEX($BK$4:$BK$19,MATCH(13,$BN$4:$BN$19,0)),0)</f>
        <v>0</v>
      </c>
      <c r="I40" s="111"/>
      <c r="J40" s="141">
        <f>IFERROR(INDEX($BK$23:$BK$38,MATCH(13,$BN$4:$BN$19,0)),0)</f>
        <v>0</v>
      </c>
      <c r="K40" s="111"/>
      <c r="L40" s="141" t="str">
        <f t="shared" si="3"/>
        <v>—</v>
      </c>
      <c r="M40" s="111"/>
    </row>
    <row r="41" spans="1:68" ht="15" customHeight="1" x14ac:dyDescent="0.25">
      <c r="A41" s="50">
        <v>14</v>
      </c>
      <c r="B41" s="144" t="str">
        <f>IFERROR(INDEX($AD$4:$AD$19,MATCH(14,$BN$4:$BN$19,0)),"")</f>
        <v>CHRIS HORNE</v>
      </c>
      <c r="C41" s="111"/>
      <c r="D41" s="111"/>
      <c r="E41" s="111"/>
      <c r="F41" s="111"/>
      <c r="G41" s="111"/>
      <c r="H41" s="139">
        <f>IFERROR(INDEX($BK$4:$BK$19,MATCH(14,$BN$4:$BN$19,0)),0)</f>
        <v>0</v>
      </c>
      <c r="I41" s="111"/>
      <c r="J41" s="136">
        <f>IFERROR(INDEX($BK$23:$BK$38,MATCH(14,$BN$4:$BN$19,0)),0)</f>
        <v>0</v>
      </c>
      <c r="K41" s="111"/>
      <c r="L41" s="136" t="str">
        <f t="shared" si="3"/>
        <v>—</v>
      </c>
      <c r="M41" s="111"/>
      <c r="AE41">
        <f>COUNTIF('Jul 1'!$AL$8:$AL$42,$BP41)</f>
        <v>0</v>
      </c>
      <c r="AF41">
        <f>COUNTIF('Jul 2'!$AL$8:$AL$42,$BP41)</f>
        <v>0</v>
      </c>
      <c r="AG41">
        <f>COUNTIF('Jul 3'!$AL$8:$AL$42,$BP41)</f>
        <v>0</v>
      </c>
      <c r="AH41">
        <f>COUNTIF('Jul 4'!$AL$8:$AL$42,$BP41)</f>
        <v>0</v>
      </c>
      <c r="AI41">
        <f>COUNTIF('Jul 5'!$AL$8:$AL$42,$BP41)</f>
        <v>0</v>
      </c>
      <c r="AJ41">
        <f>COUNTIF('Jul 6'!$AL$8:$AL$42,$BP41)</f>
        <v>0</v>
      </c>
      <c r="AK41">
        <f>COUNTIF('Jul 7'!$AL$8:$AL$42,$BP41)</f>
        <v>0</v>
      </c>
      <c r="AL41">
        <f>COUNTIF('Jul 8'!$AL$8:$AL$42,$BP41)</f>
        <v>0</v>
      </c>
      <c r="AM41">
        <f>COUNTIF('Jul 9'!$AL$8:$AL$42,$BP41)</f>
        <v>0</v>
      </c>
      <c r="AN41">
        <f>COUNTIF('Jul 10'!$AL$8:$AL$42,$BP41)</f>
        <v>0</v>
      </c>
      <c r="AO41">
        <f>COUNTIF('Jul 11'!$AL$8:$AL$42,$BP41)</f>
        <v>0</v>
      </c>
      <c r="AP41">
        <f>COUNTIF('Jul 12'!$AL$8:$AL$42,$BP41)</f>
        <v>0</v>
      </c>
      <c r="AQ41">
        <f>COUNTIF('Jul 13'!$AL$8:$AL$42,$BP41)</f>
        <v>0</v>
      </c>
      <c r="AR41">
        <f>COUNTIF('Jul 14'!$AL$8:$AL$42,$BP41)</f>
        <v>0</v>
      </c>
      <c r="AS41">
        <f>COUNTIF('Jul 15'!$AL$8:$AL$42,$BP41)</f>
        <v>0</v>
      </c>
      <c r="AT41">
        <f>COUNTIF('Jul 16'!$AL$8:$AL$42,$BP41)</f>
        <v>0</v>
      </c>
      <c r="AU41">
        <f>COUNTIF('Jul 17'!$AL$8:$AL$42,$BP41)</f>
        <v>0</v>
      </c>
      <c r="AV41">
        <f>COUNTIF('Jul 18'!$AL$8:$AL$42,$BP41)</f>
        <v>0</v>
      </c>
      <c r="AW41">
        <f>COUNTIF('Jul 19'!$AL$8:$AL$42,$BP41)</f>
        <v>0</v>
      </c>
      <c r="AX41">
        <f>COUNTIF('Jul 20'!$AL$8:$AL$42,$BP41)</f>
        <v>0</v>
      </c>
      <c r="AY41">
        <f>COUNTIF('Jul 21'!$AL$8:$AL$42,$BP41)</f>
        <v>0</v>
      </c>
      <c r="AZ41">
        <f>COUNTIF('Jul 22'!$AL$8:$AL$42,$BP41)</f>
        <v>0</v>
      </c>
      <c r="BA41">
        <f>COUNTIF('Jul 23'!$AL$8:$AL$42,$BP41)</f>
        <v>0</v>
      </c>
      <c r="BB41">
        <f>COUNTIF('Jul 24'!$AL$8:$AL$42,$BP41)</f>
        <v>0</v>
      </c>
      <c r="BC41">
        <f>COUNTIF('Jul 25'!$AL$8:$AL$42,$BP41)</f>
        <v>0</v>
      </c>
      <c r="BD41">
        <f>COUNTIF('Jul 26'!$AL$8:$AL$42,$BP41)</f>
        <v>0</v>
      </c>
      <c r="BE41">
        <f>COUNTIF('Jul 27'!$AL$8:$AL$42,$BP41)</f>
        <v>0</v>
      </c>
      <c r="BF41">
        <f>COUNTIF('Jul 28'!$AL$8:$AL$42,$BP41)</f>
        <v>0</v>
      </c>
      <c r="BG41">
        <f>COUNTIF('Jul 29'!$AL$8:$AL$42,$BP41)</f>
        <v>0</v>
      </c>
      <c r="BH41">
        <f>COUNTIF('Jul 30'!$AL$8:$AL$42,$BP41)</f>
        <v>0</v>
      </c>
      <c r="BI41">
        <f>COUNTIF('Jul 31'!$AL$8:$AL$42,$BP41)</f>
        <v>0</v>
      </c>
      <c r="BK41">
        <f>SUM(AE41:BI41)</f>
        <v>0</v>
      </c>
      <c r="BP41" t="s">
        <v>176</v>
      </c>
    </row>
    <row r="42" spans="1:68" ht="15" customHeight="1" x14ac:dyDescent="0.25">
      <c r="A42" s="44">
        <v>15</v>
      </c>
      <c r="B42" s="148" t="str">
        <f>IFERROR(INDEX($AD$4:$AD$19,MATCH(15,$BN$4:$BN$19,0)),"")</f>
        <v>TIM CAMPBELL</v>
      </c>
      <c r="C42" s="111"/>
      <c r="D42" s="111"/>
      <c r="E42" s="111"/>
      <c r="F42" s="111"/>
      <c r="G42" s="111"/>
      <c r="H42" s="142">
        <f>IFERROR(INDEX($BK$4:$BK$19,MATCH(15,$BN$4:$BN$19,0)),0)</f>
        <v>0</v>
      </c>
      <c r="I42" s="111"/>
      <c r="J42" s="141">
        <f>IFERROR(INDEX($BK$23:$BK$38,MATCH(15,$BN$4:$BN$19,0)),0)</f>
        <v>0</v>
      </c>
      <c r="K42" s="111"/>
      <c r="L42" s="141" t="str">
        <f t="shared" si="3"/>
        <v>—</v>
      </c>
      <c r="M42" s="111"/>
      <c r="AE42">
        <f>COUNTIF('Jul 1'!$AL$8:$AL$42,$BP42)</f>
        <v>0</v>
      </c>
      <c r="AF42">
        <f>COUNTIF('Jul 2'!$AL$8:$AL$42,$BP42)</f>
        <v>0</v>
      </c>
      <c r="AG42">
        <f>COUNTIF('Jul 3'!$AL$8:$AL$42,$BP42)</f>
        <v>0</v>
      </c>
      <c r="AH42">
        <f>COUNTIF('Jul 4'!$AL$8:$AL$42,$BP42)</f>
        <v>0</v>
      </c>
      <c r="AI42">
        <f>COUNTIF('Jul 5'!$AL$8:$AL$42,$BP42)</f>
        <v>0</v>
      </c>
      <c r="AJ42">
        <f>COUNTIF('Jul 6'!$AL$8:$AL$42,$BP42)</f>
        <v>0</v>
      </c>
      <c r="AK42">
        <f>COUNTIF('Jul 7'!$AL$8:$AL$42,$BP42)</f>
        <v>0</v>
      </c>
      <c r="AL42">
        <f>COUNTIF('Jul 8'!$AL$8:$AL$42,$BP42)</f>
        <v>0</v>
      </c>
      <c r="AM42">
        <f>COUNTIF('Jul 9'!$AL$8:$AL$42,$BP42)</f>
        <v>0</v>
      </c>
      <c r="AN42">
        <f>COUNTIF('Jul 10'!$AL$8:$AL$42,$BP42)</f>
        <v>0</v>
      </c>
      <c r="AO42">
        <f>COUNTIF('Jul 11'!$AL$8:$AL$42,$BP42)</f>
        <v>0</v>
      </c>
      <c r="AP42">
        <f>COUNTIF('Jul 12'!$AL$8:$AL$42,$BP42)</f>
        <v>0</v>
      </c>
      <c r="AQ42">
        <f>COUNTIF('Jul 13'!$AL$8:$AL$42,$BP42)</f>
        <v>0</v>
      </c>
      <c r="AR42">
        <f>COUNTIF('Jul 14'!$AL$8:$AL$42,$BP42)</f>
        <v>0</v>
      </c>
      <c r="AS42">
        <f>COUNTIF('Jul 15'!$AL$8:$AL$42,$BP42)</f>
        <v>0</v>
      </c>
      <c r="AT42">
        <f>COUNTIF('Jul 16'!$AL$8:$AL$42,$BP42)</f>
        <v>0</v>
      </c>
      <c r="AU42">
        <f>COUNTIF('Jul 17'!$AL$8:$AL$42,$BP42)</f>
        <v>0</v>
      </c>
      <c r="AV42">
        <f>COUNTIF('Jul 18'!$AL$8:$AL$42,$BP42)</f>
        <v>0</v>
      </c>
      <c r="AW42">
        <f>COUNTIF('Jul 19'!$AL$8:$AL$42,$BP42)</f>
        <v>0</v>
      </c>
      <c r="AX42">
        <f>COUNTIF('Jul 20'!$AL$8:$AL$42,$BP42)</f>
        <v>0</v>
      </c>
      <c r="AY42">
        <f>COUNTIF('Jul 21'!$AL$8:$AL$42,$BP42)</f>
        <v>0</v>
      </c>
      <c r="AZ42">
        <f>COUNTIF('Jul 22'!$AL$8:$AL$42,$BP42)</f>
        <v>0</v>
      </c>
      <c r="BA42">
        <f>COUNTIF('Jul 23'!$AL$8:$AL$42,$BP42)</f>
        <v>0</v>
      </c>
      <c r="BB42">
        <f>COUNTIF('Jul 24'!$AL$8:$AL$42,$BP42)</f>
        <v>0</v>
      </c>
      <c r="BC42">
        <f>COUNTIF('Jul 25'!$AL$8:$AL$42,$BP42)</f>
        <v>0</v>
      </c>
      <c r="BD42">
        <f>COUNTIF('Jul 26'!$AL$8:$AL$42,$BP42)</f>
        <v>0</v>
      </c>
      <c r="BE42">
        <f>COUNTIF('Jul 27'!$AL$8:$AL$42,$BP42)</f>
        <v>0</v>
      </c>
      <c r="BF42">
        <f>COUNTIF('Jul 28'!$AL$8:$AL$42,$BP42)</f>
        <v>0</v>
      </c>
      <c r="BG42">
        <f>COUNTIF('Jul 29'!$AL$8:$AL$42,$BP42)</f>
        <v>0</v>
      </c>
      <c r="BH42">
        <f>COUNTIF('Jul 30'!$AL$8:$AL$42,$BP42)</f>
        <v>0</v>
      </c>
      <c r="BI42">
        <f>COUNTIF('Jul 31'!$AL$8:$AL$42,$BP42)</f>
        <v>0</v>
      </c>
      <c r="BK42">
        <f>SUM(AE42:BI42)</f>
        <v>0</v>
      </c>
      <c r="BP42" t="s">
        <v>177</v>
      </c>
    </row>
    <row r="43" spans="1:68" ht="15" customHeight="1" x14ac:dyDescent="0.25">
      <c r="A43" s="50">
        <v>16</v>
      </c>
      <c r="B43" s="144" t="str">
        <f>IFERROR(INDEX($AD$4:$AD$19,MATCH(16,$BN$4:$BN$19,0)),"")</f>
        <v>BILL RISKO</v>
      </c>
      <c r="C43" s="111"/>
      <c r="D43" s="111"/>
      <c r="E43" s="111"/>
      <c r="F43" s="111"/>
      <c r="G43" s="111"/>
      <c r="H43" s="139">
        <f>IFERROR(INDEX($BK$4:$BK$19,MATCH(16,$BN$4:$BN$19,0)),0)</f>
        <v>0</v>
      </c>
      <c r="I43" s="111"/>
      <c r="J43" s="136">
        <f>IFERROR(INDEX($BK$23:$BK$38,MATCH(16,$BN$4:$BN$19,0)),0)</f>
        <v>0</v>
      </c>
      <c r="K43" s="111"/>
      <c r="L43" s="136" t="str">
        <f t="shared" si="3"/>
        <v>—</v>
      </c>
      <c r="M43" s="111"/>
      <c r="AE43">
        <f>COUNTIF('Jul 1'!$AL$8:$AL$42,$BP43)</f>
        <v>0</v>
      </c>
      <c r="AF43">
        <f>COUNTIF('Jul 2'!$AL$8:$AL$42,$BP43)</f>
        <v>0</v>
      </c>
      <c r="AG43">
        <f>COUNTIF('Jul 3'!$AL$8:$AL$42,$BP43)</f>
        <v>0</v>
      </c>
      <c r="AH43">
        <f>COUNTIF('Jul 4'!$AL$8:$AL$42,$BP43)</f>
        <v>0</v>
      </c>
      <c r="AI43">
        <f>COUNTIF('Jul 5'!$AL$8:$AL$42,$BP43)</f>
        <v>0</v>
      </c>
      <c r="AJ43">
        <f>COUNTIF('Jul 6'!$AL$8:$AL$42,$BP43)</f>
        <v>0</v>
      </c>
      <c r="AK43">
        <f>COUNTIF('Jul 7'!$AL$8:$AL$42,$BP43)</f>
        <v>0</v>
      </c>
      <c r="AL43">
        <f>COUNTIF('Jul 8'!$AL$8:$AL$42,$BP43)</f>
        <v>0</v>
      </c>
      <c r="AM43">
        <f>COUNTIF('Jul 9'!$AL$8:$AL$42,$BP43)</f>
        <v>0</v>
      </c>
      <c r="AN43">
        <f>COUNTIF('Jul 10'!$AL$8:$AL$42,$BP43)</f>
        <v>0</v>
      </c>
      <c r="AO43">
        <f>COUNTIF('Jul 11'!$AL$8:$AL$42,$BP43)</f>
        <v>0</v>
      </c>
      <c r="AP43">
        <f>COUNTIF('Jul 12'!$AL$8:$AL$42,$BP43)</f>
        <v>0</v>
      </c>
      <c r="AQ43">
        <f>COUNTIF('Jul 13'!$AL$8:$AL$42,$BP43)</f>
        <v>0</v>
      </c>
      <c r="AR43">
        <f>COUNTIF('Jul 14'!$AL$8:$AL$42,$BP43)</f>
        <v>0</v>
      </c>
      <c r="AS43">
        <f>COUNTIF('Jul 15'!$AL$8:$AL$42,$BP43)</f>
        <v>0</v>
      </c>
      <c r="AT43">
        <f>COUNTIF('Jul 16'!$AL$8:$AL$42,$BP43)</f>
        <v>0</v>
      </c>
      <c r="AU43">
        <f>COUNTIF('Jul 17'!$AL$8:$AL$42,$BP43)</f>
        <v>0</v>
      </c>
      <c r="AV43">
        <f>COUNTIF('Jul 18'!$AL$8:$AL$42,$BP43)</f>
        <v>0</v>
      </c>
      <c r="AW43">
        <f>COUNTIF('Jul 19'!$AL$8:$AL$42,$BP43)</f>
        <v>0</v>
      </c>
      <c r="AX43">
        <f>COUNTIF('Jul 20'!$AL$8:$AL$42,$BP43)</f>
        <v>0</v>
      </c>
      <c r="AY43">
        <f>COUNTIF('Jul 21'!$AL$8:$AL$42,$BP43)</f>
        <v>0</v>
      </c>
      <c r="AZ43">
        <f>COUNTIF('Jul 22'!$AL$8:$AL$42,$BP43)</f>
        <v>0</v>
      </c>
      <c r="BA43">
        <f>COUNTIF('Jul 23'!$AL$8:$AL$42,$BP43)</f>
        <v>0</v>
      </c>
      <c r="BB43">
        <f>COUNTIF('Jul 24'!$AL$8:$AL$42,$BP43)</f>
        <v>0</v>
      </c>
      <c r="BC43">
        <f>COUNTIF('Jul 25'!$AL$8:$AL$42,$BP43)</f>
        <v>0</v>
      </c>
      <c r="BD43">
        <f>COUNTIF('Jul 26'!$AL$8:$AL$42,$BP43)</f>
        <v>0</v>
      </c>
      <c r="BE43">
        <f>COUNTIF('Jul 27'!$AL$8:$AL$42,$BP43)</f>
        <v>0</v>
      </c>
      <c r="BF43">
        <f>COUNTIF('Jul 28'!$AL$8:$AL$42,$BP43)</f>
        <v>0</v>
      </c>
      <c r="BG43">
        <f>COUNTIF('Jul 29'!$AL$8:$AL$42,$BP43)</f>
        <v>0</v>
      </c>
      <c r="BH43">
        <f>COUNTIF('Jul 30'!$AL$8:$AL$42,$BP43)</f>
        <v>0</v>
      </c>
      <c r="BI43">
        <f>COUNTIF('Jul 31'!$AL$8:$AL$42,$BP43)</f>
        <v>0</v>
      </c>
      <c r="BK43">
        <f>SUM(AE43:BI43)</f>
        <v>0</v>
      </c>
      <c r="BP43" t="s">
        <v>178</v>
      </c>
    </row>
    <row r="44" spans="1:68" x14ac:dyDescent="0.25">
      <c r="AE44">
        <f>COUNTIF('Jul 1'!$AL$8:$AL$42,$BP44)</f>
        <v>0</v>
      </c>
      <c r="AF44">
        <f>COUNTIF('Jul 2'!$AL$8:$AL$42,$BP44)</f>
        <v>0</v>
      </c>
      <c r="AG44">
        <f>COUNTIF('Jul 3'!$AL$8:$AL$42,$BP44)</f>
        <v>0</v>
      </c>
      <c r="AH44">
        <f>COUNTIF('Jul 4'!$AL$8:$AL$42,$BP44)</f>
        <v>0</v>
      </c>
      <c r="AI44">
        <f>COUNTIF('Jul 5'!$AL$8:$AL$42,$BP44)</f>
        <v>0</v>
      </c>
      <c r="AJ44">
        <f>COUNTIF('Jul 6'!$AL$8:$AL$42,$BP44)</f>
        <v>0</v>
      </c>
      <c r="AK44">
        <f>COUNTIF('Jul 7'!$AL$8:$AL$42,$BP44)</f>
        <v>0</v>
      </c>
      <c r="AL44">
        <f>COUNTIF('Jul 8'!$AL$8:$AL$42,$BP44)</f>
        <v>0</v>
      </c>
      <c r="AM44">
        <f>COUNTIF('Jul 9'!$AL$8:$AL$42,$BP44)</f>
        <v>0</v>
      </c>
      <c r="AN44">
        <f>COUNTIF('Jul 10'!$AL$8:$AL$42,$BP44)</f>
        <v>0</v>
      </c>
      <c r="AO44">
        <f>COUNTIF('Jul 11'!$AL$8:$AL$42,$BP44)</f>
        <v>0</v>
      </c>
      <c r="AP44">
        <f>COUNTIF('Jul 12'!$AL$8:$AL$42,$BP44)</f>
        <v>0</v>
      </c>
      <c r="AQ44">
        <f>COUNTIF('Jul 13'!$AL$8:$AL$42,$BP44)</f>
        <v>0</v>
      </c>
      <c r="AR44">
        <f>COUNTIF('Jul 14'!$AL$8:$AL$42,$BP44)</f>
        <v>0</v>
      </c>
      <c r="AS44">
        <f>COUNTIF('Jul 15'!$AL$8:$AL$42,$BP44)</f>
        <v>0</v>
      </c>
      <c r="AT44">
        <f>COUNTIF('Jul 16'!$AL$8:$AL$42,$BP44)</f>
        <v>0</v>
      </c>
      <c r="AU44">
        <f>COUNTIF('Jul 17'!$AL$8:$AL$42,$BP44)</f>
        <v>0</v>
      </c>
      <c r="AV44">
        <f>COUNTIF('Jul 18'!$AL$8:$AL$42,$BP44)</f>
        <v>0</v>
      </c>
      <c r="AW44">
        <f>COUNTIF('Jul 19'!$AL$8:$AL$42,$BP44)</f>
        <v>0</v>
      </c>
      <c r="AX44">
        <f>COUNTIF('Jul 20'!$AL$8:$AL$42,$BP44)</f>
        <v>0</v>
      </c>
      <c r="AY44">
        <f>COUNTIF('Jul 21'!$AL$8:$AL$42,$BP44)</f>
        <v>0</v>
      </c>
      <c r="AZ44">
        <f>COUNTIF('Jul 22'!$AL$8:$AL$42,$BP44)</f>
        <v>0</v>
      </c>
      <c r="BA44">
        <f>COUNTIF('Jul 23'!$AL$8:$AL$42,$BP44)</f>
        <v>0</v>
      </c>
      <c r="BB44">
        <f>COUNTIF('Jul 24'!$AL$8:$AL$42,$BP44)</f>
        <v>0</v>
      </c>
      <c r="BC44">
        <f>COUNTIF('Jul 25'!$AL$8:$AL$42,$BP44)</f>
        <v>0</v>
      </c>
      <c r="BD44">
        <f>COUNTIF('Jul 26'!$AL$8:$AL$42,$BP44)</f>
        <v>0</v>
      </c>
      <c r="BE44">
        <f>COUNTIF('Jul 27'!$AL$8:$AL$42,$BP44)</f>
        <v>0</v>
      </c>
      <c r="BF44">
        <f>COUNTIF('Jul 28'!$AL$8:$AL$42,$BP44)</f>
        <v>0</v>
      </c>
      <c r="BG44">
        <f>COUNTIF('Jul 29'!$AL$8:$AL$42,$BP44)</f>
        <v>0</v>
      </c>
      <c r="BH44">
        <f>COUNTIF('Jul 30'!$AL$8:$AL$42,$BP44)</f>
        <v>0</v>
      </c>
      <c r="BI44">
        <f>COUNTIF('Jul 31'!$AL$8:$AL$42,$BP44)</f>
        <v>0</v>
      </c>
      <c r="BK44">
        <f>SUM(AE44:BI44)</f>
        <v>0</v>
      </c>
      <c r="BP44" t="s">
        <v>179</v>
      </c>
    </row>
    <row r="45" spans="1:68" x14ac:dyDescent="0.25">
      <c r="AE45">
        <f>COUNTIF('Jul 1'!$AL$8:$AL$42,$BP45)</f>
        <v>0</v>
      </c>
      <c r="AF45">
        <f>COUNTIF('Jul 2'!$AL$8:$AL$42,$BP45)</f>
        <v>0</v>
      </c>
      <c r="AG45">
        <f>COUNTIF('Jul 3'!$AL$8:$AL$42,$BP45)</f>
        <v>0</v>
      </c>
      <c r="AH45">
        <f>COUNTIF('Jul 4'!$AL$8:$AL$42,$BP45)</f>
        <v>0</v>
      </c>
      <c r="AI45">
        <f>COUNTIF('Jul 5'!$AL$8:$AL$42,$BP45)</f>
        <v>0</v>
      </c>
      <c r="AJ45">
        <f>COUNTIF('Jul 6'!$AL$8:$AL$42,$BP45)</f>
        <v>0</v>
      </c>
      <c r="AK45">
        <f>COUNTIF('Jul 7'!$AL$8:$AL$42,$BP45)</f>
        <v>0</v>
      </c>
      <c r="AL45">
        <f>COUNTIF('Jul 8'!$AL$8:$AL$42,$BP45)</f>
        <v>0</v>
      </c>
      <c r="AM45">
        <f>COUNTIF('Jul 9'!$AL$8:$AL$42,$BP45)</f>
        <v>0</v>
      </c>
      <c r="AN45">
        <f>COUNTIF('Jul 10'!$AL$8:$AL$42,$BP45)</f>
        <v>0</v>
      </c>
      <c r="AO45">
        <f>COUNTIF('Jul 11'!$AL$8:$AL$42,$BP45)</f>
        <v>0</v>
      </c>
      <c r="AP45">
        <f>COUNTIF('Jul 12'!$AL$8:$AL$42,$BP45)</f>
        <v>0</v>
      </c>
      <c r="AQ45">
        <f>COUNTIF('Jul 13'!$AL$8:$AL$42,$BP45)</f>
        <v>0</v>
      </c>
      <c r="AR45">
        <f>COUNTIF('Jul 14'!$AL$8:$AL$42,$BP45)</f>
        <v>0</v>
      </c>
      <c r="AS45">
        <f>COUNTIF('Jul 15'!$AL$8:$AL$42,$BP45)</f>
        <v>0</v>
      </c>
      <c r="AT45">
        <f>COUNTIF('Jul 16'!$AL$8:$AL$42,$BP45)</f>
        <v>0</v>
      </c>
      <c r="AU45">
        <f>COUNTIF('Jul 17'!$AL$8:$AL$42,$BP45)</f>
        <v>0</v>
      </c>
      <c r="AV45">
        <f>COUNTIF('Jul 18'!$AL$8:$AL$42,$BP45)</f>
        <v>0</v>
      </c>
      <c r="AW45">
        <f>COUNTIF('Jul 19'!$AL$8:$AL$42,$BP45)</f>
        <v>0</v>
      </c>
      <c r="AX45">
        <f>COUNTIF('Jul 20'!$AL$8:$AL$42,$BP45)</f>
        <v>0</v>
      </c>
      <c r="AY45">
        <f>COUNTIF('Jul 21'!$AL$8:$AL$42,$BP45)</f>
        <v>0</v>
      </c>
      <c r="AZ45">
        <f>COUNTIF('Jul 22'!$AL$8:$AL$42,$BP45)</f>
        <v>0</v>
      </c>
      <c r="BA45">
        <f>COUNTIF('Jul 23'!$AL$8:$AL$42,$BP45)</f>
        <v>0</v>
      </c>
      <c r="BB45">
        <f>COUNTIF('Jul 24'!$AL$8:$AL$42,$BP45)</f>
        <v>0</v>
      </c>
      <c r="BC45">
        <f>COUNTIF('Jul 25'!$AL$8:$AL$42,$BP45)</f>
        <v>0</v>
      </c>
      <c r="BD45">
        <f>COUNTIF('Jul 26'!$AL$8:$AL$42,$BP45)</f>
        <v>0</v>
      </c>
      <c r="BE45">
        <f>COUNTIF('Jul 27'!$AL$8:$AL$42,$BP45)</f>
        <v>0</v>
      </c>
      <c r="BF45">
        <f>COUNTIF('Jul 28'!$AL$8:$AL$42,$BP45)</f>
        <v>0</v>
      </c>
      <c r="BG45">
        <f>COUNTIF('Jul 29'!$AL$8:$AL$42,$BP45)</f>
        <v>0</v>
      </c>
      <c r="BH45">
        <f>COUNTIF('Jul 30'!$AL$8:$AL$42,$BP45)</f>
        <v>0</v>
      </c>
      <c r="BI45">
        <f>COUNTIF('Jul 31'!$AL$8:$AL$42,$BP45)</f>
        <v>0</v>
      </c>
      <c r="BK45">
        <f>SUM(AE45:BI45)</f>
        <v>0</v>
      </c>
      <c r="BP45" t="s">
        <v>180</v>
      </c>
    </row>
  </sheetData>
  <sheetProtection sheet="1" formatColumns="0" formatRows="0"/>
  <mergeCells count="188">
    <mergeCell ref="B39:G39"/>
    <mergeCell ref="H39:I39"/>
    <mergeCell ref="B21:C21"/>
    <mergeCell ref="B14:C14"/>
    <mergeCell ref="L39:M39"/>
    <mergeCell ref="L14:M14"/>
    <mergeCell ref="Q35:R35"/>
    <mergeCell ref="N14:O14"/>
    <mergeCell ref="L29:M29"/>
    <mergeCell ref="B36:G36"/>
    <mergeCell ref="L38:M38"/>
    <mergeCell ref="N29:O29"/>
    <mergeCell ref="F23:G23"/>
    <mergeCell ref="H37:I37"/>
    <mergeCell ref="J31:K31"/>
    <mergeCell ref="L17:M17"/>
    <mergeCell ref="D20:E20"/>
    <mergeCell ref="H35:I35"/>
    <mergeCell ref="N26:R26"/>
    <mergeCell ref="N20:O20"/>
    <mergeCell ref="J19:K19"/>
    <mergeCell ref="B22:C22"/>
    <mergeCell ref="L19:M19"/>
    <mergeCell ref="D22:E22"/>
    <mergeCell ref="I6:J6"/>
    <mergeCell ref="L7:M7"/>
    <mergeCell ref="D10:E10"/>
    <mergeCell ref="L16:M16"/>
    <mergeCell ref="D19:E19"/>
    <mergeCell ref="D3:M3"/>
    <mergeCell ref="N16:O16"/>
    <mergeCell ref="F19:G19"/>
    <mergeCell ref="Q37:R37"/>
    <mergeCell ref="N1:R3"/>
    <mergeCell ref="A5:R5"/>
    <mergeCell ref="G6:H6"/>
    <mergeCell ref="D18:E18"/>
    <mergeCell ref="H27:I27"/>
    <mergeCell ref="F10:H10"/>
    <mergeCell ref="L34:M34"/>
    <mergeCell ref="J17:K17"/>
    <mergeCell ref="A9:R9"/>
    <mergeCell ref="L31:M31"/>
    <mergeCell ref="Q27:R27"/>
    <mergeCell ref="N31:O31"/>
    <mergeCell ref="Q30:R30"/>
    <mergeCell ref="J21:K21"/>
    <mergeCell ref="B24:C24"/>
    <mergeCell ref="G7:H7"/>
    <mergeCell ref="B11:C11"/>
    <mergeCell ref="Q29:R29"/>
    <mergeCell ref="I7:J7"/>
    <mergeCell ref="D11:E11"/>
    <mergeCell ref="F20:G20"/>
    <mergeCell ref="F18:G18"/>
    <mergeCell ref="F11:H11"/>
    <mergeCell ref="B37:G37"/>
    <mergeCell ref="L15:M15"/>
    <mergeCell ref="B23:C23"/>
    <mergeCell ref="L23:M23"/>
    <mergeCell ref="B30:G30"/>
    <mergeCell ref="H32:I32"/>
    <mergeCell ref="J32:K32"/>
    <mergeCell ref="B10:C10"/>
    <mergeCell ref="A13:R13"/>
    <mergeCell ref="Q36:R36"/>
    <mergeCell ref="L21:M21"/>
    <mergeCell ref="D24:E24"/>
    <mergeCell ref="N15:O15"/>
    <mergeCell ref="B31:G31"/>
    <mergeCell ref="H15:I15"/>
    <mergeCell ref="H23:I23"/>
    <mergeCell ref="F17:G17"/>
    <mergeCell ref="B33:G33"/>
    <mergeCell ref="Q31:R31"/>
    <mergeCell ref="H17:I17"/>
    <mergeCell ref="L30:M30"/>
    <mergeCell ref="J20:K20"/>
    <mergeCell ref="L20:M20"/>
    <mergeCell ref="N36:P36"/>
    <mergeCell ref="B41:G41"/>
    <mergeCell ref="B35:G35"/>
    <mergeCell ref="N28:O28"/>
    <mergeCell ref="H19:I19"/>
    <mergeCell ref="H28:I28"/>
    <mergeCell ref="J22:K22"/>
    <mergeCell ref="L22:M22"/>
    <mergeCell ref="N37:P37"/>
    <mergeCell ref="B40:G40"/>
    <mergeCell ref="J35:K35"/>
    <mergeCell ref="L35:M35"/>
    <mergeCell ref="N35:P35"/>
    <mergeCell ref="H41:I41"/>
    <mergeCell ref="B18:C18"/>
    <mergeCell ref="H34:I34"/>
    <mergeCell ref="J34:K34"/>
    <mergeCell ref="B6:C6"/>
    <mergeCell ref="N34:R34"/>
    <mergeCell ref="N30:O30"/>
    <mergeCell ref="L6:M6"/>
    <mergeCell ref="I10:J10"/>
    <mergeCell ref="K10:L10"/>
    <mergeCell ref="D23:E23"/>
    <mergeCell ref="B27:G27"/>
    <mergeCell ref="A26:M26"/>
    <mergeCell ref="H14:I14"/>
    <mergeCell ref="L33:M33"/>
    <mergeCell ref="N18:O18"/>
    <mergeCell ref="B17:C17"/>
    <mergeCell ref="D17:E17"/>
    <mergeCell ref="N17:O17"/>
    <mergeCell ref="H16:I16"/>
    <mergeCell ref="J16:K16"/>
    <mergeCell ref="B19:C19"/>
    <mergeCell ref="B32:G32"/>
    <mergeCell ref="N19:O19"/>
    <mergeCell ref="F22:G22"/>
    <mergeCell ref="H22:I22"/>
    <mergeCell ref="B20:C20"/>
    <mergeCell ref="J15:K15"/>
    <mergeCell ref="D1:M2"/>
    <mergeCell ref="J29:K29"/>
    <mergeCell ref="B7:C7"/>
    <mergeCell ref="H38:I38"/>
    <mergeCell ref="M10:R10"/>
    <mergeCell ref="J38:K38"/>
    <mergeCell ref="L32:M32"/>
    <mergeCell ref="H43:I43"/>
    <mergeCell ref="N32:O32"/>
    <mergeCell ref="I11:J11"/>
    <mergeCell ref="Q28:R28"/>
    <mergeCell ref="H31:I31"/>
    <mergeCell ref="D7:F7"/>
    <mergeCell ref="H40:I40"/>
    <mergeCell ref="B29:G29"/>
    <mergeCell ref="J40:K40"/>
    <mergeCell ref="B38:G38"/>
    <mergeCell ref="F21:G21"/>
    <mergeCell ref="K11:L11"/>
    <mergeCell ref="H21:I21"/>
    <mergeCell ref="L43:M43"/>
    <mergeCell ref="J24:K24"/>
    <mergeCell ref="L24:M24"/>
    <mergeCell ref="L18:M18"/>
    <mergeCell ref="A1:C3"/>
    <mergeCell ref="H42:I42"/>
    <mergeCell ref="J42:K42"/>
    <mergeCell ref="Q32:R32"/>
    <mergeCell ref="D14:E14"/>
    <mergeCell ref="B43:G43"/>
    <mergeCell ref="F14:G14"/>
    <mergeCell ref="D6:F6"/>
    <mergeCell ref="M11:R11"/>
    <mergeCell ref="H30:I30"/>
    <mergeCell ref="J39:K39"/>
    <mergeCell ref="B42:G42"/>
    <mergeCell ref="H20:I20"/>
    <mergeCell ref="H29:I29"/>
    <mergeCell ref="J14:K14"/>
    <mergeCell ref="J37:K37"/>
    <mergeCell ref="L37:M37"/>
    <mergeCell ref="K6"/>
    <mergeCell ref="D21:E21"/>
    <mergeCell ref="B34:G34"/>
    <mergeCell ref="J30:K30"/>
    <mergeCell ref="N21:O21"/>
    <mergeCell ref="F24:G24"/>
    <mergeCell ref="B28:G28"/>
    <mergeCell ref="J43:K43"/>
    <mergeCell ref="H24:I24"/>
    <mergeCell ref="H18:I18"/>
    <mergeCell ref="H33:I33"/>
    <mergeCell ref="J18:K18"/>
    <mergeCell ref="J33:K33"/>
    <mergeCell ref="L27:M27"/>
    <mergeCell ref="N27:O27"/>
    <mergeCell ref="L36:M36"/>
    <mergeCell ref="L42:M42"/>
    <mergeCell ref="J27:K27"/>
    <mergeCell ref="H36:I36"/>
    <mergeCell ref="J36:K36"/>
    <mergeCell ref="J41:K41"/>
    <mergeCell ref="L41:M41"/>
    <mergeCell ref="L40:M40"/>
    <mergeCell ref="J23:K23"/>
    <mergeCell ref="J28:K28"/>
    <mergeCell ref="L28:M28"/>
    <mergeCell ref="N22:O22"/>
  </mergeCells>
  <conditionalFormatting sqref="M11">
    <cfRule type="expression" dxfId="377" priority="1">
      <formula>OR(LEFT($M$11,1)="✓",$M$11="● AHEAD OF PACE")</formula>
    </cfRule>
    <cfRule type="expression" dxfId="376" priority="2">
      <formula>$M$11="● ON PACE"</formula>
    </cfRule>
    <cfRule type="expression" dxfId="375" priority="3">
      <formula>$M$11="● BEHIND PACE"</formula>
    </cfRule>
  </conditionalFormatting>
  <pageMargins left="0.25" right="0.25" top="0.3" bottom="0.3" header="0.5" footer="0.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9A227"/>
    <pageSetUpPr fitToPage="1"/>
  </sheetPr>
  <dimension ref="A1:V55"/>
  <sheetViews>
    <sheetView showGridLines="0" workbookViewId="0"/>
  </sheetViews>
  <sheetFormatPr defaultRowHeight="15" x14ac:dyDescent="0.25"/>
  <cols>
    <col min="1" max="2" width="11" customWidth="1"/>
    <col min="3" max="3" width="2" customWidth="1"/>
    <col min="4" max="5" width="11" customWidth="1"/>
    <col min="6" max="6" width="2" customWidth="1"/>
    <col min="7" max="8" width="11" customWidth="1"/>
    <col min="9" max="9" width="2" customWidth="1"/>
    <col min="10" max="11" width="11" customWidth="1"/>
    <col min="16" max="22" width="13" hidden="1" customWidth="1"/>
  </cols>
  <sheetData>
    <row r="1" spans="1:22" x14ac:dyDescent="0.25">
      <c r="A1" s="1" t="s">
        <v>181</v>
      </c>
    </row>
    <row r="2" spans="1:22" x14ac:dyDescent="0.25">
      <c r="A2" s="162" t="str">
        <f>"Month:  " &amp; TEXT(DATE(2026,7,1),"mmmm yyyy") &amp; "    |    WeAuto Dealer Group    |    Worry Free Guarantee    |    Advanced Deal Log"</f>
        <v>Month:  July 2026    |    WeAuto Dealer Group    |    Worry Free Guarantee    |    Advanced Deal Log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</row>
    <row r="4" spans="1:22" ht="15.75" x14ac:dyDescent="0.25">
      <c r="A4" s="160" t="s">
        <v>182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</row>
    <row r="6" spans="1:22" x14ac:dyDescent="0.25">
      <c r="P6" t="s">
        <v>183</v>
      </c>
      <c r="Q6" t="s">
        <v>184</v>
      </c>
      <c r="R6" t="s">
        <v>185</v>
      </c>
      <c r="S6" t="s">
        <v>186</v>
      </c>
      <c r="T6" t="s">
        <v>187</v>
      </c>
      <c r="U6" t="s">
        <v>188</v>
      </c>
      <c r="V6" t="s">
        <v>189</v>
      </c>
    </row>
    <row r="7" spans="1:22" x14ac:dyDescent="0.25">
      <c r="P7" t="s">
        <v>190</v>
      </c>
      <c r="Q7">
        <f>SUMIFS('Jul 1'!$AI$8:$AI$42,'Jul 1'!$A$8:$A$42,"New")</f>
        <v>0</v>
      </c>
      <c r="R7">
        <f>SUMIFS('Jul 1'!$Q$8:$Q$42,'Jul 1'!$A$8:$A$42,"New",'Jul 1'!$AI$8:$AI$42,1)</f>
        <v>0</v>
      </c>
      <c r="S7">
        <f>SUMIFS('Jul 1'!$R$8:$R$42,'Jul 1'!$A$8:$A$42,"New",'Jul 1'!$AI$8:$AI$42,1)</f>
        <v>0</v>
      </c>
      <c r="T7">
        <f>SUMIFS('Jul 1'!$AI$8:$AI$42,'Jul 1'!$A$8:$A$42,"Used")</f>
        <v>0</v>
      </c>
      <c r="U7">
        <f>SUMIFS('Jul 1'!$Q$8:$Q$42,'Jul 1'!$A$8:$A$42,"Used",'Jul 1'!$AI$8:$AI$42,1)</f>
        <v>0</v>
      </c>
      <c r="V7">
        <f>SUMIFS('Jul 1'!$R$8:$R$42,'Jul 1'!$A$8:$A$42,"Used",'Jul 1'!$AI$8:$AI$42,1)</f>
        <v>0</v>
      </c>
    </row>
    <row r="8" spans="1:22" x14ac:dyDescent="0.25">
      <c r="A8" s="68" t="s">
        <v>191</v>
      </c>
      <c r="B8" s="69">
        <f>COUNT(Dashboard!$BR$4:$BR$30)</f>
        <v>27</v>
      </c>
      <c r="D8" s="68" t="s">
        <v>192</v>
      </c>
      <c r="E8" s="69">
        <f ca="1">Dashboard!$BT$4</f>
        <v>27</v>
      </c>
      <c r="P8" t="s">
        <v>193</v>
      </c>
      <c r="Q8">
        <f>SUMIFS('Jul 2'!$AI$8:$AI$42,'Jul 2'!$A$8:$A$42,"New")</f>
        <v>0</v>
      </c>
      <c r="R8">
        <f>SUMIFS('Jul 2'!$Q$8:$Q$42,'Jul 2'!$A$8:$A$42,"New",'Jul 2'!$AI$8:$AI$42,1)</f>
        <v>0</v>
      </c>
      <c r="S8">
        <f>SUMIFS('Jul 2'!$R$8:$R$42,'Jul 2'!$A$8:$A$42,"New",'Jul 2'!$AI$8:$AI$42,1)</f>
        <v>0</v>
      </c>
      <c r="T8">
        <f>SUMIFS('Jul 2'!$AI$8:$AI$42,'Jul 2'!$A$8:$A$42,"Used")</f>
        <v>0</v>
      </c>
      <c r="U8">
        <f>SUMIFS('Jul 2'!$Q$8:$Q$42,'Jul 2'!$A$8:$A$42,"Used",'Jul 2'!$AI$8:$AI$42,1)</f>
        <v>0</v>
      </c>
      <c r="V8">
        <f>SUMIFS('Jul 2'!$R$8:$R$42,'Jul 2'!$A$8:$A$42,"Used",'Jul 2'!$AI$8:$AI$42,1)</f>
        <v>0</v>
      </c>
    </row>
    <row r="9" spans="1:22" x14ac:dyDescent="0.25">
      <c r="P9" t="s">
        <v>194</v>
      </c>
      <c r="Q9">
        <f>SUMIFS('Jul 3'!$AI$8:$AI$42,'Jul 3'!$A$8:$A$42,"New")</f>
        <v>0</v>
      </c>
      <c r="R9">
        <f>SUMIFS('Jul 3'!$Q$8:$Q$42,'Jul 3'!$A$8:$A$42,"New",'Jul 3'!$AI$8:$AI$42,1)</f>
        <v>0</v>
      </c>
      <c r="S9">
        <f>SUMIFS('Jul 3'!$R$8:$R$42,'Jul 3'!$A$8:$A$42,"New",'Jul 3'!$AI$8:$AI$42,1)</f>
        <v>0</v>
      </c>
      <c r="T9">
        <f>SUMIFS('Jul 3'!$AI$8:$AI$42,'Jul 3'!$A$8:$A$42,"Used")</f>
        <v>0</v>
      </c>
      <c r="U9">
        <f>SUMIFS('Jul 3'!$Q$8:$Q$42,'Jul 3'!$A$8:$A$42,"Used",'Jul 3'!$AI$8:$AI$42,1)</f>
        <v>0</v>
      </c>
      <c r="V9">
        <f>SUMIFS('Jul 3'!$R$8:$R$42,'Jul 3'!$A$8:$A$42,"Used",'Jul 3'!$AI$8:$AI$42,1)</f>
        <v>0</v>
      </c>
    </row>
    <row r="10" spans="1:22" x14ac:dyDescent="0.25">
      <c r="A10" s="68" t="s">
        <v>195</v>
      </c>
      <c r="B10" s="69">
        <f ca="1">INDEX($Q$7:$Q$37,IF($K$10="",DAY(TODAY()),$K$10))</f>
        <v>0</v>
      </c>
      <c r="D10" s="68" t="s">
        <v>196</v>
      </c>
      <c r="E10" s="70">
        <f ca="1">INDEX($R$7:$R$37,IF($K$10="",DAY(TODAY()),$K$10))</f>
        <v>0</v>
      </c>
      <c r="G10" s="68" t="s">
        <v>197</v>
      </c>
      <c r="H10" s="70">
        <f ca="1">INDEX($S$7:$S$37,IF($K$10="",DAY(TODAY()),$K$10))</f>
        <v>0</v>
      </c>
      <c r="J10" s="71" t="s">
        <v>198</v>
      </c>
      <c r="K10" s="72"/>
      <c r="P10" t="s">
        <v>199</v>
      </c>
      <c r="Q10">
        <f>SUMIFS('Jul 4'!$AI$8:$AI$42,'Jul 4'!$A$8:$A$42,"New")</f>
        <v>0</v>
      </c>
      <c r="R10">
        <f>SUMIFS('Jul 4'!$Q$8:$Q$42,'Jul 4'!$A$8:$A$42,"New",'Jul 4'!$AI$8:$AI$42,1)</f>
        <v>0</v>
      </c>
      <c r="S10">
        <f>SUMIFS('Jul 4'!$R$8:$R$42,'Jul 4'!$A$8:$A$42,"New",'Jul 4'!$AI$8:$AI$42,1)</f>
        <v>0</v>
      </c>
      <c r="T10">
        <f>SUMIFS('Jul 4'!$AI$8:$AI$42,'Jul 4'!$A$8:$A$42,"Used")</f>
        <v>0</v>
      </c>
      <c r="U10">
        <f>SUMIFS('Jul 4'!$Q$8:$Q$42,'Jul 4'!$A$8:$A$42,"Used",'Jul 4'!$AI$8:$AI$42,1)</f>
        <v>0</v>
      </c>
      <c r="V10">
        <f>SUMIFS('Jul 4'!$R$8:$R$42,'Jul 4'!$A$8:$A$42,"Used",'Jul 4'!$AI$8:$AI$42,1)</f>
        <v>0</v>
      </c>
    </row>
    <row r="11" spans="1:22" x14ac:dyDescent="0.25">
      <c r="A11" s="68" t="s">
        <v>200</v>
      </c>
      <c r="B11" s="69">
        <f ca="1">INDEX($T$7:$T$37,IF($K$10="",DAY(TODAY()),$K$10))</f>
        <v>0</v>
      </c>
      <c r="D11" s="68" t="s">
        <v>201</v>
      </c>
      <c r="E11" s="70">
        <f ca="1">INDEX($U$7:$U$37,IF($K$10="",DAY(TODAY()),$K$10))</f>
        <v>0</v>
      </c>
      <c r="G11" s="68" t="s">
        <v>202</v>
      </c>
      <c r="H11" s="70">
        <f ca="1">INDEX($V$7:$V$37,IF($K$10="",DAY(TODAY()),$K$10))</f>
        <v>0</v>
      </c>
      <c r="P11" t="s">
        <v>203</v>
      </c>
      <c r="Q11">
        <f>SUMIFS('Jul 5'!$AI$8:$AI$42,'Jul 5'!$A$8:$A$42,"New")</f>
        <v>0</v>
      </c>
      <c r="R11">
        <f>SUMIFS('Jul 5'!$Q$8:$Q$42,'Jul 5'!$A$8:$A$42,"New",'Jul 5'!$AI$8:$AI$42,1)</f>
        <v>0</v>
      </c>
      <c r="S11">
        <f>SUMIFS('Jul 5'!$R$8:$R$42,'Jul 5'!$A$8:$A$42,"New",'Jul 5'!$AI$8:$AI$42,1)</f>
        <v>0</v>
      </c>
      <c r="T11">
        <f>SUMIFS('Jul 5'!$AI$8:$AI$42,'Jul 5'!$A$8:$A$42,"Used")</f>
        <v>0</v>
      </c>
      <c r="U11">
        <f>SUMIFS('Jul 5'!$Q$8:$Q$42,'Jul 5'!$A$8:$A$42,"Used",'Jul 5'!$AI$8:$AI$42,1)</f>
        <v>0</v>
      </c>
      <c r="V11">
        <f>SUMIFS('Jul 5'!$R$8:$R$42,'Jul 5'!$A$8:$A$42,"Used",'Jul 5'!$AI$8:$AI$42,1)</f>
        <v>0</v>
      </c>
    </row>
    <row r="12" spans="1:22" x14ac:dyDescent="0.25">
      <c r="A12" s="68" t="s">
        <v>204</v>
      </c>
      <c r="B12" s="70">
        <f ca="1">$E$10+$H$10+$E$11+$H$11</f>
        <v>0</v>
      </c>
      <c r="D12" s="68" t="s">
        <v>205</v>
      </c>
      <c r="E12" s="69">
        <f ca="1">SUM($Q$7:INDEX($Q$7:$Q$37,IF($K$10="",DAY(TODAY()),$K$10)))</f>
        <v>0</v>
      </c>
      <c r="G12" s="68" t="s">
        <v>206</v>
      </c>
      <c r="H12" s="69">
        <f ca="1">SUM($T$7:INDEX($T$7:$T$37,IF($K$10="",DAY(TODAY()),$K$10)))</f>
        <v>0</v>
      </c>
      <c r="P12" t="s">
        <v>207</v>
      </c>
      <c r="Q12">
        <f>SUMIFS('Jul 6'!$AI$8:$AI$42,'Jul 6'!$A$8:$A$42,"New")</f>
        <v>0</v>
      </c>
      <c r="R12">
        <f>SUMIFS('Jul 6'!$Q$8:$Q$42,'Jul 6'!$A$8:$A$42,"New",'Jul 6'!$AI$8:$AI$42,1)</f>
        <v>0</v>
      </c>
      <c r="S12">
        <f>SUMIFS('Jul 6'!$R$8:$R$42,'Jul 6'!$A$8:$A$42,"New",'Jul 6'!$AI$8:$AI$42,1)</f>
        <v>0</v>
      </c>
      <c r="T12">
        <f>SUMIFS('Jul 6'!$AI$8:$AI$42,'Jul 6'!$A$8:$A$42,"Used")</f>
        <v>0</v>
      </c>
      <c r="U12">
        <f>SUMIFS('Jul 6'!$Q$8:$Q$42,'Jul 6'!$A$8:$A$42,"Used",'Jul 6'!$AI$8:$AI$42,1)</f>
        <v>0</v>
      </c>
      <c r="V12">
        <f>SUMIFS('Jul 6'!$R$8:$R$42,'Jul 6'!$A$8:$A$42,"Used",'Jul 6'!$AI$8:$AI$42,1)</f>
        <v>0</v>
      </c>
    </row>
    <row r="13" spans="1:22" x14ac:dyDescent="0.25">
      <c r="A13" s="68" t="s">
        <v>208</v>
      </c>
      <c r="B13" s="70">
        <f ca="1">SUM($R$7:INDEX($R$7:$R$37,IF($K$10="",DAY(TODAY()),$K$10)))+SUM($S$7:INDEX($S$7:$S$37,IF($K$10="",DAY(TODAY()),$K$10)))+SUM($U$7:INDEX($U$7:$U$37,IF($K$10="",DAY(TODAY()),$K$10)))+SUM($V$7:INDEX($V$7:$V$37,IF($K$10="",DAY(TODAY()),$K$10)))</f>
        <v>0</v>
      </c>
      <c r="D13" s="68" t="s">
        <v>209</v>
      </c>
      <c r="E13" s="70">
        <f ca="1">IF($E$8=0,0,$B$13/$E$8*COUNT(Dashboard!$BR$4:$BR$30))</f>
        <v>0</v>
      </c>
      <c r="P13" t="s">
        <v>210</v>
      </c>
      <c r="Q13">
        <f>SUMIFS('Jul 7'!$AI$8:$AI$42,'Jul 7'!$A$8:$A$42,"New")</f>
        <v>0</v>
      </c>
      <c r="R13">
        <f>SUMIFS('Jul 7'!$Q$8:$Q$42,'Jul 7'!$A$8:$A$42,"New",'Jul 7'!$AI$8:$AI$42,1)</f>
        <v>0</v>
      </c>
      <c r="S13">
        <f>SUMIFS('Jul 7'!$R$8:$R$42,'Jul 7'!$A$8:$A$42,"New",'Jul 7'!$AI$8:$AI$42,1)</f>
        <v>0</v>
      </c>
      <c r="T13">
        <f>SUMIFS('Jul 7'!$AI$8:$AI$42,'Jul 7'!$A$8:$A$42,"Used")</f>
        <v>0</v>
      </c>
      <c r="U13">
        <f>SUMIFS('Jul 7'!$Q$8:$Q$42,'Jul 7'!$A$8:$A$42,"Used",'Jul 7'!$AI$8:$AI$42,1)</f>
        <v>0</v>
      </c>
      <c r="V13">
        <f>SUMIFS('Jul 7'!$R$8:$R$42,'Jul 7'!$A$8:$A$42,"Used",'Jul 7'!$AI$8:$AI$42,1)</f>
        <v>0</v>
      </c>
    </row>
    <row r="14" spans="1:22" x14ac:dyDescent="0.25">
      <c r="P14" t="s">
        <v>211</v>
      </c>
      <c r="Q14">
        <f>SUMIFS('Jul 8'!$AI$8:$AI$42,'Jul 8'!$A$8:$A$42,"New")</f>
        <v>0</v>
      </c>
      <c r="R14">
        <f>SUMIFS('Jul 8'!$Q$8:$Q$42,'Jul 8'!$A$8:$A$42,"New",'Jul 8'!$AI$8:$AI$42,1)</f>
        <v>0</v>
      </c>
      <c r="S14">
        <f>SUMIFS('Jul 8'!$R$8:$R$42,'Jul 8'!$A$8:$A$42,"New",'Jul 8'!$AI$8:$AI$42,1)</f>
        <v>0</v>
      </c>
      <c r="T14">
        <f>SUMIFS('Jul 8'!$AI$8:$AI$42,'Jul 8'!$A$8:$A$42,"Used")</f>
        <v>0</v>
      </c>
      <c r="U14">
        <f>SUMIFS('Jul 8'!$Q$8:$Q$42,'Jul 8'!$A$8:$A$42,"Used",'Jul 8'!$AI$8:$AI$42,1)</f>
        <v>0</v>
      </c>
      <c r="V14">
        <f>SUMIFS('Jul 8'!$R$8:$R$42,'Jul 8'!$A$8:$A$42,"Used",'Jul 8'!$AI$8:$AI$42,1)</f>
        <v>0</v>
      </c>
    </row>
    <row r="15" spans="1:22" x14ac:dyDescent="0.25">
      <c r="A15" s="99" t="s">
        <v>212</v>
      </c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P15" t="s">
        <v>213</v>
      </c>
      <c r="Q15">
        <f>SUMIFS('Jul 9'!$AI$8:$AI$42,'Jul 9'!$A$8:$A$42,"New")</f>
        <v>0</v>
      </c>
      <c r="R15">
        <f>SUMIFS('Jul 9'!$Q$8:$Q$42,'Jul 9'!$A$8:$A$42,"New",'Jul 9'!$AI$8:$AI$42,1)</f>
        <v>0</v>
      </c>
      <c r="S15">
        <f>SUMIFS('Jul 9'!$R$8:$R$42,'Jul 9'!$A$8:$A$42,"New",'Jul 9'!$AI$8:$AI$42,1)</f>
        <v>0</v>
      </c>
      <c r="T15">
        <f>SUMIFS('Jul 9'!$AI$8:$AI$42,'Jul 9'!$A$8:$A$42,"Used")</f>
        <v>0</v>
      </c>
      <c r="U15">
        <f>SUMIFS('Jul 9'!$Q$8:$Q$42,'Jul 9'!$A$8:$A$42,"Used",'Jul 9'!$AI$8:$AI$42,1)</f>
        <v>0</v>
      </c>
      <c r="V15">
        <f>SUMIFS('Jul 9'!$R$8:$R$42,'Jul 9'!$A$8:$A$42,"Used",'Jul 9'!$AI$8:$AI$42,1)</f>
        <v>0</v>
      </c>
    </row>
    <row r="16" spans="1:22" x14ac:dyDescent="0.25">
      <c r="A16" s="71" t="s">
        <v>214</v>
      </c>
      <c r="B16" s="72"/>
      <c r="D16" s="71" t="s">
        <v>215</v>
      </c>
      <c r="E16" s="72"/>
      <c r="G16" s="71" t="s">
        <v>216</v>
      </c>
      <c r="H16" s="73"/>
      <c r="P16" t="s">
        <v>217</v>
      </c>
      <c r="Q16">
        <f>SUMIFS('Jul 10'!$AI$8:$AI$42,'Jul 10'!$A$8:$A$42,"New")</f>
        <v>0</v>
      </c>
      <c r="R16">
        <f>SUMIFS('Jul 10'!$Q$8:$Q$42,'Jul 10'!$A$8:$A$42,"New",'Jul 10'!$AI$8:$AI$42,1)</f>
        <v>0</v>
      </c>
      <c r="S16">
        <f>SUMIFS('Jul 10'!$R$8:$R$42,'Jul 10'!$A$8:$A$42,"New",'Jul 10'!$AI$8:$AI$42,1)</f>
        <v>0</v>
      </c>
      <c r="T16">
        <f>SUMIFS('Jul 10'!$AI$8:$AI$42,'Jul 10'!$A$8:$A$42,"Used")</f>
        <v>0</v>
      </c>
      <c r="U16">
        <f>SUMIFS('Jul 10'!$Q$8:$Q$42,'Jul 10'!$A$8:$A$42,"Used",'Jul 10'!$AI$8:$AI$42,1)</f>
        <v>0</v>
      </c>
      <c r="V16">
        <f>SUMIFS('Jul 10'!$R$8:$R$42,'Jul 10'!$A$8:$A$42,"Used",'Jul 10'!$AI$8:$AI$42,1)</f>
        <v>0</v>
      </c>
    </row>
    <row r="17" spans="1:22" x14ac:dyDescent="0.25">
      <c r="A17" s="71" t="s">
        <v>218</v>
      </c>
      <c r="B17" s="72"/>
      <c r="D17" s="71" t="s">
        <v>219</v>
      </c>
      <c r="E17" s="72"/>
      <c r="G17" s="71" t="s">
        <v>220</v>
      </c>
      <c r="H17" s="72"/>
      <c r="J17" s="71" t="s">
        <v>221</v>
      </c>
      <c r="K17" s="72"/>
      <c r="P17" t="s">
        <v>222</v>
      </c>
      <c r="Q17">
        <f>SUMIFS('Jul 11'!$AI$8:$AI$42,'Jul 11'!$A$8:$A$42,"New")</f>
        <v>0</v>
      </c>
      <c r="R17">
        <f>SUMIFS('Jul 11'!$Q$8:$Q$42,'Jul 11'!$A$8:$A$42,"New",'Jul 11'!$AI$8:$AI$42,1)</f>
        <v>0</v>
      </c>
      <c r="S17">
        <f>SUMIFS('Jul 11'!$R$8:$R$42,'Jul 11'!$A$8:$A$42,"New",'Jul 11'!$AI$8:$AI$42,1)</f>
        <v>0</v>
      </c>
      <c r="T17">
        <f>SUMIFS('Jul 11'!$AI$8:$AI$42,'Jul 11'!$A$8:$A$42,"Used")</f>
        <v>0</v>
      </c>
      <c r="U17">
        <f>SUMIFS('Jul 11'!$Q$8:$Q$42,'Jul 11'!$A$8:$A$42,"Used",'Jul 11'!$AI$8:$AI$42,1)</f>
        <v>0</v>
      </c>
      <c r="V17">
        <f>SUMIFS('Jul 11'!$R$8:$R$42,'Jul 11'!$A$8:$A$42,"Used",'Jul 11'!$AI$8:$AI$42,1)</f>
        <v>0</v>
      </c>
    </row>
    <row r="18" spans="1:22" x14ac:dyDescent="0.25">
      <c r="A18" s="74" t="s">
        <v>223</v>
      </c>
      <c r="B18" s="75">
        <f>$B$17+$E$17+$H$17+$K$17</f>
        <v>0</v>
      </c>
      <c r="D18" s="71" t="s">
        <v>224</v>
      </c>
      <c r="E18" s="72"/>
      <c r="P18" t="s">
        <v>225</v>
      </c>
      <c r="Q18">
        <f>SUMIFS('Jul 12'!$AI$8:$AI$42,'Jul 12'!$A$8:$A$42,"New")</f>
        <v>0</v>
      </c>
      <c r="R18">
        <f>SUMIFS('Jul 12'!$Q$8:$Q$42,'Jul 12'!$A$8:$A$42,"New",'Jul 12'!$AI$8:$AI$42,1)</f>
        <v>0</v>
      </c>
      <c r="S18">
        <f>SUMIFS('Jul 12'!$R$8:$R$42,'Jul 12'!$A$8:$A$42,"New",'Jul 12'!$AI$8:$AI$42,1)</f>
        <v>0</v>
      </c>
      <c r="T18">
        <f>SUMIFS('Jul 12'!$AI$8:$AI$42,'Jul 12'!$A$8:$A$42,"Used")</f>
        <v>0</v>
      </c>
      <c r="U18">
        <f>SUMIFS('Jul 12'!$Q$8:$Q$42,'Jul 12'!$A$8:$A$42,"Used",'Jul 12'!$AI$8:$AI$42,1)</f>
        <v>0</v>
      </c>
      <c r="V18">
        <f>SUMIFS('Jul 12'!$R$8:$R$42,'Jul 12'!$A$8:$A$42,"Used",'Jul 12'!$AI$8:$AI$42,1)</f>
        <v>0</v>
      </c>
    </row>
    <row r="19" spans="1:22" x14ac:dyDescent="0.25">
      <c r="A19" s="71" t="s">
        <v>226</v>
      </c>
      <c r="B19" s="72"/>
      <c r="D19" s="71" t="s">
        <v>227</v>
      </c>
      <c r="E19" s="72"/>
      <c r="G19" s="71" t="s">
        <v>228</v>
      </c>
      <c r="H19" s="72"/>
      <c r="J19" s="71" t="s">
        <v>229</v>
      </c>
      <c r="K19" s="72"/>
      <c r="P19" t="s">
        <v>230</v>
      </c>
      <c r="Q19">
        <f>SUMIFS('Jul 13'!$AI$8:$AI$42,'Jul 13'!$A$8:$A$42,"New")</f>
        <v>0</v>
      </c>
      <c r="R19">
        <f>SUMIFS('Jul 13'!$Q$8:$Q$42,'Jul 13'!$A$8:$A$42,"New",'Jul 13'!$AI$8:$AI$42,1)</f>
        <v>0</v>
      </c>
      <c r="S19">
        <f>SUMIFS('Jul 13'!$R$8:$R$42,'Jul 13'!$A$8:$A$42,"New",'Jul 13'!$AI$8:$AI$42,1)</f>
        <v>0</v>
      </c>
      <c r="T19">
        <f>SUMIFS('Jul 13'!$AI$8:$AI$42,'Jul 13'!$A$8:$A$42,"Used")</f>
        <v>0</v>
      </c>
      <c r="U19">
        <f>SUMIFS('Jul 13'!$Q$8:$Q$42,'Jul 13'!$A$8:$A$42,"Used",'Jul 13'!$AI$8:$AI$42,1)</f>
        <v>0</v>
      </c>
      <c r="V19">
        <f>SUMIFS('Jul 13'!$R$8:$R$42,'Jul 13'!$A$8:$A$42,"Used",'Jul 13'!$AI$8:$AI$42,1)</f>
        <v>0</v>
      </c>
    </row>
    <row r="20" spans="1:22" x14ac:dyDescent="0.25">
      <c r="A20" s="71" t="s">
        <v>231</v>
      </c>
      <c r="B20" s="72"/>
      <c r="P20" t="s">
        <v>232</v>
      </c>
      <c r="Q20">
        <f>SUMIFS('Jul 14'!$AI$8:$AI$42,'Jul 14'!$A$8:$A$42,"New")</f>
        <v>0</v>
      </c>
      <c r="R20">
        <f>SUMIFS('Jul 14'!$Q$8:$Q$42,'Jul 14'!$A$8:$A$42,"New",'Jul 14'!$AI$8:$AI$42,1)</f>
        <v>0</v>
      </c>
      <c r="S20">
        <f>SUMIFS('Jul 14'!$R$8:$R$42,'Jul 14'!$A$8:$A$42,"New",'Jul 14'!$AI$8:$AI$42,1)</f>
        <v>0</v>
      </c>
      <c r="T20">
        <f>SUMIFS('Jul 14'!$AI$8:$AI$42,'Jul 14'!$A$8:$A$42,"Used")</f>
        <v>0</v>
      </c>
      <c r="U20">
        <f>SUMIFS('Jul 14'!$Q$8:$Q$42,'Jul 14'!$A$8:$A$42,"Used",'Jul 14'!$AI$8:$AI$42,1)</f>
        <v>0</v>
      </c>
      <c r="V20">
        <f>SUMIFS('Jul 14'!$R$8:$R$42,'Jul 14'!$A$8:$A$42,"Used",'Jul 14'!$AI$8:$AI$42,1)</f>
        <v>0</v>
      </c>
    </row>
    <row r="21" spans="1:22" x14ac:dyDescent="0.25">
      <c r="P21" t="s">
        <v>233</v>
      </c>
      <c r="Q21">
        <f>SUMIFS('Jul 15'!$AI$8:$AI$42,'Jul 15'!$A$8:$A$42,"New")</f>
        <v>0</v>
      </c>
      <c r="R21">
        <f>SUMIFS('Jul 15'!$Q$8:$Q$42,'Jul 15'!$A$8:$A$42,"New",'Jul 15'!$AI$8:$AI$42,1)</f>
        <v>0</v>
      </c>
      <c r="S21">
        <f>SUMIFS('Jul 15'!$R$8:$R$42,'Jul 15'!$A$8:$A$42,"New",'Jul 15'!$AI$8:$AI$42,1)</f>
        <v>0</v>
      </c>
      <c r="T21">
        <f>SUMIFS('Jul 15'!$AI$8:$AI$42,'Jul 15'!$A$8:$A$42,"Used")</f>
        <v>0</v>
      </c>
      <c r="U21">
        <f>SUMIFS('Jul 15'!$Q$8:$Q$42,'Jul 15'!$A$8:$A$42,"Used",'Jul 15'!$AI$8:$AI$42,1)</f>
        <v>0</v>
      </c>
      <c r="V21">
        <f>SUMIFS('Jul 15'!$R$8:$R$42,'Jul 15'!$A$8:$A$42,"Used",'Jul 15'!$AI$8:$AI$42,1)</f>
        <v>0</v>
      </c>
    </row>
    <row r="22" spans="1:22" x14ac:dyDescent="0.25">
      <c r="A22" s="159" t="str">
        <f>IF(COUNTBLANK(B16)+COUNTBLANK(E16)+COUNTBLANK(H16)+COUNTBLANK(B17)+COUNTBLANK(E17)+COUNTBLANK(H17)+COUNTBLANK(K17)+COUNTBLANK(E18)+COUNTBLANK(B19)+COUNTBLANK(E19)+COUNTBLANK(H19)+COUNTBLANK(K19)+COUNTBLANK(B20)=0,"✅ READY TO COPY  —  CLICK THE CELL BELOW, COPY, PASTE INTO TEAMS OR A TEXT","⚠️  "&amp;(COUNTBLANK(B16)+COUNTBLANK(E16)+COUNTBLANK(H16)+COUNTBLANK(B17)+COUNTBLANK(E17)+COUNTBLANK(H17)+COUNTBLANK(K17)+COUNTBLANK(E18)+COUNTBLANK(B19)+COUNTBLANK(E19)+COUNTBLANK(H19)+COUNTBLANK(K19)+COUNTBLANK(B20))&amp;" FIELD(S) ABOVE STILL NEED TO BE FILLED IN FIRST")</f>
        <v>⚠️  13 FIELD(S) ABOVE STILL NEED TO BE FILLED IN FIRST</v>
      </c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P22" t="s">
        <v>234</v>
      </c>
      <c r="Q22">
        <f>SUMIFS('Jul 16'!$AI$8:$AI$42,'Jul 16'!$A$8:$A$42,"New")</f>
        <v>0</v>
      </c>
      <c r="R22">
        <f>SUMIFS('Jul 16'!$Q$8:$Q$42,'Jul 16'!$A$8:$A$42,"New",'Jul 16'!$AI$8:$AI$42,1)</f>
        <v>0</v>
      </c>
      <c r="S22">
        <f>SUMIFS('Jul 16'!$R$8:$R$42,'Jul 16'!$A$8:$A$42,"New",'Jul 16'!$AI$8:$AI$42,1)</f>
        <v>0</v>
      </c>
      <c r="T22">
        <f>SUMIFS('Jul 16'!$AI$8:$AI$42,'Jul 16'!$A$8:$A$42,"Used")</f>
        <v>0</v>
      </c>
      <c r="U22">
        <f>SUMIFS('Jul 16'!$Q$8:$Q$42,'Jul 16'!$A$8:$A$42,"Used",'Jul 16'!$AI$8:$AI$42,1)</f>
        <v>0</v>
      </c>
      <c r="V22">
        <f>SUMIFS('Jul 16'!$R$8:$R$42,'Jul 16'!$A$8:$A$42,"Used",'Jul 16'!$AI$8:$AI$42,1)</f>
        <v>0</v>
      </c>
    </row>
    <row r="23" spans="1:22" x14ac:dyDescent="0.25">
      <c r="A23" s="161" t="str">
        <f ca="1">"💰 TODAY'S NUMBERS 💰"&amp;CHAR(10)&amp;"📅 Total working days: "&amp;$B$8&amp;CHAR(10)&amp;"📆 Days worked: "&amp;$E$8&amp;CHAR(10)&amp;""&amp;CHAR(10)&amp;"New Deliveries 🚗: "&amp;$B$10&amp;CHAR(10)&amp;"Front Gross: "&amp;TEXT($E$10,"$#,##0;($#,##0)")&amp;CHAR(10)&amp;"Backend Gross: "&amp;TEXT($H$10,"$#,##0;($#,##0)")&amp;CHAR(10)&amp;"MTD New: "&amp;$E$12&amp;CHAR(10)&amp;""&amp;CHAR(10)&amp;"Used Deliveries 🚗: "&amp;$B$11&amp;CHAR(10)&amp;"Front Gross: "&amp;TEXT($E$11,"$#,##0;($#,##0)")&amp;CHAR(10)&amp;"Backend Gross: "&amp;TEXT($H$11,"$#,##0;($#,##0)")&amp;CHAR(10)&amp;"MTD Used: "&amp;$H$12&amp;CHAR(10)&amp;""&amp;CHAR(10)&amp;"TOTAL GROSS: "&amp;TEXT($B$12,"$#,##0;($#,##0)")&amp;CHAR(10)&amp;""&amp;CHAR(10)&amp;"💰 Total Gross MTD: "&amp;TEXT($B$13,"$#,##0;($#,##0)")&amp;CHAR(10)&amp;""&amp;CHAR(10)&amp;"💸 Total Gross Pacing: "&amp;TEXT($E$13,"$#,##0;($#,##0)")&amp;CHAR(10)&amp;""&amp;CHAR(10)&amp;"🛜 Todays Sold Internet: "&amp;$B$16&amp;CHAR(10)&amp;"Today Appointed Net leads: "&amp;$E$16&amp;CHAR(10)&amp;"Mtd Inet Closing: "&amp;TEXT($H$16,"0%")&amp;CHAR(10)&amp;""&amp;CHAR(10)&amp;"📲 Phone Calls: "&amp;$B$17&amp;CHAR(10)&amp;"📧 Emails Sent: "&amp;$E$17&amp;CHAR(10)&amp;"💬 Texts: "&amp;$H$17&amp;CHAR(10)&amp;"🎥 Videos: "&amp;$K$17&amp;CHAR(10)&amp;"Total Communicate: "&amp;$B$18&amp;CHAR(10)&amp;"📡 Unanswered Communications: "&amp;$E$18&amp;CHAR(10)&amp;""&amp;CHAR(10)&amp;"Leads:"&amp;CHAR(10)&amp;"🛜 Internet: "&amp;$B$19&amp;CHAR(10)&amp;"☎️ Phone: "&amp;$E$19&amp;CHAR(10)&amp;"🚶 Walk In: "&amp;$H$19&amp;CHAR(10)&amp;"✅ Appts Tomorrow: "&amp;$K$19&amp;CHAR(10)&amp;""&amp;CHAR(10)&amp;"Sales Warrior: "&amp;$B$20</f>
        <v xml:space="preserve">💰 TODAY'S NUMBERS 💰
📅 Total working days: 27
📆 Days worked: 27
New Deliveries 🚗: 0
Front Gross: $0
Backend Gross: $0
MTD New: 0
Used Deliveries 🚗: 0
Front Gross: $0
Backend Gross: $0
MTD Used: 0
TOTAL GROSS: $0
💰 Total Gross MTD: $0
💸 Total Gross Pacing: $0
🛜 Todays Sold Internet: 
Today Appointed Net leads: 
Mtd Inet Closing: 0%
📲 Phone Calls: 
📧 Emails Sent: 
💬 Texts: 
🎥 Videos: 
Total Communicate: 0
📡 Unanswered Communications: 
Leads:
🛜 Internet: 
☎️ Phone: 
🚶 Walk In: 
✅ Appts Tomorrow: 
Sales Warrior: 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9"/>
      <c r="P23" t="s">
        <v>235</v>
      </c>
      <c r="Q23">
        <f>SUMIFS('Jul 17'!$AI$8:$AI$42,'Jul 17'!$A$8:$A$42,"New")</f>
        <v>0</v>
      </c>
      <c r="R23">
        <f>SUMIFS('Jul 17'!$Q$8:$Q$42,'Jul 17'!$A$8:$A$42,"New",'Jul 17'!$AI$8:$AI$42,1)</f>
        <v>0</v>
      </c>
      <c r="S23">
        <f>SUMIFS('Jul 17'!$R$8:$R$42,'Jul 17'!$A$8:$A$42,"New",'Jul 17'!$AI$8:$AI$42,1)</f>
        <v>0</v>
      </c>
      <c r="T23">
        <f>SUMIFS('Jul 17'!$AI$8:$AI$42,'Jul 17'!$A$8:$A$42,"Used")</f>
        <v>0</v>
      </c>
      <c r="U23">
        <f>SUMIFS('Jul 17'!$Q$8:$Q$42,'Jul 17'!$A$8:$A$42,"Used",'Jul 17'!$AI$8:$AI$42,1)</f>
        <v>0</v>
      </c>
      <c r="V23">
        <f>SUMIFS('Jul 17'!$R$8:$R$42,'Jul 17'!$A$8:$A$42,"Used",'Jul 17'!$AI$8:$AI$42,1)</f>
        <v>0</v>
      </c>
    </row>
    <row r="24" spans="1:22" x14ac:dyDescent="0.25">
      <c r="A24" s="119"/>
      <c r="B24" s="100"/>
      <c r="C24" s="100"/>
      <c r="D24" s="100"/>
      <c r="E24" s="100"/>
      <c r="F24" s="100"/>
      <c r="G24" s="100"/>
      <c r="H24" s="100"/>
      <c r="I24" s="100"/>
      <c r="J24" s="100"/>
      <c r="K24" s="120"/>
      <c r="P24" t="s">
        <v>236</v>
      </c>
      <c r="Q24">
        <f>SUMIFS('Jul 18'!$AI$8:$AI$42,'Jul 18'!$A$8:$A$42,"New")</f>
        <v>0</v>
      </c>
      <c r="R24">
        <f>SUMIFS('Jul 18'!$Q$8:$Q$42,'Jul 18'!$A$8:$A$42,"New",'Jul 18'!$AI$8:$AI$42,1)</f>
        <v>0</v>
      </c>
      <c r="S24">
        <f>SUMIFS('Jul 18'!$R$8:$R$42,'Jul 18'!$A$8:$A$42,"New",'Jul 18'!$AI$8:$AI$42,1)</f>
        <v>0</v>
      </c>
      <c r="T24">
        <f>SUMIFS('Jul 18'!$AI$8:$AI$42,'Jul 18'!$A$8:$A$42,"Used")</f>
        <v>0</v>
      </c>
      <c r="U24">
        <f>SUMIFS('Jul 18'!$Q$8:$Q$42,'Jul 18'!$A$8:$A$42,"Used",'Jul 18'!$AI$8:$AI$42,1)</f>
        <v>0</v>
      </c>
      <c r="V24">
        <f>SUMIFS('Jul 18'!$R$8:$R$42,'Jul 18'!$A$8:$A$42,"Used",'Jul 18'!$AI$8:$AI$42,1)</f>
        <v>0</v>
      </c>
    </row>
    <row r="25" spans="1:22" x14ac:dyDescent="0.25">
      <c r="A25" s="119"/>
      <c r="B25" s="100"/>
      <c r="C25" s="100"/>
      <c r="D25" s="100"/>
      <c r="E25" s="100"/>
      <c r="F25" s="100"/>
      <c r="G25" s="100"/>
      <c r="H25" s="100"/>
      <c r="I25" s="100"/>
      <c r="J25" s="100"/>
      <c r="K25" s="120"/>
      <c r="P25" t="s">
        <v>237</v>
      </c>
      <c r="Q25">
        <f>SUMIFS('Jul 19'!$AI$8:$AI$42,'Jul 19'!$A$8:$A$42,"New")</f>
        <v>0</v>
      </c>
      <c r="R25">
        <f>SUMIFS('Jul 19'!$Q$8:$Q$42,'Jul 19'!$A$8:$A$42,"New",'Jul 19'!$AI$8:$AI$42,1)</f>
        <v>0</v>
      </c>
      <c r="S25">
        <f>SUMIFS('Jul 19'!$R$8:$R$42,'Jul 19'!$A$8:$A$42,"New",'Jul 19'!$AI$8:$AI$42,1)</f>
        <v>0</v>
      </c>
      <c r="T25">
        <f>SUMIFS('Jul 19'!$AI$8:$AI$42,'Jul 19'!$A$8:$A$42,"Used")</f>
        <v>0</v>
      </c>
      <c r="U25">
        <f>SUMIFS('Jul 19'!$Q$8:$Q$42,'Jul 19'!$A$8:$A$42,"Used",'Jul 19'!$AI$8:$AI$42,1)</f>
        <v>0</v>
      </c>
      <c r="V25">
        <f>SUMIFS('Jul 19'!$R$8:$R$42,'Jul 19'!$A$8:$A$42,"Used",'Jul 19'!$AI$8:$AI$42,1)</f>
        <v>0</v>
      </c>
    </row>
    <row r="26" spans="1:22" x14ac:dyDescent="0.25">
      <c r="A26" s="119"/>
      <c r="B26" s="100"/>
      <c r="C26" s="100"/>
      <c r="D26" s="100"/>
      <c r="E26" s="100"/>
      <c r="F26" s="100"/>
      <c r="G26" s="100"/>
      <c r="H26" s="100"/>
      <c r="I26" s="100"/>
      <c r="J26" s="100"/>
      <c r="K26" s="120"/>
      <c r="P26" t="s">
        <v>238</v>
      </c>
      <c r="Q26">
        <f>SUMIFS('Jul 20'!$AI$8:$AI$42,'Jul 20'!$A$8:$A$42,"New")</f>
        <v>0</v>
      </c>
      <c r="R26">
        <f>SUMIFS('Jul 20'!$Q$8:$Q$42,'Jul 20'!$A$8:$A$42,"New",'Jul 20'!$AI$8:$AI$42,1)</f>
        <v>0</v>
      </c>
      <c r="S26">
        <f>SUMIFS('Jul 20'!$R$8:$R$42,'Jul 20'!$A$8:$A$42,"New",'Jul 20'!$AI$8:$AI$42,1)</f>
        <v>0</v>
      </c>
      <c r="T26">
        <f>SUMIFS('Jul 20'!$AI$8:$AI$42,'Jul 20'!$A$8:$A$42,"Used")</f>
        <v>0</v>
      </c>
      <c r="U26">
        <f>SUMIFS('Jul 20'!$Q$8:$Q$42,'Jul 20'!$A$8:$A$42,"Used",'Jul 20'!$AI$8:$AI$42,1)</f>
        <v>0</v>
      </c>
      <c r="V26">
        <f>SUMIFS('Jul 20'!$R$8:$R$42,'Jul 20'!$A$8:$A$42,"Used",'Jul 20'!$AI$8:$AI$42,1)</f>
        <v>0</v>
      </c>
    </row>
    <row r="27" spans="1:22" x14ac:dyDescent="0.25">
      <c r="A27" s="119"/>
      <c r="B27" s="100"/>
      <c r="C27" s="100"/>
      <c r="D27" s="100"/>
      <c r="E27" s="100"/>
      <c r="F27" s="100"/>
      <c r="G27" s="100"/>
      <c r="H27" s="100"/>
      <c r="I27" s="100"/>
      <c r="J27" s="100"/>
      <c r="K27" s="120"/>
      <c r="P27" t="s">
        <v>239</v>
      </c>
      <c r="Q27">
        <f>SUMIFS('Jul 21'!$AI$8:$AI$42,'Jul 21'!$A$8:$A$42,"New")</f>
        <v>0</v>
      </c>
      <c r="R27">
        <f>SUMIFS('Jul 21'!$Q$8:$Q$42,'Jul 21'!$A$8:$A$42,"New",'Jul 21'!$AI$8:$AI$42,1)</f>
        <v>0</v>
      </c>
      <c r="S27">
        <f>SUMIFS('Jul 21'!$R$8:$R$42,'Jul 21'!$A$8:$A$42,"New",'Jul 21'!$AI$8:$AI$42,1)</f>
        <v>0</v>
      </c>
      <c r="T27">
        <f>SUMIFS('Jul 21'!$AI$8:$AI$42,'Jul 21'!$A$8:$A$42,"Used")</f>
        <v>0</v>
      </c>
      <c r="U27">
        <f>SUMIFS('Jul 21'!$Q$8:$Q$42,'Jul 21'!$A$8:$A$42,"Used",'Jul 21'!$AI$8:$AI$42,1)</f>
        <v>0</v>
      </c>
      <c r="V27">
        <f>SUMIFS('Jul 21'!$R$8:$R$42,'Jul 21'!$A$8:$A$42,"Used",'Jul 21'!$AI$8:$AI$42,1)</f>
        <v>0</v>
      </c>
    </row>
    <row r="28" spans="1:22" x14ac:dyDescent="0.25">
      <c r="A28" s="119"/>
      <c r="B28" s="100"/>
      <c r="C28" s="100"/>
      <c r="D28" s="100"/>
      <c r="E28" s="100"/>
      <c r="F28" s="100"/>
      <c r="G28" s="100"/>
      <c r="H28" s="100"/>
      <c r="I28" s="100"/>
      <c r="J28" s="100"/>
      <c r="K28" s="120"/>
      <c r="P28" t="s">
        <v>240</v>
      </c>
      <c r="Q28">
        <f>SUMIFS('Jul 22'!$AI$8:$AI$42,'Jul 22'!$A$8:$A$42,"New")</f>
        <v>0</v>
      </c>
      <c r="R28">
        <f>SUMIFS('Jul 22'!$Q$8:$Q$42,'Jul 22'!$A$8:$A$42,"New",'Jul 22'!$AI$8:$AI$42,1)</f>
        <v>0</v>
      </c>
      <c r="S28">
        <f>SUMIFS('Jul 22'!$R$8:$R$42,'Jul 22'!$A$8:$A$42,"New",'Jul 22'!$AI$8:$AI$42,1)</f>
        <v>0</v>
      </c>
      <c r="T28">
        <f>SUMIFS('Jul 22'!$AI$8:$AI$42,'Jul 22'!$A$8:$A$42,"Used")</f>
        <v>0</v>
      </c>
      <c r="U28">
        <f>SUMIFS('Jul 22'!$Q$8:$Q$42,'Jul 22'!$A$8:$A$42,"Used",'Jul 22'!$AI$8:$AI$42,1)</f>
        <v>0</v>
      </c>
      <c r="V28">
        <f>SUMIFS('Jul 22'!$R$8:$R$42,'Jul 22'!$A$8:$A$42,"Used",'Jul 22'!$AI$8:$AI$42,1)</f>
        <v>0</v>
      </c>
    </row>
    <row r="29" spans="1:22" x14ac:dyDescent="0.25">
      <c r="A29" s="119"/>
      <c r="B29" s="100"/>
      <c r="C29" s="100"/>
      <c r="D29" s="100"/>
      <c r="E29" s="100"/>
      <c r="F29" s="100"/>
      <c r="G29" s="100"/>
      <c r="H29" s="100"/>
      <c r="I29" s="100"/>
      <c r="J29" s="100"/>
      <c r="K29" s="120"/>
      <c r="P29" t="s">
        <v>241</v>
      </c>
      <c r="Q29">
        <f>SUMIFS('Jul 23'!$AI$8:$AI$42,'Jul 23'!$A$8:$A$42,"New")</f>
        <v>0</v>
      </c>
      <c r="R29">
        <f>SUMIFS('Jul 23'!$Q$8:$Q$42,'Jul 23'!$A$8:$A$42,"New",'Jul 23'!$AI$8:$AI$42,1)</f>
        <v>0</v>
      </c>
      <c r="S29">
        <f>SUMIFS('Jul 23'!$R$8:$R$42,'Jul 23'!$A$8:$A$42,"New",'Jul 23'!$AI$8:$AI$42,1)</f>
        <v>0</v>
      </c>
      <c r="T29">
        <f>SUMIFS('Jul 23'!$AI$8:$AI$42,'Jul 23'!$A$8:$A$42,"Used")</f>
        <v>0</v>
      </c>
      <c r="U29">
        <f>SUMIFS('Jul 23'!$Q$8:$Q$42,'Jul 23'!$A$8:$A$42,"Used",'Jul 23'!$AI$8:$AI$42,1)</f>
        <v>0</v>
      </c>
      <c r="V29">
        <f>SUMIFS('Jul 23'!$R$8:$R$42,'Jul 23'!$A$8:$A$42,"Used",'Jul 23'!$AI$8:$AI$42,1)</f>
        <v>0</v>
      </c>
    </row>
    <row r="30" spans="1:22" x14ac:dyDescent="0.25">
      <c r="A30" s="119"/>
      <c r="B30" s="100"/>
      <c r="C30" s="100"/>
      <c r="D30" s="100"/>
      <c r="E30" s="100"/>
      <c r="F30" s="100"/>
      <c r="G30" s="100"/>
      <c r="H30" s="100"/>
      <c r="I30" s="100"/>
      <c r="J30" s="100"/>
      <c r="K30" s="120"/>
      <c r="P30" t="s">
        <v>242</v>
      </c>
      <c r="Q30">
        <f>SUMIFS('Jul 24'!$AI$8:$AI$42,'Jul 24'!$A$8:$A$42,"New")</f>
        <v>0</v>
      </c>
      <c r="R30">
        <f>SUMIFS('Jul 24'!$Q$8:$Q$42,'Jul 24'!$A$8:$A$42,"New",'Jul 24'!$AI$8:$AI$42,1)</f>
        <v>0</v>
      </c>
      <c r="S30">
        <f>SUMIFS('Jul 24'!$R$8:$R$42,'Jul 24'!$A$8:$A$42,"New",'Jul 24'!$AI$8:$AI$42,1)</f>
        <v>0</v>
      </c>
      <c r="T30">
        <f>SUMIFS('Jul 24'!$AI$8:$AI$42,'Jul 24'!$A$8:$A$42,"Used")</f>
        <v>0</v>
      </c>
      <c r="U30">
        <f>SUMIFS('Jul 24'!$Q$8:$Q$42,'Jul 24'!$A$8:$A$42,"Used",'Jul 24'!$AI$8:$AI$42,1)</f>
        <v>0</v>
      </c>
      <c r="V30">
        <f>SUMIFS('Jul 24'!$R$8:$R$42,'Jul 24'!$A$8:$A$42,"Used",'Jul 24'!$AI$8:$AI$42,1)</f>
        <v>0</v>
      </c>
    </row>
    <row r="31" spans="1:22" x14ac:dyDescent="0.25">
      <c r="A31" s="119"/>
      <c r="B31" s="100"/>
      <c r="C31" s="100"/>
      <c r="D31" s="100"/>
      <c r="E31" s="100"/>
      <c r="F31" s="100"/>
      <c r="G31" s="100"/>
      <c r="H31" s="100"/>
      <c r="I31" s="100"/>
      <c r="J31" s="100"/>
      <c r="K31" s="120"/>
      <c r="P31" t="s">
        <v>243</v>
      </c>
      <c r="Q31">
        <f>SUMIFS('Jul 25'!$AI$8:$AI$42,'Jul 25'!$A$8:$A$42,"New")</f>
        <v>0</v>
      </c>
      <c r="R31">
        <f>SUMIFS('Jul 25'!$Q$8:$Q$42,'Jul 25'!$A$8:$A$42,"New",'Jul 25'!$AI$8:$AI$42,1)</f>
        <v>0</v>
      </c>
      <c r="S31">
        <f>SUMIFS('Jul 25'!$R$8:$R$42,'Jul 25'!$A$8:$A$42,"New",'Jul 25'!$AI$8:$AI$42,1)</f>
        <v>0</v>
      </c>
      <c r="T31">
        <f>SUMIFS('Jul 25'!$AI$8:$AI$42,'Jul 25'!$A$8:$A$42,"Used")</f>
        <v>0</v>
      </c>
      <c r="U31">
        <f>SUMIFS('Jul 25'!$Q$8:$Q$42,'Jul 25'!$A$8:$A$42,"Used",'Jul 25'!$AI$8:$AI$42,1)</f>
        <v>0</v>
      </c>
      <c r="V31">
        <f>SUMIFS('Jul 25'!$R$8:$R$42,'Jul 25'!$A$8:$A$42,"Used",'Jul 25'!$AI$8:$AI$42,1)</f>
        <v>0</v>
      </c>
    </row>
    <row r="32" spans="1:22" x14ac:dyDescent="0.25">
      <c r="A32" s="119"/>
      <c r="B32" s="100"/>
      <c r="C32" s="100"/>
      <c r="D32" s="100"/>
      <c r="E32" s="100"/>
      <c r="F32" s="100"/>
      <c r="G32" s="100"/>
      <c r="H32" s="100"/>
      <c r="I32" s="100"/>
      <c r="J32" s="100"/>
      <c r="K32" s="120"/>
      <c r="P32" t="s">
        <v>244</v>
      </c>
      <c r="Q32">
        <f>SUMIFS('Jul 26'!$AI$8:$AI$42,'Jul 26'!$A$8:$A$42,"New")</f>
        <v>0</v>
      </c>
      <c r="R32">
        <f>SUMIFS('Jul 26'!$Q$8:$Q$42,'Jul 26'!$A$8:$A$42,"New",'Jul 26'!$AI$8:$AI$42,1)</f>
        <v>0</v>
      </c>
      <c r="S32">
        <f>SUMIFS('Jul 26'!$R$8:$R$42,'Jul 26'!$A$8:$A$42,"New",'Jul 26'!$AI$8:$AI$42,1)</f>
        <v>0</v>
      </c>
      <c r="T32">
        <f>SUMIFS('Jul 26'!$AI$8:$AI$42,'Jul 26'!$A$8:$A$42,"Used")</f>
        <v>0</v>
      </c>
      <c r="U32">
        <f>SUMIFS('Jul 26'!$Q$8:$Q$42,'Jul 26'!$A$8:$A$42,"Used",'Jul 26'!$AI$8:$AI$42,1)</f>
        <v>0</v>
      </c>
      <c r="V32">
        <f>SUMIFS('Jul 26'!$R$8:$R$42,'Jul 26'!$A$8:$A$42,"Used",'Jul 26'!$AI$8:$AI$42,1)</f>
        <v>0</v>
      </c>
    </row>
    <row r="33" spans="1:22" x14ac:dyDescent="0.25">
      <c r="A33" s="119"/>
      <c r="B33" s="100"/>
      <c r="C33" s="100"/>
      <c r="D33" s="100"/>
      <c r="E33" s="100"/>
      <c r="F33" s="100"/>
      <c r="G33" s="100"/>
      <c r="H33" s="100"/>
      <c r="I33" s="100"/>
      <c r="J33" s="100"/>
      <c r="K33" s="120"/>
      <c r="P33" t="s">
        <v>245</v>
      </c>
      <c r="Q33">
        <f>SUMIFS('Jul 27'!$AI$8:$AI$42,'Jul 27'!$A$8:$A$42,"New")</f>
        <v>0</v>
      </c>
      <c r="R33">
        <f>SUMIFS('Jul 27'!$Q$8:$Q$42,'Jul 27'!$A$8:$A$42,"New",'Jul 27'!$AI$8:$AI$42,1)</f>
        <v>0</v>
      </c>
      <c r="S33">
        <f>SUMIFS('Jul 27'!$R$8:$R$42,'Jul 27'!$A$8:$A$42,"New",'Jul 27'!$AI$8:$AI$42,1)</f>
        <v>0</v>
      </c>
      <c r="T33">
        <f>SUMIFS('Jul 27'!$AI$8:$AI$42,'Jul 27'!$A$8:$A$42,"Used")</f>
        <v>0</v>
      </c>
      <c r="U33">
        <f>SUMIFS('Jul 27'!$Q$8:$Q$42,'Jul 27'!$A$8:$A$42,"Used",'Jul 27'!$AI$8:$AI$42,1)</f>
        <v>0</v>
      </c>
      <c r="V33">
        <f>SUMIFS('Jul 27'!$R$8:$R$42,'Jul 27'!$A$8:$A$42,"Used",'Jul 27'!$AI$8:$AI$42,1)</f>
        <v>0</v>
      </c>
    </row>
    <row r="34" spans="1:22" x14ac:dyDescent="0.25">
      <c r="A34" s="119"/>
      <c r="B34" s="100"/>
      <c r="C34" s="100"/>
      <c r="D34" s="100"/>
      <c r="E34" s="100"/>
      <c r="F34" s="100"/>
      <c r="G34" s="100"/>
      <c r="H34" s="100"/>
      <c r="I34" s="100"/>
      <c r="J34" s="100"/>
      <c r="K34" s="120"/>
      <c r="P34" t="s">
        <v>246</v>
      </c>
      <c r="Q34">
        <f>SUMIFS('Jul 28'!$AI$8:$AI$42,'Jul 28'!$A$8:$A$42,"New")</f>
        <v>0</v>
      </c>
      <c r="R34">
        <f>SUMIFS('Jul 28'!$Q$8:$Q$42,'Jul 28'!$A$8:$A$42,"New",'Jul 28'!$AI$8:$AI$42,1)</f>
        <v>0</v>
      </c>
      <c r="S34">
        <f>SUMIFS('Jul 28'!$R$8:$R$42,'Jul 28'!$A$8:$A$42,"New",'Jul 28'!$AI$8:$AI$42,1)</f>
        <v>0</v>
      </c>
      <c r="T34">
        <f>SUMIFS('Jul 28'!$AI$8:$AI$42,'Jul 28'!$A$8:$A$42,"Used")</f>
        <v>0</v>
      </c>
      <c r="U34">
        <f>SUMIFS('Jul 28'!$Q$8:$Q$42,'Jul 28'!$A$8:$A$42,"Used",'Jul 28'!$AI$8:$AI$42,1)</f>
        <v>0</v>
      </c>
      <c r="V34">
        <f>SUMIFS('Jul 28'!$R$8:$R$42,'Jul 28'!$A$8:$A$42,"Used",'Jul 28'!$AI$8:$AI$42,1)</f>
        <v>0</v>
      </c>
    </row>
    <row r="35" spans="1:22" x14ac:dyDescent="0.25">
      <c r="A35" s="119"/>
      <c r="B35" s="100"/>
      <c r="C35" s="100"/>
      <c r="D35" s="100"/>
      <c r="E35" s="100"/>
      <c r="F35" s="100"/>
      <c r="G35" s="100"/>
      <c r="H35" s="100"/>
      <c r="I35" s="100"/>
      <c r="J35" s="100"/>
      <c r="K35" s="120"/>
      <c r="P35" t="s">
        <v>247</v>
      </c>
      <c r="Q35">
        <f>SUMIFS('Jul 29'!$AI$8:$AI$42,'Jul 29'!$A$8:$A$42,"New")</f>
        <v>0</v>
      </c>
      <c r="R35">
        <f>SUMIFS('Jul 29'!$Q$8:$Q$42,'Jul 29'!$A$8:$A$42,"New",'Jul 29'!$AI$8:$AI$42,1)</f>
        <v>0</v>
      </c>
      <c r="S35">
        <f>SUMIFS('Jul 29'!$R$8:$R$42,'Jul 29'!$A$8:$A$42,"New",'Jul 29'!$AI$8:$AI$42,1)</f>
        <v>0</v>
      </c>
      <c r="T35">
        <f>SUMIFS('Jul 29'!$AI$8:$AI$42,'Jul 29'!$A$8:$A$42,"Used")</f>
        <v>0</v>
      </c>
      <c r="U35">
        <f>SUMIFS('Jul 29'!$Q$8:$Q$42,'Jul 29'!$A$8:$A$42,"Used",'Jul 29'!$AI$8:$AI$42,1)</f>
        <v>0</v>
      </c>
      <c r="V35">
        <f>SUMIFS('Jul 29'!$R$8:$R$42,'Jul 29'!$A$8:$A$42,"Used",'Jul 29'!$AI$8:$AI$42,1)</f>
        <v>0</v>
      </c>
    </row>
    <row r="36" spans="1:22" x14ac:dyDescent="0.25">
      <c r="A36" s="119"/>
      <c r="B36" s="100"/>
      <c r="C36" s="100"/>
      <c r="D36" s="100"/>
      <c r="E36" s="100"/>
      <c r="F36" s="100"/>
      <c r="G36" s="100"/>
      <c r="H36" s="100"/>
      <c r="I36" s="100"/>
      <c r="J36" s="100"/>
      <c r="K36" s="120"/>
      <c r="P36" t="s">
        <v>248</v>
      </c>
      <c r="Q36">
        <f>SUMIFS('Jul 30'!$AI$8:$AI$42,'Jul 30'!$A$8:$A$42,"New")</f>
        <v>0</v>
      </c>
      <c r="R36">
        <f>SUMIFS('Jul 30'!$Q$8:$Q$42,'Jul 30'!$A$8:$A$42,"New",'Jul 30'!$AI$8:$AI$42,1)</f>
        <v>0</v>
      </c>
      <c r="S36">
        <f>SUMIFS('Jul 30'!$R$8:$R$42,'Jul 30'!$A$8:$A$42,"New",'Jul 30'!$AI$8:$AI$42,1)</f>
        <v>0</v>
      </c>
      <c r="T36">
        <f>SUMIFS('Jul 30'!$AI$8:$AI$42,'Jul 30'!$A$8:$A$42,"Used")</f>
        <v>0</v>
      </c>
      <c r="U36">
        <f>SUMIFS('Jul 30'!$Q$8:$Q$42,'Jul 30'!$A$8:$A$42,"Used",'Jul 30'!$AI$8:$AI$42,1)</f>
        <v>0</v>
      </c>
      <c r="V36">
        <f>SUMIFS('Jul 30'!$R$8:$R$42,'Jul 30'!$A$8:$A$42,"Used",'Jul 30'!$AI$8:$AI$42,1)</f>
        <v>0</v>
      </c>
    </row>
    <row r="37" spans="1:22" x14ac:dyDescent="0.25">
      <c r="A37" s="119"/>
      <c r="B37" s="100"/>
      <c r="C37" s="100"/>
      <c r="D37" s="100"/>
      <c r="E37" s="100"/>
      <c r="F37" s="100"/>
      <c r="G37" s="100"/>
      <c r="H37" s="100"/>
      <c r="I37" s="100"/>
      <c r="J37" s="100"/>
      <c r="K37" s="120"/>
      <c r="P37" t="s">
        <v>249</v>
      </c>
      <c r="Q37">
        <f>SUMIFS('Jul 31'!$AI$8:$AI$42,'Jul 31'!$A$8:$A$42,"New")</f>
        <v>0</v>
      </c>
      <c r="R37">
        <f>SUMIFS('Jul 31'!$Q$8:$Q$42,'Jul 31'!$A$8:$A$42,"New",'Jul 31'!$AI$8:$AI$42,1)</f>
        <v>0</v>
      </c>
      <c r="S37">
        <f>SUMIFS('Jul 31'!$R$8:$R$42,'Jul 31'!$A$8:$A$42,"New",'Jul 31'!$AI$8:$AI$42,1)</f>
        <v>0</v>
      </c>
      <c r="T37">
        <f>SUMIFS('Jul 31'!$AI$8:$AI$42,'Jul 31'!$A$8:$A$42,"Used")</f>
        <v>0</v>
      </c>
      <c r="U37">
        <f>SUMIFS('Jul 31'!$Q$8:$Q$42,'Jul 31'!$A$8:$A$42,"Used",'Jul 31'!$AI$8:$AI$42,1)</f>
        <v>0</v>
      </c>
      <c r="V37">
        <f>SUMIFS('Jul 31'!$R$8:$R$42,'Jul 31'!$A$8:$A$42,"Used",'Jul 31'!$AI$8:$AI$42,1)</f>
        <v>0</v>
      </c>
    </row>
    <row r="38" spans="1:22" x14ac:dyDescent="0.25">
      <c r="A38" s="119"/>
      <c r="B38" s="100"/>
      <c r="C38" s="100"/>
      <c r="D38" s="100"/>
      <c r="E38" s="100"/>
      <c r="F38" s="100"/>
      <c r="G38" s="100"/>
      <c r="H38" s="100"/>
      <c r="I38" s="100"/>
      <c r="J38" s="100"/>
      <c r="K38" s="120"/>
    </row>
    <row r="39" spans="1:22" x14ac:dyDescent="0.25">
      <c r="A39" s="119"/>
      <c r="B39" s="100"/>
      <c r="C39" s="100"/>
      <c r="D39" s="100"/>
      <c r="E39" s="100"/>
      <c r="F39" s="100"/>
      <c r="G39" s="100"/>
      <c r="H39" s="100"/>
      <c r="I39" s="100"/>
      <c r="J39" s="100"/>
      <c r="K39" s="120"/>
    </row>
    <row r="40" spans="1:22" x14ac:dyDescent="0.25">
      <c r="A40" s="119"/>
      <c r="B40" s="100"/>
      <c r="C40" s="100"/>
      <c r="D40" s="100"/>
      <c r="E40" s="100"/>
      <c r="F40" s="100"/>
      <c r="G40" s="100"/>
      <c r="H40" s="100"/>
      <c r="I40" s="100"/>
      <c r="J40" s="100"/>
      <c r="K40" s="120"/>
    </row>
    <row r="41" spans="1:22" x14ac:dyDescent="0.25">
      <c r="A41" s="119"/>
      <c r="B41" s="100"/>
      <c r="C41" s="100"/>
      <c r="D41" s="100"/>
      <c r="E41" s="100"/>
      <c r="F41" s="100"/>
      <c r="G41" s="100"/>
      <c r="H41" s="100"/>
      <c r="I41" s="100"/>
      <c r="J41" s="100"/>
      <c r="K41" s="120"/>
    </row>
    <row r="42" spans="1:22" x14ac:dyDescent="0.25">
      <c r="A42" s="119"/>
      <c r="B42" s="100"/>
      <c r="C42" s="100"/>
      <c r="D42" s="100"/>
      <c r="E42" s="100"/>
      <c r="F42" s="100"/>
      <c r="G42" s="100"/>
      <c r="H42" s="100"/>
      <c r="I42" s="100"/>
      <c r="J42" s="100"/>
      <c r="K42" s="120"/>
    </row>
    <row r="43" spans="1:22" x14ac:dyDescent="0.25">
      <c r="A43" s="119"/>
      <c r="B43" s="100"/>
      <c r="C43" s="100"/>
      <c r="D43" s="100"/>
      <c r="E43" s="100"/>
      <c r="F43" s="100"/>
      <c r="G43" s="100"/>
      <c r="H43" s="100"/>
      <c r="I43" s="100"/>
      <c r="J43" s="100"/>
      <c r="K43" s="120"/>
    </row>
    <row r="44" spans="1:22" x14ac:dyDescent="0.25">
      <c r="A44" s="119"/>
      <c r="B44" s="100"/>
      <c r="C44" s="100"/>
      <c r="D44" s="100"/>
      <c r="E44" s="100"/>
      <c r="F44" s="100"/>
      <c r="G44" s="100"/>
      <c r="H44" s="100"/>
      <c r="I44" s="100"/>
      <c r="J44" s="100"/>
      <c r="K44" s="120"/>
    </row>
    <row r="45" spans="1:22" x14ac:dyDescent="0.25">
      <c r="A45" s="119"/>
      <c r="B45" s="100"/>
      <c r="C45" s="100"/>
      <c r="D45" s="100"/>
      <c r="E45" s="100"/>
      <c r="F45" s="100"/>
      <c r="G45" s="100"/>
      <c r="H45" s="100"/>
      <c r="I45" s="100"/>
      <c r="J45" s="100"/>
      <c r="K45" s="120"/>
    </row>
    <row r="46" spans="1:22" x14ac:dyDescent="0.25">
      <c r="A46" s="119"/>
      <c r="B46" s="100"/>
      <c r="C46" s="100"/>
      <c r="D46" s="100"/>
      <c r="E46" s="100"/>
      <c r="F46" s="100"/>
      <c r="G46" s="100"/>
      <c r="H46" s="100"/>
      <c r="I46" s="100"/>
      <c r="J46" s="100"/>
      <c r="K46" s="120"/>
    </row>
    <row r="47" spans="1:22" x14ac:dyDescent="0.25">
      <c r="A47" s="119"/>
      <c r="B47" s="100"/>
      <c r="C47" s="100"/>
      <c r="D47" s="100"/>
      <c r="E47" s="100"/>
      <c r="F47" s="100"/>
      <c r="G47" s="100"/>
      <c r="H47" s="100"/>
      <c r="I47" s="100"/>
      <c r="J47" s="100"/>
      <c r="K47" s="120"/>
    </row>
    <row r="48" spans="1:22" x14ac:dyDescent="0.25">
      <c r="A48" s="119"/>
      <c r="B48" s="100"/>
      <c r="C48" s="100"/>
      <c r="D48" s="100"/>
      <c r="E48" s="100"/>
      <c r="F48" s="100"/>
      <c r="G48" s="100"/>
      <c r="H48" s="100"/>
      <c r="I48" s="100"/>
      <c r="J48" s="100"/>
      <c r="K48" s="120"/>
    </row>
    <row r="49" spans="1:11" x14ac:dyDescent="0.25">
      <c r="A49" s="119"/>
      <c r="B49" s="100"/>
      <c r="C49" s="100"/>
      <c r="D49" s="100"/>
      <c r="E49" s="100"/>
      <c r="F49" s="100"/>
      <c r="G49" s="100"/>
      <c r="H49" s="100"/>
      <c r="I49" s="100"/>
      <c r="J49" s="100"/>
      <c r="K49" s="120"/>
    </row>
    <row r="50" spans="1:11" x14ac:dyDescent="0.25">
      <c r="A50" s="119"/>
      <c r="B50" s="100"/>
      <c r="C50" s="100"/>
      <c r="D50" s="100"/>
      <c r="E50" s="100"/>
      <c r="F50" s="100"/>
      <c r="G50" s="100"/>
      <c r="H50" s="100"/>
      <c r="I50" s="100"/>
      <c r="J50" s="100"/>
      <c r="K50" s="120"/>
    </row>
    <row r="51" spans="1:11" x14ac:dyDescent="0.25">
      <c r="A51" s="119"/>
      <c r="B51" s="100"/>
      <c r="C51" s="100"/>
      <c r="D51" s="100"/>
      <c r="E51" s="100"/>
      <c r="F51" s="100"/>
      <c r="G51" s="100"/>
      <c r="H51" s="100"/>
      <c r="I51" s="100"/>
      <c r="J51" s="100"/>
      <c r="K51" s="120"/>
    </row>
    <row r="52" spans="1:11" x14ac:dyDescent="0.25">
      <c r="A52" s="119"/>
      <c r="B52" s="100"/>
      <c r="C52" s="100"/>
      <c r="D52" s="100"/>
      <c r="E52" s="100"/>
      <c r="F52" s="100"/>
      <c r="G52" s="100"/>
      <c r="H52" s="100"/>
      <c r="I52" s="100"/>
      <c r="J52" s="100"/>
      <c r="K52" s="120"/>
    </row>
    <row r="53" spans="1:11" x14ac:dyDescent="0.25">
      <c r="A53" s="119"/>
      <c r="B53" s="100"/>
      <c r="C53" s="100"/>
      <c r="D53" s="100"/>
      <c r="E53" s="100"/>
      <c r="F53" s="100"/>
      <c r="G53" s="100"/>
      <c r="H53" s="100"/>
      <c r="I53" s="100"/>
      <c r="J53" s="100"/>
      <c r="K53" s="120"/>
    </row>
    <row r="54" spans="1:11" x14ac:dyDescent="0.25">
      <c r="A54" s="119"/>
      <c r="B54" s="100"/>
      <c r="C54" s="100"/>
      <c r="D54" s="100"/>
      <c r="E54" s="100"/>
      <c r="F54" s="100"/>
      <c r="G54" s="100"/>
      <c r="H54" s="100"/>
      <c r="I54" s="100"/>
      <c r="J54" s="100"/>
      <c r="K54" s="120"/>
    </row>
    <row r="55" spans="1:11" x14ac:dyDescent="0.25">
      <c r="A55" s="110"/>
      <c r="B55" s="111"/>
      <c r="C55" s="111"/>
      <c r="D55" s="111"/>
      <c r="E55" s="111"/>
      <c r="F55" s="111"/>
      <c r="G55" s="111"/>
      <c r="H55" s="111"/>
      <c r="I55" s="111"/>
      <c r="J55" s="111"/>
      <c r="K55" s="112"/>
    </row>
  </sheetData>
  <sheetProtection sheet="1" formatColumns="0" formatRows="0"/>
  <mergeCells count="5">
    <mergeCell ref="A22:K22"/>
    <mergeCell ref="A4:K4"/>
    <mergeCell ref="A15:K15"/>
    <mergeCell ref="A23:K55"/>
    <mergeCell ref="A2:K2"/>
  </mergeCells>
  <conditionalFormatting sqref="A22">
    <cfRule type="expression" dxfId="374" priority="1">
      <formula>LEFT($A$22,1)="✅"</formula>
    </cfRule>
    <cfRule type="expression" dxfId="373" priority="2">
      <formula>LEFT($A$22,1)="⚠"</formula>
    </cfRule>
  </conditionalFormatting>
  <pageMargins left="0.25" right="0.25" top="0.3" bottom="0.3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9A227"/>
    <pageSetUpPr fitToPage="1"/>
  </sheetPr>
  <dimension ref="A1:F21"/>
  <sheetViews>
    <sheetView showGridLines="0" workbookViewId="0">
      <pane ySplit="5" topLeftCell="A6" activePane="bottomLeft" state="frozen"/>
      <selection pane="bottomLeft" sqref="A1:B3"/>
    </sheetView>
  </sheetViews>
  <sheetFormatPr defaultRowHeight="15" x14ac:dyDescent="0.25"/>
  <cols>
    <col min="1" max="1" width="5" customWidth="1"/>
    <col min="2" max="2" width="20" customWidth="1"/>
    <col min="3" max="3" width="10" customWidth="1"/>
    <col min="4" max="4" width="12" customWidth="1"/>
    <col min="5" max="5" width="11" customWidth="1"/>
    <col min="6" max="6" width="30" customWidth="1"/>
  </cols>
  <sheetData>
    <row r="1" spans="1:6" ht="20.100000000000001" customHeight="1" x14ac:dyDescent="0.25">
      <c r="A1" s="107" t="s">
        <v>250</v>
      </c>
      <c r="B1" s="109"/>
      <c r="C1" s="116" t="s">
        <v>251</v>
      </c>
      <c r="D1" s="100"/>
      <c r="E1" s="100"/>
      <c r="F1" s="115" t="str">
        <f ca="1">" as of "&amp;TEXT(TODAY(),"ddd mmm d")</f>
        <v xml:space="preserve"> as of Sat Aug 1</v>
      </c>
    </row>
    <row r="2" spans="1:6" ht="20.100000000000001" customHeight="1" x14ac:dyDescent="0.25">
      <c r="A2" s="119"/>
      <c r="B2" s="120"/>
      <c r="C2" s="100"/>
      <c r="D2" s="100"/>
      <c r="E2" s="100"/>
      <c r="F2" s="100"/>
    </row>
    <row r="3" spans="1:6" ht="20.100000000000001" customHeight="1" x14ac:dyDescent="0.25">
      <c r="A3" s="110"/>
      <c r="B3" s="112"/>
      <c r="C3" s="121" t="s">
        <v>252</v>
      </c>
      <c r="D3" s="100"/>
      <c r="E3" s="100"/>
    </row>
    <row r="5" spans="1:6" x14ac:dyDescent="0.25">
      <c r="A5" s="37" t="s">
        <v>253</v>
      </c>
      <c r="B5" s="38" t="s">
        <v>82</v>
      </c>
      <c r="C5" s="37" t="s">
        <v>29</v>
      </c>
      <c r="D5" s="37" t="s">
        <v>30</v>
      </c>
      <c r="E5" s="37" t="s">
        <v>171</v>
      </c>
      <c r="F5" s="38"/>
    </row>
    <row r="6" spans="1:6" ht="15.95" customHeight="1" x14ac:dyDescent="0.25">
      <c r="A6" s="82">
        <v>1</v>
      </c>
      <c r="B6" s="40" t="str">
        <f>IFERROR(INDEX(Dashboard!$AD$4:$AD$19,MATCH(1,Dashboard!$BN$4:$BN$19,0)),"")</f>
        <v>FEDY ALI</v>
      </c>
      <c r="C6" s="42">
        <f>IFERROR(INDEX(Dashboard!$BK$4:$BK$19,MATCH(1,Dashboard!$BN$4:$BN$19,0)),0)</f>
        <v>0</v>
      </c>
      <c r="D6" s="43">
        <f>IFERROR(INDEX(Dashboard!$BK$23:$BK$38,MATCH(1,Dashboard!$BN$4:$BN$19,0)),0)</f>
        <v>0</v>
      </c>
      <c r="E6" s="43" t="str">
        <f t="shared" ref="E6:E21" si="0">IF(N(C6)=0,"—",D6/C6)</f>
        <v>—</v>
      </c>
      <c r="F6" s="83" t="str">
        <f>IF(OR(MAX(Dashboard!$BK$4:$BK$19)=0,N(C6)=0),"",REPT("=",ROUND(28*C6/MAX(Dashboard!$BK$4:$BK$19),0)))</f>
        <v/>
      </c>
    </row>
    <row r="7" spans="1:6" ht="15.95" customHeight="1" x14ac:dyDescent="0.25">
      <c r="A7" s="84">
        <v>2</v>
      </c>
      <c r="B7" s="47" t="str">
        <f>IFERROR(INDEX(Dashboard!$AD$4:$AD$19,MATCH(2,Dashboard!$BN$4:$BN$19,0)),"")</f>
        <v>CHAD EMBRY</v>
      </c>
      <c r="C7" s="48">
        <f>IFERROR(INDEX(Dashboard!$BK$4:$BK$19,MATCH(2,Dashboard!$BN$4:$BN$19,0)),0)</f>
        <v>0</v>
      </c>
      <c r="D7" s="49">
        <f>IFERROR(INDEX(Dashboard!$BK$23:$BK$38,MATCH(2,Dashboard!$BN$4:$BN$19,0)),0)</f>
        <v>0</v>
      </c>
      <c r="E7" s="49" t="str">
        <f t="shared" si="0"/>
        <v>—</v>
      </c>
      <c r="F7" s="85" t="str">
        <f>IF(OR(MAX(Dashboard!$BK$4:$BK$19)=0,N(C7)=0),"",REPT("=",ROUND(28*C7/MAX(Dashboard!$BK$4:$BK$19),0)))</f>
        <v/>
      </c>
    </row>
    <row r="8" spans="1:6" ht="15.95" customHeight="1" x14ac:dyDescent="0.25">
      <c r="A8" s="82">
        <v>3</v>
      </c>
      <c r="B8" s="40" t="str">
        <f>IFERROR(INDEX(Dashboard!$AD$4:$AD$19,MATCH(3,Dashboard!$BN$4:$BN$19,0)),"")</f>
        <v>RICH AMMERMAN</v>
      </c>
      <c r="C8" s="42">
        <f>IFERROR(INDEX(Dashboard!$BK$4:$BK$19,MATCH(3,Dashboard!$BN$4:$BN$19,0)),0)</f>
        <v>0</v>
      </c>
      <c r="D8" s="43">
        <f>IFERROR(INDEX(Dashboard!$BK$23:$BK$38,MATCH(3,Dashboard!$BN$4:$BN$19,0)),0)</f>
        <v>0</v>
      </c>
      <c r="E8" s="43" t="str">
        <f t="shared" si="0"/>
        <v>—</v>
      </c>
      <c r="F8" s="83" t="str">
        <f>IF(OR(MAX(Dashboard!$BK$4:$BK$19)=0,N(C8)=0),"",REPT("=",ROUND(28*C8/MAX(Dashboard!$BK$4:$BK$19),0)))</f>
        <v/>
      </c>
    </row>
    <row r="9" spans="1:6" ht="15.95" customHeight="1" x14ac:dyDescent="0.25">
      <c r="A9" s="86">
        <v>4</v>
      </c>
      <c r="B9" s="47" t="str">
        <f>IFERROR(INDEX(Dashboard!$AD$4:$AD$19,MATCH(4,Dashboard!$BN$4:$BN$19,0)),"")</f>
        <v>GARRET SCHWETTMAN</v>
      </c>
      <c r="C9" s="48">
        <f>IFERROR(INDEX(Dashboard!$BK$4:$BK$19,MATCH(4,Dashboard!$BN$4:$BN$19,0)),0)</f>
        <v>0</v>
      </c>
      <c r="D9" s="49">
        <f>IFERROR(INDEX(Dashboard!$BK$23:$BK$38,MATCH(4,Dashboard!$BN$4:$BN$19,0)),0)</f>
        <v>0</v>
      </c>
      <c r="E9" s="49" t="str">
        <f t="shared" si="0"/>
        <v>—</v>
      </c>
      <c r="F9" s="85" t="str">
        <f>IF(OR(MAX(Dashboard!$BK$4:$BK$19)=0,N(C9)=0),"",REPT("=",ROUND(28*C9/MAX(Dashboard!$BK$4:$BK$19),0)))</f>
        <v/>
      </c>
    </row>
    <row r="10" spans="1:6" ht="15.95" customHeight="1" x14ac:dyDescent="0.25">
      <c r="A10" s="87">
        <v>5</v>
      </c>
      <c r="B10" s="40" t="str">
        <f>IFERROR(INDEX(Dashboard!$AD$4:$AD$19,MATCH(5,Dashboard!$BN$4:$BN$19,0)),"")</f>
        <v>MERCEDES CLARK</v>
      </c>
      <c r="C10" s="42">
        <f>IFERROR(INDEX(Dashboard!$BK$4:$BK$19,MATCH(5,Dashboard!$BN$4:$BN$19,0)),0)</f>
        <v>0</v>
      </c>
      <c r="D10" s="43">
        <f>IFERROR(INDEX(Dashboard!$BK$23:$BK$38,MATCH(5,Dashboard!$BN$4:$BN$19,0)),0)</f>
        <v>0</v>
      </c>
      <c r="E10" s="43" t="str">
        <f t="shared" si="0"/>
        <v>—</v>
      </c>
      <c r="F10" s="83" t="str">
        <f>IF(OR(MAX(Dashboard!$BK$4:$BK$19)=0,N(C10)=0),"",REPT("=",ROUND(28*C10/MAX(Dashboard!$BK$4:$BK$19),0)))</f>
        <v/>
      </c>
    </row>
    <row r="11" spans="1:6" ht="15.95" customHeight="1" x14ac:dyDescent="0.25">
      <c r="A11" s="86">
        <v>6</v>
      </c>
      <c r="B11" s="47" t="str">
        <f>IFERROR(INDEX(Dashboard!$AD$4:$AD$19,MATCH(6,Dashboard!$BN$4:$BN$19,0)),"")</f>
        <v>ZAY JOHNSON</v>
      </c>
      <c r="C11" s="48">
        <f>IFERROR(INDEX(Dashboard!$BK$4:$BK$19,MATCH(6,Dashboard!$BN$4:$BN$19,0)),0)</f>
        <v>0</v>
      </c>
      <c r="D11" s="49">
        <f>IFERROR(INDEX(Dashboard!$BK$23:$BK$38,MATCH(6,Dashboard!$BN$4:$BN$19,0)),0)</f>
        <v>0</v>
      </c>
      <c r="E11" s="49" t="str">
        <f t="shared" si="0"/>
        <v>—</v>
      </c>
      <c r="F11" s="85" t="str">
        <f>IF(OR(MAX(Dashboard!$BK$4:$BK$19)=0,N(C11)=0),"",REPT("=",ROUND(28*C11/MAX(Dashboard!$BK$4:$BK$19),0)))</f>
        <v/>
      </c>
    </row>
    <row r="12" spans="1:6" ht="15.95" customHeight="1" x14ac:dyDescent="0.25">
      <c r="A12" s="87">
        <v>7</v>
      </c>
      <c r="B12" s="40" t="str">
        <f>IFERROR(INDEX(Dashboard!$AD$4:$AD$19,MATCH(7,Dashboard!$BN$4:$BN$19,0)),"")</f>
        <v>JUSTIN ROLLER</v>
      </c>
      <c r="C12" s="42">
        <f>IFERROR(INDEX(Dashboard!$BK$4:$BK$19,MATCH(7,Dashboard!$BN$4:$BN$19,0)),0)</f>
        <v>0</v>
      </c>
      <c r="D12" s="43">
        <f>IFERROR(INDEX(Dashboard!$BK$23:$BK$38,MATCH(7,Dashboard!$BN$4:$BN$19,0)),0)</f>
        <v>0</v>
      </c>
      <c r="E12" s="43" t="str">
        <f t="shared" si="0"/>
        <v>—</v>
      </c>
      <c r="F12" s="83" t="str">
        <f>IF(OR(MAX(Dashboard!$BK$4:$BK$19)=0,N(C12)=0),"",REPT("=",ROUND(28*C12/MAX(Dashboard!$BK$4:$BK$19),0)))</f>
        <v/>
      </c>
    </row>
    <row r="13" spans="1:6" ht="15.95" customHeight="1" x14ac:dyDescent="0.25">
      <c r="A13" s="86">
        <v>8</v>
      </c>
      <c r="B13" s="47" t="str">
        <f>IFERROR(INDEX(Dashboard!$AD$4:$AD$19,MATCH(8,Dashboard!$BN$4:$BN$19,0)),"")</f>
        <v>MATT ALFIERI</v>
      </c>
      <c r="C13" s="48">
        <f>IFERROR(INDEX(Dashboard!$BK$4:$BK$19,MATCH(8,Dashboard!$BN$4:$BN$19,0)),0)</f>
        <v>0</v>
      </c>
      <c r="D13" s="49">
        <f>IFERROR(INDEX(Dashboard!$BK$23:$BK$38,MATCH(8,Dashboard!$BN$4:$BN$19,0)),0)</f>
        <v>0</v>
      </c>
      <c r="E13" s="49" t="str">
        <f t="shared" si="0"/>
        <v>—</v>
      </c>
      <c r="F13" s="85" t="str">
        <f>IF(OR(MAX(Dashboard!$BK$4:$BK$19)=0,N(C13)=0),"",REPT("=",ROUND(28*C13/MAX(Dashboard!$BK$4:$BK$19),0)))</f>
        <v/>
      </c>
    </row>
    <row r="14" spans="1:6" ht="15.95" customHeight="1" x14ac:dyDescent="0.25">
      <c r="A14" s="87">
        <v>9</v>
      </c>
      <c r="B14" s="40" t="str">
        <f>IFERROR(INDEX(Dashboard!$AD$4:$AD$19,MATCH(9,Dashboard!$BN$4:$BN$19,0)),"")</f>
        <v>ZACH CUPP</v>
      </c>
      <c r="C14" s="42">
        <f>IFERROR(INDEX(Dashboard!$BK$4:$BK$19,MATCH(9,Dashboard!$BN$4:$BN$19,0)),0)</f>
        <v>0</v>
      </c>
      <c r="D14" s="43">
        <f>IFERROR(INDEX(Dashboard!$BK$23:$BK$38,MATCH(9,Dashboard!$BN$4:$BN$19,0)),0)</f>
        <v>0</v>
      </c>
      <c r="E14" s="43" t="str">
        <f t="shared" si="0"/>
        <v>—</v>
      </c>
      <c r="F14" s="83" t="str">
        <f>IF(OR(MAX(Dashboard!$BK$4:$BK$19)=0,N(C14)=0),"",REPT("=",ROUND(28*C14/MAX(Dashboard!$BK$4:$BK$19),0)))</f>
        <v/>
      </c>
    </row>
    <row r="15" spans="1:6" ht="15.95" customHeight="1" x14ac:dyDescent="0.25">
      <c r="A15" s="86">
        <v>10</v>
      </c>
      <c r="B15" s="47" t="str">
        <f>IFERROR(INDEX(Dashboard!$AD$4:$AD$19,MATCH(10,Dashboard!$BN$4:$BN$19,0)),"")</f>
        <v>ANDREW MIEIR</v>
      </c>
      <c r="C15" s="48">
        <f>IFERROR(INDEX(Dashboard!$BK$4:$BK$19,MATCH(10,Dashboard!$BN$4:$BN$19,0)),0)</f>
        <v>0</v>
      </c>
      <c r="D15" s="49">
        <f>IFERROR(INDEX(Dashboard!$BK$23:$BK$38,MATCH(10,Dashboard!$BN$4:$BN$19,0)),0)</f>
        <v>0</v>
      </c>
      <c r="E15" s="49" t="str">
        <f t="shared" si="0"/>
        <v>—</v>
      </c>
      <c r="F15" s="85" t="str">
        <f>IF(OR(MAX(Dashboard!$BK$4:$BK$19)=0,N(C15)=0),"",REPT("=",ROUND(28*C15/MAX(Dashboard!$BK$4:$BK$19),0)))</f>
        <v/>
      </c>
    </row>
    <row r="16" spans="1:6" ht="15.95" customHeight="1" x14ac:dyDescent="0.25">
      <c r="A16" s="87">
        <v>11</v>
      </c>
      <c r="B16" s="40" t="str">
        <f>IFERROR(INDEX(Dashboard!$AD$4:$AD$19,MATCH(11,Dashboard!$BN$4:$BN$19,0)),"")</f>
        <v>RAFAEL CAMPOS</v>
      </c>
      <c r="C16" s="42">
        <f>IFERROR(INDEX(Dashboard!$BK$4:$BK$19,MATCH(11,Dashboard!$BN$4:$BN$19,0)),0)</f>
        <v>0</v>
      </c>
      <c r="D16" s="43">
        <f>IFERROR(INDEX(Dashboard!$BK$23:$BK$38,MATCH(11,Dashboard!$BN$4:$BN$19,0)),0)</f>
        <v>0</v>
      </c>
      <c r="E16" s="43" t="str">
        <f t="shared" si="0"/>
        <v>—</v>
      </c>
      <c r="F16" s="83" t="str">
        <f>IF(OR(MAX(Dashboard!$BK$4:$BK$19)=0,N(C16)=0),"",REPT("=",ROUND(28*C16/MAX(Dashboard!$BK$4:$BK$19),0)))</f>
        <v/>
      </c>
    </row>
    <row r="17" spans="1:6" ht="15.95" customHeight="1" x14ac:dyDescent="0.25">
      <c r="A17" s="86">
        <v>12</v>
      </c>
      <c r="B17" s="47" t="str">
        <f>IFERROR(INDEX(Dashboard!$AD$4:$AD$19,MATCH(12,Dashboard!$BN$4:$BN$19,0)),"")</f>
        <v>JACOB LICHTENSTRAHL</v>
      </c>
      <c r="C17" s="48">
        <f>IFERROR(INDEX(Dashboard!$BK$4:$BK$19,MATCH(12,Dashboard!$BN$4:$BN$19,0)),0)</f>
        <v>0</v>
      </c>
      <c r="D17" s="49">
        <f>IFERROR(INDEX(Dashboard!$BK$23:$BK$38,MATCH(12,Dashboard!$BN$4:$BN$19,0)),0)</f>
        <v>0</v>
      </c>
      <c r="E17" s="49" t="str">
        <f t="shared" si="0"/>
        <v>—</v>
      </c>
      <c r="F17" s="85" t="str">
        <f>IF(OR(MAX(Dashboard!$BK$4:$BK$19)=0,N(C17)=0),"",REPT("=",ROUND(28*C17/MAX(Dashboard!$BK$4:$BK$19),0)))</f>
        <v/>
      </c>
    </row>
    <row r="18" spans="1:6" ht="15.95" customHeight="1" x14ac:dyDescent="0.25">
      <c r="A18" s="87">
        <v>13</v>
      </c>
      <c r="B18" s="40" t="str">
        <f>IFERROR(INDEX(Dashboard!$AD$4:$AD$19,MATCH(13,Dashboard!$BN$4:$BN$19,0)),"")</f>
        <v>BRAYDON JOHNSON</v>
      </c>
      <c r="C18" s="42">
        <f>IFERROR(INDEX(Dashboard!$BK$4:$BK$19,MATCH(13,Dashboard!$BN$4:$BN$19,0)),0)</f>
        <v>0</v>
      </c>
      <c r="D18" s="43">
        <f>IFERROR(INDEX(Dashboard!$BK$23:$BK$38,MATCH(13,Dashboard!$BN$4:$BN$19,0)),0)</f>
        <v>0</v>
      </c>
      <c r="E18" s="43" t="str">
        <f t="shared" si="0"/>
        <v>—</v>
      </c>
      <c r="F18" s="83" t="str">
        <f>IF(OR(MAX(Dashboard!$BK$4:$BK$19)=0,N(C18)=0),"",REPT("=",ROUND(28*C18/MAX(Dashboard!$BK$4:$BK$19),0)))</f>
        <v/>
      </c>
    </row>
    <row r="19" spans="1:6" ht="15.95" customHeight="1" x14ac:dyDescent="0.25">
      <c r="A19" s="86">
        <v>14</v>
      </c>
      <c r="B19" s="47" t="str">
        <f>IFERROR(INDEX(Dashboard!$AD$4:$AD$19,MATCH(14,Dashboard!$BN$4:$BN$19,0)),"")</f>
        <v>CHRIS HORNE</v>
      </c>
      <c r="C19" s="48">
        <f>IFERROR(INDEX(Dashboard!$BK$4:$BK$19,MATCH(14,Dashboard!$BN$4:$BN$19,0)),0)</f>
        <v>0</v>
      </c>
      <c r="D19" s="49">
        <f>IFERROR(INDEX(Dashboard!$BK$23:$BK$38,MATCH(14,Dashboard!$BN$4:$BN$19,0)),0)</f>
        <v>0</v>
      </c>
      <c r="E19" s="49" t="str">
        <f t="shared" si="0"/>
        <v>—</v>
      </c>
      <c r="F19" s="85" t="str">
        <f>IF(OR(MAX(Dashboard!$BK$4:$BK$19)=0,N(C19)=0),"",REPT("=",ROUND(28*C19/MAX(Dashboard!$BK$4:$BK$19),0)))</f>
        <v/>
      </c>
    </row>
    <row r="20" spans="1:6" ht="15.95" customHeight="1" x14ac:dyDescent="0.25">
      <c r="A20" s="87">
        <v>15</v>
      </c>
      <c r="B20" s="40" t="str">
        <f>IFERROR(INDEX(Dashboard!$AD$4:$AD$19,MATCH(15,Dashboard!$BN$4:$BN$19,0)),"")</f>
        <v>TIM CAMPBELL</v>
      </c>
      <c r="C20" s="42">
        <f>IFERROR(INDEX(Dashboard!$BK$4:$BK$19,MATCH(15,Dashboard!$BN$4:$BN$19,0)),0)</f>
        <v>0</v>
      </c>
      <c r="D20" s="43">
        <f>IFERROR(INDEX(Dashboard!$BK$23:$BK$38,MATCH(15,Dashboard!$BN$4:$BN$19,0)),0)</f>
        <v>0</v>
      </c>
      <c r="E20" s="43" t="str">
        <f t="shared" si="0"/>
        <v>—</v>
      </c>
      <c r="F20" s="83" t="str">
        <f>IF(OR(MAX(Dashboard!$BK$4:$BK$19)=0,N(C20)=0),"",REPT("=",ROUND(28*C20/MAX(Dashboard!$BK$4:$BK$19),0)))</f>
        <v/>
      </c>
    </row>
    <row r="21" spans="1:6" ht="15.95" customHeight="1" x14ac:dyDescent="0.25">
      <c r="A21" s="86">
        <v>16</v>
      </c>
      <c r="B21" s="47" t="str">
        <f>IFERROR(INDEX(Dashboard!$AD$4:$AD$19,MATCH(16,Dashboard!$BN$4:$BN$19,0)),"")</f>
        <v>BILL RISKO</v>
      </c>
      <c r="C21" s="48">
        <f>IFERROR(INDEX(Dashboard!$BK$4:$BK$19,MATCH(16,Dashboard!$BN$4:$BN$19,0)),0)</f>
        <v>0</v>
      </c>
      <c r="D21" s="49">
        <f>IFERROR(INDEX(Dashboard!$BK$23:$BK$38,MATCH(16,Dashboard!$BN$4:$BN$19,0)),0)</f>
        <v>0</v>
      </c>
      <c r="E21" s="49" t="str">
        <f t="shared" si="0"/>
        <v>—</v>
      </c>
      <c r="F21" s="85" t="str">
        <f>IF(OR(MAX(Dashboard!$BK$4:$BK$19)=0,N(C21)=0),"",REPT("=",ROUND(28*C21/MAX(Dashboard!$BK$4:$BK$19),0)))</f>
        <v/>
      </c>
    </row>
  </sheetData>
  <sheetProtection sheet="1" formatColumns="0" formatRows="0"/>
  <mergeCells count="4">
    <mergeCell ref="C3:E3"/>
    <mergeCell ref="A1:B3"/>
    <mergeCell ref="C1:E2"/>
    <mergeCell ref="F1:F2"/>
  </mergeCells>
  <pageMargins left="0.25" right="0.25" top="0.3" bottom="0.3" header="0.5" footer="0.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B1F4D"/>
    <pageSetUpPr fitToPage="1"/>
  </sheetPr>
  <dimension ref="A1:AP69"/>
  <sheetViews>
    <sheetView tabSelected="1"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I10" sqref="I10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254</v>
      </c>
      <c r="B1" s="108"/>
      <c r="C1" s="109"/>
      <c r="D1" s="105" t="s">
        <v>255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31'!A1","◀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295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306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$G$46</f>
        <v>0</v>
      </c>
    </row>
    <row r="63" spans="1:8" x14ac:dyDescent="0.25">
      <c r="A63" s="3" t="s">
        <v>308</v>
      </c>
      <c r="C63" s="26">
        <f>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27</v>
      </c>
    </row>
    <row r="69" spans="1:8" x14ac:dyDescent="0.25">
      <c r="A69" s="3" t="s">
        <v>312</v>
      </c>
      <c r="C69" s="99" t="str">
        <f>IF($C$64="","-",IF($C$62&gt;=$C$64*1/27,"● AHEAD",IF($C$62&gt;=0.9*$C$64*1/27,"●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372" priority="2">
      <formula>MOD(ROW()-8,2)=1</formula>
    </cfRule>
    <cfRule type="expression" dxfId="371" priority="3">
      <formula>$AG8="Pending"</formula>
    </cfRule>
    <cfRule type="expression" dxfId="370" priority="4">
      <formula>OR($AG8="Unwind",$AG8="Back Out")</formula>
    </cfRule>
  </conditionalFormatting>
  <conditionalFormatting sqref="C56">
    <cfRule type="expression" dxfId="369" priority="9">
      <formula>N($C$56)&gt;0</formula>
    </cfRule>
  </conditionalFormatting>
  <conditionalFormatting sqref="C58">
    <cfRule type="expression" dxfId="368" priority="8">
      <formula>N($C$58)&gt;0</formula>
    </cfRule>
  </conditionalFormatting>
  <conditionalFormatting sqref="C69">
    <cfRule type="expression" dxfId="367" priority="10">
      <formula>OR(LEFT($C$69,1)="✓",$C$69="● AHEAD")</formula>
    </cfRule>
    <cfRule type="expression" dxfId="366" priority="11">
      <formula>$C$69="● ON PACE"</formula>
    </cfRule>
    <cfRule type="expression" dxfId="365" priority="12">
      <formula>OR($C$69="● BEHIND",LEFT($C$69,7)="● SHORT")</formula>
    </cfRule>
  </conditionalFormatting>
  <conditionalFormatting sqref="N8:N42">
    <cfRule type="expression" dxfId="363" priority="5">
      <formula>AND($A8="New",N8="Y")</formula>
    </cfRule>
  </conditionalFormatting>
  <conditionalFormatting sqref="R1">
    <cfRule type="expression" dxfId="362" priority="1">
      <formula>$R$1&lt;&gt;""</formula>
    </cfRule>
  </conditionalFormatting>
  <conditionalFormatting sqref="Y8:Y42">
    <cfRule type="expression" dxfId="361" priority="6">
      <formula>AND(Y8&lt;&gt;"",LEN(Y8)&lt;17)</formula>
    </cfRule>
  </conditionalFormatting>
  <dataValidations count="16">
    <dataValidation type="list" allowBlank="1" showErrorMessage="1" sqref="A8:A42" xr:uid="{00000000-0002-0000-0900-000000000000}">
      <formula1>"New,Used"</formula1>
    </dataValidation>
    <dataValidation type="list" allowBlank="1" showErrorMessage="1" sqref="F8:G42" xr:uid="{00000000-0002-0000-0900-000001000000}">
      <formula1>SalespeopleList</formula1>
    </dataValidation>
    <dataValidation type="list" allowBlank="1" showErrorMessage="1" sqref="H8:H42" xr:uid="{00000000-0002-0000-0900-000003000000}">
      <formula1>SalesManagerList</formula1>
    </dataValidation>
    <dataValidation type="list" allowBlank="1" showErrorMessage="1" sqref="I8:I42" xr:uid="{00000000-0002-0000-0900-000004000000}">
      <formula1>FinanceManagerList</formula1>
    </dataValidation>
    <dataValidation type="list" allowBlank="1" showErrorMessage="1" sqref="J8:J42 U8:U42" xr:uid="{00000000-0002-0000-0900-000005000000}">
      <formula1>VehicleYearList</formula1>
    </dataValidation>
    <dataValidation type="list" allowBlank="1" showErrorMessage="1" sqref="K8:K42 V8:V42" xr:uid="{00000000-0002-0000-0900-000006000000}">
      <formula1>MakeList</formula1>
    </dataValidation>
    <dataValidation type="list" allowBlank="1" showErrorMessage="1" sqref="L8:L42 W8:W42" xr:uid="{00000000-0002-0000-0900-000007000000}">
      <formula1>INDIRECT(SUBSTITUTE(SUBSTITUTE(SUBSTITUTE(K8," ","_"),"-","_"),".","_"))</formula1>
    </dataValidation>
    <dataValidation type="list" allowBlank="1" showErrorMessage="1" sqref="N8:N42" xr:uid="{00000000-0002-0000-0900-000008000000}">
      <formula1>IF($A8="New",N_ONLY,YN_LIST)</formula1>
    </dataValidation>
    <dataValidation type="list" allowBlank="1" showErrorMessage="1" sqref="O8:O42 AH8:AH42 Z8:Z42" xr:uid="{00000000-0002-0000-0900-000009000000}">
      <formula1>"Y,N"</formula1>
    </dataValidation>
    <dataValidation type="list" allowBlank="1" showErrorMessage="1" sqref="P8:P42" xr:uid="{00000000-0002-0000-0900-00000A000000}">
      <formula1>LenderList</formula1>
    </dataValidation>
    <dataValidation type="list" allowBlank="1" showErrorMessage="1" sqref="AA8:AA42" xr:uid="{00000000-0002-0000-0900-00000F000000}">
      <formula1>"Retail,Wholesale,Auction,Buyback,TBD"</formula1>
    </dataValidation>
    <dataValidation type="list" allowBlank="1" showErrorMessage="1" sqref="AF8:AF42" xr:uid="{00000000-0002-0000-0900-000010000000}">
      <formula1>AdSourceList</formula1>
    </dataValidation>
    <dataValidation type="list" allowBlank="1" showErrorMessage="1" sqref="AG8:AG42" xr:uid="{00000000-0002-0000-0900-000011000000}">
      <formula1>"Delivered,Pending,Unwind,Back Out"</formula1>
    </dataValidation>
    <dataValidation type="list" allowBlank="1" showErrorMessage="1" sqref="AM8:AO42" xr:uid="{00000000-0002-0000-0900-000013000000}">
      <formula1>"Y"</formula1>
    </dataValidation>
    <dataValidation type="decimal" allowBlank="1" showErrorMessage="1" error="Enter a dollar amount (numbers only)." sqref="Q8:R42" xr:uid="{00000000-0002-0000-0900-000014000000}">
      <formula1>-250000</formula1>
      <formula2>250000</formula2>
    </dataValidation>
    <dataValidation type="decimal" allowBlank="1" showErrorMessage="1" error="Enter a dollar amount (numbers only)." sqref="AB8:AB42" xr:uid="{00000000-0002-0000-09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9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313</v>
      </c>
      <c r="B1" s="108"/>
      <c r="C1" s="109"/>
      <c r="D1" s="105" t="s">
        <v>314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3'!A1","Next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315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316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1'!$C$62+$G$46</f>
        <v>0</v>
      </c>
    </row>
    <row r="63" spans="1:8" x14ac:dyDescent="0.25">
      <c r="A63" s="3" t="s">
        <v>308</v>
      </c>
      <c r="C63" s="26">
        <f>'Jul 1'!$C$63+$G$49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26</v>
      </c>
    </row>
    <row r="69" spans="1:8" x14ac:dyDescent="0.25">
      <c r="A69" s="3" t="s">
        <v>312</v>
      </c>
      <c r="C69" s="99" t="str">
        <f>IF($C$64="","-",IF($C$62&gt;=$C$64*2/27,"● AHEAD",IF($C$62&gt;=0.9*$C$64*2/27,"●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360" priority="2">
      <formula>MOD(ROW()-8,2)=1</formula>
    </cfRule>
    <cfRule type="expression" dxfId="359" priority="3">
      <formula>$AG8="Pending"</formula>
    </cfRule>
    <cfRule type="expression" dxfId="358" priority="4">
      <formula>OR($AG8="Unwind",$AG8="Back Out")</formula>
    </cfRule>
  </conditionalFormatting>
  <conditionalFormatting sqref="C56">
    <cfRule type="expression" dxfId="357" priority="9">
      <formula>N($C$56)&gt;0</formula>
    </cfRule>
  </conditionalFormatting>
  <conditionalFormatting sqref="C58">
    <cfRule type="expression" dxfId="356" priority="8">
      <formula>N($C$58)&gt;0</formula>
    </cfRule>
  </conditionalFormatting>
  <conditionalFormatting sqref="C69">
    <cfRule type="expression" dxfId="355" priority="10">
      <formula>OR(LEFT($C$69,1)="✓",$C$69="● AHEAD")</formula>
    </cfRule>
    <cfRule type="expression" dxfId="354" priority="11">
      <formula>$C$69="● ON PACE"</formula>
    </cfRule>
    <cfRule type="expression" dxfId="353" priority="12">
      <formula>OR($C$69="● BEHIND",LEFT($C$69,7)="● SHORT")</formula>
    </cfRule>
  </conditionalFormatting>
  <conditionalFormatting sqref="N8:N42">
    <cfRule type="expression" dxfId="351" priority="5">
      <formula>AND($A8="New",N8="Y")</formula>
    </cfRule>
  </conditionalFormatting>
  <conditionalFormatting sqref="R1">
    <cfRule type="expression" dxfId="350" priority="1">
      <formula>$R$1&lt;&gt;""</formula>
    </cfRule>
  </conditionalFormatting>
  <conditionalFormatting sqref="Y8:Y42">
    <cfRule type="expression" dxfId="349" priority="6">
      <formula>AND(Y8&lt;&gt;"",LEN(Y8)&lt;17)</formula>
    </cfRule>
  </conditionalFormatting>
  <dataValidations count="16">
    <dataValidation type="list" allowBlank="1" showErrorMessage="1" sqref="A8:A42" xr:uid="{00000000-0002-0000-0A00-000000000000}">
      <formula1>"New,Used"</formula1>
    </dataValidation>
    <dataValidation type="list" allowBlank="1" showErrorMessage="1" sqref="F8:G42" xr:uid="{00000000-0002-0000-0A00-000001000000}">
      <formula1>SalespeopleList</formula1>
    </dataValidation>
    <dataValidation type="list" allowBlank="1" showErrorMessage="1" sqref="H8:H42" xr:uid="{00000000-0002-0000-0A00-000003000000}">
      <formula1>SalesManagerList</formula1>
    </dataValidation>
    <dataValidation type="list" allowBlank="1" showErrorMessage="1" sqref="I8:I42" xr:uid="{00000000-0002-0000-0A00-000004000000}">
      <formula1>FinanceManagerList</formula1>
    </dataValidation>
    <dataValidation type="list" allowBlank="1" showErrorMessage="1" sqref="J8:J42 U8:U42" xr:uid="{00000000-0002-0000-0A00-000005000000}">
      <formula1>VehicleYearList</formula1>
    </dataValidation>
    <dataValidation type="list" allowBlank="1" showErrorMessage="1" sqref="K8:K42 V8:V42" xr:uid="{00000000-0002-0000-0A00-000006000000}">
      <formula1>MakeList</formula1>
    </dataValidation>
    <dataValidation type="list" allowBlank="1" showErrorMessage="1" sqref="L8:L42 W8:W42" xr:uid="{00000000-0002-0000-0A00-000007000000}">
      <formula1>INDIRECT(SUBSTITUTE(SUBSTITUTE(SUBSTITUTE(K8," ","_"),"-","_"),".","_"))</formula1>
    </dataValidation>
    <dataValidation type="list" allowBlank="1" showErrorMessage="1" sqref="N8:N42" xr:uid="{00000000-0002-0000-0A00-000008000000}">
      <formula1>IF($A8="New",N_ONLY,YN_LIST)</formula1>
    </dataValidation>
    <dataValidation type="list" allowBlank="1" showErrorMessage="1" sqref="O8:O42 AH8:AH42 Z8:Z42" xr:uid="{00000000-0002-0000-0A00-000009000000}">
      <formula1>"Y,N"</formula1>
    </dataValidation>
    <dataValidation type="list" allowBlank="1" showErrorMessage="1" sqref="P8:P42" xr:uid="{00000000-0002-0000-0A00-00000A000000}">
      <formula1>LenderList</formula1>
    </dataValidation>
    <dataValidation type="list" allowBlank="1" showErrorMessage="1" sqref="AA8:AA42" xr:uid="{00000000-0002-0000-0A00-00000F000000}">
      <formula1>"Retail,Wholesale,Auction,Buyback,TBD"</formula1>
    </dataValidation>
    <dataValidation type="list" allowBlank="1" showErrorMessage="1" sqref="AF8:AF42" xr:uid="{00000000-0002-0000-0A00-000010000000}">
      <formula1>AdSourceList</formula1>
    </dataValidation>
    <dataValidation type="list" allowBlank="1" showErrorMessage="1" sqref="AG8:AG42" xr:uid="{00000000-0002-0000-0A00-000011000000}">
      <formula1>"Delivered,Pending,Unwind,Back Out"</formula1>
    </dataValidation>
    <dataValidation type="list" allowBlank="1" showErrorMessage="1" sqref="AM8:AO42" xr:uid="{00000000-0002-0000-0A00-000013000000}">
      <formula1>"Y"</formula1>
    </dataValidation>
    <dataValidation type="decimal" allowBlank="1" showErrorMessage="1" error="Enter a dollar amount (numbers only)." sqref="Q8:R42" xr:uid="{00000000-0002-0000-0A00-000014000000}">
      <formula1>-250000</formula1>
      <formula2>250000</formula2>
    </dataValidation>
    <dataValidation type="decimal" allowBlank="1" showErrorMessage="1" error="Enter a dollar amount (numbers only)." sqref="AB8:AB42" xr:uid="{00000000-0002-0000-0A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A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317</v>
      </c>
      <c r="B1" s="108"/>
      <c r="C1" s="109"/>
      <c r="D1" s="105" t="s">
        <v>318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IF(TODAY()=DATE(2026,7,3),"●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4'!A1","Next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319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320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2'!$C$62+$G$46</f>
        <v>0</v>
      </c>
    </row>
    <row r="63" spans="1:8" x14ac:dyDescent="0.25">
      <c r="A63" s="3" t="s">
        <v>308</v>
      </c>
      <c r="C63" s="26">
        <f>'Jul 2'!$C$63+$G$49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25</v>
      </c>
    </row>
    <row r="69" spans="1:8" x14ac:dyDescent="0.25">
      <c r="A69" s="3" t="s">
        <v>312</v>
      </c>
      <c r="C69" s="99" t="str">
        <f>IF($C$64="","-",IF($C$62&gt;=$C$64*3/27,"● AHEAD",IF($C$62&gt;=0.9*$C$64*3/27,"●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348" priority="2">
      <formula>MOD(ROW()-8,2)=1</formula>
    </cfRule>
    <cfRule type="expression" dxfId="347" priority="3">
      <formula>$AG8="Pending"</formula>
    </cfRule>
    <cfRule type="expression" dxfId="346" priority="4">
      <formula>OR($AG8="Unwind",$AG8="Back Out")</formula>
    </cfRule>
  </conditionalFormatting>
  <conditionalFormatting sqref="C56">
    <cfRule type="expression" dxfId="345" priority="9">
      <formula>N($C$56)&gt;0</formula>
    </cfRule>
  </conditionalFormatting>
  <conditionalFormatting sqref="C58">
    <cfRule type="expression" dxfId="344" priority="8">
      <formula>N($C$58)&gt;0</formula>
    </cfRule>
  </conditionalFormatting>
  <conditionalFormatting sqref="C69">
    <cfRule type="expression" dxfId="343" priority="10">
      <formula>OR(LEFT($C$69,1)="✓",$C$69="● AHEAD")</formula>
    </cfRule>
    <cfRule type="expression" dxfId="342" priority="11">
      <formula>$C$69="● ON PACE"</formula>
    </cfRule>
    <cfRule type="expression" dxfId="341" priority="12">
      <formula>OR($C$69="● BEHIND",LEFT($C$69,7)="● SHORT")</formula>
    </cfRule>
  </conditionalFormatting>
  <conditionalFormatting sqref="N8:N42">
    <cfRule type="expression" dxfId="339" priority="5">
      <formula>AND($A8="New",N8="Y")</formula>
    </cfRule>
  </conditionalFormatting>
  <conditionalFormatting sqref="R1">
    <cfRule type="expression" dxfId="338" priority="1">
      <formula>$R$1&lt;&gt;""</formula>
    </cfRule>
  </conditionalFormatting>
  <conditionalFormatting sqref="Y8:Y42">
    <cfRule type="expression" dxfId="337" priority="6">
      <formula>AND(Y8&lt;&gt;"",LEN(Y8)&lt;17)</formula>
    </cfRule>
  </conditionalFormatting>
  <dataValidations count="16">
    <dataValidation type="list" allowBlank="1" showErrorMessage="1" sqref="A8:A42" xr:uid="{00000000-0002-0000-0B00-000000000000}">
      <formula1>"New,Used"</formula1>
    </dataValidation>
    <dataValidation type="list" allowBlank="1" showErrorMessage="1" sqref="F8:G42" xr:uid="{00000000-0002-0000-0B00-000001000000}">
      <formula1>SalespeopleList</formula1>
    </dataValidation>
    <dataValidation type="list" allowBlank="1" showErrorMessage="1" sqref="H8:H42" xr:uid="{00000000-0002-0000-0B00-000003000000}">
      <formula1>SalesManagerList</formula1>
    </dataValidation>
    <dataValidation type="list" allowBlank="1" showErrorMessage="1" sqref="I8:I42" xr:uid="{00000000-0002-0000-0B00-000004000000}">
      <formula1>FinanceManagerList</formula1>
    </dataValidation>
    <dataValidation type="list" allowBlank="1" showErrorMessage="1" sqref="J8:J42 U8:U42" xr:uid="{00000000-0002-0000-0B00-000005000000}">
      <formula1>VehicleYearList</formula1>
    </dataValidation>
    <dataValidation type="list" allowBlank="1" showErrorMessage="1" sqref="K8:K42 V8:V42" xr:uid="{00000000-0002-0000-0B00-000006000000}">
      <formula1>MakeList</formula1>
    </dataValidation>
    <dataValidation type="list" allowBlank="1" showErrorMessage="1" sqref="L8:L42 W8:W42" xr:uid="{00000000-0002-0000-0B00-000007000000}">
      <formula1>INDIRECT(SUBSTITUTE(SUBSTITUTE(SUBSTITUTE(K8," ","_"),"-","_"),".","_"))</formula1>
    </dataValidation>
    <dataValidation type="list" allowBlank="1" showErrorMessage="1" sqref="N8:N42" xr:uid="{00000000-0002-0000-0B00-000008000000}">
      <formula1>IF($A8="New",N_ONLY,YN_LIST)</formula1>
    </dataValidation>
    <dataValidation type="list" allowBlank="1" showErrorMessage="1" sqref="O8:O42 AH8:AH42 Z8:Z42" xr:uid="{00000000-0002-0000-0B00-000009000000}">
      <formula1>"Y,N"</formula1>
    </dataValidation>
    <dataValidation type="list" allowBlank="1" showErrorMessage="1" sqref="P8:P42" xr:uid="{00000000-0002-0000-0B00-00000A000000}">
      <formula1>LenderList</formula1>
    </dataValidation>
    <dataValidation type="list" allowBlank="1" showErrorMessage="1" sqref="AA8:AA42" xr:uid="{00000000-0002-0000-0B00-00000F000000}">
      <formula1>"Retail,Wholesale,Auction,Buyback,TBD"</formula1>
    </dataValidation>
    <dataValidation type="list" allowBlank="1" showErrorMessage="1" sqref="AF8:AF42" xr:uid="{00000000-0002-0000-0B00-000010000000}">
      <formula1>AdSourceList</formula1>
    </dataValidation>
    <dataValidation type="list" allowBlank="1" showErrorMessage="1" sqref="AG8:AG42" xr:uid="{00000000-0002-0000-0B00-000011000000}">
      <formula1>"Delivered,Pending,Unwind,Back Out"</formula1>
    </dataValidation>
    <dataValidation type="list" allowBlank="1" showErrorMessage="1" sqref="AM8:AO42" xr:uid="{00000000-0002-0000-0B00-000013000000}">
      <formula1>"Y"</formula1>
    </dataValidation>
    <dataValidation type="decimal" allowBlank="1" showErrorMessage="1" error="Enter a dollar amount (numbers only)." sqref="Q8:R42" xr:uid="{00000000-0002-0000-0B00-000014000000}">
      <formula1>-250000</formula1>
      <formula2>250000</formula2>
    </dataValidation>
    <dataValidation type="decimal" allowBlank="1" showErrorMessage="1" error="Enter a dollar amount (numbers only)." sqref="AB8:AB42" xr:uid="{00000000-0002-0000-0B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B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321</v>
      </c>
      <c r="B1" s="108"/>
      <c r="C1" s="109"/>
      <c r="D1" s="105" t="s">
        <v>322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IF(TODAY()=DATE(2026,7,4),"●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3'!A1","◀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5'!A1","Next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323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324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3'!$C$62+$G$46</f>
        <v>0</v>
      </c>
    </row>
    <row r="63" spans="1:8" x14ac:dyDescent="0.25">
      <c r="A63" s="3" t="s">
        <v>308</v>
      </c>
      <c r="C63" s="26">
        <f>'Jul 3'!$C$63+$G$49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24</v>
      </c>
    </row>
    <row r="69" spans="1:8" x14ac:dyDescent="0.25">
      <c r="A69" s="3" t="s">
        <v>312</v>
      </c>
      <c r="C69" s="99" t="str">
        <f>IF($C$64="","-",IF($C$62&gt;=$C$64*4/27,"● AHEAD",IF($C$62&gt;=0.9*$C$64*4/27,"●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336" priority="2">
      <formula>MOD(ROW()-8,2)=1</formula>
    </cfRule>
    <cfRule type="expression" dxfId="335" priority="3">
      <formula>$AG8="Pending"</formula>
    </cfRule>
    <cfRule type="expression" dxfId="334" priority="4">
      <formula>OR($AG8="Unwind",$AG8="Back Out")</formula>
    </cfRule>
  </conditionalFormatting>
  <conditionalFormatting sqref="C56">
    <cfRule type="expression" dxfId="333" priority="9">
      <formula>N($C$56)&gt;0</formula>
    </cfRule>
  </conditionalFormatting>
  <conditionalFormatting sqref="C58">
    <cfRule type="expression" dxfId="332" priority="8">
      <formula>N($C$58)&gt;0</formula>
    </cfRule>
  </conditionalFormatting>
  <conditionalFormatting sqref="C69">
    <cfRule type="expression" dxfId="331" priority="10">
      <formula>OR(LEFT($C$69,1)="✓",$C$69="● AHEAD")</formula>
    </cfRule>
    <cfRule type="expression" dxfId="330" priority="11">
      <formula>$C$69="● ON PACE"</formula>
    </cfRule>
    <cfRule type="expression" dxfId="329" priority="12">
      <formula>OR($C$69="● BEHIND",LEFT($C$69,7)="● SHORT")</formula>
    </cfRule>
  </conditionalFormatting>
  <conditionalFormatting sqref="N8:N42">
    <cfRule type="expression" dxfId="327" priority="5">
      <formula>AND($A8="New",N8="Y")</formula>
    </cfRule>
  </conditionalFormatting>
  <conditionalFormatting sqref="R1">
    <cfRule type="expression" dxfId="326" priority="1">
      <formula>$R$1&lt;&gt;""</formula>
    </cfRule>
  </conditionalFormatting>
  <conditionalFormatting sqref="Y8:Y42">
    <cfRule type="expression" dxfId="325" priority="6">
      <formula>AND(Y8&lt;&gt;"",LEN(Y8)&lt;17)</formula>
    </cfRule>
  </conditionalFormatting>
  <dataValidations count="16">
    <dataValidation type="list" allowBlank="1" showErrorMessage="1" sqref="A8:A42" xr:uid="{00000000-0002-0000-0C00-000000000000}">
      <formula1>"New,Used"</formula1>
    </dataValidation>
    <dataValidation type="list" allowBlank="1" showErrorMessage="1" sqref="F8:G42" xr:uid="{00000000-0002-0000-0C00-000001000000}">
      <formula1>SalespeopleList</formula1>
    </dataValidation>
    <dataValidation type="list" allowBlank="1" showErrorMessage="1" sqref="H8:H42" xr:uid="{00000000-0002-0000-0C00-000003000000}">
      <formula1>SalesManagerList</formula1>
    </dataValidation>
    <dataValidation type="list" allowBlank="1" showErrorMessage="1" sqref="I8:I42" xr:uid="{00000000-0002-0000-0C00-000004000000}">
      <formula1>FinanceManagerList</formula1>
    </dataValidation>
    <dataValidation type="list" allowBlank="1" showErrorMessage="1" sqref="J8:J42 U8:U42" xr:uid="{00000000-0002-0000-0C00-000005000000}">
      <formula1>VehicleYearList</formula1>
    </dataValidation>
    <dataValidation type="list" allowBlank="1" showErrorMessage="1" sqref="K8:K42 V8:V42" xr:uid="{00000000-0002-0000-0C00-000006000000}">
      <formula1>MakeList</formula1>
    </dataValidation>
    <dataValidation type="list" allowBlank="1" showErrorMessage="1" sqref="L8:L42 W8:W42" xr:uid="{00000000-0002-0000-0C00-000007000000}">
      <formula1>INDIRECT(SUBSTITUTE(SUBSTITUTE(SUBSTITUTE(K8," ","_"),"-","_"),".","_"))</formula1>
    </dataValidation>
    <dataValidation type="list" allowBlank="1" showErrorMessage="1" sqref="N8:N42" xr:uid="{00000000-0002-0000-0C00-000008000000}">
      <formula1>IF($A8="New",N_ONLY,YN_LIST)</formula1>
    </dataValidation>
    <dataValidation type="list" allowBlank="1" showErrorMessage="1" sqref="O8:O42 AH8:AH42 Z8:Z42" xr:uid="{00000000-0002-0000-0C00-000009000000}">
      <formula1>"Y,N"</formula1>
    </dataValidation>
    <dataValidation type="list" allowBlank="1" showErrorMessage="1" sqref="P8:P42" xr:uid="{00000000-0002-0000-0C00-00000A000000}">
      <formula1>LenderList</formula1>
    </dataValidation>
    <dataValidation type="list" allowBlank="1" showErrorMessage="1" sqref="AA8:AA42" xr:uid="{00000000-0002-0000-0C00-00000F000000}">
      <formula1>"Retail,Wholesale,Auction,Buyback,TBD"</formula1>
    </dataValidation>
    <dataValidation type="list" allowBlank="1" showErrorMessage="1" sqref="AF8:AF42" xr:uid="{00000000-0002-0000-0C00-000010000000}">
      <formula1>AdSourceList</formula1>
    </dataValidation>
    <dataValidation type="list" allowBlank="1" showErrorMessage="1" sqref="AG8:AG42" xr:uid="{00000000-0002-0000-0C00-000011000000}">
      <formula1>"Delivered,Pending,Unwind,Back Out"</formula1>
    </dataValidation>
    <dataValidation type="list" allowBlank="1" showErrorMessage="1" sqref="AM8:AO42" xr:uid="{00000000-0002-0000-0C00-000013000000}">
      <formula1>"Y"</formula1>
    </dataValidation>
    <dataValidation type="decimal" allowBlank="1" showErrorMessage="1" error="Enter a dollar amount (numbers only)." sqref="Q8:R42" xr:uid="{00000000-0002-0000-0C00-000014000000}">
      <formula1>-250000</formula1>
      <formula2>250000</formula2>
    </dataValidation>
    <dataValidation type="decimal" allowBlank="1" showErrorMessage="1" error="Enter a dollar amount (numbers only)." sqref="AB8:AB42" xr:uid="{00000000-0002-0000-0C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C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8C4DC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325</v>
      </c>
      <c r="B1" s="108"/>
      <c r="C1" s="109"/>
      <c r="D1" s="105" t="s">
        <v>326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IF(TODAY()=DATE(2026,7,5),"●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327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4'!A1","◀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6'!A1","Next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328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329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4'!$C$62+$G$46</f>
        <v>0</v>
      </c>
    </row>
    <row r="63" spans="1:8" x14ac:dyDescent="0.25">
      <c r="A63" s="3" t="s">
        <v>308</v>
      </c>
      <c r="C63" s="26">
        <f>'Jul 4'!$C$63+$G$49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23</v>
      </c>
    </row>
    <row r="69" spans="1:8" x14ac:dyDescent="0.25">
      <c r="A69" s="3" t="s">
        <v>312</v>
      </c>
      <c r="C69" s="99" t="str">
        <f>IF($C$64="","-",IF($C$62&gt;=$C$64*4/27,"● AHEAD",IF($C$62&gt;=0.9*$C$64*4/27,"●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324" priority="2">
      <formula>MOD(ROW()-8,2)=1</formula>
    </cfRule>
    <cfRule type="expression" dxfId="323" priority="3">
      <formula>$AG8="Pending"</formula>
    </cfRule>
    <cfRule type="expression" dxfId="322" priority="4">
      <formula>OR($AG8="Unwind",$AG8="Back Out")</formula>
    </cfRule>
  </conditionalFormatting>
  <conditionalFormatting sqref="C56">
    <cfRule type="expression" dxfId="321" priority="9">
      <formula>N($C$56)&gt;0</formula>
    </cfRule>
  </conditionalFormatting>
  <conditionalFormatting sqref="C58">
    <cfRule type="expression" dxfId="320" priority="8">
      <formula>N($C$58)&gt;0</formula>
    </cfRule>
  </conditionalFormatting>
  <conditionalFormatting sqref="C69">
    <cfRule type="expression" dxfId="319" priority="10">
      <formula>OR(LEFT($C$69,1)="✓",$C$69="● AHEAD")</formula>
    </cfRule>
    <cfRule type="expression" dxfId="318" priority="11">
      <formula>$C$69="● ON PACE"</formula>
    </cfRule>
    <cfRule type="expression" dxfId="317" priority="12">
      <formula>OR($C$69="● BEHIND",LEFT($C$69,7)="● SHORT")</formula>
    </cfRule>
  </conditionalFormatting>
  <conditionalFormatting sqref="N8:N42">
    <cfRule type="expression" dxfId="315" priority="5">
      <formula>AND($A8="New",N8="Y")</formula>
    </cfRule>
  </conditionalFormatting>
  <conditionalFormatting sqref="R1">
    <cfRule type="expression" dxfId="314" priority="1">
      <formula>$R$1&lt;&gt;""</formula>
    </cfRule>
  </conditionalFormatting>
  <conditionalFormatting sqref="Y8:Y42">
    <cfRule type="expression" dxfId="313" priority="6">
      <formula>AND(Y8&lt;&gt;"",LEN(Y8)&lt;17)</formula>
    </cfRule>
  </conditionalFormatting>
  <dataValidations count="16">
    <dataValidation type="list" allowBlank="1" showErrorMessage="1" sqref="A8:A42" xr:uid="{00000000-0002-0000-0D00-000000000000}">
      <formula1>"New,Used"</formula1>
    </dataValidation>
    <dataValidation type="list" allowBlank="1" showErrorMessage="1" sqref="F8:G42" xr:uid="{00000000-0002-0000-0D00-000001000000}">
      <formula1>SalespeopleList</formula1>
    </dataValidation>
    <dataValidation type="list" allowBlank="1" showErrorMessage="1" sqref="H8:H42" xr:uid="{00000000-0002-0000-0D00-000003000000}">
      <formula1>SalesManagerList</formula1>
    </dataValidation>
    <dataValidation type="list" allowBlank="1" showErrorMessage="1" sqref="I8:I42" xr:uid="{00000000-0002-0000-0D00-000004000000}">
      <formula1>FinanceManagerList</formula1>
    </dataValidation>
    <dataValidation type="list" allowBlank="1" showErrorMessage="1" sqref="J8:J42 U8:U42" xr:uid="{00000000-0002-0000-0D00-000005000000}">
      <formula1>VehicleYearList</formula1>
    </dataValidation>
    <dataValidation type="list" allowBlank="1" showErrorMessage="1" sqref="K8:K42 V8:V42" xr:uid="{00000000-0002-0000-0D00-000006000000}">
      <formula1>MakeList</formula1>
    </dataValidation>
    <dataValidation type="list" allowBlank="1" showErrorMessage="1" sqref="L8:L42 W8:W42" xr:uid="{00000000-0002-0000-0D00-000007000000}">
      <formula1>INDIRECT(SUBSTITUTE(SUBSTITUTE(SUBSTITUTE(K8," ","_"),"-","_"),".","_"))</formula1>
    </dataValidation>
    <dataValidation type="list" allowBlank="1" showErrorMessage="1" sqref="N8:N42" xr:uid="{00000000-0002-0000-0D00-000008000000}">
      <formula1>IF($A8="New",N_ONLY,YN_LIST)</formula1>
    </dataValidation>
    <dataValidation type="list" allowBlank="1" showErrorMessage="1" sqref="O8:O42 AH8:AH42 Z8:Z42" xr:uid="{00000000-0002-0000-0D00-000009000000}">
      <formula1>"Y,N"</formula1>
    </dataValidation>
    <dataValidation type="list" allowBlank="1" showErrorMessage="1" sqref="P8:P42" xr:uid="{00000000-0002-0000-0D00-00000A000000}">
      <formula1>LenderList</formula1>
    </dataValidation>
    <dataValidation type="list" allowBlank="1" showErrorMessage="1" sqref="AA8:AA42" xr:uid="{00000000-0002-0000-0D00-00000F000000}">
      <formula1>"Retail,Wholesale,Auction,Buyback,TBD"</formula1>
    </dataValidation>
    <dataValidation type="list" allowBlank="1" showErrorMessage="1" sqref="AF8:AF42" xr:uid="{00000000-0002-0000-0D00-000010000000}">
      <formula1>AdSourceList</formula1>
    </dataValidation>
    <dataValidation type="list" allowBlank="1" showErrorMessage="1" sqref="AG8:AG42" xr:uid="{00000000-0002-0000-0D00-000011000000}">
      <formula1>"Delivered,Pending,Unwind,Back Out"</formula1>
    </dataValidation>
    <dataValidation type="list" allowBlank="1" showErrorMessage="1" sqref="AM8:AO42" xr:uid="{00000000-0002-0000-0D00-000013000000}">
      <formula1>"Y"</formula1>
    </dataValidation>
    <dataValidation type="decimal" allowBlank="1" showErrorMessage="1" error="Enter a dollar amount (numbers only)." sqref="Q8:R42" xr:uid="{00000000-0002-0000-0D00-000014000000}">
      <formula1>-250000</formula1>
      <formula2>250000</formula2>
    </dataValidation>
    <dataValidation type="decimal" allowBlank="1" showErrorMessage="1" error="Enter a dollar amount (numbers only)." sqref="AB8:AB42" xr:uid="{00000000-0002-0000-0D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D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330</v>
      </c>
      <c r="B1" s="108"/>
      <c r="C1" s="109"/>
      <c r="D1" s="105" t="s">
        <v>331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IF(TODAY()=DATE(2026,7,6),"●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5'!A1","◀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7'!A1","Next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332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333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5'!$C$62+$G$46</f>
        <v>0</v>
      </c>
    </row>
    <row r="63" spans="1:8" x14ac:dyDescent="0.25">
      <c r="A63" s="3" t="s">
        <v>308</v>
      </c>
      <c r="C63" s="26">
        <f>'Jul 5'!$C$63+$G$49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23</v>
      </c>
    </row>
    <row r="69" spans="1:8" x14ac:dyDescent="0.25">
      <c r="A69" s="3" t="s">
        <v>312</v>
      </c>
      <c r="C69" s="99" t="str">
        <f>IF($C$64="","-",IF($C$62&gt;=$C$64*5/27,"● AHEAD",IF($C$62&gt;=0.9*$C$64*5/27,"●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312" priority="2">
      <formula>MOD(ROW()-8,2)=1</formula>
    </cfRule>
    <cfRule type="expression" dxfId="311" priority="3">
      <formula>$AG8="Pending"</formula>
    </cfRule>
    <cfRule type="expression" dxfId="310" priority="4">
      <formula>OR($AG8="Unwind",$AG8="Back Out")</formula>
    </cfRule>
  </conditionalFormatting>
  <conditionalFormatting sqref="C56">
    <cfRule type="expression" dxfId="309" priority="9">
      <formula>N($C$56)&gt;0</formula>
    </cfRule>
  </conditionalFormatting>
  <conditionalFormatting sqref="C58">
    <cfRule type="expression" dxfId="308" priority="8">
      <formula>N($C$58)&gt;0</formula>
    </cfRule>
  </conditionalFormatting>
  <conditionalFormatting sqref="C69">
    <cfRule type="expression" dxfId="307" priority="10">
      <formula>OR(LEFT($C$69,1)="✓",$C$69="● AHEAD")</formula>
    </cfRule>
    <cfRule type="expression" dxfId="306" priority="11">
      <formula>$C$69="● ON PACE"</formula>
    </cfRule>
    <cfRule type="expression" dxfId="305" priority="12">
      <formula>OR($C$69="● BEHIND",LEFT($C$69,7)="● SHORT")</formula>
    </cfRule>
  </conditionalFormatting>
  <conditionalFormatting sqref="N8:N42">
    <cfRule type="expression" dxfId="303" priority="5">
      <formula>AND($A8="New",N8="Y")</formula>
    </cfRule>
  </conditionalFormatting>
  <conditionalFormatting sqref="R1">
    <cfRule type="expression" dxfId="302" priority="1">
      <formula>$R$1&lt;&gt;""</formula>
    </cfRule>
  </conditionalFormatting>
  <conditionalFormatting sqref="Y8:Y42">
    <cfRule type="expression" dxfId="301" priority="6">
      <formula>AND(Y8&lt;&gt;"",LEN(Y8)&lt;17)</formula>
    </cfRule>
  </conditionalFormatting>
  <dataValidations count="16">
    <dataValidation type="list" allowBlank="1" showErrorMessage="1" sqref="A8:A42" xr:uid="{00000000-0002-0000-0E00-000000000000}">
      <formula1>"New,Used"</formula1>
    </dataValidation>
    <dataValidation type="list" allowBlank="1" showErrorMessage="1" sqref="F8:G42" xr:uid="{00000000-0002-0000-0E00-000001000000}">
      <formula1>SalespeopleList</formula1>
    </dataValidation>
    <dataValidation type="list" allowBlank="1" showErrorMessage="1" sqref="H8:H42" xr:uid="{00000000-0002-0000-0E00-000003000000}">
      <formula1>SalesManagerList</formula1>
    </dataValidation>
    <dataValidation type="list" allowBlank="1" showErrorMessage="1" sqref="I8:I42" xr:uid="{00000000-0002-0000-0E00-000004000000}">
      <formula1>FinanceManagerList</formula1>
    </dataValidation>
    <dataValidation type="list" allowBlank="1" showErrorMessage="1" sqref="J8:J42 U8:U42" xr:uid="{00000000-0002-0000-0E00-000005000000}">
      <formula1>VehicleYearList</formula1>
    </dataValidation>
    <dataValidation type="list" allowBlank="1" showErrorMessage="1" sqref="K8:K42 V8:V42" xr:uid="{00000000-0002-0000-0E00-000006000000}">
      <formula1>MakeList</formula1>
    </dataValidation>
    <dataValidation type="list" allowBlank="1" showErrorMessage="1" sqref="L8:L42 W8:W42" xr:uid="{00000000-0002-0000-0E00-000007000000}">
      <formula1>INDIRECT(SUBSTITUTE(SUBSTITUTE(SUBSTITUTE(K8," ","_"),"-","_"),".","_"))</formula1>
    </dataValidation>
    <dataValidation type="list" allowBlank="1" showErrorMessage="1" sqref="N8:N42" xr:uid="{00000000-0002-0000-0E00-000008000000}">
      <formula1>IF($A8="New",N_ONLY,YN_LIST)</formula1>
    </dataValidation>
    <dataValidation type="list" allowBlank="1" showErrorMessage="1" sqref="O8:O42 AH8:AH42 Z8:Z42" xr:uid="{00000000-0002-0000-0E00-000009000000}">
      <formula1>"Y,N"</formula1>
    </dataValidation>
    <dataValidation type="list" allowBlank="1" showErrorMessage="1" sqref="P8:P42" xr:uid="{00000000-0002-0000-0E00-00000A000000}">
      <formula1>LenderList</formula1>
    </dataValidation>
    <dataValidation type="list" allowBlank="1" showErrorMessage="1" sqref="AA8:AA42" xr:uid="{00000000-0002-0000-0E00-00000F000000}">
      <formula1>"Retail,Wholesale,Auction,Buyback,TBD"</formula1>
    </dataValidation>
    <dataValidation type="list" allowBlank="1" showErrorMessage="1" sqref="AF8:AF42" xr:uid="{00000000-0002-0000-0E00-000010000000}">
      <formula1>AdSourceList</formula1>
    </dataValidation>
    <dataValidation type="list" allowBlank="1" showErrorMessage="1" sqref="AG8:AG42" xr:uid="{00000000-0002-0000-0E00-000011000000}">
      <formula1>"Delivered,Pending,Unwind,Back Out"</formula1>
    </dataValidation>
    <dataValidation type="list" allowBlank="1" showErrorMessage="1" sqref="AM8:AO42" xr:uid="{00000000-0002-0000-0E00-000013000000}">
      <formula1>"Y"</formula1>
    </dataValidation>
    <dataValidation type="decimal" allowBlank="1" showErrorMessage="1" error="Enter a dollar amount (numbers only)." sqref="Q8:R42" xr:uid="{00000000-0002-0000-0E00-000014000000}">
      <formula1>-250000</formula1>
      <formula2>250000</formula2>
    </dataValidation>
    <dataValidation type="decimal" allowBlank="1" showErrorMessage="1" error="Enter a dollar amount (numbers only)." sqref="AB8:AB42" xr:uid="{00000000-0002-0000-0E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E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334</v>
      </c>
      <c r="B1" s="108"/>
      <c r="C1" s="109"/>
      <c r="D1" s="105" t="s">
        <v>335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IF(TODAY()=DATE(2026,7,7),"●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6'!A1","◀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8'!A1","Next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336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337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6'!$C$62+$G$46</f>
        <v>0</v>
      </c>
    </row>
    <row r="63" spans="1:8" x14ac:dyDescent="0.25">
      <c r="A63" s="3" t="s">
        <v>308</v>
      </c>
      <c r="C63" s="26">
        <f>'Jul 6'!$C$63+$G$49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22</v>
      </c>
    </row>
    <row r="69" spans="1:8" x14ac:dyDescent="0.25">
      <c r="A69" s="3" t="s">
        <v>312</v>
      </c>
      <c r="C69" s="99" t="str">
        <f>IF($C$64="","-",IF($C$62&gt;=$C$64*6/27,"● AHEAD",IF($C$62&gt;=0.9*$C$64*6/27,"●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300" priority="2">
      <formula>MOD(ROW()-8,2)=1</formula>
    </cfRule>
    <cfRule type="expression" dxfId="299" priority="3">
      <formula>$AG8="Pending"</formula>
    </cfRule>
    <cfRule type="expression" dxfId="298" priority="4">
      <formula>OR($AG8="Unwind",$AG8="Back Out")</formula>
    </cfRule>
  </conditionalFormatting>
  <conditionalFormatting sqref="C56">
    <cfRule type="expression" dxfId="297" priority="9">
      <formula>N($C$56)&gt;0</formula>
    </cfRule>
  </conditionalFormatting>
  <conditionalFormatting sqref="C58">
    <cfRule type="expression" dxfId="296" priority="8">
      <formula>N($C$58)&gt;0</formula>
    </cfRule>
  </conditionalFormatting>
  <conditionalFormatting sqref="C69">
    <cfRule type="expression" dxfId="295" priority="10">
      <formula>OR(LEFT($C$69,1)="✓",$C$69="● AHEAD")</formula>
    </cfRule>
    <cfRule type="expression" dxfId="294" priority="11">
      <formula>$C$69="● ON PACE"</formula>
    </cfRule>
    <cfRule type="expression" dxfId="293" priority="12">
      <formula>OR($C$69="● BEHIND",LEFT($C$69,7)="● SHORT")</formula>
    </cfRule>
  </conditionalFormatting>
  <conditionalFormatting sqref="N8:N42">
    <cfRule type="expression" dxfId="291" priority="5">
      <formula>AND($A8="New",N8="Y")</formula>
    </cfRule>
  </conditionalFormatting>
  <conditionalFormatting sqref="R1">
    <cfRule type="expression" dxfId="290" priority="1">
      <formula>$R$1&lt;&gt;""</formula>
    </cfRule>
  </conditionalFormatting>
  <conditionalFormatting sqref="Y8:Y42">
    <cfRule type="expression" dxfId="289" priority="6">
      <formula>AND(Y8&lt;&gt;"",LEN(Y8)&lt;17)</formula>
    </cfRule>
  </conditionalFormatting>
  <dataValidations count="16">
    <dataValidation type="list" allowBlank="1" showErrorMessage="1" sqref="A8:A42" xr:uid="{00000000-0002-0000-0F00-000000000000}">
      <formula1>"New,Used"</formula1>
    </dataValidation>
    <dataValidation type="list" allowBlank="1" showErrorMessage="1" sqref="F8:G42" xr:uid="{00000000-0002-0000-0F00-000001000000}">
      <formula1>SalespeopleList</formula1>
    </dataValidation>
    <dataValidation type="list" allowBlank="1" showErrorMessage="1" sqref="H8:H42" xr:uid="{00000000-0002-0000-0F00-000003000000}">
      <formula1>SalesManagerList</formula1>
    </dataValidation>
    <dataValidation type="list" allowBlank="1" showErrorMessage="1" sqref="I8:I42" xr:uid="{00000000-0002-0000-0F00-000004000000}">
      <formula1>FinanceManagerList</formula1>
    </dataValidation>
    <dataValidation type="list" allowBlank="1" showErrorMessage="1" sqref="J8:J42 U8:U42" xr:uid="{00000000-0002-0000-0F00-000005000000}">
      <formula1>VehicleYearList</formula1>
    </dataValidation>
    <dataValidation type="list" allowBlank="1" showErrorMessage="1" sqref="K8:K42 V8:V42" xr:uid="{00000000-0002-0000-0F00-000006000000}">
      <formula1>MakeList</formula1>
    </dataValidation>
    <dataValidation type="list" allowBlank="1" showErrorMessage="1" sqref="L8:L42 W8:W42" xr:uid="{00000000-0002-0000-0F00-000007000000}">
      <formula1>INDIRECT(SUBSTITUTE(SUBSTITUTE(SUBSTITUTE(K8," ","_"),"-","_"),".","_"))</formula1>
    </dataValidation>
    <dataValidation type="list" allowBlank="1" showErrorMessage="1" sqref="N8:N42" xr:uid="{00000000-0002-0000-0F00-000008000000}">
      <formula1>IF($A8="New",N_ONLY,YN_LIST)</formula1>
    </dataValidation>
    <dataValidation type="list" allowBlank="1" showErrorMessage="1" sqref="O8:O42 AH8:AH42 Z8:Z42" xr:uid="{00000000-0002-0000-0F00-000009000000}">
      <formula1>"Y,N"</formula1>
    </dataValidation>
    <dataValidation type="list" allowBlank="1" showErrorMessage="1" sqref="P8:P42" xr:uid="{00000000-0002-0000-0F00-00000A000000}">
      <formula1>LenderList</formula1>
    </dataValidation>
    <dataValidation type="list" allowBlank="1" showErrorMessage="1" sqref="AA8:AA42" xr:uid="{00000000-0002-0000-0F00-00000F000000}">
      <formula1>"Retail,Wholesale,Auction,Buyback,TBD"</formula1>
    </dataValidation>
    <dataValidation type="list" allowBlank="1" showErrorMessage="1" sqref="AF8:AF42" xr:uid="{00000000-0002-0000-0F00-000010000000}">
      <formula1>AdSourceList</formula1>
    </dataValidation>
    <dataValidation type="list" allowBlank="1" showErrorMessage="1" sqref="AG8:AG42" xr:uid="{00000000-0002-0000-0F00-000011000000}">
      <formula1>"Delivered,Pending,Unwind,Back Out"</formula1>
    </dataValidation>
    <dataValidation type="list" allowBlank="1" showErrorMessage="1" sqref="AM8:AO42" xr:uid="{00000000-0002-0000-0F00-000013000000}">
      <formula1>"Y"</formula1>
    </dataValidation>
    <dataValidation type="decimal" allowBlank="1" showErrorMessage="1" error="Enter a dollar amount (numbers only)." sqref="Q8:R42" xr:uid="{00000000-0002-0000-0F00-000014000000}">
      <formula1>-250000</formula1>
      <formula2>250000</formula2>
    </dataValidation>
    <dataValidation type="decimal" allowBlank="1" showErrorMessage="1" error="Enter a dollar amount (numbers only)." sqref="AB8:AB42" xr:uid="{00000000-0002-0000-0F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0F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338</v>
      </c>
      <c r="B1" s="108"/>
      <c r="C1" s="109"/>
      <c r="D1" s="105" t="s">
        <v>339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IF(TODAY()=DATE(2026,7,8),"●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7'!A1","◀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9'!A1","Next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340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341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7'!$C$62+$G$46</f>
        <v>0</v>
      </c>
    </row>
    <row r="63" spans="1:8" x14ac:dyDescent="0.25">
      <c r="A63" s="3" t="s">
        <v>308</v>
      </c>
      <c r="C63" s="26">
        <f>'Jul 7'!$C$63+$G$49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21</v>
      </c>
    </row>
    <row r="69" spans="1:8" x14ac:dyDescent="0.25">
      <c r="A69" s="3" t="s">
        <v>312</v>
      </c>
      <c r="C69" s="99" t="str">
        <f>IF($C$64="","-",IF($C$62&gt;=$C$64*7/27,"● AHEAD",IF($C$62&gt;=0.9*$C$64*7/27,"●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288" priority="2">
      <formula>MOD(ROW()-8,2)=1</formula>
    </cfRule>
    <cfRule type="expression" dxfId="287" priority="3">
      <formula>$AG8="Pending"</formula>
    </cfRule>
    <cfRule type="expression" dxfId="286" priority="4">
      <formula>OR($AG8="Unwind",$AG8="Back Out")</formula>
    </cfRule>
  </conditionalFormatting>
  <conditionalFormatting sqref="C56">
    <cfRule type="expression" dxfId="285" priority="9">
      <formula>N($C$56)&gt;0</formula>
    </cfRule>
  </conditionalFormatting>
  <conditionalFormatting sqref="C58">
    <cfRule type="expression" dxfId="284" priority="8">
      <formula>N($C$58)&gt;0</formula>
    </cfRule>
  </conditionalFormatting>
  <conditionalFormatting sqref="C69">
    <cfRule type="expression" dxfId="283" priority="10">
      <formula>OR(LEFT($C$69,1)="✓",$C$69="● AHEAD")</formula>
    </cfRule>
    <cfRule type="expression" dxfId="282" priority="11">
      <formula>$C$69="● ON PACE"</formula>
    </cfRule>
    <cfRule type="expression" dxfId="281" priority="12">
      <formula>OR($C$69="● BEHIND",LEFT($C$69,7)="● SHORT")</formula>
    </cfRule>
  </conditionalFormatting>
  <conditionalFormatting sqref="N8:N42">
    <cfRule type="expression" dxfId="279" priority="5">
      <formula>AND($A8="New",N8="Y")</formula>
    </cfRule>
  </conditionalFormatting>
  <conditionalFormatting sqref="R1">
    <cfRule type="expression" dxfId="278" priority="1">
      <formula>$R$1&lt;&gt;""</formula>
    </cfRule>
  </conditionalFormatting>
  <conditionalFormatting sqref="Y8:Y42">
    <cfRule type="expression" dxfId="277" priority="6">
      <formula>AND(Y8&lt;&gt;"",LEN(Y8)&lt;17)</formula>
    </cfRule>
  </conditionalFormatting>
  <dataValidations count="16">
    <dataValidation type="list" allowBlank="1" showErrorMessage="1" sqref="A8:A42" xr:uid="{00000000-0002-0000-1000-000000000000}">
      <formula1>"New,Used"</formula1>
    </dataValidation>
    <dataValidation type="list" allowBlank="1" showErrorMessage="1" sqref="F8:G42" xr:uid="{00000000-0002-0000-1000-000001000000}">
      <formula1>SalespeopleList</formula1>
    </dataValidation>
    <dataValidation type="list" allowBlank="1" showErrorMessage="1" sqref="H8:H42" xr:uid="{00000000-0002-0000-1000-000003000000}">
      <formula1>SalesManagerList</formula1>
    </dataValidation>
    <dataValidation type="list" allowBlank="1" showErrorMessage="1" sqref="I8:I42" xr:uid="{00000000-0002-0000-1000-000004000000}">
      <formula1>FinanceManagerList</formula1>
    </dataValidation>
    <dataValidation type="list" allowBlank="1" showErrorMessage="1" sqref="J8:J42 U8:U42" xr:uid="{00000000-0002-0000-1000-000005000000}">
      <formula1>VehicleYearList</formula1>
    </dataValidation>
    <dataValidation type="list" allowBlank="1" showErrorMessage="1" sqref="K8:K42 V8:V42" xr:uid="{00000000-0002-0000-1000-000006000000}">
      <formula1>MakeList</formula1>
    </dataValidation>
    <dataValidation type="list" allowBlank="1" showErrorMessage="1" sqref="L8:L42 W8:W42" xr:uid="{00000000-0002-0000-1000-000007000000}">
      <formula1>INDIRECT(SUBSTITUTE(SUBSTITUTE(SUBSTITUTE(K8," ","_"),"-","_"),".","_"))</formula1>
    </dataValidation>
    <dataValidation type="list" allowBlank="1" showErrorMessage="1" sqref="N8:N42" xr:uid="{00000000-0002-0000-1000-000008000000}">
      <formula1>IF($A8="New",N_ONLY,YN_LIST)</formula1>
    </dataValidation>
    <dataValidation type="list" allowBlank="1" showErrorMessage="1" sqref="O8:O42 AH8:AH42 Z8:Z42" xr:uid="{00000000-0002-0000-1000-000009000000}">
      <formula1>"Y,N"</formula1>
    </dataValidation>
    <dataValidation type="list" allowBlank="1" showErrorMessage="1" sqref="P8:P42" xr:uid="{00000000-0002-0000-1000-00000A000000}">
      <formula1>LenderList</formula1>
    </dataValidation>
    <dataValidation type="list" allowBlank="1" showErrorMessage="1" sqref="AA8:AA42" xr:uid="{00000000-0002-0000-1000-00000F000000}">
      <formula1>"Retail,Wholesale,Auction,Buyback,TBD"</formula1>
    </dataValidation>
    <dataValidation type="list" allowBlank="1" showErrorMessage="1" sqref="AF8:AF42" xr:uid="{00000000-0002-0000-1000-000010000000}">
      <formula1>AdSourceList</formula1>
    </dataValidation>
    <dataValidation type="list" allowBlank="1" showErrorMessage="1" sqref="AG8:AG42" xr:uid="{00000000-0002-0000-1000-000011000000}">
      <formula1>"Delivered,Pending,Unwind,Back Out"</formula1>
    </dataValidation>
    <dataValidation type="list" allowBlank="1" showErrorMessage="1" sqref="AM8:AO42" xr:uid="{00000000-0002-0000-1000-000013000000}">
      <formula1>"Y"</formula1>
    </dataValidation>
    <dataValidation type="decimal" allowBlank="1" showErrorMessage="1" error="Enter a dollar amount (numbers only)." sqref="Q8:R42" xr:uid="{00000000-0002-0000-1000-000014000000}">
      <formula1>-250000</formula1>
      <formula2>250000</formula2>
    </dataValidation>
    <dataValidation type="decimal" allowBlank="1" showErrorMessage="1" error="Enter a dollar amount (numbers only)." sqref="AB8:AB42" xr:uid="{00000000-0002-0000-10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0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342</v>
      </c>
      <c r="B1" s="108"/>
      <c r="C1" s="109"/>
      <c r="D1" s="105" t="s">
        <v>343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IF(TODAY()=DATE(2026,7,9),"●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8'!A1","◀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10'!A1","Next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344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345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8'!$C$62+$G$46</f>
        <v>0</v>
      </c>
    </row>
    <row r="63" spans="1:8" x14ac:dyDescent="0.25">
      <c r="A63" s="3" t="s">
        <v>308</v>
      </c>
      <c r="C63" s="26">
        <f>'Jul 8'!$C$63+$G$49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20</v>
      </c>
    </row>
    <row r="69" spans="1:8" x14ac:dyDescent="0.25">
      <c r="A69" s="3" t="s">
        <v>312</v>
      </c>
      <c r="C69" s="99" t="str">
        <f>IF($C$64="","-",IF($C$62&gt;=$C$64*8/27,"● AHEAD",IF($C$62&gt;=0.9*$C$64*8/27,"●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276" priority="2">
      <formula>MOD(ROW()-8,2)=1</formula>
    </cfRule>
    <cfRule type="expression" dxfId="275" priority="3">
      <formula>$AG8="Pending"</formula>
    </cfRule>
    <cfRule type="expression" dxfId="274" priority="4">
      <formula>OR($AG8="Unwind",$AG8="Back Out")</formula>
    </cfRule>
  </conditionalFormatting>
  <conditionalFormatting sqref="C56">
    <cfRule type="expression" dxfId="273" priority="9">
      <formula>N($C$56)&gt;0</formula>
    </cfRule>
  </conditionalFormatting>
  <conditionalFormatting sqref="C58">
    <cfRule type="expression" dxfId="272" priority="8">
      <formula>N($C$58)&gt;0</formula>
    </cfRule>
  </conditionalFormatting>
  <conditionalFormatting sqref="C69">
    <cfRule type="expression" dxfId="271" priority="10">
      <formula>OR(LEFT($C$69,1)="✓",$C$69="● AHEAD")</formula>
    </cfRule>
    <cfRule type="expression" dxfId="270" priority="11">
      <formula>$C$69="● ON PACE"</formula>
    </cfRule>
    <cfRule type="expression" dxfId="269" priority="12">
      <formula>OR($C$69="● BEHIND",LEFT($C$69,7)="● SHORT")</formula>
    </cfRule>
  </conditionalFormatting>
  <conditionalFormatting sqref="N8:N42">
    <cfRule type="expression" dxfId="267" priority="5">
      <formula>AND($A8="New",N8="Y")</formula>
    </cfRule>
  </conditionalFormatting>
  <conditionalFormatting sqref="R1">
    <cfRule type="expression" dxfId="266" priority="1">
      <formula>$R$1&lt;&gt;""</formula>
    </cfRule>
  </conditionalFormatting>
  <conditionalFormatting sqref="Y8:Y42">
    <cfRule type="expression" dxfId="265" priority="6">
      <formula>AND(Y8&lt;&gt;"",LEN(Y8)&lt;17)</formula>
    </cfRule>
  </conditionalFormatting>
  <dataValidations count="16">
    <dataValidation type="list" allowBlank="1" showErrorMessage="1" sqref="A8:A42" xr:uid="{00000000-0002-0000-1100-000000000000}">
      <formula1>"New,Used"</formula1>
    </dataValidation>
    <dataValidation type="list" allowBlank="1" showErrorMessage="1" sqref="F8:G42" xr:uid="{00000000-0002-0000-1100-000001000000}">
      <formula1>SalespeopleList</formula1>
    </dataValidation>
    <dataValidation type="list" allowBlank="1" showErrorMessage="1" sqref="H8:H42" xr:uid="{00000000-0002-0000-1100-000003000000}">
      <formula1>SalesManagerList</formula1>
    </dataValidation>
    <dataValidation type="list" allowBlank="1" showErrorMessage="1" sqref="I8:I42" xr:uid="{00000000-0002-0000-1100-000004000000}">
      <formula1>FinanceManagerList</formula1>
    </dataValidation>
    <dataValidation type="list" allowBlank="1" showErrorMessage="1" sqref="J8:J42 U8:U42" xr:uid="{00000000-0002-0000-1100-000005000000}">
      <formula1>VehicleYearList</formula1>
    </dataValidation>
    <dataValidation type="list" allowBlank="1" showErrorMessage="1" sqref="K8:K42 V8:V42" xr:uid="{00000000-0002-0000-1100-000006000000}">
      <formula1>MakeList</formula1>
    </dataValidation>
    <dataValidation type="list" allowBlank="1" showErrorMessage="1" sqref="L8:L42 W8:W42" xr:uid="{00000000-0002-0000-1100-000007000000}">
      <formula1>INDIRECT(SUBSTITUTE(SUBSTITUTE(SUBSTITUTE(K8," ","_"),"-","_"),".","_"))</formula1>
    </dataValidation>
    <dataValidation type="list" allowBlank="1" showErrorMessage="1" sqref="N8:N42" xr:uid="{00000000-0002-0000-1100-000008000000}">
      <formula1>IF($A8="New",N_ONLY,YN_LIST)</formula1>
    </dataValidation>
    <dataValidation type="list" allowBlank="1" showErrorMessage="1" sqref="O8:O42 AH8:AH42 Z8:Z42" xr:uid="{00000000-0002-0000-1100-000009000000}">
      <formula1>"Y,N"</formula1>
    </dataValidation>
    <dataValidation type="list" allowBlank="1" showErrorMessage="1" sqref="P8:P42" xr:uid="{00000000-0002-0000-1100-00000A000000}">
      <formula1>LenderList</formula1>
    </dataValidation>
    <dataValidation type="list" allowBlank="1" showErrorMessage="1" sqref="AA8:AA42" xr:uid="{00000000-0002-0000-1100-00000F000000}">
      <formula1>"Retail,Wholesale,Auction,Buyback,TBD"</formula1>
    </dataValidation>
    <dataValidation type="list" allowBlank="1" showErrorMessage="1" sqref="AF8:AF42" xr:uid="{00000000-0002-0000-1100-000010000000}">
      <formula1>AdSourceList</formula1>
    </dataValidation>
    <dataValidation type="list" allowBlank="1" showErrorMessage="1" sqref="AG8:AG42" xr:uid="{00000000-0002-0000-1100-000011000000}">
      <formula1>"Delivered,Pending,Unwind,Back Out"</formula1>
    </dataValidation>
    <dataValidation type="list" allowBlank="1" showErrorMessage="1" sqref="AM8:AO42" xr:uid="{00000000-0002-0000-1100-000013000000}">
      <formula1>"Y"</formula1>
    </dataValidation>
    <dataValidation type="decimal" allowBlank="1" showErrorMessage="1" error="Enter a dollar amount (numbers only)." sqref="Q8:R42" xr:uid="{00000000-0002-0000-1100-000014000000}">
      <formula1>-250000</formula1>
      <formula2>250000</formula2>
    </dataValidation>
    <dataValidation type="decimal" allowBlank="1" showErrorMessage="1" error="Enter a dollar amount (numbers only)." sqref="AB8:AB42" xr:uid="{00000000-0002-0000-11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1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346</v>
      </c>
      <c r="B1" s="108"/>
      <c r="C1" s="109"/>
      <c r="D1" s="105" t="s">
        <v>347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IF(TODAY()=DATE(2026,7,10),"●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9'!A1","◀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11'!A1","Next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348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349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9'!$C$62+$G$46</f>
        <v>0</v>
      </c>
    </row>
    <row r="63" spans="1:8" x14ac:dyDescent="0.25">
      <c r="A63" s="3" t="s">
        <v>308</v>
      </c>
      <c r="C63" s="26">
        <f>'Jul 9'!$C$63+$G$49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19</v>
      </c>
    </row>
    <row r="69" spans="1:8" x14ac:dyDescent="0.25">
      <c r="A69" s="3" t="s">
        <v>312</v>
      </c>
      <c r="C69" s="99" t="str">
        <f>IF($C$64="","-",IF($C$62&gt;=$C$64*9/27,"● AHEAD",IF($C$62&gt;=0.9*$C$64*9/27,"●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264" priority="2">
      <formula>MOD(ROW()-8,2)=1</formula>
    </cfRule>
    <cfRule type="expression" dxfId="263" priority="3">
      <formula>$AG8="Pending"</formula>
    </cfRule>
    <cfRule type="expression" dxfId="262" priority="4">
      <formula>OR($AG8="Unwind",$AG8="Back Out")</formula>
    </cfRule>
  </conditionalFormatting>
  <conditionalFormatting sqref="C56">
    <cfRule type="expression" dxfId="261" priority="9">
      <formula>N($C$56)&gt;0</formula>
    </cfRule>
  </conditionalFormatting>
  <conditionalFormatting sqref="C58">
    <cfRule type="expression" dxfId="260" priority="8">
      <formula>N($C$58)&gt;0</formula>
    </cfRule>
  </conditionalFormatting>
  <conditionalFormatting sqref="C69">
    <cfRule type="expression" dxfId="259" priority="10">
      <formula>OR(LEFT($C$69,1)="✓",$C$69="● AHEAD")</formula>
    </cfRule>
    <cfRule type="expression" dxfId="258" priority="11">
      <formula>$C$69="● ON PACE"</formula>
    </cfRule>
    <cfRule type="expression" dxfId="257" priority="12">
      <formula>OR($C$69="● BEHIND",LEFT($C$69,7)="● SHORT")</formula>
    </cfRule>
  </conditionalFormatting>
  <conditionalFormatting sqref="N8:N42">
    <cfRule type="expression" dxfId="255" priority="5">
      <formula>AND($A8="New",N8="Y")</formula>
    </cfRule>
  </conditionalFormatting>
  <conditionalFormatting sqref="R1">
    <cfRule type="expression" dxfId="254" priority="1">
      <formula>$R$1&lt;&gt;""</formula>
    </cfRule>
  </conditionalFormatting>
  <conditionalFormatting sqref="Y8:Y42">
    <cfRule type="expression" dxfId="253" priority="6">
      <formula>AND(Y8&lt;&gt;"",LEN(Y8)&lt;17)</formula>
    </cfRule>
  </conditionalFormatting>
  <dataValidations count="16">
    <dataValidation type="list" allowBlank="1" showErrorMessage="1" sqref="A8:A42" xr:uid="{00000000-0002-0000-1200-000000000000}">
      <formula1>"New,Used"</formula1>
    </dataValidation>
    <dataValidation type="list" allowBlank="1" showErrorMessage="1" sqref="F8:G42" xr:uid="{00000000-0002-0000-1200-000001000000}">
      <formula1>SalespeopleList</formula1>
    </dataValidation>
    <dataValidation type="list" allowBlank="1" showErrorMessage="1" sqref="H8:H42" xr:uid="{00000000-0002-0000-1200-000003000000}">
      <formula1>SalesManagerList</formula1>
    </dataValidation>
    <dataValidation type="list" allowBlank="1" showErrorMessage="1" sqref="I8:I42" xr:uid="{00000000-0002-0000-1200-000004000000}">
      <formula1>FinanceManagerList</formula1>
    </dataValidation>
    <dataValidation type="list" allowBlank="1" showErrorMessage="1" sqref="J8:J42 U8:U42" xr:uid="{00000000-0002-0000-1200-000005000000}">
      <formula1>VehicleYearList</formula1>
    </dataValidation>
    <dataValidation type="list" allowBlank="1" showErrorMessage="1" sqref="K8:K42 V8:V42" xr:uid="{00000000-0002-0000-1200-000006000000}">
      <formula1>MakeList</formula1>
    </dataValidation>
    <dataValidation type="list" allowBlank="1" showErrorMessage="1" sqref="L8:L42 W8:W42" xr:uid="{00000000-0002-0000-1200-000007000000}">
      <formula1>INDIRECT(SUBSTITUTE(SUBSTITUTE(SUBSTITUTE(K8," ","_"),"-","_"),".","_"))</formula1>
    </dataValidation>
    <dataValidation type="list" allowBlank="1" showErrorMessage="1" sqref="N8:N42" xr:uid="{00000000-0002-0000-1200-000008000000}">
      <formula1>IF($A8="New",N_ONLY,YN_LIST)</formula1>
    </dataValidation>
    <dataValidation type="list" allowBlank="1" showErrorMessage="1" sqref="O8:O42 AH8:AH42 Z8:Z42" xr:uid="{00000000-0002-0000-1200-000009000000}">
      <formula1>"Y,N"</formula1>
    </dataValidation>
    <dataValidation type="list" allowBlank="1" showErrorMessage="1" sqref="P8:P42" xr:uid="{00000000-0002-0000-1200-00000A000000}">
      <formula1>LenderList</formula1>
    </dataValidation>
    <dataValidation type="list" allowBlank="1" showErrorMessage="1" sqref="AA8:AA42" xr:uid="{00000000-0002-0000-1200-00000F000000}">
      <formula1>"Retail,Wholesale,Auction,Buyback,TBD"</formula1>
    </dataValidation>
    <dataValidation type="list" allowBlank="1" showErrorMessage="1" sqref="AF8:AF42" xr:uid="{00000000-0002-0000-1200-000010000000}">
      <formula1>AdSourceList</formula1>
    </dataValidation>
    <dataValidation type="list" allowBlank="1" showErrorMessage="1" sqref="AG8:AG42" xr:uid="{00000000-0002-0000-1200-000011000000}">
      <formula1>"Delivered,Pending,Unwind,Back Out"</formula1>
    </dataValidation>
    <dataValidation type="list" allowBlank="1" showErrorMessage="1" sqref="AM8:AO42" xr:uid="{00000000-0002-0000-1200-000013000000}">
      <formula1>"Y"</formula1>
    </dataValidation>
    <dataValidation type="decimal" allowBlank="1" showErrorMessage="1" error="Enter a dollar amount (numbers only)." sqref="Q8:R42" xr:uid="{00000000-0002-0000-1200-000014000000}">
      <formula1>-250000</formula1>
      <formula2>250000</formula2>
    </dataValidation>
    <dataValidation type="decimal" allowBlank="1" showErrorMessage="1" error="Enter a dollar amount (numbers only)." sqref="AB8:AB42" xr:uid="{00000000-0002-0000-12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2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350</v>
      </c>
      <c r="B1" s="108"/>
      <c r="C1" s="109"/>
      <c r="D1" s="105" t="s">
        <v>351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IF(TODAY()=DATE(2026,7,11),"●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10'!A1","◀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12'!A1","Next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352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353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10'!$C$62+$G$46</f>
        <v>0</v>
      </c>
    </row>
    <row r="63" spans="1:8" x14ac:dyDescent="0.25">
      <c r="A63" s="3" t="s">
        <v>308</v>
      </c>
      <c r="C63" s="26">
        <f>'Jul 10'!$C$63+$G$49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18</v>
      </c>
    </row>
    <row r="69" spans="1:8" x14ac:dyDescent="0.25">
      <c r="A69" s="3" t="s">
        <v>312</v>
      </c>
      <c r="C69" s="99" t="str">
        <f>IF($C$64="","-",IF($C$62&gt;=$C$64*10/27,"● AHEAD",IF($C$62&gt;=0.9*$C$64*10/27,"●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252" priority="2">
      <formula>MOD(ROW()-8,2)=1</formula>
    </cfRule>
    <cfRule type="expression" dxfId="251" priority="3">
      <formula>$AG8="Pending"</formula>
    </cfRule>
    <cfRule type="expression" dxfId="250" priority="4">
      <formula>OR($AG8="Unwind",$AG8="Back Out")</formula>
    </cfRule>
  </conditionalFormatting>
  <conditionalFormatting sqref="C56">
    <cfRule type="expression" dxfId="249" priority="9">
      <formula>N($C$56)&gt;0</formula>
    </cfRule>
  </conditionalFormatting>
  <conditionalFormatting sqref="C58">
    <cfRule type="expression" dxfId="248" priority="8">
      <formula>N($C$58)&gt;0</formula>
    </cfRule>
  </conditionalFormatting>
  <conditionalFormatting sqref="C69">
    <cfRule type="expression" dxfId="247" priority="10">
      <formula>OR(LEFT($C$69,1)="✓",$C$69="● AHEAD")</formula>
    </cfRule>
    <cfRule type="expression" dxfId="246" priority="11">
      <formula>$C$69="● ON PACE"</formula>
    </cfRule>
    <cfRule type="expression" dxfId="245" priority="12">
      <formula>OR($C$69="● BEHIND",LEFT($C$69,7)="● SHORT")</formula>
    </cfRule>
  </conditionalFormatting>
  <conditionalFormatting sqref="N8:N42">
    <cfRule type="expression" dxfId="243" priority="5">
      <formula>AND($A8="New",N8="Y")</formula>
    </cfRule>
  </conditionalFormatting>
  <conditionalFormatting sqref="R1">
    <cfRule type="expression" dxfId="242" priority="1">
      <formula>$R$1&lt;&gt;""</formula>
    </cfRule>
  </conditionalFormatting>
  <conditionalFormatting sqref="Y8:Y42">
    <cfRule type="expression" dxfId="241" priority="6">
      <formula>AND(Y8&lt;&gt;"",LEN(Y8)&lt;17)</formula>
    </cfRule>
  </conditionalFormatting>
  <dataValidations count="16">
    <dataValidation type="list" allowBlank="1" showErrorMessage="1" sqref="A8:A42" xr:uid="{00000000-0002-0000-1300-000000000000}">
      <formula1>"New,Used"</formula1>
    </dataValidation>
    <dataValidation type="list" allowBlank="1" showErrorMessage="1" sqref="F8:G42" xr:uid="{00000000-0002-0000-1300-000001000000}">
      <formula1>SalespeopleList</formula1>
    </dataValidation>
    <dataValidation type="list" allowBlank="1" showErrorMessage="1" sqref="H8:H42" xr:uid="{00000000-0002-0000-1300-000003000000}">
      <formula1>SalesManagerList</formula1>
    </dataValidation>
    <dataValidation type="list" allowBlank="1" showErrorMessage="1" sqref="I8:I42" xr:uid="{00000000-0002-0000-1300-000004000000}">
      <formula1>FinanceManagerList</formula1>
    </dataValidation>
    <dataValidation type="list" allowBlank="1" showErrorMessage="1" sqref="J8:J42 U8:U42" xr:uid="{00000000-0002-0000-1300-000005000000}">
      <formula1>VehicleYearList</formula1>
    </dataValidation>
    <dataValidation type="list" allowBlank="1" showErrorMessage="1" sqref="K8:K42 V8:V42" xr:uid="{00000000-0002-0000-1300-000006000000}">
      <formula1>MakeList</formula1>
    </dataValidation>
    <dataValidation type="list" allowBlank="1" showErrorMessage="1" sqref="L8:L42 W8:W42" xr:uid="{00000000-0002-0000-1300-000007000000}">
      <formula1>INDIRECT(SUBSTITUTE(SUBSTITUTE(SUBSTITUTE(K8," ","_"),"-","_"),".","_"))</formula1>
    </dataValidation>
    <dataValidation type="list" allowBlank="1" showErrorMessage="1" sqref="N8:N42" xr:uid="{00000000-0002-0000-1300-000008000000}">
      <formula1>IF($A8="New",N_ONLY,YN_LIST)</formula1>
    </dataValidation>
    <dataValidation type="list" allowBlank="1" showErrorMessage="1" sqref="O8:O42 AH8:AH42 Z8:Z42" xr:uid="{00000000-0002-0000-1300-000009000000}">
      <formula1>"Y,N"</formula1>
    </dataValidation>
    <dataValidation type="list" allowBlank="1" showErrorMessage="1" sqref="P8:P42" xr:uid="{00000000-0002-0000-1300-00000A000000}">
      <formula1>LenderList</formula1>
    </dataValidation>
    <dataValidation type="list" allowBlank="1" showErrorMessage="1" sqref="AA8:AA42" xr:uid="{00000000-0002-0000-1300-00000F000000}">
      <formula1>"Retail,Wholesale,Auction,Buyback,TBD"</formula1>
    </dataValidation>
    <dataValidation type="list" allowBlank="1" showErrorMessage="1" sqref="AF8:AF42" xr:uid="{00000000-0002-0000-1300-000010000000}">
      <formula1>AdSourceList</formula1>
    </dataValidation>
    <dataValidation type="list" allowBlank="1" showErrorMessage="1" sqref="AG8:AG42" xr:uid="{00000000-0002-0000-1300-000011000000}">
      <formula1>"Delivered,Pending,Unwind,Back Out"</formula1>
    </dataValidation>
    <dataValidation type="list" allowBlank="1" showErrorMessage="1" sqref="AM8:AO42" xr:uid="{00000000-0002-0000-1300-000013000000}">
      <formula1>"Y"</formula1>
    </dataValidation>
    <dataValidation type="decimal" allowBlank="1" showErrorMessage="1" error="Enter a dollar amount (numbers only)." sqref="Q8:R42" xr:uid="{00000000-0002-0000-1300-000014000000}">
      <formula1>-250000</formula1>
      <formula2>250000</formula2>
    </dataValidation>
    <dataValidation type="decimal" allowBlank="1" showErrorMessage="1" error="Enter a dollar amount (numbers only)." sqref="AB8:AB42" xr:uid="{00000000-0002-0000-13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3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8C4DC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354</v>
      </c>
      <c r="B1" s="108"/>
      <c r="C1" s="109"/>
      <c r="D1" s="105" t="s">
        <v>355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IF(TODAY()=DATE(2026,7,12),"●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327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11'!A1","◀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13'!A1","Next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356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357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11'!$C$62+$G$46</f>
        <v>0</v>
      </c>
    </row>
    <row r="63" spans="1:8" x14ac:dyDescent="0.25">
      <c r="A63" s="3" t="s">
        <v>308</v>
      </c>
      <c r="C63" s="26">
        <f>'Jul 11'!$C$63+$G$49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17</v>
      </c>
    </row>
    <row r="69" spans="1:8" x14ac:dyDescent="0.25">
      <c r="A69" s="3" t="s">
        <v>312</v>
      </c>
      <c r="C69" s="99" t="str">
        <f>IF($C$64="","-",IF($C$62&gt;=$C$64*10/27,"● AHEAD",IF($C$62&gt;=0.9*$C$64*10/27,"●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240" priority="2">
      <formula>MOD(ROW()-8,2)=1</formula>
    </cfRule>
    <cfRule type="expression" dxfId="239" priority="3">
      <formula>$AG8="Pending"</formula>
    </cfRule>
    <cfRule type="expression" dxfId="238" priority="4">
      <formula>OR($AG8="Unwind",$AG8="Back Out")</formula>
    </cfRule>
  </conditionalFormatting>
  <conditionalFormatting sqref="C56">
    <cfRule type="expression" dxfId="237" priority="9">
      <formula>N($C$56)&gt;0</formula>
    </cfRule>
  </conditionalFormatting>
  <conditionalFormatting sqref="C58">
    <cfRule type="expression" dxfId="236" priority="8">
      <formula>N($C$58)&gt;0</formula>
    </cfRule>
  </conditionalFormatting>
  <conditionalFormatting sqref="C69">
    <cfRule type="expression" dxfId="235" priority="10">
      <formula>OR(LEFT($C$69,1)="✓",$C$69="● AHEAD")</formula>
    </cfRule>
    <cfRule type="expression" dxfId="234" priority="11">
      <formula>$C$69="● ON PACE"</formula>
    </cfRule>
    <cfRule type="expression" dxfId="233" priority="12">
      <formula>OR($C$69="● BEHIND",LEFT($C$69,7)="● SHORT")</formula>
    </cfRule>
  </conditionalFormatting>
  <conditionalFormatting sqref="N8:N42">
    <cfRule type="expression" dxfId="231" priority="5">
      <formula>AND($A8="New",N8="Y")</formula>
    </cfRule>
  </conditionalFormatting>
  <conditionalFormatting sqref="R1">
    <cfRule type="expression" dxfId="230" priority="1">
      <formula>$R$1&lt;&gt;""</formula>
    </cfRule>
  </conditionalFormatting>
  <conditionalFormatting sqref="Y8:Y42">
    <cfRule type="expression" dxfId="229" priority="6">
      <formula>AND(Y8&lt;&gt;"",LEN(Y8)&lt;17)</formula>
    </cfRule>
  </conditionalFormatting>
  <dataValidations count="16">
    <dataValidation type="list" allowBlank="1" showErrorMessage="1" sqref="A8:A42" xr:uid="{00000000-0002-0000-1400-000000000000}">
      <formula1>"New,Used"</formula1>
    </dataValidation>
    <dataValidation type="list" allowBlank="1" showErrorMessage="1" sqref="F8:G42" xr:uid="{00000000-0002-0000-1400-000001000000}">
      <formula1>SalespeopleList</formula1>
    </dataValidation>
    <dataValidation type="list" allowBlank="1" showErrorMessage="1" sqref="H8:H42" xr:uid="{00000000-0002-0000-1400-000003000000}">
      <formula1>SalesManagerList</formula1>
    </dataValidation>
    <dataValidation type="list" allowBlank="1" showErrorMessage="1" sqref="I8:I42" xr:uid="{00000000-0002-0000-1400-000004000000}">
      <formula1>FinanceManagerList</formula1>
    </dataValidation>
    <dataValidation type="list" allowBlank="1" showErrorMessage="1" sqref="J8:J42 U8:U42" xr:uid="{00000000-0002-0000-1400-000005000000}">
      <formula1>VehicleYearList</formula1>
    </dataValidation>
    <dataValidation type="list" allowBlank="1" showErrorMessage="1" sqref="K8:K42 V8:V42" xr:uid="{00000000-0002-0000-1400-000006000000}">
      <formula1>MakeList</formula1>
    </dataValidation>
    <dataValidation type="list" allowBlank="1" showErrorMessage="1" sqref="L8:L42 W8:W42" xr:uid="{00000000-0002-0000-1400-000007000000}">
      <formula1>INDIRECT(SUBSTITUTE(SUBSTITUTE(SUBSTITUTE(K8," ","_"),"-","_"),".","_"))</formula1>
    </dataValidation>
    <dataValidation type="list" allowBlank="1" showErrorMessage="1" sqref="N8:N42" xr:uid="{00000000-0002-0000-1400-000008000000}">
      <formula1>IF($A8="New",N_ONLY,YN_LIST)</formula1>
    </dataValidation>
    <dataValidation type="list" allowBlank="1" showErrorMessage="1" sqref="O8:O42 AH8:AH42 Z8:Z42" xr:uid="{00000000-0002-0000-1400-000009000000}">
      <formula1>"Y,N"</formula1>
    </dataValidation>
    <dataValidation type="list" allowBlank="1" showErrorMessage="1" sqref="P8:P42" xr:uid="{00000000-0002-0000-1400-00000A000000}">
      <formula1>LenderList</formula1>
    </dataValidation>
    <dataValidation type="list" allowBlank="1" showErrorMessage="1" sqref="AA8:AA42" xr:uid="{00000000-0002-0000-1400-00000F000000}">
      <formula1>"Retail,Wholesale,Auction,Buyback,TBD"</formula1>
    </dataValidation>
    <dataValidation type="list" allowBlank="1" showErrorMessage="1" sqref="AF8:AF42" xr:uid="{00000000-0002-0000-1400-000010000000}">
      <formula1>AdSourceList</formula1>
    </dataValidation>
    <dataValidation type="list" allowBlank="1" showErrorMessage="1" sqref="AG8:AG42" xr:uid="{00000000-0002-0000-1400-000011000000}">
      <formula1>"Delivered,Pending,Unwind,Back Out"</formula1>
    </dataValidation>
    <dataValidation type="list" allowBlank="1" showErrorMessage="1" sqref="AM8:AO42" xr:uid="{00000000-0002-0000-1400-000013000000}">
      <formula1>"Y"</formula1>
    </dataValidation>
    <dataValidation type="decimal" allowBlank="1" showErrorMessage="1" error="Enter a dollar amount (numbers only)." sqref="Q8:R42" xr:uid="{00000000-0002-0000-1400-000014000000}">
      <formula1>-250000</formula1>
      <formula2>250000</formula2>
    </dataValidation>
    <dataValidation type="decimal" allowBlank="1" showErrorMessage="1" error="Enter a dollar amount (numbers only)." sqref="AB8:AB42" xr:uid="{00000000-0002-0000-14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4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358</v>
      </c>
      <c r="B1" s="108"/>
      <c r="C1" s="109"/>
      <c r="D1" s="105" t="s">
        <v>359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IF(TODAY()=DATE(2026,7,13),"●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12'!A1","◀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14'!A1","Next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360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361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12'!$C$62+$G$46</f>
        <v>0</v>
      </c>
    </row>
    <row r="63" spans="1:8" x14ac:dyDescent="0.25">
      <c r="A63" s="3" t="s">
        <v>308</v>
      </c>
      <c r="C63" s="26">
        <f>'Jul 12'!$C$63+$G$49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17</v>
      </c>
    </row>
    <row r="69" spans="1:8" x14ac:dyDescent="0.25">
      <c r="A69" s="3" t="s">
        <v>312</v>
      </c>
      <c r="C69" s="99" t="str">
        <f>IF($C$64="","-",IF($C$62&gt;=$C$64*11/27,"● AHEAD",IF($C$62&gt;=0.9*$C$64*11/27,"●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228" priority="2">
      <formula>MOD(ROW()-8,2)=1</formula>
    </cfRule>
    <cfRule type="expression" dxfId="227" priority="3">
      <formula>$AG8="Pending"</formula>
    </cfRule>
    <cfRule type="expression" dxfId="226" priority="4">
      <formula>OR($AG8="Unwind",$AG8="Back Out")</formula>
    </cfRule>
  </conditionalFormatting>
  <conditionalFormatting sqref="C56">
    <cfRule type="expression" dxfId="225" priority="9">
      <formula>N($C$56)&gt;0</formula>
    </cfRule>
  </conditionalFormatting>
  <conditionalFormatting sqref="C58">
    <cfRule type="expression" dxfId="224" priority="8">
      <formula>N($C$58)&gt;0</formula>
    </cfRule>
  </conditionalFormatting>
  <conditionalFormatting sqref="C69">
    <cfRule type="expression" dxfId="223" priority="10">
      <formula>OR(LEFT($C$69,1)="✓",$C$69="● AHEAD")</formula>
    </cfRule>
    <cfRule type="expression" dxfId="222" priority="11">
      <formula>$C$69="● ON PACE"</formula>
    </cfRule>
    <cfRule type="expression" dxfId="221" priority="12">
      <formula>OR($C$69="● BEHIND",LEFT($C$69,7)="● SHORT")</formula>
    </cfRule>
  </conditionalFormatting>
  <conditionalFormatting sqref="N8:N42">
    <cfRule type="expression" dxfId="219" priority="5">
      <formula>AND($A8="New",N8="Y")</formula>
    </cfRule>
  </conditionalFormatting>
  <conditionalFormatting sqref="R1">
    <cfRule type="expression" dxfId="218" priority="1">
      <formula>$R$1&lt;&gt;""</formula>
    </cfRule>
  </conditionalFormatting>
  <conditionalFormatting sqref="Y8:Y42">
    <cfRule type="expression" dxfId="217" priority="6">
      <formula>AND(Y8&lt;&gt;"",LEN(Y8)&lt;17)</formula>
    </cfRule>
  </conditionalFormatting>
  <dataValidations count="16">
    <dataValidation type="list" allowBlank="1" showErrorMessage="1" sqref="A8:A42" xr:uid="{00000000-0002-0000-1500-000000000000}">
      <formula1>"New,Used"</formula1>
    </dataValidation>
    <dataValidation type="list" allowBlank="1" showErrorMessage="1" sqref="F8:G42" xr:uid="{00000000-0002-0000-1500-000001000000}">
      <formula1>SalespeopleList</formula1>
    </dataValidation>
    <dataValidation type="list" allowBlank="1" showErrorMessage="1" sqref="H8:H42" xr:uid="{00000000-0002-0000-1500-000003000000}">
      <formula1>SalesManagerList</formula1>
    </dataValidation>
    <dataValidation type="list" allowBlank="1" showErrorMessage="1" sqref="I8:I42" xr:uid="{00000000-0002-0000-1500-000004000000}">
      <formula1>FinanceManagerList</formula1>
    </dataValidation>
    <dataValidation type="list" allowBlank="1" showErrorMessage="1" sqref="J8:J42 U8:U42" xr:uid="{00000000-0002-0000-1500-000005000000}">
      <formula1>VehicleYearList</formula1>
    </dataValidation>
    <dataValidation type="list" allowBlank="1" showErrorMessage="1" sqref="K8:K42 V8:V42" xr:uid="{00000000-0002-0000-1500-000006000000}">
      <formula1>MakeList</formula1>
    </dataValidation>
    <dataValidation type="list" allowBlank="1" showErrorMessage="1" sqref="L8:L42 W8:W42" xr:uid="{00000000-0002-0000-1500-000007000000}">
      <formula1>INDIRECT(SUBSTITUTE(SUBSTITUTE(SUBSTITUTE(K8," ","_"),"-","_"),".","_"))</formula1>
    </dataValidation>
    <dataValidation type="list" allowBlank="1" showErrorMessage="1" sqref="N8:N42" xr:uid="{00000000-0002-0000-1500-000008000000}">
      <formula1>IF($A8="New",N_ONLY,YN_LIST)</formula1>
    </dataValidation>
    <dataValidation type="list" allowBlank="1" showErrorMessage="1" sqref="O8:O42 AH8:AH42 Z8:Z42" xr:uid="{00000000-0002-0000-1500-000009000000}">
      <formula1>"Y,N"</formula1>
    </dataValidation>
    <dataValidation type="list" allowBlank="1" showErrorMessage="1" sqref="P8:P42" xr:uid="{00000000-0002-0000-1500-00000A000000}">
      <formula1>LenderList</formula1>
    </dataValidation>
    <dataValidation type="list" allowBlank="1" showErrorMessage="1" sqref="AA8:AA42" xr:uid="{00000000-0002-0000-1500-00000F000000}">
      <formula1>"Retail,Wholesale,Auction,Buyback,TBD"</formula1>
    </dataValidation>
    <dataValidation type="list" allowBlank="1" showErrorMessage="1" sqref="AF8:AF42" xr:uid="{00000000-0002-0000-1500-000010000000}">
      <formula1>AdSourceList</formula1>
    </dataValidation>
    <dataValidation type="list" allowBlank="1" showErrorMessage="1" sqref="AG8:AG42" xr:uid="{00000000-0002-0000-1500-000011000000}">
      <formula1>"Delivered,Pending,Unwind,Back Out"</formula1>
    </dataValidation>
    <dataValidation type="list" allowBlank="1" showErrorMessage="1" sqref="AM8:AO42" xr:uid="{00000000-0002-0000-1500-000013000000}">
      <formula1>"Y"</formula1>
    </dataValidation>
    <dataValidation type="decimal" allowBlank="1" showErrorMessage="1" error="Enter a dollar amount (numbers only)." sqref="Q8:R42" xr:uid="{00000000-0002-0000-1500-000014000000}">
      <formula1>-250000</formula1>
      <formula2>250000</formula2>
    </dataValidation>
    <dataValidation type="decimal" allowBlank="1" showErrorMessage="1" error="Enter a dollar amount (numbers only)." sqref="AB8:AB42" xr:uid="{00000000-0002-0000-15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5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362</v>
      </c>
      <c r="B1" s="108"/>
      <c r="C1" s="109"/>
      <c r="D1" s="105" t="s">
        <v>363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IF(TODAY()=DATE(2026,7,14),"●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13'!A1","◀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15'!A1","Next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364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365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13'!$C$62+$G$46</f>
        <v>0</v>
      </c>
    </row>
    <row r="63" spans="1:8" x14ac:dyDescent="0.25">
      <c r="A63" s="3" t="s">
        <v>308</v>
      </c>
      <c r="C63" s="26">
        <f>'Jul 13'!$C$63+$G$49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16</v>
      </c>
    </row>
    <row r="69" spans="1:8" x14ac:dyDescent="0.25">
      <c r="A69" s="3" t="s">
        <v>312</v>
      </c>
      <c r="C69" s="99" t="str">
        <f>IF($C$64="","-",IF($C$62&gt;=$C$64*12/27,"● AHEAD",IF($C$62&gt;=0.9*$C$64*12/27,"●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216" priority="2">
      <formula>MOD(ROW()-8,2)=1</formula>
    </cfRule>
    <cfRule type="expression" dxfId="215" priority="3">
      <formula>$AG8="Pending"</formula>
    </cfRule>
    <cfRule type="expression" dxfId="214" priority="4">
      <formula>OR($AG8="Unwind",$AG8="Back Out")</formula>
    </cfRule>
  </conditionalFormatting>
  <conditionalFormatting sqref="C56">
    <cfRule type="expression" dxfId="213" priority="9">
      <formula>N($C$56)&gt;0</formula>
    </cfRule>
  </conditionalFormatting>
  <conditionalFormatting sqref="C58">
    <cfRule type="expression" dxfId="212" priority="8">
      <formula>N($C$58)&gt;0</formula>
    </cfRule>
  </conditionalFormatting>
  <conditionalFormatting sqref="C69">
    <cfRule type="expression" dxfId="211" priority="10">
      <formula>OR(LEFT($C$69,1)="✓",$C$69="● AHEAD")</formula>
    </cfRule>
    <cfRule type="expression" dxfId="210" priority="11">
      <formula>$C$69="● ON PACE"</formula>
    </cfRule>
    <cfRule type="expression" dxfId="209" priority="12">
      <formula>OR($C$69="● BEHIND",LEFT($C$69,7)="● SHORT")</formula>
    </cfRule>
  </conditionalFormatting>
  <conditionalFormatting sqref="N8:N42">
    <cfRule type="expression" dxfId="207" priority="5">
      <formula>AND($A8="New",N8="Y")</formula>
    </cfRule>
  </conditionalFormatting>
  <conditionalFormatting sqref="R1">
    <cfRule type="expression" dxfId="206" priority="1">
      <formula>$R$1&lt;&gt;""</formula>
    </cfRule>
  </conditionalFormatting>
  <conditionalFormatting sqref="Y8:Y42">
    <cfRule type="expression" dxfId="205" priority="6">
      <formula>AND(Y8&lt;&gt;"",LEN(Y8)&lt;17)</formula>
    </cfRule>
  </conditionalFormatting>
  <dataValidations count="16">
    <dataValidation type="list" allowBlank="1" showErrorMessage="1" sqref="A8:A42" xr:uid="{00000000-0002-0000-1600-000000000000}">
      <formula1>"New,Used"</formula1>
    </dataValidation>
    <dataValidation type="list" allowBlank="1" showErrorMessage="1" sqref="F8:G42" xr:uid="{00000000-0002-0000-1600-000001000000}">
      <formula1>SalespeopleList</formula1>
    </dataValidation>
    <dataValidation type="list" allowBlank="1" showErrorMessage="1" sqref="H8:H42" xr:uid="{00000000-0002-0000-1600-000003000000}">
      <formula1>SalesManagerList</formula1>
    </dataValidation>
    <dataValidation type="list" allowBlank="1" showErrorMessage="1" sqref="I8:I42" xr:uid="{00000000-0002-0000-1600-000004000000}">
      <formula1>FinanceManagerList</formula1>
    </dataValidation>
    <dataValidation type="list" allowBlank="1" showErrorMessage="1" sqref="J8:J42 U8:U42" xr:uid="{00000000-0002-0000-1600-000005000000}">
      <formula1>VehicleYearList</formula1>
    </dataValidation>
    <dataValidation type="list" allowBlank="1" showErrorMessage="1" sqref="K8:K42 V8:V42" xr:uid="{00000000-0002-0000-1600-000006000000}">
      <formula1>MakeList</formula1>
    </dataValidation>
    <dataValidation type="list" allowBlank="1" showErrorMessage="1" sqref="L8:L42 W8:W42" xr:uid="{00000000-0002-0000-1600-000007000000}">
      <formula1>INDIRECT(SUBSTITUTE(SUBSTITUTE(SUBSTITUTE(K8," ","_"),"-","_"),".","_"))</formula1>
    </dataValidation>
    <dataValidation type="list" allowBlank="1" showErrorMessage="1" sqref="N8:N42" xr:uid="{00000000-0002-0000-1600-000008000000}">
      <formula1>IF($A8="New",N_ONLY,YN_LIST)</formula1>
    </dataValidation>
    <dataValidation type="list" allowBlank="1" showErrorMessage="1" sqref="O8:O42 AH8:AH42 Z8:Z42" xr:uid="{00000000-0002-0000-1600-000009000000}">
      <formula1>"Y,N"</formula1>
    </dataValidation>
    <dataValidation type="list" allowBlank="1" showErrorMessage="1" sqref="P8:P42" xr:uid="{00000000-0002-0000-1600-00000A000000}">
      <formula1>LenderList</formula1>
    </dataValidation>
    <dataValidation type="list" allowBlank="1" showErrorMessage="1" sqref="AA8:AA42" xr:uid="{00000000-0002-0000-1600-00000F000000}">
      <formula1>"Retail,Wholesale,Auction,Buyback,TBD"</formula1>
    </dataValidation>
    <dataValidation type="list" allowBlank="1" showErrorMessage="1" sqref="AF8:AF42" xr:uid="{00000000-0002-0000-1600-000010000000}">
      <formula1>AdSourceList</formula1>
    </dataValidation>
    <dataValidation type="list" allowBlank="1" showErrorMessage="1" sqref="AG8:AG42" xr:uid="{00000000-0002-0000-1600-000011000000}">
      <formula1>"Delivered,Pending,Unwind,Back Out"</formula1>
    </dataValidation>
    <dataValidation type="list" allowBlank="1" showErrorMessage="1" sqref="AM8:AO42" xr:uid="{00000000-0002-0000-1600-000013000000}">
      <formula1>"Y"</formula1>
    </dataValidation>
    <dataValidation type="decimal" allowBlank="1" showErrorMessage="1" error="Enter a dollar amount (numbers only)." sqref="Q8:R42" xr:uid="{00000000-0002-0000-1600-000014000000}">
      <formula1>-250000</formula1>
      <formula2>250000</formula2>
    </dataValidation>
    <dataValidation type="decimal" allowBlank="1" showErrorMessage="1" error="Enter a dollar amount (numbers only)." sqref="AB8:AB42" xr:uid="{00000000-0002-0000-16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6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366</v>
      </c>
      <c r="B1" s="108"/>
      <c r="C1" s="109"/>
      <c r="D1" s="105" t="s">
        <v>367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IF(TODAY()=DATE(2026,7,15),"●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14'!A1","◀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16'!A1","Next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368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369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14'!$C$62+$G$46</f>
        <v>0</v>
      </c>
    </row>
    <row r="63" spans="1:8" x14ac:dyDescent="0.25">
      <c r="A63" s="3" t="s">
        <v>308</v>
      </c>
      <c r="C63" s="26">
        <f>'Jul 14'!$C$63+$G$49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15</v>
      </c>
    </row>
    <row r="69" spans="1:8" x14ac:dyDescent="0.25">
      <c r="A69" s="3" t="s">
        <v>312</v>
      </c>
      <c r="C69" s="99" t="str">
        <f>IF($C$64="","-",IF($C$62&gt;=$C$64*13/27,"● AHEAD",IF($C$62&gt;=0.9*$C$64*13/27,"●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204" priority="2">
      <formula>MOD(ROW()-8,2)=1</formula>
    </cfRule>
    <cfRule type="expression" dxfId="203" priority="3">
      <formula>$AG8="Pending"</formula>
    </cfRule>
    <cfRule type="expression" dxfId="202" priority="4">
      <formula>OR($AG8="Unwind",$AG8="Back Out")</formula>
    </cfRule>
  </conditionalFormatting>
  <conditionalFormatting sqref="C56">
    <cfRule type="expression" dxfId="201" priority="9">
      <formula>N($C$56)&gt;0</formula>
    </cfRule>
  </conditionalFormatting>
  <conditionalFormatting sqref="C58">
    <cfRule type="expression" dxfId="200" priority="8">
      <formula>N($C$58)&gt;0</formula>
    </cfRule>
  </conditionalFormatting>
  <conditionalFormatting sqref="C69">
    <cfRule type="expression" dxfId="199" priority="10">
      <formula>OR(LEFT($C$69,1)="✓",$C$69="● AHEAD")</formula>
    </cfRule>
    <cfRule type="expression" dxfId="198" priority="11">
      <formula>$C$69="● ON PACE"</formula>
    </cfRule>
    <cfRule type="expression" dxfId="197" priority="12">
      <formula>OR($C$69="● BEHIND",LEFT($C$69,7)="● SHORT")</formula>
    </cfRule>
  </conditionalFormatting>
  <conditionalFormatting sqref="N8:N42">
    <cfRule type="expression" dxfId="195" priority="5">
      <formula>AND($A8="New",N8="Y")</formula>
    </cfRule>
  </conditionalFormatting>
  <conditionalFormatting sqref="R1">
    <cfRule type="expression" dxfId="194" priority="1">
      <formula>$R$1&lt;&gt;""</formula>
    </cfRule>
  </conditionalFormatting>
  <conditionalFormatting sqref="Y8:Y42">
    <cfRule type="expression" dxfId="193" priority="6">
      <formula>AND(Y8&lt;&gt;"",LEN(Y8)&lt;17)</formula>
    </cfRule>
  </conditionalFormatting>
  <dataValidations count="16">
    <dataValidation type="list" allowBlank="1" showErrorMessage="1" sqref="A8:A42" xr:uid="{00000000-0002-0000-1700-000000000000}">
      <formula1>"New,Used"</formula1>
    </dataValidation>
    <dataValidation type="list" allowBlank="1" showErrorMessage="1" sqref="F8:G42" xr:uid="{00000000-0002-0000-1700-000001000000}">
      <formula1>SalespeopleList</formula1>
    </dataValidation>
    <dataValidation type="list" allowBlank="1" showErrorMessage="1" sqref="H8:H42" xr:uid="{00000000-0002-0000-1700-000003000000}">
      <formula1>SalesManagerList</formula1>
    </dataValidation>
    <dataValidation type="list" allowBlank="1" showErrorMessage="1" sqref="I8:I42" xr:uid="{00000000-0002-0000-1700-000004000000}">
      <formula1>FinanceManagerList</formula1>
    </dataValidation>
    <dataValidation type="list" allowBlank="1" showErrorMessage="1" sqref="J8:J42 U8:U42" xr:uid="{00000000-0002-0000-1700-000005000000}">
      <formula1>VehicleYearList</formula1>
    </dataValidation>
    <dataValidation type="list" allowBlank="1" showErrorMessage="1" sqref="K8:K42 V8:V42" xr:uid="{00000000-0002-0000-1700-000006000000}">
      <formula1>MakeList</formula1>
    </dataValidation>
    <dataValidation type="list" allowBlank="1" showErrorMessage="1" sqref="L8:L42 W8:W42" xr:uid="{00000000-0002-0000-1700-000007000000}">
      <formula1>INDIRECT(SUBSTITUTE(SUBSTITUTE(SUBSTITUTE(K8," ","_"),"-","_"),".","_"))</formula1>
    </dataValidation>
    <dataValidation type="list" allowBlank="1" showErrorMessage="1" sqref="N8:N42" xr:uid="{00000000-0002-0000-1700-000008000000}">
      <formula1>IF($A8="New",N_ONLY,YN_LIST)</formula1>
    </dataValidation>
    <dataValidation type="list" allowBlank="1" showErrorMessage="1" sqref="O8:O42 AH8:AH42 Z8:Z42" xr:uid="{00000000-0002-0000-1700-000009000000}">
      <formula1>"Y,N"</formula1>
    </dataValidation>
    <dataValidation type="list" allowBlank="1" showErrorMessage="1" sqref="P8:P42" xr:uid="{00000000-0002-0000-1700-00000A000000}">
      <formula1>LenderList</formula1>
    </dataValidation>
    <dataValidation type="list" allowBlank="1" showErrorMessage="1" sqref="AA8:AA42" xr:uid="{00000000-0002-0000-1700-00000F000000}">
      <formula1>"Retail,Wholesale,Auction,Buyback,TBD"</formula1>
    </dataValidation>
    <dataValidation type="list" allowBlank="1" showErrorMessage="1" sqref="AF8:AF42" xr:uid="{00000000-0002-0000-1700-000010000000}">
      <formula1>AdSourceList</formula1>
    </dataValidation>
    <dataValidation type="list" allowBlank="1" showErrorMessage="1" sqref="AG8:AG42" xr:uid="{00000000-0002-0000-1700-000011000000}">
      <formula1>"Delivered,Pending,Unwind,Back Out"</formula1>
    </dataValidation>
    <dataValidation type="list" allowBlank="1" showErrorMessage="1" sqref="AM8:AO42" xr:uid="{00000000-0002-0000-1700-000013000000}">
      <formula1>"Y"</formula1>
    </dataValidation>
    <dataValidation type="decimal" allowBlank="1" showErrorMessage="1" error="Enter a dollar amount (numbers only)." sqref="Q8:R42" xr:uid="{00000000-0002-0000-1700-000014000000}">
      <formula1>-250000</formula1>
      <formula2>250000</formula2>
    </dataValidation>
    <dataValidation type="decimal" allowBlank="1" showErrorMessage="1" error="Enter a dollar amount (numbers only)." sqref="AB8:AB42" xr:uid="{00000000-0002-0000-17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7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370</v>
      </c>
      <c r="B1" s="108"/>
      <c r="C1" s="109"/>
      <c r="D1" s="105" t="s">
        <v>371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IF(TODAY()=DATE(2026,7,16),"●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15'!A1","◀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17'!A1","Next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372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373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15'!$C$62+$G$46</f>
        <v>0</v>
      </c>
    </row>
    <row r="63" spans="1:8" x14ac:dyDescent="0.25">
      <c r="A63" s="3" t="s">
        <v>308</v>
      </c>
      <c r="C63" s="26">
        <f>'Jul 15'!$C$63+$G$49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14</v>
      </c>
    </row>
    <row r="69" spans="1:8" x14ac:dyDescent="0.25">
      <c r="A69" s="3" t="s">
        <v>312</v>
      </c>
      <c r="C69" s="99" t="str">
        <f>IF($C$64="","-",IF($C$62&gt;=$C$64*14/27,"● AHEAD",IF($C$62&gt;=0.9*$C$64*14/27,"●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192" priority="2">
      <formula>MOD(ROW()-8,2)=1</formula>
    </cfRule>
    <cfRule type="expression" dxfId="191" priority="3">
      <formula>$AG8="Pending"</formula>
    </cfRule>
    <cfRule type="expression" dxfId="190" priority="4">
      <formula>OR($AG8="Unwind",$AG8="Back Out")</formula>
    </cfRule>
  </conditionalFormatting>
  <conditionalFormatting sqref="C56">
    <cfRule type="expression" dxfId="189" priority="9">
      <formula>N($C$56)&gt;0</formula>
    </cfRule>
  </conditionalFormatting>
  <conditionalFormatting sqref="C58">
    <cfRule type="expression" dxfId="188" priority="8">
      <formula>N($C$58)&gt;0</formula>
    </cfRule>
  </conditionalFormatting>
  <conditionalFormatting sqref="C69">
    <cfRule type="expression" dxfId="187" priority="10">
      <formula>OR(LEFT($C$69,1)="✓",$C$69="● AHEAD")</formula>
    </cfRule>
    <cfRule type="expression" dxfId="186" priority="11">
      <formula>$C$69="● ON PACE"</formula>
    </cfRule>
    <cfRule type="expression" dxfId="185" priority="12">
      <formula>OR($C$69="● BEHIND",LEFT($C$69,7)="● SHORT")</formula>
    </cfRule>
  </conditionalFormatting>
  <conditionalFormatting sqref="N8:N42">
    <cfRule type="expression" dxfId="183" priority="5">
      <formula>AND($A8="New",N8="Y")</formula>
    </cfRule>
  </conditionalFormatting>
  <conditionalFormatting sqref="R1">
    <cfRule type="expression" dxfId="182" priority="1">
      <formula>$R$1&lt;&gt;""</formula>
    </cfRule>
  </conditionalFormatting>
  <conditionalFormatting sqref="Y8:Y42">
    <cfRule type="expression" dxfId="181" priority="6">
      <formula>AND(Y8&lt;&gt;"",LEN(Y8)&lt;17)</formula>
    </cfRule>
  </conditionalFormatting>
  <dataValidations count="16">
    <dataValidation type="list" allowBlank="1" showErrorMessage="1" sqref="A8:A42" xr:uid="{00000000-0002-0000-1800-000000000000}">
      <formula1>"New,Used"</formula1>
    </dataValidation>
    <dataValidation type="list" allowBlank="1" showErrorMessage="1" sqref="F8:G42" xr:uid="{00000000-0002-0000-1800-000001000000}">
      <formula1>SalespeopleList</formula1>
    </dataValidation>
    <dataValidation type="list" allowBlank="1" showErrorMessage="1" sqref="H8:H42" xr:uid="{00000000-0002-0000-1800-000003000000}">
      <formula1>SalesManagerList</formula1>
    </dataValidation>
    <dataValidation type="list" allowBlank="1" showErrorMessage="1" sqref="I8:I42" xr:uid="{00000000-0002-0000-1800-000004000000}">
      <formula1>FinanceManagerList</formula1>
    </dataValidation>
    <dataValidation type="list" allowBlank="1" showErrorMessage="1" sqref="J8:J42 U8:U42" xr:uid="{00000000-0002-0000-1800-000005000000}">
      <formula1>VehicleYearList</formula1>
    </dataValidation>
    <dataValidation type="list" allowBlank="1" showErrorMessage="1" sqref="K8:K42 V8:V42" xr:uid="{00000000-0002-0000-1800-000006000000}">
      <formula1>MakeList</formula1>
    </dataValidation>
    <dataValidation type="list" allowBlank="1" showErrorMessage="1" sqref="L8:L42 W8:W42" xr:uid="{00000000-0002-0000-1800-000007000000}">
      <formula1>INDIRECT(SUBSTITUTE(SUBSTITUTE(SUBSTITUTE(K8," ","_"),"-","_"),".","_"))</formula1>
    </dataValidation>
    <dataValidation type="list" allowBlank="1" showErrorMessage="1" sqref="N8:N42" xr:uid="{00000000-0002-0000-1800-000008000000}">
      <formula1>IF($A8="New",N_ONLY,YN_LIST)</formula1>
    </dataValidation>
    <dataValidation type="list" allowBlank="1" showErrorMessage="1" sqref="O8:O42 AH8:AH42 Z8:Z42" xr:uid="{00000000-0002-0000-1800-000009000000}">
      <formula1>"Y,N"</formula1>
    </dataValidation>
    <dataValidation type="list" allowBlank="1" showErrorMessage="1" sqref="P8:P42" xr:uid="{00000000-0002-0000-1800-00000A000000}">
      <formula1>LenderList</formula1>
    </dataValidation>
    <dataValidation type="list" allowBlank="1" showErrorMessage="1" sqref="AA8:AA42" xr:uid="{00000000-0002-0000-1800-00000F000000}">
      <formula1>"Retail,Wholesale,Auction,Buyback,TBD"</formula1>
    </dataValidation>
    <dataValidation type="list" allowBlank="1" showErrorMessage="1" sqref="AF8:AF42" xr:uid="{00000000-0002-0000-1800-000010000000}">
      <formula1>AdSourceList</formula1>
    </dataValidation>
    <dataValidation type="list" allowBlank="1" showErrorMessage="1" sqref="AG8:AG42" xr:uid="{00000000-0002-0000-1800-000011000000}">
      <formula1>"Delivered,Pending,Unwind,Back Out"</formula1>
    </dataValidation>
    <dataValidation type="list" allowBlank="1" showErrorMessage="1" sqref="AM8:AO42" xr:uid="{00000000-0002-0000-1800-000013000000}">
      <formula1>"Y"</formula1>
    </dataValidation>
    <dataValidation type="decimal" allowBlank="1" showErrorMessage="1" error="Enter a dollar amount (numbers only)." sqref="Q8:R42" xr:uid="{00000000-0002-0000-1800-000014000000}">
      <formula1>-250000</formula1>
      <formula2>250000</formula2>
    </dataValidation>
    <dataValidation type="decimal" allowBlank="1" showErrorMessage="1" error="Enter a dollar amount (numbers only)." sqref="AB8:AB42" xr:uid="{00000000-0002-0000-18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8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374</v>
      </c>
      <c r="B1" s="108"/>
      <c r="C1" s="109"/>
      <c r="D1" s="105" t="s">
        <v>375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IF(TODAY()=DATE(2026,7,17),"●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16'!A1","◀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18'!A1","Next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376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377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16'!$C$62+$G$46</f>
        <v>0</v>
      </c>
    </row>
    <row r="63" spans="1:8" x14ac:dyDescent="0.25">
      <c r="A63" s="3" t="s">
        <v>308</v>
      </c>
      <c r="C63" s="26">
        <f>'Jul 16'!$C$63+$G$49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13</v>
      </c>
    </row>
    <row r="69" spans="1:8" x14ac:dyDescent="0.25">
      <c r="A69" s="3" t="s">
        <v>312</v>
      </c>
      <c r="C69" s="99" t="str">
        <f>IF($C$64="","-",IF($C$62&gt;=$C$64*15/27,"● AHEAD",IF($C$62&gt;=0.9*$C$64*15/27,"●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180" priority="2">
      <formula>MOD(ROW()-8,2)=1</formula>
    </cfRule>
    <cfRule type="expression" dxfId="179" priority="3">
      <formula>$AG8="Pending"</formula>
    </cfRule>
    <cfRule type="expression" dxfId="178" priority="4">
      <formula>OR($AG8="Unwind",$AG8="Back Out")</formula>
    </cfRule>
  </conditionalFormatting>
  <conditionalFormatting sqref="C56">
    <cfRule type="expression" dxfId="177" priority="9">
      <formula>N($C$56)&gt;0</formula>
    </cfRule>
  </conditionalFormatting>
  <conditionalFormatting sqref="C58">
    <cfRule type="expression" dxfId="176" priority="8">
      <formula>N($C$58)&gt;0</formula>
    </cfRule>
  </conditionalFormatting>
  <conditionalFormatting sqref="C69">
    <cfRule type="expression" dxfId="175" priority="10">
      <formula>OR(LEFT($C$69,1)="✓",$C$69="● AHEAD")</formula>
    </cfRule>
    <cfRule type="expression" dxfId="174" priority="11">
      <formula>$C$69="● ON PACE"</formula>
    </cfRule>
    <cfRule type="expression" dxfId="173" priority="12">
      <formula>OR($C$69="● BEHIND",LEFT($C$69,7)="● SHORT")</formula>
    </cfRule>
  </conditionalFormatting>
  <conditionalFormatting sqref="N8:N42">
    <cfRule type="expression" dxfId="171" priority="5">
      <formula>AND($A8="New",N8="Y")</formula>
    </cfRule>
  </conditionalFormatting>
  <conditionalFormatting sqref="R1">
    <cfRule type="expression" dxfId="170" priority="1">
      <formula>$R$1&lt;&gt;""</formula>
    </cfRule>
  </conditionalFormatting>
  <conditionalFormatting sqref="Y8:Y42">
    <cfRule type="expression" dxfId="169" priority="6">
      <formula>AND(Y8&lt;&gt;"",LEN(Y8)&lt;17)</formula>
    </cfRule>
  </conditionalFormatting>
  <dataValidations count="16">
    <dataValidation type="list" allowBlank="1" showErrorMessage="1" sqref="A8:A42" xr:uid="{00000000-0002-0000-1900-000000000000}">
      <formula1>"New,Used"</formula1>
    </dataValidation>
    <dataValidation type="list" allowBlank="1" showErrorMessage="1" sqref="F8:G42" xr:uid="{00000000-0002-0000-1900-000001000000}">
      <formula1>SalespeopleList</formula1>
    </dataValidation>
    <dataValidation type="list" allowBlank="1" showErrorMessage="1" sqref="H8:H42" xr:uid="{00000000-0002-0000-1900-000003000000}">
      <formula1>SalesManagerList</formula1>
    </dataValidation>
    <dataValidation type="list" allowBlank="1" showErrorMessage="1" sqref="I8:I42" xr:uid="{00000000-0002-0000-1900-000004000000}">
      <formula1>FinanceManagerList</formula1>
    </dataValidation>
    <dataValidation type="list" allowBlank="1" showErrorMessage="1" sqref="J8:J42 U8:U42" xr:uid="{00000000-0002-0000-1900-000005000000}">
      <formula1>VehicleYearList</formula1>
    </dataValidation>
    <dataValidation type="list" allowBlank="1" showErrorMessage="1" sqref="K8:K42 V8:V42" xr:uid="{00000000-0002-0000-1900-000006000000}">
      <formula1>MakeList</formula1>
    </dataValidation>
    <dataValidation type="list" allowBlank="1" showErrorMessage="1" sqref="L8:L42 W8:W42" xr:uid="{00000000-0002-0000-1900-000007000000}">
      <formula1>INDIRECT(SUBSTITUTE(SUBSTITUTE(SUBSTITUTE(K8," ","_"),"-","_"),".","_"))</formula1>
    </dataValidation>
    <dataValidation type="list" allowBlank="1" showErrorMessage="1" sqref="N8:N42" xr:uid="{00000000-0002-0000-1900-000008000000}">
      <formula1>IF($A8="New",N_ONLY,YN_LIST)</formula1>
    </dataValidation>
    <dataValidation type="list" allowBlank="1" showErrorMessage="1" sqref="O8:O42 AH8:AH42 Z8:Z42" xr:uid="{00000000-0002-0000-1900-000009000000}">
      <formula1>"Y,N"</formula1>
    </dataValidation>
    <dataValidation type="list" allowBlank="1" showErrorMessage="1" sqref="P8:P42" xr:uid="{00000000-0002-0000-1900-00000A000000}">
      <formula1>LenderList</formula1>
    </dataValidation>
    <dataValidation type="list" allowBlank="1" showErrorMessage="1" sqref="AA8:AA42" xr:uid="{00000000-0002-0000-1900-00000F000000}">
      <formula1>"Retail,Wholesale,Auction,Buyback,TBD"</formula1>
    </dataValidation>
    <dataValidation type="list" allowBlank="1" showErrorMessage="1" sqref="AF8:AF42" xr:uid="{00000000-0002-0000-1900-000010000000}">
      <formula1>AdSourceList</formula1>
    </dataValidation>
    <dataValidation type="list" allowBlank="1" showErrorMessage="1" sqref="AG8:AG42" xr:uid="{00000000-0002-0000-1900-000011000000}">
      <formula1>"Delivered,Pending,Unwind,Back Out"</formula1>
    </dataValidation>
    <dataValidation type="list" allowBlank="1" showErrorMessage="1" sqref="AM8:AO42" xr:uid="{00000000-0002-0000-1900-000013000000}">
      <formula1>"Y"</formula1>
    </dataValidation>
    <dataValidation type="decimal" allowBlank="1" showErrorMessage="1" error="Enter a dollar amount (numbers only)." sqref="Q8:R42" xr:uid="{00000000-0002-0000-1900-000014000000}">
      <formula1>-250000</formula1>
      <formula2>250000</formula2>
    </dataValidation>
    <dataValidation type="decimal" allowBlank="1" showErrorMessage="1" error="Enter a dollar amount (numbers only)." sqref="AB8:AB42" xr:uid="{00000000-0002-0000-19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9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378</v>
      </c>
      <c r="B1" s="108"/>
      <c r="C1" s="109"/>
      <c r="D1" s="105" t="s">
        <v>379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IF(TODAY()=DATE(2026,7,18),"●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17'!A1","◀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19'!A1","Next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380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381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17'!$C$62+$G$46</f>
        <v>0</v>
      </c>
    </row>
    <row r="63" spans="1:8" x14ac:dyDescent="0.25">
      <c r="A63" s="3" t="s">
        <v>308</v>
      </c>
      <c r="C63" s="26">
        <f>'Jul 17'!$C$63+$G$49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12</v>
      </c>
    </row>
    <row r="69" spans="1:8" x14ac:dyDescent="0.25">
      <c r="A69" s="3" t="s">
        <v>312</v>
      </c>
      <c r="C69" s="99" t="str">
        <f>IF($C$64="","-",IF($C$62&gt;=$C$64*16/27,"● AHEAD",IF($C$62&gt;=0.9*$C$64*16/27,"●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168" priority="2">
      <formula>MOD(ROW()-8,2)=1</formula>
    </cfRule>
    <cfRule type="expression" dxfId="167" priority="3">
      <formula>$AG8="Pending"</formula>
    </cfRule>
    <cfRule type="expression" dxfId="166" priority="4">
      <formula>OR($AG8="Unwind",$AG8="Back Out")</formula>
    </cfRule>
  </conditionalFormatting>
  <conditionalFormatting sqref="C56">
    <cfRule type="expression" dxfId="165" priority="9">
      <formula>N($C$56)&gt;0</formula>
    </cfRule>
  </conditionalFormatting>
  <conditionalFormatting sqref="C58">
    <cfRule type="expression" dxfId="164" priority="8">
      <formula>N($C$58)&gt;0</formula>
    </cfRule>
  </conditionalFormatting>
  <conditionalFormatting sqref="C69">
    <cfRule type="expression" dxfId="163" priority="10">
      <formula>OR(LEFT($C$69,1)="✓",$C$69="● AHEAD")</formula>
    </cfRule>
    <cfRule type="expression" dxfId="162" priority="11">
      <formula>$C$69="● ON PACE"</formula>
    </cfRule>
    <cfRule type="expression" dxfId="161" priority="12">
      <formula>OR($C$69="● BEHIND",LEFT($C$69,7)="● SHORT")</formula>
    </cfRule>
  </conditionalFormatting>
  <conditionalFormatting sqref="N8:N42">
    <cfRule type="expression" dxfId="159" priority="5">
      <formula>AND($A8="New",N8="Y")</formula>
    </cfRule>
  </conditionalFormatting>
  <conditionalFormatting sqref="R1">
    <cfRule type="expression" dxfId="158" priority="1">
      <formula>$R$1&lt;&gt;""</formula>
    </cfRule>
  </conditionalFormatting>
  <conditionalFormatting sqref="Y8:Y42">
    <cfRule type="expression" dxfId="157" priority="6">
      <formula>AND(Y8&lt;&gt;"",LEN(Y8)&lt;17)</formula>
    </cfRule>
  </conditionalFormatting>
  <dataValidations count="16">
    <dataValidation type="list" allowBlank="1" showErrorMessage="1" sqref="A8:A42" xr:uid="{00000000-0002-0000-1A00-000000000000}">
      <formula1>"New,Used"</formula1>
    </dataValidation>
    <dataValidation type="list" allowBlank="1" showErrorMessage="1" sqref="F8:G42" xr:uid="{00000000-0002-0000-1A00-000001000000}">
      <formula1>SalespeopleList</formula1>
    </dataValidation>
    <dataValidation type="list" allowBlank="1" showErrorMessage="1" sqref="H8:H42" xr:uid="{00000000-0002-0000-1A00-000003000000}">
      <formula1>SalesManagerList</formula1>
    </dataValidation>
    <dataValidation type="list" allowBlank="1" showErrorMessage="1" sqref="I8:I42" xr:uid="{00000000-0002-0000-1A00-000004000000}">
      <formula1>FinanceManagerList</formula1>
    </dataValidation>
    <dataValidation type="list" allowBlank="1" showErrorMessage="1" sqref="J8:J42 U8:U42" xr:uid="{00000000-0002-0000-1A00-000005000000}">
      <formula1>VehicleYearList</formula1>
    </dataValidation>
    <dataValidation type="list" allowBlank="1" showErrorMessage="1" sqref="K8:K42 V8:V42" xr:uid="{00000000-0002-0000-1A00-000006000000}">
      <formula1>MakeList</formula1>
    </dataValidation>
    <dataValidation type="list" allowBlank="1" showErrorMessage="1" sqref="L8:L42 W8:W42" xr:uid="{00000000-0002-0000-1A00-000007000000}">
      <formula1>INDIRECT(SUBSTITUTE(SUBSTITUTE(SUBSTITUTE(K8," ","_"),"-","_"),".","_"))</formula1>
    </dataValidation>
    <dataValidation type="list" allowBlank="1" showErrorMessage="1" sqref="N8:N42" xr:uid="{00000000-0002-0000-1A00-000008000000}">
      <formula1>IF($A8="New",N_ONLY,YN_LIST)</formula1>
    </dataValidation>
    <dataValidation type="list" allowBlank="1" showErrorMessage="1" sqref="O8:O42 AH8:AH42 Z8:Z42" xr:uid="{00000000-0002-0000-1A00-000009000000}">
      <formula1>"Y,N"</formula1>
    </dataValidation>
    <dataValidation type="list" allowBlank="1" showErrorMessage="1" sqref="P8:P42" xr:uid="{00000000-0002-0000-1A00-00000A000000}">
      <formula1>LenderList</formula1>
    </dataValidation>
    <dataValidation type="list" allowBlank="1" showErrorMessage="1" sqref="AA8:AA42" xr:uid="{00000000-0002-0000-1A00-00000F000000}">
      <formula1>"Retail,Wholesale,Auction,Buyback,TBD"</formula1>
    </dataValidation>
    <dataValidation type="list" allowBlank="1" showErrorMessage="1" sqref="AF8:AF42" xr:uid="{00000000-0002-0000-1A00-000010000000}">
      <formula1>AdSourceList</formula1>
    </dataValidation>
    <dataValidation type="list" allowBlank="1" showErrorMessage="1" sqref="AG8:AG42" xr:uid="{00000000-0002-0000-1A00-000011000000}">
      <formula1>"Delivered,Pending,Unwind,Back Out"</formula1>
    </dataValidation>
    <dataValidation type="list" allowBlank="1" showErrorMessage="1" sqref="AM8:AO42" xr:uid="{00000000-0002-0000-1A00-000013000000}">
      <formula1>"Y"</formula1>
    </dataValidation>
    <dataValidation type="decimal" allowBlank="1" showErrorMessage="1" error="Enter a dollar amount (numbers only)." sqref="Q8:R42" xr:uid="{00000000-0002-0000-1A00-000014000000}">
      <formula1>-250000</formula1>
      <formula2>250000</formula2>
    </dataValidation>
    <dataValidation type="decimal" allowBlank="1" showErrorMessage="1" error="Enter a dollar amount (numbers only)." sqref="AB8:AB42" xr:uid="{00000000-0002-0000-1A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A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B8C4DC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382</v>
      </c>
      <c r="B1" s="108"/>
      <c r="C1" s="109"/>
      <c r="D1" s="105" t="s">
        <v>383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IF(TODAY()=DATE(2026,7,19),"●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327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18'!A1","◀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20'!A1","Next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384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385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18'!$C$62+$G$46</f>
        <v>0</v>
      </c>
    </row>
    <row r="63" spans="1:8" x14ac:dyDescent="0.25">
      <c r="A63" s="3" t="s">
        <v>308</v>
      </c>
      <c r="C63" s="26">
        <f>'Jul 18'!$C$63+$G$49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11</v>
      </c>
    </row>
    <row r="69" spans="1:8" x14ac:dyDescent="0.25">
      <c r="A69" s="3" t="s">
        <v>312</v>
      </c>
      <c r="C69" s="99" t="str">
        <f>IF($C$64="","-",IF($C$62&gt;=$C$64*16/27,"● AHEAD",IF($C$62&gt;=0.9*$C$64*16/27,"●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156" priority="2">
      <formula>MOD(ROW()-8,2)=1</formula>
    </cfRule>
    <cfRule type="expression" dxfId="155" priority="3">
      <formula>$AG8="Pending"</formula>
    </cfRule>
    <cfRule type="expression" dxfId="154" priority="4">
      <formula>OR($AG8="Unwind",$AG8="Back Out")</formula>
    </cfRule>
  </conditionalFormatting>
  <conditionalFormatting sqref="C56">
    <cfRule type="expression" dxfId="153" priority="9">
      <formula>N($C$56)&gt;0</formula>
    </cfRule>
  </conditionalFormatting>
  <conditionalFormatting sqref="C58">
    <cfRule type="expression" dxfId="152" priority="8">
      <formula>N($C$58)&gt;0</formula>
    </cfRule>
  </conditionalFormatting>
  <conditionalFormatting sqref="C69">
    <cfRule type="expression" dxfId="151" priority="10">
      <formula>OR(LEFT($C$69,1)="✓",$C$69="● AHEAD")</formula>
    </cfRule>
    <cfRule type="expression" dxfId="150" priority="11">
      <formula>$C$69="● ON PACE"</formula>
    </cfRule>
    <cfRule type="expression" dxfId="149" priority="12">
      <formula>OR($C$69="● BEHIND",LEFT($C$69,7)="● SHORT")</formula>
    </cfRule>
  </conditionalFormatting>
  <conditionalFormatting sqref="N8:N42">
    <cfRule type="expression" dxfId="147" priority="5">
      <formula>AND($A8="New",N8="Y")</formula>
    </cfRule>
  </conditionalFormatting>
  <conditionalFormatting sqref="R1">
    <cfRule type="expression" dxfId="146" priority="1">
      <formula>$R$1&lt;&gt;""</formula>
    </cfRule>
  </conditionalFormatting>
  <conditionalFormatting sqref="Y8:Y42">
    <cfRule type="expression" dxfId="145" priority="6">
      <formula>AND(Y8&lt;&gt;"",LEN(Y8)&lt;17)</formula>
    </cfRule>
  </conditionalFormatting>
  <dataValidations count="16">
    <dataValidation type="list" allowBlank="1" showErrorMessage="1" sqref="A8:A42" xr:uid="{00000000-0002-0000-1B00-000000000000}">
      <formula1>"New,Used"</formula1>
    </dataValidation>
    <dataValidation type="list" allowBlank="1" showErrorMessage="1" sqref="F8:G42" xr:uid="{00000000-0002-0000-1B00-000001000000}">
      <formula1>SalespeopleList</formula1>
    </dataValidation>
    <dataValidation type="list" allowBlank="1" showErrorMessage="1" sqref="H8:H42" xr:uid="{00000000-0002-0000-1B00-000003000000}">
      <formula1>SalesManagerList</formula1>
    </dataValidation>
    <dataValidation type="list" allowBlank="1" showErrorMessage="1" sqref="I8:I42" xr:uid="{00000000-0002-0000-1B00-000004000000}">
      <formula1>FinanceManagerList</formula1>
    </dataValidation>
    <dataValidation type="list" allowBlank="1" showErrorMessage="1" sqref="J8:J42 U8:U42" xr:uid="{00000000-0002-0000-1B00-000005000000}">
      <formula1>VehicleYearList</formula1>
    </dataValidation>
    <dataValidation type="list" allowBlank="1" showErrorMessage="1" sqref="K8:K42 V8:V42" xr:uid="{00000000-0002-0000-1B00-000006000000}">
      <formula1>MakeList</formula1>
    </dataValidation>
    <dataValidation type="list" allowBlank="1" showErrorMessage="1" sqref="L8:L42 W8:W42" xr:uid="{00000000-0002-0000-1B00-000007000000}">
      <formula1>INDIRECT(SUBSTITUTE(SUBSTITUTE(SUBSTITUTE(K8," ","_"),"-","_"),".","_"))</formula1>
    </dataValidation>
    <dataValidation type="list" allowBlank="1" showErrorMessage="1" sqref="N8:N42" xr:uid="{00000000-0002-0000-1B00-000008000000}">
      <formula1>IF($A8="New",N_ONLY,YN_LIST)</formula1>
    </dataValidation>
    <dataValidation type="list" allowBlank="1" showErrorMessage="1" sqref="O8:O42 AH8:AH42 Z8:Z42" xr:uid="{00000000-0002-0000-1B00-000009000000}">
      <formula1>"Y,N"</formula1>
    </dataValidation>
    <dataValidation type="list" allowBlank="1" showErrorMessage="1" sqref="P8:P42" xr:uid="{00000000-0002-0000-1B00-00000A000000}">
      <formula1>LenderList</formula1>
    </dataValidation>
    <dataValidation type="list" allowBlank="1" showErrorMessage="1" sqref="AA8:AA42" xr:uid="{00000000-0002-0000-1B00-00000F000000}">
      <formula1>"Retail,Wholesale,Auction,Buyback,TBD"</formula1>
    </dataValidation>
    <dataValidation type="list" allowBlank="1" showErrorMessage="1" sqref="AF8:AF42" xr:uid="{00000000-0002-0000-1B00-000010000000}">
      <formula1>AdSourceList</formula1>
    </dataValidation>
    <dataValidation type="list" allowBlank="1" showErrorMessage="1" sqref="AG8:AG42" xr:uid="{00000000-0002-0000-1B00-000011000000}">
      <formula1>"Delivered,Pending,Unwind,Back Out"</formula1>
    </dataValidation>
    <dataValidation type="list" allowBlank="1" showErrorMessage="1" sqref="AM8:AO42" xr:uid="{00000000-0002-0000-1B00-000013000000}">
      <formula1>"Y"</formula1>
    </dataValidation>
    <dataValidation type="decimal" allowBlank="1" showErrorMessage="1" error="Enter a dollar amount (numbers only)." sqref="Q8:R42" xr:uid="{00000000-0002-0000-1B00-000014000000}">
      <formula1>-250000</formula1>
      <formula2>250000</formula2>
    </dataValidation>
    <dataValidation type="decimal" allowBlank="1" showErrorMessage="1" error="Enter a dollar amount (numbers only)." sqref="AB8:AB42" xr:uid="{00000000-0002-0000-1B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B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386</v>
      </c>
      <c r="B1" s="108"/>
      <c r="C1" s="109"/>
      <c r="D1" s="105" t="s">
        <v>387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IF(TODAY()=DATE(2026,7,20),"●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19'!A1","◀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21'!A1","Next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388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389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19'!$C$62+$G$46</f>
        <v>0</v>
      </c>
    </row>
    <row r="63" spans="1:8" x14ac:dyDescent="0.25">
      <c r="A63" s="3" t="s">
        <v>308</v>
      </c>
      <c r="C63" s="26">
        <f>'Jul 19'!$C$63+$G$49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11</v>
      </c>
    </row>
    <row r="69" spans="1:8" x14ac:dyDescent="0.25">
      <c r="A69" s="3" t="s">
        <v>312</v>
      </c>
      <c r="C69" s="99" t="str">
        <f>IF($C$64="","-",IF($C$62&gt;=$C$64*17/27,"● AHEAD",IF($C$62&gt;=0.9*$C$64*17/27,"●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144" priority="2">
      <formula>MOD(ROW()-8,2)=1</formula>
    </cfRule>
    <cfRule type="expression" dxfId="143" priority="3">
      <formula>$AG8="Pending"</formula>
    </cfRule>
    <cfRule type="expression" dxfId="142" priority="4">
      <formula>OR($AG8="Unwind",$AG8="Back Out")</formula>
    </cfRule>
  </conditionalFormatting>
  <conditionalFormatting sqref="C56">
    <cfRule type="expression" dxfId="141" priority="9">
      <formula>N($C$56)&gt;0</formula>
    </cfRule>
  </conditionalFormatting>
  <conditionalFormatting sqref="C58">
    <cfRule type="expression" dxfId="140" priority="8">
      <formula>N($C$58)&gt;0</formula>
    </cfRule>
  </conditionalFormatting>
  <conditionalFormatting sqref="C69">
    <cfRule type="expression" dxfId="139" priority="10">
      <formula>OR(LEFT($C$69,1)="✓",$C$69="● AHEAD")</formula>
    </cfRule>
    <cfRule type="expression" dxfId="138" priority="11">
      <formula>$C$69="● ON PACE"</formula>
    </cfRule>
    <cfRule type="expression" dxfId="137" priority="12">
      <formula>OR($C$69="● BEHIND",LEFT($C$69,7)="● SHORT")</formula>
    </cfRule>
  </conditionalFormatting>
  <conditionalFormatting sqref="N8:N42">
    <cfRule type="expression" dxfId="135" priority="5">
      <formula>AND($A8="New",N8="Y")</formula>
    </cfRule>
  </conditionalFormatting>
  <conditionalFormatting sqref="R1">
    <cfRule type="expression" dxfId="134" priority="1">
      <formula>$R$1&lt;&gt;""</formula>
    </cfRule>
  </conditionalFormatting>
  <conditionalFormatting sqref="Y8:Y42">
    <cfRule type="expression" dxfId="133" priority="6">
      <formula>AND(Y8&lt;&gt;"",LEN(Y8)&lt;17)</formula>
    </cfRule>
  </conditionalFormatting>
  <dataValidations count="16">
    <dataValidation type="list" allowBlank="1" showErrorMessage="1" sqref="A8:A42" xr:uid="{00000000-0002-0000-1C00-000000000000}">
      <formula1>"New,Used"</formula1>
    </dataValidation>
    <dataValidation type="list" allowBlank="1" showErrorMessage="1" sqref="F8:G42" xr:uid="{00000000-0002-0000-1C00-000001000000}">
      <formula1>SalespeopleList</formula1>
    </dataValidation>
    <dataValidation type="list" allowBlank="1" showErrorMessage="1" sqref="H8:H42" xr:uid="{00000000-0002-0000-1C00-000003000000}">
      <formula1>SalesManagerList</formula1>
    </dataValidation>
    <dataValidation type="list" allowBlank="1" showErrorMessage="1" sqref="I8:I42" xr:uid="{00000000-0002-0000-1C00-000004000000}">
      <formula1>FinanceManagerList</formula1>
    </dataValidation>
    <dataValidation type="list" allowBlank="1" showErrorMessage="1" sqref="J8:J42 U8:U42" xr:uid="{00000000-0002-0000-1C00-000005000000}">
      <formula1>VehicleYearList</formula1>
    </dataValidation>
    <dataValidation type="list" allowBlank="1" showErrorMessage="1" sqref="K8:K42 V8:V42" xr:uid="{00000000-0002-0000-1C00-000006000000}">
      <formula1>MakeList</formula1>
    </dataValidation>
    <dataValidation type="list" allowBlank="1" showErrorMessage="1" sqref="L8:L42 W8:W42" xr:uid="{00000000-0002-0000-1C00-000007000000}">
      <formula1>INDIRECT(SUBSTITUTE(SUBSTITUTE(SUBSTITUTE(K8," ","_"),"-","_"),".","_"))</formula1>
    </dataValidation>
    <dataValidation type="list" allowBlank="1" showErrorMessage="1" sqref="N8:N42" xr:uid="{00000000-0002-0000-1C00-000008000000}">
      <formula1>IF($A8="New",N_ONLY,YN_LIST)</formula1>
    </dataValidation>
    <dataValidation type="list" allowBlank="1" showErrorMessage="1" sqref="O8:O42 AH8:AH42 Z8:Z42" xr:uid="{00000000-0002-0000-1C00-000009000000}">
      <formula1>"Y,N"</formula1>
    </dataValidation>
    <dataValidation type="list" allowBlank="1" showErrorMessage="1" sqref="P8:P42" xr:uid="{00000000-0002-0000-1C00-00000A000000}">
      <formula1>LenderList</formula1>
    </dataValidation>
    <dataValidation type="list" allowBlank="1" showErrorMessage="1" sqref="AA8:AA42" xr:uid="{00000000-0002-0000-1C00-00000F000000}">
      <formula1>"Retail,Wholesale,Auction,Buyback,TBD"</formula1>
    </dataValidation>
    <dataValidation type="list" allowBlank="1" showErrorMessage="1" sqref="AF8:AF42" xr:uid="{00000000-0002-0000-1C00-000010000000}">
      <formula1>AdSourceList</formula1>
    </dataValidation>
    <dataValidation type="list" allowBlank="1" showErrorMessage="1" sqref="AG8:AG42" xr:uid="{00000000-0002-0000-1C00-000011000000}">
      <formula1>"Delivered,Pending,Unwind,Back Out"</formula1>
    </dataValidation>
    <dataValidation type="list" allowBlank="1" showErrorMessage="1" sqref="AM8:AO42" xr:uid="{00000000-0002-0000-1C00-000013000000}">
      <formula1>"Y"</formula1>
    </dataValidation>
    <dataValidation type="decimal" allowBlank="1" showErrorMessage="1" error="Enter a dollar amount (numbers only)." sqref="Q8:R42" xr:uid="{00000000-0002-0000-1C00-000014000000}">
      <formula1>-250000</formula1>
      <formula2>250000</formula2>
    </dataValidation>
    <dataValidation type="decimal" allowBlank="1" showErrorMessage="1" error="Enter a dollar amount (numbers only)." sqref="AB8:AB42" xr:uid="{00000000-0002-0000-1C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C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390</v>
      </c>
      <c r="B1" s="108"/>
      <c r="C1" s="109"/>
      <c r="D1" s="105" t="s">
        <v>391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IF(TODAY()=DATE(2026,7,21),"●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20'!A1","◀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22'!A1","Next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392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393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20'!$C$62+$G$46</f>
        <v>0</v>
      </c>
    </row>
    <row r="63" spans="1:8" x14ac:dyDescent="0.25">
      <c r="A63" s="3" t="s">
        <v>308</v>
      </c>
      <c r="C63" s="26">
        <f>'Jul 20'!$C$63+$G$49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10</v>
      </c>
    </row>
    <row r="69" spans="1:8" x14ac:dyDescent="0.25">
      <c r="A69" s="3" t="s">
        <v>312</v>
      </c>
      <c r="C69" s="99" t="str">
        <f>IF($C$64="","-",IF($C$62&gt;=$C$64*18/27,"● AHEAD",IF($C$62&gt;=0.9*$C$64*18/27,"●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132" priority="2">
      <formula>MOD(ROW()-8,2)=1</formula>
    </cfRule>
    <cfRule type="expression" dxfId="131" priority="3">
      <formula>$AG8="Pending"</formula>
    </cfRule>
    <cfRule type="expression" dxfId="130" priority="4">
      <formula>OR($AG8="Unwind",$AG8="Back Out")</formula>
    </cfRule>
  </conditionalFormatting>
  <conditionalFormatting sqref="C56">
    <cfRule type="expression" dxfId="129" priority="9">
      <formula>N($C$56)&gt;0</formula>
    </cfRule>
  </conditionalFormatting>
  <conditionalFormatting sqref="C58">
    <cfRule type="expression" dxfId="128" priority="8">
      <formula>N($C$58)&gt;0</formula>
    </cfRule>
  </conditionalFormatting>
  <conditionalFormatting sqref="C69">
    <cfRule type="expression" dxfId="127" priority="10">
      <formula>OR(LEFT($C$69,1)="✓",$C$69="● AHEAD")</formula>
    </cfRule>
    <cfRule type="expression" dxfId="126" priority="11">
      <formula>$C$69="● ON PACE"</formula>
    </cfRule>
    <cfRule type="expression" dxfId="125" priority="12">
      <formula>OR($C$69="● BEHIND",LEFT($C$69,7)="● SHORT")</formula>
    </cfRule>
  </conditionalFormatting>
  <conditionalFormatting sqref="N8:N42">
    <cfRule type="expression" dxfId="123" priority="5">
      <formula>AND($A8="New",N8="Y")</formula>
    </cfRule>
  </conditionalFormatting>
  <conditionalFormatting sqref="R1">
    <cfRule type="expression" dxfId="122" priority="1">
      <formula>$R$1&lt;&gt;""</formula>
    </cfRule>
  </conditionalFormatting>
  <conditionalFormatting sqref="Y8:Y42">
    <cfRule type="expression" dxfId="121" priority="6">
      <formula>AND(Y8&lt;&gt;"",LEN(Y8)&lt;17)</formula>
    </cfRule>
  </conditionalFormatting>
  <dataValidations count="16">
    <dataValidation type="list" allowBlank="1" showErrorMessage="1" sqref="A8:A42" xr:uid="{00000000-0002-0000-1D00-000000000000}">
      <formula1>"New,Used"</formula1>
    </dataValidation>
    <dataValidation type="list" allowBlank="1" showErrorMessage="1" sqref="F8:G42" xr:uid="{00000000-0002-0000-1D00-000001000000}">
      <formula1>SalespeopleList</formula1>
    </dataValidation>
    <dataValidation type="list" allowBlank="1" showErrorMessage="1" sqref="H8:H42" xr:uid="{00000000-0002-0000-1D00-000003000000}">
      <formula1>SalesManagerList</formula1>
    </dataValidation>
    <dataValidation type="list" allowBlank="1" showErrorMessage="1" sqref="I8:I42" xr:uid="{00000000-0002-0000-1D00-000004000000}">
      <formula1>FinanceManagerList</formula1>
    </dataValidation>
    <dataValidation type="list" allowBlank="1" showErrorMessage="1" sqref="J8:J42 U8:U42" xr:uid="{00000000-0002-0000-1D00-000005000000}">
      <formula1>VehicleYearList</formula1>
    </dataValidation>
    <dataValidation type="list" allowBlank="1" showErrorMessage="1" sqref="K8:K42 V8:V42" xr:uid="{00000000-0002-0000-1D00-000006000000}">
      <formula1>MakeList</formula1>
    </dataValidation>
    <dataValidation type="list" allowBlank="1" showErrorMessage="1" sqref="L8:L42 W8:W42" xr:uid="{00000000-0002-0000-1D00-000007000000}">
      <formula1>INDIRECT(SUBSTITUTE(SUBSTITUTE(SUBSTITUTE(K8," ","_"),"-","_"),".","_"))</formula1>
    </dataValidation>
    <dataValidation type="list" allowBlank="1" showErrorMessage="1" sqref="N8:N42" xr:uid="{00000000-0002-0000-1D00-000008000000}">
      <formula1>IF($A8="New",N_ONLY,YN_LIST)</formula1>
    </dataValidation>
    <dataValidation type="list" allowBlank="1" showErrorMessage="1" sqref="O8:O42 AH8:AH42 Z8:Z42" xr:uid="{00000000-0002-0000-1D00-000009000000}">
      <formula1>"Y,N"</formula1>
    </dataValidation>
    <dataValidation type="list" allowBlank="1" showErrorMessage="1" sqref="P8:P42" xr:uid="{00000000-0002-0000-1D00-00000A000000}">
      <formula1>LenderList</formula1>
    </dataValidation>
    <dataValidation type="list" allowBlank="1" showErrorMessage="1" sqref="AA8:AA42" xr:uid="{00000000-0002-0000-1D00-00000F000000}">
      <formula1>"Retail,Wholesale,Auction,Buyback,TBD"</formula1>
    </dataValidation>
    <dataValidation type="list" allowBlank="1" showErrorMessage="1" sqref="AF8:AF42" xr:uid="{00000000-0002-0000-1D00-000010000000}">
      <formula1>AdSourceList</formula1>
    </dataValidation>
    <dataValidation type="list" allowBlank="1" showErrorMessage="1" sqref="AG8:AG42" xr:uid="{00000000-0002-0000-1D00-000011000000}">
      <formula1>"Delivered,Pending,Unwind,Back Out"</formula1>
    </dataValidation>
    <dataValidation type="list" allowBlank="1" showErrorMessage="1" sqref="AM8:AO42" xr:uid="{00000000-0002-0000-1D00-000013000000}">
      <formula1>"Y"</formula1>
    </dataValidation>
    <dataValidation type="decimal" allowBlank="1" showErrorMessage="1" error="Enter a dollar amount (numbers only)." sqref="Q8:R42" xr:uid="{00000000-0002-0000-1D00-000014000000}">
      <formula1>-250000</formula1>
      <formula2>250000</formula2>
    </dataValidation>
    <dataValidation type="decimal" allowBlank="1" showErrorMessage="1" error="Enter a dollar amount (numbers only)." sqref="AB8:AB42" xr:uid="{00000000-0002-0000-1D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D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394</v>
      </c>
      <c r="B1" s="108"/>
      <c r="C1" s="109"/>
      <c r="D1" s="105" t="s">
        <v>395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IF(TODAY()=DATE(2026,7,22),"●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21'!A1","◀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23'!A1","Next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396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397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21'!$C$62+$G$46</f>
        <v>0</v>
      </c>
    </row>
    <row r="63" spans="1:8" x14ac:dyDescent="0.25">
      <c r="A63" s="3" t="s">
        <v>308</v>
      </c>
      <c r="C63" s="26">
        <f>'Jul 21'!$C$63+$G$49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9</v>
      </c>
    </row>
    <row r="69" spans="1:8" x14ac:dyDescent="0.25">
      <c r="A69" s="3" t="s">
        <v>312</v>
      </c>
      <c r="C69" s="99" t="str">
        <f>IF($C$64="","-",IF($C$62&gt;=$C$64*19/27,"● AHEAD",IF($C$62&gt;=0.9*$C$64*19/27,"●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120" priority="2">
      <formula>MOD(ROW()-8,2)=1</formula>
    </cfRule>
    <cfRule type="expression" dxfId="119" priority="3">
      <formula>$AG8="Pending"</formula>
    </cfRule>
    <cfRule type="expression" dxfId="118" priority="4">
      <formula>OR($AG8="Unwind",$AG8="Back Out")</formula>
    </cfRule>
  </conditionalFormatting>
  <conditionalFormatting sqref="C56">
    <cfRule type="expression" dxfId="117" priority="9">
      <formula>N($C$56)&gt;0</formula>
    </cfRule>
  </conditionalFormatting>
  <conditionalFormatting sqref="C58">
    <cfRule type="expression" dxfId="116" priority="8">
      <formula>N($C$58)&gt;0</formula>
    </cfRule>
  </conditionalFormatting>
  <conditionalFormatting sqref="C69">
    <cfRule type="expression" dxfId="115" priority="10">
      <formula>OR(LEFT($C$69,1)="✓",$C$69="● AHEAD")</formula>
    </cfRule>
    <cfRule type="expression" dxfId="114" priority="11">
      <formula>$C$69="● ON PACE"</formula>
    </cfRule>
    <cfRule type="expression" dxfId="113" priority="12">
      <formula>OR($C$69="● BEHIND",LEFT($C$69,7)="● SHORT")</formula>
    </cfRule>
  </conditionalFormatting>
  <conditionalFormatting sqref="N8:N42">
    <cfRule type="expression" dxfId="111" priority="5">
      <formula>AND($A8="New",N8="Y")</formula>
    </cfRule>
  </conditionalFormatting>
  <conditionalFormatting sqref="R1">
    <cfRule type="expression" dxfId="110" priority="1">
      <formula>$R$1&lt;&gt;""</formula>
    </cfRule>
  </conditionalFormatting>
  <conditionalFormatting sqref="Y8:Y42">
    <cfRule type="expression" dxfId="109" priority="6">
      <formula>AND(Y8&lt;&gt;"",LEN(Y8)&lt;17)</formula>
    </cfRule>
  </conditionalFormatting>
  <dataValidations count="16">
    <dataValidation type="list" allowBlank="1" showErrorMessage="1" sqref="A8:A42" xr:uid="{00000000-0002-0000-1E00-000000000000}">
      <formula1>"New,Used"</formula1>
    </dataValidation>
    <dataValidation type="list" allowBlank="1" showErrorMessage="1" sqref="F8:G42" xr:uid="{00000000-0002-0000-1E00-000001000000}">
      <formula1>SalespeopleList</formula1>
    </dataValidation>
    <dataValidation type="list" allowBlank="1" showErrorMessage="1" sqref="H8:H42" xr:uid="{00000000-0002-0000-1E00-000003000000}">
      <formula1>SalesManagerList</formula1>
    </dataValidation>
    <dataValidation type="list" allowBlank="1" showErrorMessage="1" sqref="I8:I42" xr:uid="{00000000-0002-0000-1E00-000004000000}">
      <formula1>FinanceManagerList</formula1>
    </dataValidation>
    <dataValidation type="list" allowBlank="1" showErrorMessage="1" sqref="J8:J42 U8:U42" xr:uid="{00000000-0002-0000-1E00-000005000000}">
      <formula1>VehicleYearList</formula1>
    </dataValidation>
    <dataValidation type="list" allowBlank="1" showErrorMessage="1" sqref="K8:K42 V8:V42" xr:uid="{00000000-0002-0000-1E00-000006000000}">
      <formula1>MakeList</formula1>
    </dataValidation>
    <dataValidation type="list" allowBlank="1" showErrorMessage="1" sqref="L8:L42 W8:W42" xr:uid="{00000000-0002-0000-1E00-000007000000}">
      <formula1>INDIRECT(SUBSTITUTE(SUBSTITUTE(SUBSTITUTE(K8," ","_"),"-","_"),".","_"))</formula1>
    </dataValidation>
    <dataValidation type="list" allowBlank="1" showErrorMessage="1" sqref="N8:N42" xr:uid="{00000000-0002-0000-1E00-000008000000}">
      <formula1>IF($A8="New",N_ONLY,YN_LIST)</formula1>
    </dataValidation>
    <dataValidation type="list" allowBlank="1" showErrorMessage="1" sqref="O8:O42 AH8:AH42 Z8:Z42" xr:uid="{00000000-0002-0000-1E00-000009000000}">
      <formula1>"Y,N"</formula1>
    </dataValidation>
    <dataValidation type="list" allowBlank="1" showErrorMessage="1" sqref="P8:P42" xr:uid="{00000000-0002-0000-1E00-00000A000000}">
      <formula1>LenderList</formula1>
    </dataValidation>
    <dataValidation type="list" allowBlank="1" showErrorMessage="1" sqref="AA8:AA42" xr:uid="{00000000-0002-0000-1E00-00000F000000}">
      <formula1>"Retail,Wholesale,Auction,Buyback,TBD"</formula1>
    </dataValidation>
    <dataValidation type="list" allowBlank="1" showErrorMessage="1" sqref="AF8:AF42" xr:uid="{00000000-0002-0000-1E00-000010000000}">
      <formula1>AdSourceList</formula1>
    </dataValidation>
    <dataValidation type="list" allowBlank="1" showErrorMessage="1" sqref="AG8:AG42" xr:uid="{00000000-0002-0000-1E00-000011000000}">
      <formula1>"Delivered,Pending,Unwind,Back Out"</formula1>
    </dataValidation>
    <dataValidation type="list" allowBlank="1" showErrorMessage="1" sqref="AM8:AO42" xr:uid="{00000000-0002-0000-1E00-000013000000}">
      <formula1>"Y"</formula1>
    </dataValidation>
    <dataValidation type="decimal" allowBlank="1" showErrorMessage="1" error="Enter a dollar amount (numbers only)." sqref="Q8:R42" xr:uid="{00000000-0002-0000-1E00-000014000000}">
      <formula1>-250000</formula1>
      <formula2>250000</formula2>
    </dataValidation>
    <dataValidation type="decimal" allowBlank="1" showErrorMessage="1" error="Enter a dollar amount (numbers only)." sqref="AB8:AB42" xr:uid="{00000000-0002-0000-1E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E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398</v>
      </c>
      <c r="B1" s="108"/>
      <c r="C1" s="109"/>
      <c r="D1" s="105" t="s">
        <v>399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IF(TODAY()=DATE(2026,7,23),"●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22'!A1","◀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24'!A1","Next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400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401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22'!$C$62+$G$46</f>
        <v>0</v>
      </c>
    </row>
    <row r="63" spans="1:8" x14ac:dyDescent="0.25">
      <c r="A63" s="3" t="s">
        <v>308</v>
      </c>
      <c r="C63" s="26">
        <f>'Jul 22'!$C$63+$G$49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8</v>
      </c>
    </row>
    <row r="69" spans="1:8" x14ac:dyDescent="0.25">
      <c r="A69" s="3" t="s">
        <v>312</v>
      </c>
      <c r="C69" s="99" t="str">
        <f>IF($C$64="","-",IF($C$62&gt;=$C$64*20/27,"● AHEAD",IF($C$62&gt;=0.9*$C$64*20/27,"●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108" priority="2">
      <formula>MOD(ROW()-8,2)=1</formula>
    </cfRule>
    <cfRule type="expression" dxfId="107" priority="3">
      <formula>$AG8="Pending"</formula>
    </cfRule>
    <cfRule type="expression" dxfId="106" priority="4">
      <formula>OR($AG8="Unwind",$AG8="Back Out")</formula>
    </cfRule>
  </conditionalFormatting>
  <conditionalFormatting sqref="C56">
    <cfRule type="expression" dxfId="105" priority="9">
      <formula>N($C$56)&gt;0</formula>
    </cfRule>
  </conditionalFormatting>
  <conditionalFormatting sqref="C58">
    <cfRule type="expression" dxfId="104" priority="8">
      <formula>N($C$58)&gt;0</formula>
    </cfRule>
  </conditionalFormatting>
  <conditionalFormatting sqref="C69">
    <cfRule type="expression" dxfId="103" priority="10">
      <formula>OR(LEFT($C$69,1)="✓",$C$69="● AHEAD")</formula>
    </cfRule>
    <cfRule type="expression" dxfId="102" priority="11">
      <formula>$C$69="● ON PACE"</formula>
    </cfRule>
    <cfRule type="expression" dxfId="101" priority="12">
      <formula>OR($C$69="● BEHIND",LEFT($C$69,7)="● SHORT")</formula>
    </cfRule>
  </conditionalFormatting>
  <conditionalFormatting sqref="N8:N42">
    <cfRule type="expression" dxfId="99" priority="5">
      <formula>AND($A8="New",N8="Y")</formula>
    </cfRule>
  </conditionalFormatting>
  <conditionalFormatting sqref="R1">
    <cfRule type="expression" dxfId="98" priority="1">
      <formula>$R$1&lt;&gt;""</formula>
    </cfRule>
  </conditionalFormatting>
  <conditionalFormatting sqref="Y8:Y42">
    <cfRule type="expression" dxfId="97" priority="6">
      <formula>AND(Y8&lt;&gt;"",LEN(Y8)&lt;17)</formula>
    </cfRule>
  </conditionalFormatting>
  <dataValidations count="16">
    <dataValidation type="list" allowBlank="1" showErrorMessage="1" sqref="A8:A42" xr:uid="{00000000-0002-0000-1F00-000000000000}">
      <formula1>"New,Used"</formula1>
    </dataValidation>
    <dataValidation type="list" allowBlank="1" showErrorMessage="1" sqref="F8:G42" xr:uid="{00000000-0002-0000-1F00-000001000000}">
      <formula1>SalespeopleList</formula1>
    </dataValidation>
    <dataValidation type="list" allowBlank="1" showErrorMessage="1" sqref="H8:H42" xr:uid="{00000000-0002-0000-1F00-000003000000}">
      <formula1>SalesManagerList</formula1>
    </dataValidation>
    <dataValidation type="list" allowBlank="1" showErrorMessage="1" sqref="I8:I42" xr:uid="{00000000-0002-0000-1F00-000004000000}">
      <formula1>FinanceManagerList</formula1>
    </dataValidation>
    <dataValidation type="list" allowBlank="1" showErrorMessage="1" sqref="J8:J42 U8:U42" xr:uid="{00000000-0002-0000-1F00-000005000000}">
      <formula1>VehicleYearList</formula1>
    </dataValidation>
    <dataValidation type="list" allowBlank="1" showErrorMessage="1" sqref="K8:K42 V8:V42" xr:uid="{00000000-0002-0000-1F00-000006000000}">
      <formula1>MakeList</formula1>
    </dataValidation>
    <dataValidation type="list" allowBlank="1" showErrorMessage="1" sqref="L8:L42 W8:W42" xr:uid="{00000000-0002-0000-1F00-000007000000}">
      <formula1>INDIRECT(SUBSTITUTE(SUBSTITUTE(SUBSTITUTE(K8," ","_"),"-","_"),".","_"))</formula1>
    </dataValidation>
    <dataValidation type="list" allowBlank="1" showErrorMessage="1" sqref="N8:N42" xr:uid="{00000000-0002-0000-1F00-000008000000}">
      <formula1>IF($A8="New",N_ONLY,YN_LIST)</formula1>
    </dataValidation>
    <dataValidation type="list" allowBlank="1" showErrorMessage="1" sqref="O8:O42 AH8:AH42 Z8:Z42" xr:uid="{00000000-0002-0000-1F00-000009000000}">
      <formula1>"Y,N"</formula1>
    </dataValidation>
    <dataValidation type="list" allowBlank="1" showErrorMessage="1" sqref="P8:P42" xr:uid="{00000000-0002-0000-1F00-00000A000000}">
      <formula1>LenderList</formula1>
    </dataValidation>
    <dataValidation type="list" allowBlank="1" showErrorMessage="1" sqref="AA8:AA42" xr:uid="{00000000-0002-0000-1F00-00000F000000}">
      <formula1>"Retail,Wholesale,Auction,Buyback,TBD"</formula1>
    </dataValidation>
    <dataValidation type="list" allowBlank="1" showErrorMessage="1" sqref="AF8:AF42" xr:uid="{00000000-0002-0000-1F00-000010000000}">
      <formula1>AdSourceList</formula1>
    </dataValidation>
    <dataValidation type="list" allowBlank="1" showErrorMessage="1" sqref="AG8:AG42" xr:uid="{00000000-0002-0000-1F00-000011000000}">
      <formula1>"Delivered,Pending,Unwind,Back Out"</formula1>
    </dataValidation>
    <dataValidation type="list" allowBlank="1" showErrorMessage="1" sqref="AM8:AO42" xr:uid="{00000000-0002-0000-1F00-000013000000}">
      <formula1>"Y"</formula1>
    </dataValidation>
    <dataValidation type="decimal" allowBlank="1" showErrorMessage="1" error="Enter a dollar amount (numbers only)." sqref="Q8:R42" xr:uid="{00000000-0002-0000-1F00-000014000000}">
      <formula1>-250000</formula1>
      <formula2>250000</formula2>
    </dataValidation>
    <dataValidation type="decimal" allowBlank="1" showErrorMessage="1" error="Enter a dollar amount (numbers only)." sqref="AB8:AB42" xr:uid="{00000000-0002-0000-1F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1F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402</v>
      </c>
      <c r="B1" s="108"/>
      <c r="C1" s="109"/>
      <c r="D1" s="105" t="s">
        <v>403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IF(TODAY()=DATE(2026,7,24),"●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23'!A1","◀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25'!A1","Next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404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405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23'!$C$62+$G$46</f>
        <v>0</v>
      </c>
    </row>
    <row r="63" spans="1:8" x14ac:dyDescent="0.25">
      <c r="A63" s="3" t="s">
        <v>308</v>
      </c>
      <c r="C63" s="26">
        <f>'Jul 23'!$C$63+$G$49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7</v>
      </c>
    </row>
    <row r="69" spans="1:8" x14ac:dyDescent="0.25">
      <c r="A69" s="3" t="s">
        <v>312</v>
      </c>
      <c r="C69" s="99" t="str">
        <f>IF($C$64="","-",IF($C$62&gt;=$C$64*21/27,"● AHEAD",IF($C$62&gt;=0.9*$C$64*21/27,"●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96" priority="2">
      <formula>MOD(ROW()-8,2)=1</formula>
    </cfRule>
    <cfRule type="expression" dxfId="95" priority="3">
      <formula>$AG8="Pending"</formula>
    </cfRule>
    <cfRule type="expression" dxfId="94" priority="4">
      <formula>OR($AG8="Unwind",$AG8="Back Out")</formula>
    </cfRule>
  </conditionalFormatting>
  <conditionalFormatting sqref="C56">
    <cfRule type="expression" dxfId="93" priority="9">
      <formula>N($C$56)&gt;0</formula>
    </cfRule>
  </conditionalFormatting>
  <conditionalFormatting sqref="C58">
    <cfRule type="expression" dxfId="92" priority="8">
      <formula>N($C$58)&gt;0</formula>
    </cfRule>
  </conditionalFormatting>
  <conditionalFormatting sqref="C69">
    <cfRule type="expression" dxfId="91" priority="10">
      <formula>OR(LEFT($C$69,1)="✓",$C$69="● AHEAD")</formula>
    </cfRule>
    <cfRule type="expression" dxfId="90" priority="11">
      <formula>$C$69="● ON PACE"</formula>
    </cfRule>
    <cfRule type="expression" dxfId="89" priority="12">
      <formula>OR($C$69="● BEHIND",LEFT($C$69,7)="● SHORT")</formula>
    </cfRule>
  </conditionalFormatting>
  <conditionalFormatting sqref="N8:N42">
    <cfRule type="expression" dxfId="87" priority="5">
      <formula>AND($A8="New",N8="Y")</formula>
    </cfRule>
  </conditionalFormatting>
  <conditionalFormatting sqref="R1">
    <cfRule type="expression" dxfId="86" priority="1">
      <formula>$R$1&lt;&gt;""</formula>
    </cfRule>
  </conditionalFormatting>
  <conditionalFormatting sqref="Y8:Y42">
    <cfRule type="expression" dxfId="85" priority="6">
      <formula>AND(Y8&lt;&gt;"",LEN(Y8)&lt;17)</formula>
    </cfRule>
  </conditionalFormatting>
  <dataValidations count="16">
    <dataValidation type="list" allowBlank="1" showErrorMessage="1" sqref="A8:A42" xr:uid="{00000000-0002-0000-2000-000000000000}">
      <formula1>"New,Used"</formula1>
    </dataValidation>
    <dataValidation type="list" allowBlank="1" showErrorMessage="1" sqref="F8:G42" xr:uid="{00000000-0002-0000-2000-000001000000}">
      <formula1>SalespeopleList</formula1>
    </dataValidation>
    <dataValidation type="list" allowBlank="1" showErrorMessage="1" sqref="H8:H42" xr:uid="{00000000-0002-0000-2000-000003000000}">
      <formula1>SalesManagerList</formula1>
    </dataValidation>
    <dataValidation type="list" allowBlank="1" showErrorMessage="1" sqref="I8:I42" xr:uid="{00000000-0002-0000-2000-000004000000}">
      <formula1>FinanceManagerList</formula1>
    </dataValidation>
    <dataValidation type="list" allowBlank="1" showErrorMessage="1" sqref="J8:J42 U8:U42" xr:uid="{00000000-0002-0000-2000-000005000000}">
      <formula1>VehicleYearList</formula1>
    </dataValidation>
    <dataValidation type="list" allowBlank="1" showErrorMessage="1" sqref="K8:K42 V8:V42" xr:uid="{00000000-0002-0000-2000-000006000000}">
      <formula1>MakeList</formula1>
    </dataValidation>
    <dataValidation type="list" allowBlank="1" showErrorMessage="1" sqref="L8:L42 W8:W42" xr:uid="{00000000-0002-0000-2000-000007000000}">
      <formula1>INDIRECT(SUBSTITUTE(SUBSTITUTE(SUBSTITUTE(K8," ","_"),"-","_"),".","_"))</formula1>
    </dataValidation>
    <dataValidation type="list" allowBlank="1" showErrorMessage="1" sqref="N8:N42" xr:uid="{00000000-0002-0000-2000-000008000000}">
      <formula1>IF($A8="New",N_ONLY,YN_LIST)</formula1>
    </dataValidation>
    <dataValidation type="list" allowBlank="1" showErrorMessage="1" sqref="O8:O42 AH8:AH42 Z8:Z42" xr:uid="{00000000-0002-0000-2000-000009000000}">
      <formula1>"Y,N"</formula1>
    </dataValidation>
    <dataValidation type="list" allowBlank="1" showErrorMessage="1" sqref="P8:P42" xr:uid="{00000000-0002-0000-2000-00000A000000}">
      <formula1>LenderList</formula1>
    </dataValidation>
    <dataValidation type="list" allowBlank="1" showErrorMessage="1" sqref="AA8:AA42" xr:uid="{00000000-0002-0000-2000-00000F000000}">
      <formula1>"Retail,Wholesale,Auction,Buyback,TBD"</formula1>
    </dataValidation>
    <dataValidation type="list" allowBlank="1" showErrorMessage="1" sqref="AF8:AF42" xr:uid="{00000000-0002-0000-2000-000010000000}">
      <formula1>AdSourceList</formula1>
    </dataValidation>
    <dataValidation type="list" allowBlank="1" showErrorMessage="1" sqref="AG8:AG42" xr:uid="{00000000-0002-0000-2000-000011000000}">
      <formula1>"Delivered,Pending,Unwind,Back Out"</formula1>
    </dataValidation>
    <dataValidation type="list" allowBlank="1" showErrorMessage="1" sqref="AM8:AO42" xr:uid="{00000000-0002-0000-2000-000013000000}">
      <formula1>"Y"</formula1>
    </dataValidation>
    <dataValidation type="decimal" allowBlank="1" showErrorMessage="1" error="Enter a dollar amount (numbers only)." sqref="Q8:R42" xr:uid="{00000000-0002-0000-2000-000014000000}">
      <formula1>-250000</formula1>
      <formula2>250000</formula2>
    </dataValidation>
    <dataValidation type="decimal" allowBlank="1" showErrorMessage="1" error="Enter a dollar amount (numbers only)." sqref="AB8:AB42" xr:uid="{00000000-0002-0000-20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20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406</v>
      </c>
      <c r="B1" s="108"/>
      <c r="C1" s="109"/>
      <c r="D1" s="105" t="s">
        <v>407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IF(TODAY()=DATE(2026,7,25),"●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24'!A1","◀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26'!A1","Next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408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409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24'!$C$62+$G$46</f>
        <v>0</v>
      </c>
    </row>
    <row r="63" spans="1:8" x14ac:dyDescent="0.25">
      <c r="A63" s="3" t="s">
        <v>308</v>
      </c>
      <c r="C63" s="26">
        <f>'Jul 24'!$C$63+$G$49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6</v>
      </c>
    </row>
    <row r="69" spans="1:8" x14ac:dyDescent="0.25">
      <c r="A69" s="3" t="s">
        <v>312</v>
      </c>
      <c r="C69" s="99" t="str">
        <f>IF($C$64="","-",IF($C$62&gt;=$C$64*22/27,"● AHEAD",IF($C$62&gt;=0.9*$C$64*22/27,"●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84" priority="2">
      <formula>MOD(ROW()-8,2)=1</formula>
    </cfRule>
    <cfRule type="expression" dxfId="83" priority="3">
      <formula>$AG8="Pending"</formula>
    </cfRule>
    <cfRule type="expression" dxfId="82" priority="4">
      <formula>OR($AG8="Unwind",$AG8="Back Out")</formula>
    </cfRule>
  </conditionalFormatting>
  <conditionalFormatting sqref="C56">
    <cfRule type="expression" dxfId="81" priority="9">
      <formula>N($C$56)&gt;0</formula>
    </cfRule>
  </conditionalFormatting>
  <conditionalFormatting sqref="C58">
    <cfRule type="expression" dxfId="80" priority="8">
      <formula>N($C$58)&gt;0</formula>
    </cfRule>
  </conditionalFormatting>
  <conditionalFormatting sqref="C69">
    <cfRule type="expression" dxfId="79" priority="10">
      <formula>OR(LEFT($C$69,1)="✓",$C$69="● AHEAD")</formula>
    </cfRule>
    <cfRule type="expression" dxfId="78" priority="11">
      <formula>$C$69="● ON PACE"</formula>
    </cfRule>
    <cfRule type="expression" dxfId="77" priority="12">
      <formula>OR($C$69="● BEHIND",LEFT($C$69,7)="● SHORT")</formula>
    </cfRule>
  </conditionalFormatting>
  <conditionalFormatting sqref="N8:N42">
    <cfRule type="expression" dxfId="75" priority="5">
      <formula>AND($A8="New",N8="Y")</formula>
    </cfRule>
  </conditionalFormatting>
  <conditionalFormatting sqref="R1">
    <cfRule type="expression" dxfId="74" priority="1">
      <formula>$R$1&lt;&gt;""</formula>
    </cfRule>
  </conditionalFormatting>
  <conditionalFormatting sqref="Y8:Y42">
    <cfRule type="expression" dxfId="73" priority="6">
      <formula>AND(Y8&lt;&gt;"",LEN(Y8)&lt;17)</formula>
    </cfRule>
  </conditionalFormatting>
  <dataValidations count="16">
    <dataValidation type="list" allowBlank="1" showErrorMessage="1" sqref="A8:A42" xr:uid="{00000000-0002-0000-2100-000000000000}">
      <formula1>"New,Used"</formula1>
    </dataValidation>
    <dataValidation type="list" allowBlank="1" showErrorMessage="1" sqref="F8:G42" xr:uid="{00000000-0002-0000-2100-000001000000}">
      <formula1>SalespeopleList</formula1>
    </dataValidation>
    <dataValidation type="list" allowBlank="1" showErrorMessage="1" sqref="H8:H42" xr:uid="{00000000-0002-0000-2100-000003000000}">
      <formula1>SalesManagerList</formula1>
    </dataValidation>
    <dataValidation type="list" allowBlank="1" showErrorMessage="1" sqref="I8:I42" xr:uid="{00000000-0002-0000-2100-000004000000}">
      <formula1>FinanceManagerList</formula1>
    </dataValidation>
    <dataValidation type="list" allowBlank="1" showErrorMessage="1" sqref="J8:J42 U8:U42" xr:uid="{00000000-0002-0000-2100-000005000000}">
      <formula1>VehicleYearList</formula1>
    </dataValidation>
    <dataValidation type="list" allowBlank="1" showErrorMessage="1" sqref="K8:K42 V8:V42" xr:uid="{00000000-0002-0000-2100-000006000000}">
      <formula1>MakeList</formula1>
    </dataValidation>
    <dataValidation type="list" allowBlank="1" showErrorMessage="1" sqref="L8:L42 W8:W42" xr:uid="{00000000-0002-0000-2100-000007000000}">
      <formula1>INDIRECT(SUBSTITUTE(SUBSTITUTE(SUBSTITUTE(K8," ","_"),"-","_"),".","_"))</formula1>
    </dataValidation>
    <dataValidation type="list" allowBlank="1" showErrorMessage="1" sqref="N8:N42" xr:uid="{00000000-0002-0000-2100-000008000000}">
      <formula1>IF($A8="New",N_ONLY,YN_LIST)</formula1>
    </dataValidation>
    <dataValidation type="list" allowBlank="1" showErrorMessage="1" sqref="O8:O42 AH8:AH42 Z8:Z42" xr:uid="{00000000-0002-0000-2100-000009000000}">
      <formula1>"Y,N"</formula1>
    </dataValidation>
    <dataValidation type="list" allowBlank="1" showErrorMessage="1" sqref="P8:P42" xr:uid="{00000000-0002-0000-2100-00000A000000}">
      <formula1>LenderList</formula1>
    </dataValidation>
    <dataValidation type="list" allowBlank="1" showErrorMessage="1" sqref="AA8:AA42" xr:uid="{00000000-0002-0000-2100-00000F000000}">
      <formula1>"Retail,Wholesale,Auction,Buyback,TBD"</formula1>
    </dataValidation>
    <dataValidation type="list" allowBlank="1" showErrorMessage="1" sqref="AF8:AF42" xr:uid="{00000000-0002-0000-2100-000010000000}">
      <formula1>AdSourceList</formula1>
    </dataValidation>
    <dataValidation type="list" allowBlank="1" showErrorMessage="1" sqref="AG8:AG42" xr:uid="{00000000-0002-0000-2100-000011000000}">
      <formula1>"Delivered,Pending,Unwind,Back Out"</formula1>
    </dataValidation>
    <dataValidation type="list" allowBlank="1" showErrorMessage="1" sqref="AM8:AO42" xr:uid="{00000000-0002-0000-2100-000013000000}">
      <formula1>"Y"</formula1>
    </dataValidation>
    <dataValidation type="decimal" allowBlank="1" showErrorMessage="1" error="Enter a dollar amount (numbers only)." sqref="Q8:R42" xr:uid="{00000000-0002-0000-2100-000014000000}">
      <formula1>-250000</formula1>
      <formula2>250000</formula2>
    </dataValidation>
    <dataValidation type="decimal" allowBlank="1" showErrorMessage="1" error="Enter a dollar amount (numbers only)." sqref="AB8:AB42" xr:uid="{00000000-0002-0000-21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21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B8C4DC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410</v>
      </c>
      <c r="B1" s="108"/>
      <c r="C1" s="109"/>
      <c r="D1" s="105" t="s">
        <v>411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IF(TODAY()=DATE(2026,7,26),"●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327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25'!A1","◀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27'!A1","Next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412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413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25'!$C$62+$G$46</f>
        <v>0</v>
      </c>
    </row>
    <row r="63" spans="1:8" x14ac:dyDescent="0.25">
      <c r="A63" s="3" t="s">
        <v>308</v>
      </c>
      <c r="C63" s="26">
        <f>'Jul 25'!$C$63+$G$49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5</v>
      </c>
    </row>
    <row r="69" spans="1:8" x14ac:dyDescent="0.25">
      <c r="A69" s="3" t="s">
        <v>312</v>
      </c>
      <c r="C69" s="99" t="str">
        <f>IF($C$64="","-",IF($C$62&gt;=$C$64*22/27,"● AHEAD",IF($C$62&gt;=0.9*$C$64*22/27,"●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72" priority="2">
      <formula>MOD(ROW()-8,2)=1</formula>
    </cfRule>
    <cfRule type="expression" dxfId="71" priority="3">
      <formula>$AG8="Pending"</formula>
    </cfRule>
    <cfRule type="expression" dxfId="70" priority="4">
      <formula>OR($AG8="Unwind",$AG8="Back Out")</formula>
    </cfRule>
  </conditionalFormatting>
  <conditionalFormatting sqref="C56">
    <cfRule type="expression" dxfId="69" priority="9">
      <formula>N($C$56)&gt;0</formula>
    </cfRule>
  </conditionalFormatting>
  <conditionalFormatting sqref="C58">
    <cfRule type="expression" dxfId="68" priority="8">
      <formula>N($C$58)&gt;0</formula>
    </cfRule>
  </conditionalFormatting>
  <conditionalFormatting sqref="C69">
    <cfRule type="expression" dxfId="67" priority="10">
      <formula>OR(LEFT($C$69,1)="✓",$C$69="● AHEAD")</formula>
    </cfRule>
    <cfRule type="expression" dxfId="66" priority="11">
      <formula>$C$69="● ON PACE"</formula>
    </cfRule>
    <cfRule type="expression" dxfId="65" priority="12">
      <formula>OR($C$69="● BEHIND",LEFT($C$69,7)="● SHORT")</formula>
    </cfRule>
  </conditionalFormatting>
  <conditionalFormatting sqref="N8:N42">
    <cfRule type="expression" dxfId="63" priority="5">
      <formula>AND($A8="New",N8="Y")</formula>
    </cfRule>
  </conditionalFormatting>
  <conditionalFormatting sqref="R1">
    <cfRule type="expression" dxfId="62" priority="1">
      <formula>$R$1&lt;&gt;""</formula>
    </cfRule>
  </conditionalFormatting>
  <conditionalFormatting sqref="Y8:Y42">
    <cfRule type="expression" dxfId="61" priority="6">
      <formula>AND(Y8&lt;&gt;"",LEN(Y8)&lt;17)</formula>
    </cfRule>
  </conditionalFormatting>
  <dataValidations count="16">
    <dataValidation type="list" allowBlank="1" showErrorMessage="1" sqref="A8:A42" xr:uid="{00000000-0002-0000-2200-000000000000}">
      <formula1>"New,Used"</formula1>
    </dataValidation>
    <dataValidation type="list" allowBlank="1" showErrorMessage="1" sqref="F8:G42" xr:uid="{00000000-0002-0000-2200-000001000000}">
      <formula1>SalespeopleList</formula1>
    </dataValidation>
    <dataValidation type="list" allowBlank="1" showErrorMessage="1" sqref="H8:H42" xr:uid="{00000000-0002-0000-2200-000003000000}">
      <formula1>SalesManagerList</formula1>
    </dataValidation>
    <dataValidation type="list" allowBlank="1" showErrorMessage="1" sqref="I8:I42" xr:uid="{00000000-0002-0000-2200-000004000000}">
      <formula1>FinanceManagerList</formula1>
    </dataValidation>
    <dataValidation type="list" allowBlank="1" showErrorMessage="1" sqref="J8:J42 U8:U42" xr:uid="{00000000-0002-0000-2200-000005000000}">
      <formula1>VehicleYearList</formula1>
    </dataValidation>
    <dataValidation type="list" allowBlank="1" showErrorMessage="1" sqref="K8:K42 V8:V42" xr:uid="{00000000-0002-0000-2200-000006000000}">
      <formula1>MakeList</formula1>
    </dataValidation>
    <dataValidation type="list" allowBlank="1" showErrorMessage="1" sqref="L8:L42 W8:W42" xr:uid="{00000000-0002-0000-2200-000007000000}">
      <formula1>INDIRECT(SUBSTITUTE(SUBSTITUTE(SUBSTITUTE(K8," ","_"),"-","_"),".","_"))</formula1>
    </dataValidation>
    <dataValidation type="list" allowBlank="1" showErrorMessage="1" sqref="N8:N42" xr:uid="{00000000-0002-0000-2200-000008000000}">
      <formula1>IF($A8="New",N_ONLY,YN_LIST)</formula1>
    </dataValidation>
    <dataValidation type="list" allowBlank="1" showErrorMessage="1" sqref="O8:O42 AH8:AH42 Z8:Z42" xr:uid="{00000000-0002-0000-2200-000009000000}">
      <formula1>"Y,N"</formula1>
    </dataValidation>
    <dataValidation type="list" allowBlank="1" showErrorMessage="1" sqref="P8:P42" xr:uid="{00000000-0002-0000-2200-00000A000000}">
      <formula1>LenderList</formula1>
    </dataValidation>
    <dataValidation type="list" allowBlank="1" showErrorMessage="1" sqref="AA8:AA42" xr:uid="{00000000-0002-0000-2200-00000F000000}">
      <formula1>"Retail,Wholesale,Auction,Buyback,TBD"</formula1>
    </dataValidation>
    <dataValidation type="list" allowBlank="1" showErrorMessage="1" sqref="AF8:AF42" xr:uid="{00000000-0002-0000-2200-000010000000}">
      <formula1>AdSourceList</formula1>
    </dataValidation>
    <dataValidation type="list" allowBlank="1" showErrorMessage="1" sqref="AG8:AG42" xr:uid="{00000000-0002-0000-2200-000011000000}">
      <formula1>"Delivered,Pending,Unwind,Back Out"</formula1>
    </dataValidation>
    <dataValidation type="list" allowBlank="1" showErrorMessage="1" sqref="AM8:AO42" xr:uid="{00000000-0002-0000-2200-000013000000}">
      <formula1>"Y"</formula1>
    </dataValidation>
    <dataValidation type="decimal" allowBlank="1" showErrorMessage="1" error="Enter a dollar amount (numbers only)." sqref="Q8:R42" xr:uid="{00000000-0002-0000-2200-000014000000}">
      <formula1>-250000</formula1>
      <formula2>250000</formula2>
    </dataValidation>
    <dataValidation type="decimal" allowBlank="1" showErrorMessage="1" error="Enter a dollar amount (numbers only)." sqref="AB8:AB42" xr:uid="{00000000-0002-0000-22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22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414</v>
      </c>
      <c r="B1" s="108"/>
      <c r="C1" s="109"/>
      <c r="D1" s="105" t="s">
        <v>415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IF(TODAY()=DATE(2026,7,27),"●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26'!A1","◀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28'!A1","Next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416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417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26'!$C$62+$G$46</f>
        <v>0</v>
      </c>
    </row>
    <row r="63" spans="1:8" x14ac:dyDescent="0.25">
      <c r="A63" s="3" t="s">
        <v>308</v>
      </c>
      <c r="C63" s="26">
        <f>'Jul 26'!$C$63+$G$49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5</v>
      </c>
    </row>
    <row r="69" spans="1:8" x14ac:dyDescent="0.25">
      <c r="A69" s="3" t="s">
        <v>312</v>
      </c>
      <c r="C69" s="99" t="str">
        <f>IF($C$64="","-",IF($C$62&gt;=$C$64*23/27,"● AHEAD",IF($C$62&gt;=0.9*$C$64*23/27,"●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60" priority="2">
      <formula>MOD(ROW()-8,2)=1</formula>
    </cfRule>
    <cfRule type="expression" dxfId="59" priority="3">
      <formula>$AG8="Pending"</formula>
    </cfRule>
    <cfRule type="expression" dxfId="58" priority="4">
      <formula>OR($AG8="Unwind",$AG8="Back Out")</formula>
    </cfRule>
  </conditionalFormatting>
  <conditionalFormatting sqref="C56">
    <cfRule type="expression" dxfId="57" priority="9">
      <formula>N($C$56)&gt;0</formula>
    </cfRule>
  </conditionalFormatting>
  <conditionalFormatting sqref="C58">
    <cfRule type="expression" dxfId="56" priority="8">
      <formula>N($C$58)&gt;0</formula>
    </cfRule>
  </conditionalFormatting>
  <conditionalFormatting sqref="C69">
    <cfRule type="expression" dxfId="55" priority="10">
      <formula>OR(LEFT($C$69,1)="✓",$C$69="● AHEAD")</formula>
    </cfRule>
    <cfRule type="expression" dxfId="54" priority="11">
      <formula>$C$69="● ON PACE"</formula>
    </cfRule>
    <cfRule type="expression" dxfId="53" priority="12">
      <formula>OR($C$69="● BEHIND",LEFT($C$69,7)="● SHORT")</formula>
    </cfRule>
  </conditionalFormatting>
  <conditionalFormatting sqref="N8:N42">
    <cfRule type="expression" dxfId="51" priority="5">
      <formula>AND($A8="New",N8="Y")</formula>
    </cfRule>
  </conditionalFormatting>
  <conditionalFormatting sqref="R1">
    <cfRule type="expression" dxfId="50" priority="1">
      <formula>$R$1&lt;&gt;""</formula>
    </cfRule>
  </conditionalFormatting>
  <conditionalFormatting sqref="Y8:Y42">
    <cfRule type="expression" dxfId="49" priority="6">
      <formula>AND(Y8&lt;&gt;"",LEN(Y8)&lt;17)</formula>
    </cfRule>
  </conditionalFormatting>
  <dataValidations count="16">
    <dataValidation type="list" allowBlank="1" showErrorMessage="1" sqref="A8:A42" xr:uid="{00000000-0002-0000-2300-000000000000}">
      <formula1>"New,Used"</formula1>
    </dataValidation>
    <dataValidation type="list" allowBlank="1" showErrorMessage="1" sqref="F8:G42" xr:uid="{00000000-0002-0000-2300-000001000000}">
      <formula1>SalespeopleList</formula1>
    </dataValidation>
    <dataValidation type="list" allowBlank="1" showErrorMessage="1" sqref="H8:H42" xr:uid="{00000000-0002-0000-2300-000003000000}">
      <formula1>SalesManagerList</formula1>
    </dataValidation>
    <dataValidation type="list" allowBlank="1" showErrorMessage="1" sqref="I8:I42" xr:uid="{00000000-0002-0000-2300-000004000000}">
      <formula1>FinanceManagerList</formula1>
    </dataValidation>
    <dataValidation type="list" allowBlank="1" showErrorMessage="1" sqref="J8:J42 U8:U42" xr:uid="{00000000-0002-0000-2300-000005000000}">
      <formula1>VehicleYearList</formula1>
    </dataValidation>
    <dataValidation type="list" allowBlank="1" showErrorMessage="1" sqref="K8:K42 V8:V42" xr:uid="{00000000-0002-0000-2300-000006000000}">
      <formula1>MakeList</formula1>
    </dataValidation>
    <dataValidation type="list" allowBlank="1" showErrorMessage="1" sqref="L8:L42 W8:W42" xr:uid="{00000000-0002-0000-2300-000007000000}">
      <formula1>INDIRECT(SUBSTITUTE(SUBSTITUTE(SUBSTITUTE(K8," ","_"),"-","_"),".","_"))</formula1>
    </dataValidation>
    <dataValidation type="list" allowBlank="1" showErrorMessage="1" sqref="N8:N42" xr:uid="{00000000-0002-0000-2300-000008000000}">
      <formula1>IF($A8="New",N_ONLY,YN_LIST)</formula1>
    </dataValidation>
    <dataValidation type="list" allowBlank="1" showErrorMessage="1" sqref="O8:O42 AH8:AH42 Z8:Z42" xr:uid="{00000000-0002-0000-2300-000009000000}">
      <formula1>"Y,N"</formula1>
    </dataValidation>
    <dataValidation type="list" allowBlank="1" showErrorMessage="1" sqref="P8:P42" xr:uid="{00000000-0002-0000-2300-00000A000000}">
      <formula1>LenderList</formula1>
    </dataValidation>
    <dataValidation type="list" allowBlank="1" showErrorMessage="1" sqref="AA8:AA42" xr:uid="{00000000-0002-0000-2300-00000F000000}">
      <formula1>"Retail,Wholesale,Auction,Buyback,TBD"</formula1>
    </dataValidation>
    <dataValidation type="list" allowBlank="1" showErrorMessage="1" sqref="AF8:AF42" xr:uid="{00000000-0002-0000-2300-000010000000}">
      <formula1>AdSourceList</formula1>
    </dataValidation>
    <dataValidation type="list" allowBlank="1" showErrorMessage="1" sqref="AG8:AG42" xr:uid="{00000000-0002-0000-2300-000011000000}">
      <formula1>"Delivered,Pending,Unwind,Back Out"</formula1>
    </dataValidation>
    <dataValidation type="list" allowBlank="1" showErrorMessage="1" sqref="AM8:AO42" xr:uid="{00000000-0002-0000-2300-000013000000}">
      <formula1>"Y"</formula1>
    </dataValidation>
    <dataValidation type="decimal" allowBlank="1" showErrorMessage="1" error="Enter a dollar amount (numbers only)." sqref="Q8:R42" xr:uid="{00000000-0002-0000-2300-000014000000}">
      <formula1>-250000</formula1>
      <formula2>250000</formula2>
    </dataValidation>
    <dataValidation type="decimal" allowBlank="1" showErrorMessage="1" error="Enter a dollar amount (numbers only)." sqref="AB8:AB42" xr:uid="{00000000-0002-0000-23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23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418</v>
      </c>
      <c r="B1" s="108"/>
      <c r="C1" s="109"/>
      <c r="D1" s="105" t="s">
        <v>419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IF(TODAY()=DATE(2026,7,28),"●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27'!A1","◀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29'!A1","Next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420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421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27'!$C$62+$G$46</f>
        <v>0</v>
      </c>
    </row>
    <row r="63" spans="1:8" x14ac:dyDescent="0.25">
      <c r="A63" s="3" t="s">
        <v>308</v>
      </c>
      <c r="C63" s="26">
        <f>'Jul 27'!$C$63+$G$49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4</v>
      </c>
    </row>
    <row r="69" spans="1:8" x14ac:dyDescent="0.25">
      <c r="A69" s="3" t="s">
        <v>312</v>
      </c>
      <c r="C69" s="99" t="str">
        <f>IF($C$64="","-",IF($C$62&gt;=$C$64*24/27,"● AHEAD",IF($C$62&gt;=0.9*$C$64*24/27,"●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48" priority="2">
      <formula>MOD(ROW()-8,2)=1</formula>
    </cfRule>
    <cfRule type="expression" dxfId="47" priority="3">
      <formula>$AG8="Pending"</formula>
    </cfRule>
    <cfRule type="expression" dxfId="46" priority="4">
      <formula>OR($AG8="Unwind",$AG8="Back Out")</formula>
    </cfRule>
  </conditionalFormatting>
  <conditionalFormatting sqref="C56">
    <cfRule type="expression" dxfId="45" priority="9">
      <formula>N($C$56)&gt;0</formula>
    </cfRule>
  </conditionalFormatting>
  <conditionalFormatting sqref="C58">
    <cfRule type="expression" dxfId="44" priority="8">
      <formula>N($C$58)&gt;0</formula>
    </cfRule>
  </conditionalFormatting>
  <conditionalFormatting sqref="C69">
    <cfRule type="expression" dxfId="43" priority="10">
      <formula>OR(LEFT($C$69,1)="✓",$C$69="● AHEAD")</formula>
    </cfRule>
    <cfRule type="expression" dxfId="42" priority="11">
      <formula>$C$69="● ON PACE"</formula>
    </cfRule>
    <cfRule type="expression" dxfId="41" priority="12">
      <formula>OR($C$69="● BEHIND",LEFT($C$69,7)="● SHORT")</formula>
    </cfRule>
  </conditionalFormatting>
  <conditionalFormatting sqref="N8:N42">
    <cfRule type="expression" dxfId="39" priority="5">
      <formula>AND($A8="New",N8="Y")</formula>
    </cfRule>
  </conditionalFormatting>
  <conditionalFormatting sqref="R1">
    <cfRule type="expression" dxfId="38" priority="1">
      <formula>$R$1&lt;&gt;""</formula>
    </cfRule>
  </conditionalFormatting>
  <conditionalFormatting sqref="Y8:Y42">
    <cfRule type="expression" dxfId="37" priority="6">
      <formula>AND(Y8&lt;&gt;"",LEN(Y8)&lt;17)</formula>
    </cfRule>
  </conditionalFormatting>
  <dataValidations count="16">
    <dataValidation type="list" allowBlank="1" showErrorMessage="1" sqref="A8:A42" xr:uid="{00000000-0002-0000-2400-000000000000}">
      <formula1>"New,Used"</formula1>
    </dataValidation>
    <dataValidation type="list" allowBlank="1" showErrorMessage="1" sqref="F8:G42" xr:uid="{00000000-0002-0000-2400-000001000000}">
      <formula1>SalespeopleList</formula1>
    </dataValidation>
    <dataValidation type="list" allowBlank="1" showErrorMessage="1" sqref="H8:H42" xr:uid="{00000000-0002-0000-2400-000003000000}">
      <formula1>SalesManagerList</formula1>
    </dataValidation>
    <dataValidation type="list" allowBlank="1" showErrorMessage="1" sqref="I8:I42" xr:uid="{00000000-0002-0000-2400-000004000000}">
      <formula1>FinanceManagerList</formula1>
    </dataValidation>
    <dataValidation type="list" allowBlank="1" showErrorMessage="1" sqref="J8:J42 U8:U42" xr:uid="{00000000-0002-0000-2400-000005000000}">
      <formula1>VehicleYearList</formula1>
    </dataValidation>
    <dataValidation type="list" allowBlank="1" showErrorMessage="1" sqref="K8:K42 V8:V42" xr:uid="{00000000-0002-0000-2400-000006000000}">
      <formula1>MakeList</formula1>
    </dataValidation>
    <dataValidation type="list" allowBlank="1" showErrorMessage="1" sqref="L8:L42 W8:W42" xr:uid="{00000000-0002-0000-2400-000007000000}">
      <formula1>INDIRECT(SUBSTITUTE(SUBSTITUTE(SUBSTITUTE(K8," ","_"),"-","_"),".","_"))</formula1>
    </dataValidation>
    <dataValidation type="list" allowBlank="1" showErrorMessage="1" sqref="N8:N42" xr:uid="{00000000-0002-0000-2400-000008000000}">
      <formula1>IF($A8="New",N_ONLY,YN_LIST)</formula1>
    </dataValidation>
    <dataValidation type="list" allowBlank="1" showErrorMessage="1" sqref="O8:O42 AH8:AH42 Z8:Z42" xr:uid="{00000000-0002-0000-2400-000009000000}">
      <formula1>"Y,N"</formula1>
    </dataValidation>
    <dataValidation type="list" allowBlank="1" showErrorMessage="1" sqref="P8:P42" xr:uid="{00000000-0002-0000-2400-00000A000000}">
      <formula1>LenderList</formula1>
    </dataValidation>
    <dataValidation type="list" allowBlank="1" showErrorMessage="1" sqref="AA8:AA42" xr:uid="{00000000-0002-0000-2400-00000F000000}">
      <formula1>"Retail,Wholesale,Auction,Buyback,TBD"</formula1>
    </dataValidation>
    <dataValidation type="list" allowBlank="1" showErrorMessage="1" sqref="AF8:AF42" xr:uid="{00000000-0002-0000-2400-000010000000}">
      <formula1>AdSourceList</formula1>
    </dataValidation>
    <dataValidation type="list" allowBlank="1" showErrorMessage="1" sqref="AG8:AG42" xr:uid="{00000000-0002-0000-2400-000011000000}">
      <formula1>"Delivered,Pending,Unwind,Back Out"</formula1>
    </dataValidation>
    <dataValidation type="list" allowBlank="1" showErrorMessage="1" sqref="AM8:AO42" xr:uid="{00000000-0002-0000-2400-000013000000}">
      <formula1>"Y"</formula1>
    </dataValidation>
    <dataValidation type="decimal" allowBlank="1" showErrorMessage="1" error="Enter a dollar amount (numbers only)." sqref="Q8:R42" xr:uid="{00000000-0002-0000-2400-000014000000}">
      <formula1>-250000</formula1>
      <formula2>250000</formula2>
    </dataValidation>
    <dataValidation type="decimal" allowBlank="1" showErrorMessage="1" error="Enter a dollar amount (numbers only)." sqref="AB8:AB42" xr:uid="{00000000-0002-0000-24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24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422</v>
      </c>
      <c r="B1" s="108"/>
      <c r="C1" s="109"/>
      <c r="D1" s="105" t="s">
        <v>423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IF(TODAY()=DATE(2026,7,29),"●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28'!A1","◀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30'!A1","Next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424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425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28'!$C$62+$G$46</f>
        <v>0</v>
      </c>
    </row>
    <row r="63" spans="1:8" x14ac:dyDescent="0.25">
      <c r="A63" s="3" t="s">
        <v>308</v>
      </c>
      <c r="C63" s="26">
        <f>'Jul 28'!$C$63+$G$49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3</v>
      </c>
    </row>
    <row r="69" spans="1:8" x14ac:dyDescent="0.25">
      <c r="A69" s="3" t="s">
        <v>312</v>
      </c>
      <c r="C69" s="99" t="str">
        <f>IF($C$64="","-",IF($C$62&gt;=$C$64*25/27,"● AHEAD",IF($C$62&gt;=0.9*$C$64*25/27,"●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36" priority="2">
      <formula>MOD(ROW()-8,2)=1</formula>
    </cfRule>
    <cfRule type="expression" dxfId="35" priority="3">
      <formula>$AG8="Pending"</formula>
    </cfRule>
    <cfRule type="expression" dxfId="34" priority="4">
      <formula>OR($AG8="Unwind",$AG8="Back Out")</formula>
    </cfRule>
  </conditionalFormatting>
  <conditionalFormatting sqref="C56">
    <cfRule type="expression" dxfId="33" priority="9">
      <formula>N($C$56)&gt;0</formula>
    </cfRule>
  </conditionalFormatting>
  <conditionalFormatting sqref="C58">
    <cfRule type="expression" dxfId="32" priority="8">
      <formula>N($C$58)&gt;0</formula>
    </cfRule>
  </conditionalFormatting>
  <conditionalFormatting sqref="C69">
    <cfRule type="expression" dxfId="31" priority="10">
      <formula>OR(LEFT($C$69,1)="✓",$C$69="● AHEAD")</formula>
    </cfRule>
    <cfRule type="expression" dxfId="30" priority="11">
      <formula>$C$69="● ON PACE"</formula>
    </cfRule>
    <cfRule type="expression" dxfId="29" priority="12">
      <formula>OR($C$69="● BEHIND",LEFT($C$69,7)="● SHORT")</formula>
    </cfRule>
  </conditionalFormatting>
  <conditionalFormatting sqref="N8:N42">
    <cfRule type="expression" dxfId="27" priority="5">
      <formula>AND($A8="New",N8="Y")</formula>
    </cfRule>
  </conditionalFormatting>
  <conditionalFormatting sqref="R1">
    <cfRule type="expression" dxfId="26" priority="1">
      <formula>$R$1&lt;&gt;""</formula>
    </cfRule>
  </conditionalFormatting>
  <conditionalFormatting sqref="Y8:Y42">
    <cfRule type="expression" dxfId="25" priority="6">
      <formula>AND(Y8&lt;&gt;"",LEN(Y8)&lt;17)</formula>
    </cfRule>
  </conditionalFormatting>
  <dataValidations count="16">
    <dataValidation type="list" allowBlank="1" showErrorMessage="1" sqref="A8:A42" xr:uid="{00000000-0002-0000-2500-000000000000}">
      <formula1>"New,Used"</formula1>
    </dataValidation>
    <dataValidation type="list" allowBlank="1" showErrorMessage="1" sqref="F8:G42" xr:uid="{00000000-0002-0000-2500-000001000000}">
      <formula1>SalespeopleList</formula1>
    </dataValidation>
    <dataValidation type="list" allowBlank="1" showErrorMessage="1" sqref="H8:H42" xr:uid="{00000000-0002-0000-2500-000003000000}">
      <formula1>SalesManagerList</formula1>
    </dataValidation>
    <dataValidation type="list" allowBlank="1" showErrorMessage="1" sqref="I8:I42" xr:uid="{00000000-0002-0000-2500-000004000000}">
      <formula1>FinanceManagerList</formula1>
    </dataValidation>
    <dataValidation type="list" allowBlank="1" showErrorMessage="1" sqref="J8:J42 U8:U42" xr:uid="{00000000-0002-0000-2500-000005000000}">
      <formula1>VehicleYearList</formula1>
    </dataValidation>
    <dataValidation type="list" allowBlank="1" showErrorMessage="1" sqref="K8:K42 V8:V42" xr:uid="{00000000-0002-0000-2500-000006000000}">
      <formula1>MakeList</formula1>
    </dataValidation>
    <dataValidation type="list" allowBlank="1" showErrorMessage="1" sqref="L8:L42 W8:W42" xr:uid="{00000000-0002-0000-2500-000007000000}">
      <formula1>INDIRECT(SUBSTITUTE(SUBSTITUTE(SUBSTITUTE(K8," ","_"),"-","_"),".","_"))</formula1>
    </dataValidation>
    <dataValidation type="list" allowBlank="1" showErrorMessage="1" sqref="N8:N42" xr:uid="{00000000-0002-0000-2500-000008000000}">
      <formula1>IF($A8="New",N_ONLY,YN_LIST)</formula1>
    </dataValidation>
    <dataValidation type="list" allowBlank="1" showErrorMessage="1" sqref="O8:O42 AH8:AH42 Z8:Z42" xr:uid="{00000000-0002-0000-2500-000009000000}">
      <formula1>"Y,N"</formula1>
    </dataValidation>
    <dataValidation type="list" allowBlank="1" showErrorMessage="1" sqref="P8:P42" xr:uid="{00000000-0002-0000-2500-00000A000000}">
      <formula1>LenderList</formula1>
    </dataValidation>
    <dataValidation type="list" allowBlank="1" showErrorMessage="1" sqref="AA8:AA42" xr:uid="{00000000-0002-0000-2500-00000F000000}">
      <formula1>"Retail,Wholesale,Auction,Buyback,TBD"</formula1>
    </dataValidation>
    <dataValidation type="list" allowBlank="1" showErrorMessage="1" sqref="AF8:AF42" xr:uid="{00000000-0002-0000-2500-000010000000}">
      <formula1>AdSourceList</formula1>
    </dataValidation>
    <dataValidation type="list" allowBlank="1" showErrorMessage="1" sqref="AG8:AG42" xr:uid="{00000000-0002-0000-2500-000011000000}">
      <formula1>"Delivered,Pending,Unwind,Back Out"</formula1>
    </dataValidation>
    <dataValidation type="list" allowBlank="1" showErrorMessage="1" sqref="AM8:AO42" xr:uid="{00000000-0002-0000-2500-000013000000}">
      <formula1>"Y"</formula1>
    </dataValidation>
    <dataValidation type="decimal" allowBlank="1" showErrorMessage="1" error="Enter a dollar amount (numbers only)." sqref="Q8:R42" xr:uid="{00000000-0002-0000-2500-000014000000}">
      <formula1>-250000</formula1>
      <formula2>250000</formula2>
    </dataValidation>
    <dataValidation type="decimal" allowBlank="1" showErrorMessage="1" error="Enter a dollar amount (numbers only)." sqref="AB8:AB42" xr:uid="{00000000-0002-0000-25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25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426</v>
      </c>
      <c r="B1" s="108"/>
      <c r="C1" s="109"/>
      <c r="D1" s="105" t="s">
        <v>427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IF(TODAY()=DATE(2026,7,30),"●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29'!A1","◀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31'!A1","Next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428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429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29'!$C$62+$G$46</f>
        <v>0</v>
      </c>
    </row>
    <row r="63" spans="1:8" x14ac:dyDescent="0.25">
      <c r="A63" s="3" t="s">
        <v>308</v>
      </c>
      <c r="C63" s="26">
        <f>'Jul 29'!$C$63+$G$49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2</v>
      </c>
    </row>
    <row r="69" spans="1:8" x14ac:dyDescent="0.25">
      <c r="A69" s="3" t="s">
        <v>312</v>
      </c>
      <c r="C69" s="99" t="str">
        <f>IF($C$64="","-",IF($C$62&gt;=$C$64*26/27,"● AHEAD",IF($C$62&gt;=0.9*$C$64*26/27,"● ON PACE","● BEHIND")))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24" priority="2">
      <formula>MOD(ROW()-8,2)=1</formula>
    </cfRule>
    <cfRule type="expression" dxfId="23" priority="3">
      <formula>$AG8="Pending"</formula>
    </cfRule>
    <cfRule type="expression" dxfId="22" priority="4">
      <formula>OR($AG8="Unwind",$AG8="Back Out")</formula>
    </cfRule>
  </conditionalFormatting>
  <conditionalFormatting sqref="C56">
    <cfRule type="expression" dxfId="21" priority="9">
      <formula>N($C$56)&gt;0</formula>
    </cfRule>
  </conditionalFormatting>
  <conditionalFormatting sqref="C58">
    <cfRule type="expression" dxfId="20" priority="8">
      <formula>N($C$58)&gt;0</formula>
    </cfRule>
  </conditionalFormatting>
  <conditionalFormatting sqref="C69">
    <cfRule type="expression" dxfId="19" priority="10">
      <formula>OR(LEFT($C$69,1)="✓",$C$69="● AHEAD")</formula>
    </cfRule>
    <cfRule type="expression" dxfId="18" priority="11">
      <formula>$C$69="● ON PACE"</formula>
    </cfRule>
    <cfRule type="expression" dxfId="17" priority="12">
      <formula>OR($C$69="● BEHIND",LEFT($C$69,7)="● SHORT")</formula>
    </cfRule>
  </conditionalFormatting>
  <conditionalFormatting sqref="N8:N42">
    <cfRule type="expression" dxfId="15" priority="5">
      <formula>AND($A8="New",N8="Y")</formula>
    </cfRule>
  </conditionalFormatting>
  <conditionalFormatting sqref="R1">
    <cfRule type="expression" dxfId="14" priority="1">
      <formula>$R$1&lt;&gt;""</formula>
    </cfRule>
  </conditionalFormatting>
  <conditionalFormatting sqref="Y8:Y42">
    <cfRule type="expression" dxfId="13" priority="6">
      <formula>AND(Y8&lt;&gt;"",LEN(Y8)&lt;17)</formula>
    </cfRule>
  </conditionalFormatting>
  <dataValidations count="16">
    <dataValidation type="list" allowBlank="1" showErrorMessage="1" sqref="A8:A42" xr:uid="{00000000-0002-0000-2600-000000000000}">
      <formula1>"New,Used"</formula1>
    </dataValidation>
    <dataValidation type="list" allowBlank="1" showErrorMessage="1" sqref="F8:G42" xr:uid="{00000000-0002-0000-2600-000001000000}">
      <formula1>SalespeopleList</formula1>
    </dataValidation>
    <dataValidation type="list" allowBlank="1" showErrorMessage="1" sqref="H8:H42" xr:uid="{00000000-0002-0000-2600-000003000000}">
      <formula1>SalesManagerList</formula1>
    </dataValidation>
    <dataValidation type="list" allowBlank="1" showErrorMessage="1" sqref="I8:I42" xr:uid="{00000000-0002-0000-2600-000004000000}">
      <formula1>FinanceManagerList</formula1>
    </dataValidation>
    <dataValidation type="list" allowBlank="1" showErrorMessage="1" sqref="J8:J42 U8:U42" xr:uid="{00000000-0002-0000-2600-000005000000}">
      <formula1>VehicleYearList</formula1>
    </dataValidation>
    <dataValidation type="list" allowBlank="1" showErrorMessage="1" sqref="K8:K42 V8:V42" xr:uid="{00000000-0002-0000-2600-000006000000}">
      <formula1>MakeList</formula1>
    </dataValidation>
    <dataValidation type="list" allowBlank="1" showErrorMessage="1" sqref="L8:L42 W8:W42" xr:uid="{00000000-0002-0000-2600-000007000000}">
      <formula1>INDIRECT(SUBSTITUTE(SUBSTITUTE(SUBSTITUTE(K8," ","_"),"-","_"),".","_"))</formula1>
    </dataValidation>
    <dataValidation type="list" allowBlank="1" showErrorMessage="1" sqref="N8:N42" xr:uid="{00000000-0002-0000-2600-000008000000}">
      <formula1>IF($A8="New",N_ONLY,YN_LIST)</formula1>
    </dataValidation>
    <dataValidation type="list" allowBlank="1" showErrorMessage="1" sqref="O8:O42 AH8:AH42 Z8:Z42" xr:uid="{00000000-0002-0000-2600-000009000000}">
      <formula1>"Y,N"</formula1>
    </dataValidation>
    <dataValidation type="list" allowBlank="1" showErrorMessage="1" sqref="P8:P42" xr:uid="{00000000-0002-0000-2600-00000A000000}">
      <formula1>LenderList</formula1>
    </dataValidation>
    <dataValidation type="list" allowBlank="1" showErrorMessage="1" sqref="AA8:AA42" xr:uid="{00000000-0002-0000-2600-00000F000000}">
      <formula1>"Retail,Wholesale,Auction,Buyback,TBD"</formula1>
    </dataValidation>
    <dataValidation type="list" allowBlank="1" showErrorMessage="1" sqref="AF8:AF42" xr:uid="{00000000-0002-0000-2600-000010000000}">
      <formula1>AdSourceList</formula1>
    </dataValidation>
    <dataValidation type="list" allowBlank="1" showErrorMessage="1" sqref="AG8:AG42" xr:uid="{00000000-0002-0000-2600-000011000000}">
      <formula1>"Delivered,Pending,Unwind,Back Out"</formula1>
    </dataValidation>
    <dataValidation type="list" allowBlank="1" showErrorMessage="1" sqref="AM8:AO42" xr:uid="{00000000-0002-0000-2600-000013000000}">
      <formula1>"Y"</formula1>
    </dataValidation>
    <dataValidation type="decimal" allowBlank="1" showErrorMessage="1" error="Enter a dollar amount (numbers only)." sqref="Q8:R42" xr:uid="{00000000-0002-0000-2600-000014000000}">
      <formula1>-250000</formula1>
      <formula2>250000</formula2>
    </dataValidation>
    <dataValidation type="decimal" allowBlank="1" showErrorMessage="1" error="Enter a dollar amount (numbers only)." sqref="AB8:AB42" xr:uid="{00000000-0002-0000-26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26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B1F4D"/>
    <pageSetUpPr fitToPage="1"/>
  </sheetPr>
  <dimension ref="A1:AP69"/>
  <sheetViews>
    <sheetView workbookViewId="0">
      <pane xSplit="5" ySplit="7" topLeftCell="F8" activePane="bottomRight" state="frozen"/>
      <selection activeCell="A8" sqref="A8"/>
      <selection pane="topRight"/>
      <selection pane="bottomLeft"/>
      <selection pane="bottomRight" activeCell="F8" sqref="F8"/>
    </sheetView>
  </sheetViews>
  <sheetFormatPr defaultRowHeight="15" x14ac:dyDescent="0.25"/>
  <cols>
    <col min="1" max="1" width="4.42578125" customWidth="1"/>
    <col min="2" max="2" width="8" customWidth="1"/>
    <col min="3" max="3" width="4.42578125" customWidth="1"/>
    <col min="4" max="4" width="7" customWidth="1"/>
    <col min="5" max="5" width="14" customWidth="1"/>
    <col min="6" max="7" width="13.42578125" customWidth="1"/>
    <col min="8" max="8" width="11.42578125" customWidth="1"/>
    <col min="9" max="9" width="10" customWidth="1"/>
    <col min="10" max="10" width="5.42578125" customWidth="1"/>
    <col min="11" max="11" width="10" customWidth="1"/>
    <col min="12" max="12" width="11" customWidth="1"/>
    <col min="13" max="13" width="16" customWidth="1"/>
    <col min="14" max="15" width="4.42578125" customWidth="1"/>
    <col min="16" max="16" width="11" customWidth="1"/>
    <col min="17" max="18" width="9" customWidth="1"/>
    <col min="19" max="19" width="9.42578125" customWidth="1"/>
    <col min="20" max="20" width="8" customWidth="1"/>
    <col min="21" max="21" width="5.42578125" customWidth="1"/>
    <col min="22" max="22" width="10" customWidth="1"/>
    <col min="23" max="23" width="11" customWidth="1"/>
    <col min="24" max="24" width="8" customWidth="1"/>
    <col min="25" max="25" width="14" customWidth="1"/>
    <col min="26" max="26" width="6.42578125" customWidth="1"/>
    <col min="27" max="27" width="10" customWidth="1"/>
    <col min="28" max="30" width="8.42578125" customWidth="1"/>
    <col min="31" max="31" width="9" customWidth="1"/>
    <col min="32" max="32" width="11" customWidth="1"/>
    <col min="33" max="33" width="9" customWidth="1"/>
    <col min="34" max="34" width="10" customWidth="1"/>
    <col min="35" max="37" width="6" hidden="1" customWidth="1"/>
    <col min="38" max="38" width="10" hidden="1" customWidth="1"/>
    <col min="39" max="41" width="5" customWidth="1"/>
    <col min="42" max="42" width="7" hidden="1" customWidth="1"/>
  </cols>
  <sheetData>
    <row r="1" spans="1:42" ht="21.95" customHeight="1" x14ac:dyDescent="0.25">
      <c r="A1" s="107" t="s">
        <v>430</v>
      </c>
      <c r="B1" s="108"/>
      <c r="C1" s="109"/>
      <c r="D1" s="105" t="s">
        <v>431</v>
      </c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R1" s="113" t="str">
        <f ca="1">IF(TODAY()=DATE(2026,7,31),"● TODAY","")</f>
        <v/>
      </c>
      <c r="S1" s="100"/>
      <c r="T1" s="100"/>
    </row>
    <row r="2" spans="1:42" ht="21.95" customHeight="1" x14ac:dyDescent="0.25">
      <c r="A2" s="110"/>
      <c r="B2" s="111"/>
      <c r="C2" s="112"/>
      <c r="D2" s="106" t="s">
        <v>256</v>
      </c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R2" s="100"/>
      <c r="S2" s="100"/>
      <c r="T2" s="100"/>
    </row>
    <row r="3" spans="1:42" ht="15.95" customHeight="1" x14ac:dyDescent="0.25">
      <c r="A3" s="14" t="str">
        <f>HYPERLINK("#'Jul 30'!A1","◀  Prev Day")</f>
        <v>◀  Prev Day</v>
      </c>
      <c r="C3" s="14" t="str">
        <f>HYPERLINK("#'Dashboard'!A1","Dashboard")</f>
        <v>Dashboard</v>
      </c>
      <c r="E3" s="14" t="str">
        <f>HYPERLINK("#'Trade Report'!A1","Trade Report")</f>
        <v>Trade Report</v>
      </c>
      <c r="G3" s="14" t="str">
        <f>HYPERLINK("#'Nightly Text'!A1","Nightly Text")</f>
        <v>Nightly Text</v>
      </c>
      <c r="I3" s="14" t="str">
        <f>HYPERLINK("#'Leaderboard'!A1","Leaderboard")</f>
        <v>Leaderboard</v>
      </c>
      <c r="K3" s="14" t="str">
        <f>HYPERLINK("#'Jul 1'!A1","Next Day  ▶")</f>
        <v>Next Day  ▶</v>
      </c>
    </row>
    <row r="4" spans="1:42" ht="3.95" customHeight="1" x14ac:dyDescent="0.25"/>
    <row r="5" spans="1:42" ht="3.95" customHeight="1" x14ac:dyDescent="0.25"/>
    <row r="6" spans="1:42" ht="15.95" customHeight="1" x14ac:dyDescent="0.25">
      <c r="A6" s="104" t="s">
        <v>257</v>
      </c>
      <c r="B6" s="100"/>
      <c r="C6" s="100"/>
      <c r="D6" s="100"/>
      <c r="E6" s="100"/>
      <c r="F6" s="100"/>
      <c r="G6" s="100"/>
      <c r="H6" s="100"/>
      <c r="I6" s="100"/>
      <c r="J6" s="104" t="s">
        <v>258</v>
      </c>
      <c r="K6" s="100"/>
      <c r="L6" s="100"/>
      <c r="M6" s="100"/>
      <c r="N6" s="100"/>
      <c r="O6" s="100"/>
      <c r="P6" s="100"/>
      <c r="Q6" s="100"/>
      <c r="R6" s="100"/>
      <c r="S6" s="100"/>
      <c r="T6" s="104" t="s">
        <v>259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4" t="s">
        <v>260</v>
      </c>
      <c r="AG6" s="100"/>
      <c r="AH6" s="100"/>
    </row>
    <row r="7" spans="1:42" ht="27.95" customHeight="1" x14ac:dyDescent="0.25">
      <c r="A7" s="15" t="s">
        <v>61</v>
      </c>
      <c r="B7" s="15" t="s">
        <v>261</v>
      </c>
      <c r="C7" s="15" t="s">
        <v>262</v>
      </c>
      <c r="D7" s="15" t="s">
        <v>68</v>
      </c>
      <c r="E7" s="15" t="s">
        <v>70</v>
      </c>
      <c r="F7" s="15" t="s">
        <v>71</v>
      </c>
      <c r="G7" s="15" t="s">
        <v>72</v>
      </c>
      <c r="H7" s="15" t="s">
        <v>263</v>
      </c>
      <c r="I7" s="15" t="s">
        <v>264</v>
      </c>
      <c r="J7" s="15" t="s">
        <v>265</v>
      </c>
      <c r="K7" s="15" t="s">
        <v>266</v>
      </c>
      <c r="L7" s="15" t="s">
        <v>267</v>
      </c>
      <c r="M7" s="15" t="s">
        <v>73</v>
      </c>
      <c r="N7" s="15" t="s">
        <v>152</v>
      </c>
      <c r="O7" s="15" t="s">
        <v>268</v>
      </c>
      <c r="P7" s="15" t="s">
        <v>269</v>
      </c>
      <c r="Q7" s="15" t="s">
        <v>270</v>
      </c>
      <c r="R7" s="15" t="s">
        <v>271</v>
      </c>
      <c r="S7" s="15" t="s">
        <v>272</v>
      </c>
      <c r="T7" s="15" t="s">
        <v>273</v>
      </c>
      <c r="U7" s="15" t="s">
        <v>274</v>
      </c>
      <c r="V7" s="15" t="s">
        <v>275</v>
      </c>
      <c r="W7" s="15" t="s">
        <v>276</v>
      </c>
      <c r="X7" s="15" t="s">
        <v>277</v>
      </c>
      <c r="Y7" s="15" t="s">
        <v>278</v>
      </c>
      <c r="Z7" s="15" t="s">
        <v>279</v>
      </c>
      <c r="AA7" s="15" t="s">
        <v>280</v>
      </c>
      <c r="AB7" s="15" t="s">
        <v>281</v>
      </c>
      <c r="AC7" s="15" t="s">
        <v>282</v>
      </c>
      <c r="AD7" s="15" t="s">
        <v>283</v>
      </c>
      <c r="AE7" s="15" t="s">
        <v>284</v>
      </c>
      <c r="AF7" s="15" t="s">
        <v>285</v>
      </c>
      <c r="AG7" s="15" t="s">
        <v>62</v>
      </c>
      <c r="AH7" s="15" t="s">
        <v>286</v>
      </c>
      <c r="AI7" s="16" t="s">
        <v>287</v>
      </c>
      <c r="AJ7" s="16" t="s">
        <v>288</v>
      </c>
      <c r="AK7" s="16" t="s">
        <v>289</v>
      </c>
      <c r="AL7" s="16" t="s">
        <v>290</v>
      </c>
      <c r="AM7" s="17" t="s">
        <v>291</v>
      </c>
      <c r="AN7" s="17" t="s">
        <v>292</v>
      </c>
      <c r="AO7" s="17" t="s">
        <v>293</v>
      </c>
      <c r="AP7" s="16" t="s">
        <v>294</v>
      </c>
    </row>
    <row r="8" spans="1:42" ht="15.95" customHeight="1" x14ac:dyDescent="0.2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 t="str">
        <f t="shared" ref="M8:M42" si="0">IF(AND($K8="",$L8=""),"",TRIM($J8&amp;" "&amp;$K8&amp;" "&amp;$L8))</f>
        <v/>
      </c>
      <c r="N8" s="18"/>
      <c r="O8" s="18"/>
      <c r="P8" s="18"/>
      <c r="Q8" s="19"/>
      <c r="R8" s="19"/>
      <c r="S8" s="20" t="str">
        <f t="shared" ref="S8:S42" si="1">IF(COUNT(Q8:R8)=0,"",SUM(Q8:R8))</f>
        <v/>
      </c>
      <c r="T8" s="18"/>
      <c r="U8" s="18"/>
      <c r="V8" s="18"/>
      <c r="W8" s="18"/>
      <c r="X8" s="21"/>
      <c r="Y8" s="18"/>
      <c r="Z8" s="18"/>
      <c r="AA8" s="18"/>
      <c r="AB8" s="19"/>
      <c r="AC8" s="19"/>
      <c r="AD8" s="19"/>
      <c r="AE8" s="19"/>
      <c r="AF8" s="18"/>
      <c r="AG8" s="18"/>
      <c r="AH8" s="18"/>
      <c r="AI8" s="3">
        <f t="shared" ref="AI8:AI42" si="2">IF($D8="",0,IF(OR($AG8="Pending",$AG8="Unwind",$AG8="Back Out"),0,1))</f>
        <v>0</v>
      </c>
      <c r="AJ8" s="3">
        <f t="shared" ref="AJ8:AJ42" si="3">IF($AI8=0,0,IF($F8="",0,IF($G8="",1,0.5)))</f>
        <v>0</v>
      </c>
      <c r="AK8" s="3">
        <f t="shared" ref="AK8:AK42" si="4">IF($AI8=0,0,IF($G8="",0,IF($F8="",1,0.5)))</f>
        <v>0</v>
      </c>
      <c r="AL8" s="3" t="str">
        <f>IF($AF8="","",IF(COUNTIF(AdSourceList,$AF8)=0,"Untagged",INDEX('Staff &amp; Lists'!$K$5:$K$204,MATCH($AF8,AdSourceList,0))))</f>
        <v/>
      </c>
      <c r="AM8" s="18"/>
      <c r="AN8" s="18"/>
      <c r="AO8" s="18"/>
      <c r="AP8" s="3" t="str">
        <f>IF($AI8=0,"",MATCH(MAX(N($S8),0),'Pay Plan'!$D$5:$K$5,1))</f>
        <v/>
      </c>
    </row>
    <row r="9" spans="1:42" ht="15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 t="str">
        <f t="shared" si="0"/>
        <v/>
      </c>
      <c r="N9" s="18"/>
      <c r="O9" s="18"/>
      <c r="P9" s="18"/>
      <c r="Q9" s="19"/>
      <c r="R9" s="19"/>
      <c r="S9" s="20" t="str">
        <f t="shared" si="1"/>
        <v/>
      </c>
      <c r="T9" s="18"/>
      <c r="U9" s="18"/>
      <c r="V9" s="18"/>
      <c r="W9" s="18"/>
      <c r="X9" s="21"/>
      <c r="Y9" s="18"/>
      <c r="Z9" s="18"/>
      <c r="AA9" s="18"/>
      <c r="AB9" s="19"/>
      <c r="AC9" s="19"/>
      <c r="AD9" s="19"/>
      <c r="AE9" s="19"/>
      <c r="AF9" s="18"/>
      <c r="AG9" s="18"/>
      <c r="AH9" s="18"/>
      <c r="AI9" s="3">
        <f t="shared" si="2"/>
        <v>0</v>
      </c>
      <c r="AJ9" s="3">
        <f t="shared" si="3"/>
        <v>0</v>
      </c>
      <c r="AK9" s="3">
        <f t="shared" si="4"/>
        <v>0</v>
      </c>
      <c r="AL9" s="3" t="str">
        <f>IF($AF9="","",IF(COUNTIF(AdSourceList,$AF9)=0,"Untagged",INDEX('Staff &amp; Lists'!$K$5:$K$204,MATCH($AF9,AdSourceList,0))))</f>
        <v/>
      </c>
      <c r="AM9" s="18"/>
      <c r="AN9" s="18"/>
      <c r="AO9" s="18"/>
      <c r="AP9" s="3" t="str">
        <f>IF($AI9=0,"",MATCH(MAX(N($S9),0),'Pay Plan'!$D$5:$K$5,1))</f>
        <v/>
      </c>
    </row>
    <row r="10" spans="1:42" ht="15.95" customHeight="1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 t="str">
        <f t="shared" si="0"/>
        <v/>
      </c>
      <c r="N10" s="18"/>
      <c r="O10" s="18"/>
      <c r="P10" s="18"/>
      <c r="Q10" s="19"/>
      <c r="R10" s="19"/>
      <c r="S10" s="20" t="str">
        <f t="shared" si="1"/>
        <v/>
      </c>
      <c r="T10" s="18"/>
      <c r="U10" s="18"/>
      <c r="V10" s="18"/>
      <c r="W10" s="18"/>
      <c r="X10" s="21"/>
      <c r="Y10" s="18"/>
      <c r="Z10" s="18"/>
      <c r="AA10" s="18"/>
      <c r="AB10" s="19"/>
      <c r="AC10" s="19"/>
      <c r="AD10" s="19"/>
      <c r="AE10" s="19"/>
      <c r="AF10" s="18"/>
      <c r="AG10" s="18"/>
      <c r="AH10" s="18"/>
      <c r="AI10" s="3">
        <f t="shared" si="2"/>
        <v>0</v>
      </c>
      <c r="AJ10" s="3">
        <f t="shared" si="3"/>
        <v>0</v>
      </c>
      <c r="AK10" s="3">
        <f t="shared" si="4"/>
        <v>0</v>
      </c>
      <c r="AL10" s="3" t="str">
        <f>IF($AF10="","",IF(COUNTIF(AdSourceList,$AF10)=0,"Untagged",INDEX('Staff &amp; Lists'!$K$5:$K$204,MATCH($AF10,AdSourceList,0))))</f>
        <v/>
      </c>
      <c r="AM10" s="18"/>
      <c r="AN10" s="18"/>
      <c r="AO10" s="18"/>
      <c r="AP10" s="3" t="str">
        <f>IF($AI10=0,"",MATCH(MAX(N($S10),0),'Pay Plan'!$D$5:$K$5,1))</f>
        <v/>
      </c>
    </row>
    <row r="11" spans="1:42" ht="15.95" customHeight="1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 t="str">
        <f t="shared" si="0"/>
        <v/>
      </c>
      <c r="N11" s="18"/>
      <c r="O11" s="18"/>
      <c r="P11" s="18"/>
      <c r="Q11" s="19"/>
      <c r="R11" s="19"/>
      <c r="S11" s="20" t="str">
        <f t="shared" si="1"/>
        <v/>
      </c>
      <c r="T11" s="18"/>
      <c r="U11" s="18"/>
      <c r="V11" s="18"/>
      <c r="W11" s="18"/>
      <c r="X11" s="21"/>
      <c r="Y11" s="18"/>
      <c r="Z11" s="18"/>
      <c r="AA11" s="18"/>
      <c r="AB11" s="19"/>
      <c r="AC11" s="19"/>
      <c r="AD11" s="19"/>
      <c r="AE11" s="19"/>
      <c r="AF11" s="18"/>
      <c r="AG11" s="18"/>
      <c r="AH11" s="18"/>
      <c r="AI11" s="3">
        <f t="shared" si="2"/>
        <v>0</v>
      </c>
      <c r="AJ11" s="3">
        <f t="shared" si="3"/>
        <v>0</v>
      </c>
      <c r="AK11" s="3">
        <f t="shared" si="4"/>
        <v>0</v>
      </c>
      <c r="AL11" s="3" t="str">
        <f>IF($AF11="","",IF(COUNTIF(AdSourceList,$AF11)=0,"Untagged",INDEX('Staff &amp; Lists'!$K$5:$K$204,MATCH($AF11,AdSourceList,0))))</f>
        <v/>
      </c>
      <c r="AM11" s="18"/>
      <c r="AN11" s="18"/>
      <c r="AO11" s="18"/>
      <c r="AP11" s="3" t="str">
        <f>IF($AI11=0,"",MATCH(MAX(N($S11),0),'Pay Plan'!$D$5:$K$5,1))</f>
        <v/>
      </c>
    </row>
    <row r="12" spans="1:42" ht="15.95" customHeight="1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 t="str">
        <f t="shared" si="0"/>
        <v/>
      </c>
      <c r="N12" s="18"/>
      <c r="O12" s="18"/>
      <c r="P12" s="18"/>
      <c r="Q12" s="19"/>
      <c r="R12" s="19"/>
      <c r="S12" s="20" t="str">
        <f t="shared" si="1"/>
        <v/>
      </c>
      <c r="T12" s="18"/>
      <c r="U12" s="18"/>
      <c r="V12" s="18"/>
      <c r="W12" s="18"/>
      <c r="X12" s="21"/>
      <c r="Y12" s="18"/>
      <c r="Z12" s="18"/>
      <c r="AA12" s="18"/>
      <c r="AB12" s="19"/>
      <c r="AC12" s="19"/>
      <c r="AD12" s="19"/>
      <c r="AE12" s="19"/>
      <c r="AF12" s="18"/>
      <c r="AG12" s="18"/>
      <c r="AH12" s="18"/>
      <c r="AI12" s="3">
        <f t="shared" si="2"/>
        <v>0</v>
      </c>
      <c r="AJ12" s="3">
        <f t="shared" si="3"/>
        <v>0</v>
      </c>
      <c r="AK12" s="3">
        <f t="shared" si="4"/>
        <v>0</v>
      </c>
      <c r="AL12" s="3" t="str">
        <f>IF($AF12="","",IF(COUNTIF(AdSourceList,$AF12)=0,"Untagged",INDEX('Staff &amp; Lists'!$K$5:$K$204,MATCH($AF12,AdSourceList,0))))</f>
        <v/>
      </c>
      <c r="AM12" s="18"/>
      <c r="AN12" s="18"/>
      <c r="AO12" s="18"/>
      <c r="AP12" s="3" t="str">
        <f>IF($AI12=0,"",MATCH(MAX(N($S12),0),'Pay Plan'!$D$5:$K$5,1))</f>
        <v/>
      </c>
    </row>
    <row r="13" spans="1:42" ht="15.95" customHeight="1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 t="str">
        <f t="shared" si="0"/>
        <v/>
      </c>
      <c r="N13" s="18"/>
      <c r="O13" s="18"/>
      <c r="P13" s="18"/>
      <c r="Q13" s="19"/>
      <c r="R13" s="19"/>
      <c r="S13" s="20" t="str">
        <f t="shared" si="1"/>
        <v/>
      </c>
      <c r="T13" s="18"/>
      <c r="U13" s="18"/>
      <c r="V13" s="18"/>
      <c r="W13" s="18"/>
      <c r="X13" s="21"/>
      <c r="Y13" s="18"/>
      <c r="Z13" s="18"/>
      <c r="AA13" s="18"/>
      <c r="AB13" s="19"/>
      <c r="AC13" s="19"/>
      <c r="AD13" s="19"/>
      <c r="AE13" s="19"/>
      <c r="AF13" s="18"/>
      <c r="AG13" s="18"/>
      <c r="AH13" s="18"/>
      <c r="AI13" s="3">
        <f t="shared" si="2"/>
        <v>0</v>
      </c>
      <c r="AJ13" s="3">
        <f t="shared" si="3"/>
        <v>0</v>
      </c>
      <c r="AK13" s="3">
        <f t="shared" si="4"/>
        <v>0</v>
      </c>
      <c r="AL13" s="3" t="str">
        <f>IF($AF13="","",IF(COUNTIF(AdSourceList,$AF13)=0,"Untagged",INDEX('Staff &amp; Lists'!$K$5:$K$204,MATCH($AF13,AdSourceList,0))))</f>
        <v/>
      </c>
      <c r="AM13" s="18"/>
      <c r="AN13" s="18"/>
      <c r="AO13" s="18"/>
      <c r="AP13" s="3" t="str">
        <f>IF($AI13=0,"",MATCH(MAX(N($S13),0),'Pay Plan'!$D$5:$K$5,1))</f>
        <v/>
      </c>
    </row>
    <row r="14" spans="1:42" ht="15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 t="str">
        <f t="shared" si="0"/>
        <v/>
      </c>
      <c r="N14" s="18"/>
      <c r="O14" s="18"/>
      <c r="P14" s="18"/>
      <c r="Q14" s="19"/>
      <c r="R14" s="19"/>
      <c r="S14" s="20" t="str">
        <f t="shared" si="1"/>
        <v/>
      </c>
      <c r="T14" s="18"/>
      <c r="U14" s="18"/>
      <c r="V14" s="18"/>
      <c r="W14" s="18"/>
      <c r="X14" s="21"/>
      <c r="Y14" s="18"/>
      <c r="Z14" s="18"/>
      <c r="AA14" s="18"/>
      <c r="AB14" s="19"/>
      <c r="AC14" s="19"/>
      <c r="AD14" s="19"/>
      <c r="AE14" s="19"/>
      <c r="AF14" s="18"/>
      <c r="AG14" s="18"/>
      <c r="AH14" s="18"/>
      <c r="AI14" s="3">
        <f t="shared" si="2"/>
        <v>0</v>
      </c>
      <c r="AJ14" s="3">
        <f t="shared" si="3"/>
        <v>0</v>
      </c>
      <c r="AK14" s="3">
        <f t="shared" si="4"/>
        <v>0</v>
      </c>
      <c r="AL14" s="3" t="str">
        <f>IF($AF14="","",IF(COUNTIF(AdSourceList,$AF14)=0,"Untagged",INDEX('Staff &amp; Lists'!$K$5:$K$204,MATCH($AF14,AdSourceList,0))))</f>
        <v/>
      </c>
      <c r="AM14" s="18"/>
      <c r="AN14" s="18"/>
      <c r="AO14" s="18"/>
      <c r="AP14" s="3" t="str">
        <f>IF($AI14=0,"",MATCH(MAX(N($S14),0),'Pay Plan'!$D$5:$K$5,1))</f>
        <v/>
      </c>
    </row>
    <row r="15" spans="1:42" ht="15.9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 t="str">
        <f t="shared" si="0"/>
        <v/>
      </c>
      <c r="N15" s="18"/>
      <c r="O15" s="18"/>
      <c r="P15" s="18"/>
      <c r="Q15" s="19"/>
      <c r="R15" s="19"/>
      <c r="S15" s="20" t="str">
        <f t="shared" si="1"/>
        <v/>
      </c>
      <c r="T15" s="18"/>
      <c r="U15" s="18"/>
      <c r="V15" s="18"/>
      <c r="W15" s="18"/>
      <c r="X15" s="21"/>
      <c r="Y15" s="18"/>
      <c r="Z15" s="18"/>
      <c r="AA15" s="18"/>
      <c r="AB15" s="19"/>
      <c r="AC15" s="19"/>
      <c r="AD15" s="19"/>
      <c r="AE15" s="19"/>
      <c r="AF15" s="18"/>
      <c r="AG15" s="18"/>
      <c r="AH15" s="18"/>
      <c r="AI15" s="3">
        <f t="shared" si="2"/>
        <v>0</v>
      </c>
      <c r="AJ15" s="3">
        <f t="shared" si="3"/>
        <v>0</v>
      </c>
      <c r="AK15" s="3">
        <f t="shared" si="4"/>
        <v>0</v>
      </c>
      <c r="AL15" s="3" t="str">
        <f>IF($AF15="","",IF(COUNTIF(AdSourceList,$AF15)=0,"Untagged",INDEX('Staff &amp; Lists'!$K$5:$K$204,MATCH($AF15,AdSourceList,0))))</f>
        <v/>
      </c>
      <c r="AM15" s="18"/>
      <c r="AN15" s="18"/>
      <c r="AO15" s="18"/>
      <c r="AP15" s="3" t="str">
        <f>IF($AI15=0,"",MATCH(MAX(N($S15),0),'Pay Plan'!$D$5:$K$5,1))</f>
        <v/>
      </c>
    </row>
    <row r="16" spans="1:42" ht="15.9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 t="str">
        <f t="shared" si="0"/>
        <v/>
      </c>
      <c r="N16" s="18"/>
      <c r="O16" s="18"/>
      <c r="P16" s="18"/>
      <c r="Q16" s="19"/>
      <c r="R16" s="19"/>
      <c r="S16" s="20" t="str">
        <f t="shared" si="1"/>
        <v/>
      </c>
      <c r="T16" s="18"/>
      <c r="U16" s="18"/>
      <c r="V16" s="18"/>
      <c r="W16" s="18"/>
      <c r="X16" s="21"/>
      <c r="Y16" s="18"/>
      <c r="Z16" s="18"/>
      <c r="AA16" s="18"/>
      <c r="AB16" s="19"/>
      <c r="AC16" s="19"/>
      <c r="AD16" s="19"/>
      <c r="AE16" s="19"/>
      <c r="AF16" s="18"/>
      <c r="AG16" s="18"/>
      <c r="AH16" s="18"/>
      <c r="AI16" s="3">
        <f t="shared" si="2"/>
        <v>0</v>
      </c>
      <c r="AJ16" s="3">
        <f t="shared" si="3"/>
        <v>0</v>
      </c>
      <c r="AK16" s="3">
        <f t="shared" si="4"/>
        <v>0</v>
      </c>
      <c r="AL16" s="3" t="str">
        <f>IF($AF16="","",IF(COUNTIF(AdSourceList,$AF16)=0,"Untagged",INDEX('Staff &amp; Lists'!$K$5:$K$204,MATCH($AF16,AdSourceList,0))))</f>
        <v/>
      </c>
      <c r="AM16" s="18"/>
      <c r="AN16" s="18"/>
      <c r="AO16" s="18"/>
      <c r="AP16" s="3" t="str">
        <f>IF($AI16=0,"",MATCH(MAX(N($S16),0),'Pay Plan'!$D$5:$K$5,1))</f>
        <v/>
      </c>
    </row>
    <row r="17" spans="1:42" ht="15.95" customHeight="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 t="str">
        <f t="shared" si="0"/>
        <v/>
      </c>
      <c r="N17" s="18"/>
      <c r="O17" s="18"/>
      <c r="P17" s="18"/>
      <c r="Q17" s="19"/>
      <c r="R17" s="19"/>
      <c r="S17" s="20" t="str">
        <f t="shared" si="1"/>
        <v/>
      </c>
      <c r="T17" s="18"/>
      <c r="U17" s="18"/>
      <c r="V17" s="18"/>
      <c r="W17" s="18"/>
      <c r="X17" s="21"/>
      <c r="Y17" s="18"/>
      <c r="Z17" s="18"/>
      <c r="AA17" s="18"/>
      <c r="AB17" s="19"/>
      <c r="AC17" s="19"/>
      <c r="AD17" s="19"/>
      <c r="AE17" s="19"/>
      <c r="AF17" s="18"/>
      <c r="AG17" s="18"/>
      <c r="AH17" s="18"/>
      <c r="AI17" s="3">
        <f t="shared" si="2"/>
        <v>0</v>
      </c>
      <c r="AJ17" s="3">
        <f t="shared" si="3"/>
        <v>0</v>
      </c>
      <c r="AK17" s="3">
        <f t="shared" si="4"/>
        <v>0</v>
      </c>
      <c r="AL17" s="3" t="str">
        <f>IF($AF17="","",IF(COUNTIF(AdSourceList,$AF17)=0,"Untagged",INDEX('Staff &amp; Lists'!$K$5:$K$204,MATCH($AF17,AdSourceList,0))))</f>
        <v/>
      </c>
      <c r="AM17" s="18"/>
      <c r="AN17" s="18"/>
      <c r="AO17" s="18"/>
      <c r="AP17" s="3" t="str">
        <f>IF($AI17=0,"",MATCH(MAX(N($S17),0),'Pay Plan'!$D$5:$K$5,1))</f>
        <v/>
      </c>
    </row>
    <row r="18" spans="1:42" ht="15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 t="str">
        <f t="shared" si="0"/>
        <v/>
      </c>
      <c r="N18" s="18"/>
      <c r="O18" s="18"/>
      <c r="P18" s="18"/>
      <c r="Q18" s="19"/>
      <c r="R18" s="19"/>
      <c r="S18" s="20" t="str">
        <f t="shared" si="1"/>
        <v/>
      </c>
      <c r="T18" s="18"/>
      <c r="U18" s="18"/>
      <c r="V18" s="18"/>
      <c r="W18" s="18"/>
      <c r="X18" s="21"/>
      <c r="Y18" s="18"/>
      <c r="Z18" s="18"/>
      <c r="AA18" s="18"/>
      <c r="AB18" s="19"/>
      <c r="AC18" s="19"/>
      <c r="AD18" s="19"/>
      <c r="AE18" s="19"/>
      <c r="AF18" s="18"/>
      <c r="AG18" s="18"/>
      <c r="AH18" s="18"/>
      <c r="AI18" s="3">
        <f t="shared" si="2"/>
        <v>0</v>
      </c>
      <c r="AJ18" s="3">
        <f t="shared" si="3"/>
        <v>0</v>
      </c>
      <c r="AK18" s="3">
        <f t="shared" si="4"/>
        <v>0</v>
      </c>
      <c r="AL18" s="3" t="str">
        <f>IF($AF18="","",IF(COUNTIF(AdSourceList,$AF18)=0,"Untagged",INDEX('Staff &amp; Lists'!$K$5:$K$204,MATCH($AF18,AdSourceList,0))))</f>
        <v/>
      </c>
      <c r="AM18" s="18"/>
      <c r="AN18" s="18"/>
      <c r="AO18" s="18"/>
      <c r="AP18" s="3" t="str">
        <f>IF($AI18=0,"",MATCH(MAX(N($S18),0),'Pay Plan'!$D$5:$K$5,1))</f>
        <v/>
      </c>
    </row>
    <row r="19" spans="1:42" ht="15.95" customHeight="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 t="str">
        <f t="shared" si="0"/>
        <v/>
      </c>
      <c r="N19" s="18"/>
      <c r="O19" s="18"/>
      <c r="P19" s="18"/>
      <c r="Q19" s="19"/>
      <c r="R19" s="19"/>
      <c r="S19" s="20" t="str">
        <f t="shared" si="1"/>
        <v/>
      </c>
      <c r="T19" s="18"/>
      <c r="U19" s="18"/>
      <c r="V19" s="18"/>
      <c r="W19" s="18"/>
      <c r="X19" s="21"/>
      <c r="Y19" s="18"/>
      <c r="Z19" s="18"/>
      <c r="AA19" s="18"/>
      <c r="AB19" s="19"/>
      <c r="AC19" s="19"/>
      <c r="AD19" s="19"/>
      <c r="AE19" s="19"/>
      <c r="AF19" s="18"/>
      <c r="AG19" s="18"/>
      <c r="AH19" s="18"/>
      <c r="AI19" s="3">
        <f t="shared" si="2"/>
        <v>0</v>
      </c>
      <c r="AJ19" s="3">
        <f t="shared" si="3"/>
        <v>0</v>
      </c>
      <c r="AK19" s="3">
        <f t="shared" si="4"/>
        <v>0</v>
      </c>
      <c r="AL19" s="3" t="str">
        <f>IF($AF19="","",IF(COUNTIF(AdSourceList,$AF19)=0,"Untagged",INDEX('Staff &amp; Lists'!$K$5:$K$204,MATCH($AF19,AdSourceList,0))))</f>
        <v/>
      </c>
      <c r="AM19" s="18"/>
      <c r="AN19" s="18"/>
      <c r="AO19" s="18"/>
      <c r="AP19" s="3" t="str">
        <f>IF($AI19=0,"",MATCH(MAX(N($S19),0),'Pay Plan'!$D$5:$K$5,1))</f>
        <v/>
      </c>
    </row>
    <row r="20" spans="1:42" ht="15.95" customHeight="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 t="str">
        <f t="shared" si="0"/>
        <v/>
      </c>
      <c r="N20" s="18"/>
      <c r="O20" s="18"/>
      <c r="P20" s="18"/>
      <c r="Q20" s="19"/>
      <c r="R20" s="19"/>
      <c r="S20" s="20" t="str">
        <f t="shared" si="1"/>
        <v/>
      </c>
      <c r="T20" s="18"/>
      <c r="U20" s="18"/>
      <c r="V20" s="18"/>
      <c r="W20" s="18"/>
      <c r="X20" s="21"/>
      <c r="Y20" s="18"/>
      <c r="Z20" s="18"/>
      <c r="AA20" s="18"/>
      <c r="AB20" s="19"/>
      <c r="AC20" s="19"/>
      <c r="AD20" s="19"/>
      <c r="AE20" s="19"/>
      <c r="AF20" s="18"/>
      <c r="AG20" s="18"/>
      <c r="AH20" s="18"/>
      <c r="AI20" s="3">
        <f t="shared" si="2"/>
        <v>0</v>
      </c>
      <c r="AJ20" s="3">
        <f t="shared" si="3"/>
        <v>0</v>
      </c>
      <c r="AK20" s="3">
        <f t="shared" si="4"/>
        <v>0</v>
      </c>
      <c r="AL20" s="3" t="str">
        <f>IF($AF20="","",IF(COUNTIF(AdSourceList,$AF20)=0,"Untagged",INDEX('Staff &amp; Lists'!$K$5:$K$204,MATCH($AF20,AdSourceList,0))))</f>
        <v/>
      </c>
      <c r="AM20" s="18"/>
      <c r="AN20" s="18"/>
      <c r="AO20" s="18"/>
      <c r="AP20" s="3" t="str">
        <f>IF($AI20=0,"",MATCH(MAX(N($S20),0),'Pay Plan'!$D$5:$K$5,1))</f>
        <v/>
      </c>
    </row>
    <row r="21" spans="1:42" ht="15.95" customHeight="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 t="str">
        <f t="shared" si="0"/>
        <v/>
      </c>
      <c r="N21" s="18"/>
      <c r="O21" s="18"/>
      <c r="P21" s="18"/>
      <c r="Q21" s="19"/>
      <c r="R21" s="19"/>
      <c r="S21" s="20" t="str">
        <f t="shared" si="1"/>
        <v/>
      </c>
      <c r="T21" s="18"/>
      <c r="U21" s="18"/>
      <c r="V21" s="18"/>
      <c r="W21" s="18"/>
      <c r="X21" s="21"/>
      <c r="Y21" s="18"/>
      <c r="Z21" s="18"/>
      <c r="AA21" s="18"/>
      <c r="AB21" s="19"/>
      <c r="AC21" s="19"/>
      <c r="AD21" s="19"/>
      <c r="AE21" s="19"/>
      <c r="AF21" s="18"/>
      <c r="AG21" s="18"/>
      <c r="AH21" s="18"/>
      <c r="AI21" s="3">
        <f t="shared" si="2"/>
        <v>0</v>
      </c>
      <c r="AJ21" s="3">
        <f t="shared" si="3"/>
        <v>0</v>
      </c>
      <c r="AK21" s="3">
        <f t="shared" si="4"/>
        <v>0</v>
      </c>
      <c r="AL21" s="3" t="str">
        <f>IF($AF21="","",IF(COUNTIF(AdSourceList,$AF21)=0,"Untagged",INDEX('Staff &amp; Lists'!$K$5:$K$204,MATCH($AF21,AdSourceList,0))))</f>
        <v/>
      </c>
      <c r="AM21" s="18"/>
      <c r="AN21" s="18"/>
      <c r="AO21" s="18"/>
      <c r="AP21" s="3" t="str">
        <f>IF($AI21=0,"",MATCH(MAX(N($S21),0),'Pay Plan'!$D$5:$K$5,1))</f>
        <v/>
      </c>
    </row>
    <row r="22" spans="1:42" ht="15.95" customHeight="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 t="str">
        <f t="shared" si="0"/>
        <v/>
      </c>
      <c r="N22" s="18"/>
      <c r="O22" s="18"/>
      <c r="P22" s="18"/>
      <c r="Q22" s="19"/>
      <c r="R22" s="19"/>
      <c r="S22" s="20" t="str">
        <f t="shared" si="1"/>
        <v/>
      </c>
      <c r="T22" s="18"/>
      <c r="U22" s="18"/>
      <c r="V22" s="18"/>
      <c r="W22" s="18"/>
      <c r="X22" s="21"/>
      <c r="Y22" s="18"/>
      <c r="Z22" s="18"/>
      <c r="AA22" s="18"/>
      <c r="AB22" s="19"/>
      <c r="AC22" s="19"/>
      <c r="AD22" s="19"/>
      <c r="AE22" s="19"/>
      <c r="AF22" s="18"/>
      <c r="AG22" s="18"/>
      <c r="AH22" s="18"/>
      <c r="AI22" s="3">
        <f t="shared" si="2"/>
        <v>0</v>
      </c>
      <c r="AJ22" s="3">
        <f t="shared" si="3"/>
        <v>0</v>
      </c>
      <c r="AK22" s="3">
        <f t="shared" si="4"/>
        <v>0</v>
      </c>
      <c r="AL22" s="3" t="str">
        <f>IF($AF22="","",IF(COUNTIF(AdSourceList,$AF22)=0,"Untagged",INDEX('Staff &amp; Lists'!$K$5:$K$204,MATCH($AF22,AdSourceList,0))))</f>
        <v/>
      </c>
      <c r="AM22" s="18"/>
      <c r="AN22" s="18"/>
      <c r="AO22" s="18"/>
      <c r="AP22" s="3" t="str">
        <f>IF($AI22=0,"",MATCH(MAX(N($S22),0),'Pay Plan'!$D$5:$K$5,1))</f>
        <v/>
      </c>
    </row>
    <row r="23" spans="1:42" ht="15.95" customHeight="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 t="str">
        <f t="shared" si="0"/>
        <v/>
      </c>
      <c r="N23" s="18"/>
      <c r="O23" s="18"/>
      <c r="P23" s="18"/>
      <c r="Q23" s="19"/>
      <c r="R23" s="19"/>
      <c r="S23" s="20" t="str">
        <f t="shared" si="1"/>
        <v/>
      </c>
      <c r="T23" s="18"/>
      <c r="U23" s="18"/>
      <c r="V23" s="18"/>
      <c r="W23" s="18"/>
      <c r="X23" s="21"/>
      <c r="Y23" s="18"/>
      <c r="Z23" s="18"/>
      <c r="AA23" s="18"/>
      <c r="AB23" s="19"/>
      <c r="AC23" s="19"/>
      <c r="AD23" s="19"/>
      <c r="AE23" s="19"/>
      <c r="AF23" s="18"/>
      <c r="AG23" s="18"/>
      <c r="AH23" s="18"/>
      <c r="AI23" s="3">
        <f t="shared" si="2"/>
        <v>0</v>
      </c>
      <c r="AJ23" s="3">
        <f t="shared" si="3"/>
        <v>0</v>
      </c>
      <c r="AK23" s="3">
        <f t="shared" si="4"/>
        <v>0</v>
      </c>
      <c r="AL23" s="3" t="str">
        <f>IF($AF23="","",IF(COUNTIF(AdSourceList,$AF23)=0,"Untagged",INDEX('Staff &amp; Lists'!$K$5:$K$204,MATCH($AF23,AdSourceList,0))))</f>
        <v/>
      </c>
      <c r="AM23" s="18"/>
      <c r="AN23" s="18"/>
      <c r="AO23" s="18"/>
      <c r="AP23" s="3" t="str">
        <f>IF($AI23=0,"",MATCH(MAX(N($S23),0),'Pay Plan'!$D$5:$K$5,1))</f>
        <v/>
      </c>
    </row>
    <row r="24" spans="1:42" ht="15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 t="str">
        <f t="shared" si="0"/>
        <v/>
      </c>
      <c r="N24" s="18"/>
      <c r="O24" s="18"/>
      <c r="P24" s="18"/>
      <c r="Q24" s="19"/>
      <c r="R24" s="19"/>
      <c r="S24" s="20" t="str">
        <f t="shared" si="1"/>
        <v/>
      </c>
      <c r="T24" s="18"/>
      <c r="U24" s="18"/>
      <c r="V24" s="18"/>
      <c r="W24" s="18"/>
      <c r="X24" s="21"/>
      <c r="Y24" s="18"/>
      <c r="Z24" s="18"/>
      <c r="AA24" s="18"/>
      <c r="AB24" s="19"/>
      <c r="AC24" s="19"/>
      <c r="AD24" s="19"/>
      <c r="AE24" s="19"/>
      <c r="AF24" s="18"/>
      <c r="AG24" s="18"/>
      <c r="AH24" s="18"/>
      <c r="AI24" s="3">
        <f t="shared" si="2"/>
        <v>0</v>
      </c>
      <c r="AJ24" s="3">
        <f t="shared" si="3"/>
        <v>0</v>
      </c>
      <c r="AK24" s="3">
        <f t="shared" si="4"/>
        <v>0</v>
      </c>
      <c r="AL24" s="3" t="str">
        <f>IF($AF24="","",IF(COUNTIF(AdSourceList,$AF24)=0,"Untagged",INDEX('Staff &amp; Lists'!$K$5:$K$204,MATCH($AF24,AdSourceList,0))))</f>
        <v/>
      </c>
      <c r="AM24" s="18"/>
      <c r="AN24" s="18"/>
      <c r="AO24" s="18"/>
      <c r="AP24" s="3" t="str">
        <f>IF($AI24=0,"",MATCH(MAX(N($S24),0),'Pay Plan'!$D$5:$K$5,1))</f>
        <v/>
      </c>
    </row>
    <row r="25" spans="1:42" ht="15.95" customHeight="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 t="str">
        <f t="shared" si="0"/>
        <v/>
      </c>
      <c r="N25" s="18"/>
      <c r="O25" s="18"/>
      <c r="P25" s="18"/>
      <c r="Q25" s="19"/>
      <c r="R25" s="19"/>
      <c r="S25" s="20" t="str">
        <f t="shared" si="1"/>
        <v/>
      </c>
      <c r="T25" s="18"/>
      <c r="U25" s="18"/>
      <c r="V25" s="18"/>
      <c r="W25" s="18"/>
      <c r="X25" s="21"/>
      <c r="Y25" s="18"/>
      <c r="Z25" s="18"/>
      <c r="AA25" s="18"/>
      <c r="AB25" s="19"/>
      <c r="AC25" s="19"/>
      <c r="AD25" s="19"/>
      <c r="AE25" s="19"/>
      <c r="AF25" s="18"/>
      <c r="AG25" s="18"/>
      <c r="AH25" s="18"/>
      <c r="AI25" s="3">
        <f t="shared" si="2"/>
        <v>0</v>
      </c>
      <c r="AJ25" s="3">
        <f t="shared" si="3"/>
        <v>0</v>
      </c>
      <c r="AK25" s="3">
        <f t="shared" si="4"/>
        <v>0</v>
      </c>
      <c r="AL25" s="3" t="str">
        <f>IF($AF25="","",IF(COUNTIF(AdSourceList,$AF25)=0,"Untagged",INDEX('Staff &amp; Lists'!$K$5:$K$204,MATCH($AF25,AdSourceList,0))))</f>
        <v/>
      </c>
      <c r="AM25" s="18"/>
      <c r="AN25" s="18"/>
      <c r="AO25" s="18"/>
      <c r="AP25" s="3" t="str">
        <f>IF($AI25=0,"",MATCH(MAX(N($S25),0),'Pay Plan'!$D$5:$K$5,1))</f>
        <v/>
      </c>
    </row>
    <row r="26" spans="1:42" ht="15.95" customHeight="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 t="str">
        <f t="shared" si="0"/>
        <v/>
      </c>
      <c r="N26" s="18"/>
      <c r="O26" s="18"/>
      <c r="P26" s="18"/>
      <c r="Q26" s="19"/>
      <c r="R26" s="19"/>
      <c r="S26" s="20" t="str">
        <f t="shared" si="1"/>
        <v/>
      </c>
      <c r="T26" s="18"/>
      <c r="U26" s="18"/>
      <c r="V26" s="18"/>
      <c r="W26" s="18"/>
      <c r="X26" s="21"/>
      <c r="Y26" s="18"/>
      <c r="Z26" s="18"/>
      <c r="AA26" s="18"/>
      <c r="AB26" s="19"/>
      <c r="AC26" s="19"/>
      <c r="AD26" s="19"/>
      <c r="AE26" s="19"/>
      <c r="AF26" s="18"/>
      <c r="AG26" s="18"/>
      <c r="AH26" s="18"/>
      <c r="AI26" s="3">
        <f t="shared" si="2"/>
        <v>0</v>
      </c>
      <c r="AJ26" s="3">
        <f t="shared" si="3"/>
        <v>0</v>
      </c>
      <c r="AK26" s="3">
        <f t="shared" si="4"/>
        <v>0</v>
      </c>
      <c r="AL26" s="3" t="str">
        <f>IF($AF26="","",IF(COUNTIF(AdSourceList,$AF26)=0,"Untagged",INDEX('Staff &amp; Lists'!$K$5:$K$204,MATCH($AF26,AdSourceList,0))))</f>
        <v/>
      </c>
      <c r="AM26" s="18"/>
      <c r="AN26" s="18"/>
      <c r="AO26" s="18"/>
      <c r="AP26" s="3" t="str">
        <f>IF($AI26=0,"",MATCH(MAX(N($S26),0),'Pay Plan'!$D$5:$K$5,1))</f>
        <v/>
      </c>
    </row>
    <row r="27" spans="1:42" ht="15.9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 t="str">
        <f t="shared" si="0"/>
        <v/>
      </c>
      <c r="N27" s="18"/>
      <c r="O27" s="18"/>
      <c r="P27" s="18"/>
      <c r="Q27" s="19"/>
      <c r="R27" s="19"/>
      <c r="S27" s="20" t="str">
        <f t="shared" si="1"/>
        <v/>
      </c>
      <c r="T27" s="18"/>
      <c r="U27" s="18"/>
      <c r="V27" s="18"/>
      <c r="W27" s="18"/>
      <c r="X27" s="21"/>
      <c r="Y27" s="18"/>
      <c r="Z27" s="18"/>
      <c r="AA27" s="18"/>
      <c r="AB27" s="19"/>
      <c r="AC27" s="19"/>
      <c r="AD27" s="19"/>
      <c r="AE27" s="19"/>
      <c r="AF27" s="18"/>
      <c r="AG27" s="18"/>
      <c r="AH27" s="18"/>
      <c r="AI27" s="3">
        <f t="shared" si="2"/>
        <v>0</v>
      </c>
      <c r="AJ27" s="3">
        <f t="shared" si="3"/>
        <v>0</v>
      </c>
      <c r="AK27" s="3">
        <f t="shared" si="4"/>
        <v>0</v>
      </c>
      <c r="AL27" s="3" t="str">
        <f>IF($AF27="","",IF(COUNTIF(AdSourceList,$AF27)=0,"Untagged",INDEX('Staff &amp; Lists'!$K$5:$K$204,MATCH($AF27,AdSourceList,0))))</f>
        <v/>
      </c>
      <c r="AM27" s="18"/>
      <c r="AN27" s="18"/>
      <c r="AO27" s="18"/>
      <c r="AP27" s="3" t="str">
        <f>IF($AI27=0,"",MATCH(MAX(N($S27),0),'Pay Plan'!$D$5:$K$5,1))</f>
        <v/>
      </c>
    </row>
    <row r="28" spans="1:42" ht="15.9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 t="str">
        <f t="shared" si="0"/>
        <v/>
      </c>
      <c r="N28" s="18"/>
      <c r="O28" s="18"/>
      <c r="P28" s="18"/>
      <c r="Q28" s="19"/>
      <c r="R28" s="19"/>
      <c r="S28" s="20" t="str">
        <f t="shared" si="1"/>
        <v/>
      </c>
      <c r="T28" s="18"/>
      <c r="U28" s="18"/>
      <c r="V28" s="18"/>
      <c r="W28" s="18"/>
      <c r="X28" s="21"/>
      <c r="Y28" s="18"/>
      <c r="Z28" s="18"/>
      <c r="AA28" s="18"/>
      <c r="AB28" s="19"/>
      <c r="AC28" s="19"/>
      <c r="AD28" s="19"/>
      <c r="AE28" s="19"/>
      <c r="AF28" s="18"/>
      <c r="AG28" s="18"/>
      <c r="AH28" s="18"/>
      <c r="AI28" s="3">
        <f t="shared" si="2"/>
        <v>0</v>
      </c>
      <c r="AJ28" s="3">
        <f t="shared" si="3"/>
        <v>0</v>
      </c>
      <c r="AK28" s="3">
        <f t="shared" si="4"/>
        <v>0</v>
      </c>
      <c r="AL28" s="3" t="str">
        <f>IF($AF28="","",IF(COUNTIF(AdSourceList,$AF28)=0,"Untagged",INDEX('Staff &amp; Lists'!$K$5:$K$204,MATCH($AF28,AdSourceList,0))))</f>
        <v/>
      </c>
      <c r="AM28" s="18"/>
      <c r="AN28" s="18"/>
      <c r="AO28" s="18"/>
      <c r="AP28" s="3" t="str">
        <f>IF($AI28=0,"",MATCH(MAX(N($S28),0),'Pay Plan'!$D$5:$K$5,1))</f>
        <v/>
      </c>
    </row>
    <row r="29" spans="1:42" ht="15.9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 t="str">
        <f t="shared" si="0"/>
        <v/>
      </c>
      <c r="N29" s="18"/>
      <c r="O29" s="18"/>
      <c r="P29" s="18"/>
      <c r="Q29" s="19"/>
      <c r="R29" s="19"/>
      <c r="S29" s="20" t="str">
        <f t="shared" si="1"/>
        <v/>
      </c>
      <c r="T29" s="18"/>
      <c r="U29" s="18"/>
      <c r="V29" s="18"/>
      <c r="W29" s="18"/>
      <c r="X29" s="21"/>
      <c r="Y29" s="18"/>
      <c r="Z29" s="18"/>
      <c r="AA29" s="18"/>
      <c r="AB29" s="19"/>
      <c r="AC29" s="19"/>
      <c r="AD29" s="19"/>
      <c r="AE29" s="19"/>
      <c r="AF29" s="18"/>
      <c r="AG29" s="18"/>
      <c r="AH29" s="18"/>
      <c r="AI29" s="3">
        <f t="shared" si="2"/>
        <v>0</v>
      </c>
      <c r="AJ29" s="3">
        <f t="shared" si="3"/>
        <v>0</v>
      </c>
      <c r="AK29" s="3">
        <f t="shared" si="4"/>
        <v>0</v>
      </c>
      <c r="AL29" s="3" t="str">
        <f>IF($AF29="","",IF(COUNTIF(AdSourceList,$AF29)=0,"Untagged",INDEX('Staff &amp; Lists'!$K$5:$K$204,MATCH($AF29,AdSourceList,0))))</f>
        <v/>
      </c>
      <c r="AM29" s="18"/>
      <c r="AN29" s="18"/>
      <c r="AO29" s="18"/>
      <c r="AP29" s="3" t="str">
        <f>IF($AI29=0,"",MATCH(MAX(N($S29),0),'Pay Plan'!$D$5:$K$5,1))</f>
        <v/>
      </c>
    </row>
    <row r="30" spans="1:42" ht="15.9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 t="str">
        <f t="shared" si="0"/>
        <v/>
      </c>
      <c r="N30" s="18"/>
      <c r="O30" s="18"/>
      <c r="P30" s="18"/>
      <c r="Q30" s="19"/>
      <c r="R30" s="19"/>
      <c r="S30" s="20" t="str">
        <f t="shared" si="1"/>
        <v/>
      </c>
      <c r="T30" s="18"/>
      <c r="U30" s="18"/>
      <c r="V30" s="18"/>
      <c r="W30" s="18"/>
      <c r="X30" s="21"/>
      <c r="Y30" s="18"/>
      <c r="Z30" s="18"/>
      <c r="AA30" s="18"/>
      <c r="AB30" s="19"/>
      <c r="AC30" s="19"/>
      <c r="AD30" s="19"/>
      <c r="AE30" s="19"/>
      <c r="AF30" s="18"/>
      <c r="AG30" s="18"/>
      <c r="AH30" s="18"/>
      <c r="AI30" s="3">
        <f t="shared" si="2"/>
        <v>0</v>
      </c>
      <c r="AJ30" s="3">
        <f t="shared" si="3"/>
        <v>0</v>
      </c>
      <c r="AK30" s="3">
        <f t="shared" si="4"/>
        <v>0</v>
      </c>
      <c r="AL30" s="3" t="str">
        <f>IF($AF30="","",IF(COUNTIF(AdSourceList,$AF30)=0,"Untagged",INDEX('Staff &amp; Lists'!$K$5:$K$204,MATCH($AF30,AdSourceList,0))))</f>
        <v/>
      </c>
      <c r="AM30" s="18"/>
      <c r="AN30" s="18"/>
      <c r="AO30" s="18"/>
      <c r="AP30" s="3" t="str">
        <f>IF($AI30=0,"",MATCH(MAX(N($S30),0),'Pay Plan'!$D$5:$K$5,1))</f>
        <v/>
      </c>
    </row>
    <row r="31" spans="1:42" ht="15.9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 t="str">
        <f t="shared" si="0"/>
        <v/>
      </c>
      <c r="N31" s="18"/>
      <c r="O31" s="18"/>
      <c r="P31" s="18"/>
      <c r="Q31" s="19"/>
      <c r="R31" s="19"/>
      <c r="S31" s="20" t="str">
        <f t="shared" si="1"/>
        <v/>
      </c>
      <c r="T31" s="18"/>
      <c r="U31" s="18"/>
      <c r="V31" s="18"/>
      <c r="W31" s="18"/>
      <c r="X31" s="21"/>
      <c r="Y31" s="18"/>
      <c r="Z31" s="18"/>
      <c r="AA31" s="18"/>
      <c r="AB31" s="19"/>
      <c r="AC31" s="19"/>
      <c r="AD31" s="19"/>
      <c r="AE31" s="19"/>
      <c r="AF31" s="18"/>
      <c r="AG31" s="18"/>
      <c r="AH31" s="18"/>
      <c r="AI31" s="3">
        <f t="shared" si="2"/>
        <v>0</v>
      </c>
      <c r="AJ31" s="3">
        <f t="shared" si="3"/>
        <v>0</v>
      </c>
      <c r="AK31" s="3">
        <f t="shared" si="4"/>
        <v>0</v>
      </c>
      <c r="AL31" s="3" t="str">
        <f>IF($AF31="","",IF(COUNTIF(AdSourceList,$AF31)=0,"Untagged",INDEX('Staff &amp; Lists'!$K$5:$K$204,MATCH($AF31,AdSourceList,0))))</f>
        <v/>
      </c>
      <c r="AM31" s="18"/>
      <c r="AN31" s="18"/>
      <c r="AO31" s="18"/>
      <c r="AP31" s="3" t="str">
        <f>IF($AI31=0,"",MATCH(MAX(N($S31),0),'Pay Plan'!$D$5:$K$5,1))</f>
        <v/>
      </c>
    </row>
    <row r="32" spans="1:42" ht="15.9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 t="str">
        <f t="shared" si="0"/>
        <v/>
      </c>
      <c r="N32" s="18"/>
      <c r="O32" s="18"/>
      <c r="P32" s="18"/>
      <c r="Q32" s="19"/>
      <c r="R32" s="19"/>
      <c r="S32" s="20" t="str">
        <f t="shared" si="1"/>
        <v/>
      </c>
      <c r="T32" s="18"/>
      <c r="U32" s="18"/>
      <c r="V32" s="18"/>
      <c r="W32" s="18"/>
      <c r="X32" s="21"/>
      <c r="Y32" s="18"/>
      <c r="Z32" s="18"/>
      <c r="AA32" s="18"/>
      <c r="AB32" s="19"/>
      <c r="AC32" s="19"/>
      <c r="AD32" s="19"/>
      <c r="AE32" s="19"/>
      <c r="AF32" s="18"/>
      <c r="AG32" s="18"/>
      <c r="AH32" s="18"/>
      <c r="AI32" s="3">
        <f t="shared" si="2"/>
        <v>0</v>
      </c>
      <c r="AJ32" s="3">
        <f t="shared" si="3"/>
        <v>0</v>
      </c>
      <c r="AK32" s="3">
        <f t="shared" si="4"/>
        <v>0</v>
      </c>
      <c r="AL32" s="3" t="str">
        <f>IF($AF32="","",IF(COUNTIF(AdSourceList,$AF32)=0,"Untagged",INDEX('Staff &amp; Lists'!$K$5:$K$204,MATCH($AF32,AdSourceList,0))))</f>
        <v/>
      </c>
      <c r="AM32" s="18"/>
      <c r="AN32" s="18"/>
      <c r="AO32" s="18"/>
      <c r="AP32" s="3" t="str">
        <f>IF($AI32=0,"",MATCH(MAX(N($S32),0),'Pay Plan'!$D$5:$K$5,1))</f>
        <v/>
      </c>
    </row>
    <row r="33" spans="1:42" ht="15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 t="str">
        <f t="shared" si="0"/>
        <v/>
      </c>
      <c r="N33" s="18"/>
      <c r="O33" s="18"/>
      <c r="P33" s="18"/>
      <c r="Q33" s="19"/>
      <c r="R33" s="19"/>
      <c r="S33" s="20" t="str">
        <f t="shared" si="1"/>
        <v/>
      </c>
      <c r="T33" s="18"/>
      <c r="U33" s="18"/>
      <c r="V33" s="18"/>
      <c r="W33" s="18"/>
      <c r="X33" s="21"/>
      <c r="Y33" s="18"/>
      <c r="Z33" s="18"/>
      <c r="AA33" s="18"/>
      <c r="AB33" s="19"/>
      <c r="AC33" s="19"/>
      <c r="AD33" s="19"/>
      <c r="AE33" s="19"/>
      <c r="AF33" s="18"/>
      <c r="AG33" s="18"/>
      <c r="AH33" s="18"/>
      <c r="AI33" s="3">
        <f t="shared" si="2"/>
        <v>0</v>
      </c>
      <c r="AJ33" s="3">
        <f t="shared" si="3"/>
        <v>0</v>
      </c>
      <c r="AK33" s="3">
        <f t="shared" si="4"/>
        <v>0</v>
      </c>
      <c r="AL33" s="3" t="str">
        <f>IF($AF33="","",IF(COUNTIF(AdSourceList,$AF33)=0,"Untagged",INDEX('Staff &amp; Lists'!$K$5:$K$204,MATCH($AF33,AdSourceList,0))))</f>
        <v/>
      </c>
      <c r="AM33" s="18"/>
      <c r="AN33" s="18"/>
      <c r="AO33" s="18"/>
      <c r="AP33" s="3" t="str">
        <f>IF($AI33=0,"",MATCH(MAX(N($S33),0),'Pay Plan'!$D$5:$K$5,1))</f>
        <v/>
      </c>
    </row>
    <row r="34" spans="1:42" ht="15.9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 t="str">
        <f t="shared" si="0"/>
        <v/>
      </c>
      <c r="N34" s="18"/>
      <c r="O34" s="18"/>
      <c r="P34" s="18"/>
      <c r="Q34" s="19"/>
      <c r="R34" s="19"/>
      <c r="S34" s="20" t="str">
        <f t="shared" si="1"/>
        <v/>
      </c>
      <c r="T34" s="18"/>
      <c r="U34" s="18"/>
      <c r="V34" s="18"/>
      <c r="W34" s="18"/>
      <c r="X34" s="21"/>
      <c r="Y34" s="18"/>
      <c r="Z34" s="18"/>
      <c r="AA34" s="18"/>
      <c r="AB34" s="19"/>
      <c r="AC34" s="19"/>
      <c r="AD34" s="19"/>
      <c r="AE34" s="19"/>
      <c r="AF34" s="18"/>
      <c r="AG34" s="18"/>
      <c r="AH34" s="18"/>
      <c r="AI34" s="3">
        <f t="shared" si="2"/>
        <v>0</v>
      </c>
      <c r="AJ34" s="3">
        <f t="shared" si="3"/>
        <v>0</v>
      </c>
      <c r="AK34" s="3">
        <f t="shared" si="4"/>
        <v>0</v>
      </c>
      <c r="AL34" s="3" t="str">
        <f>IF($AF34="","",IF(COUNTIF(AdSourceList,$AF34)=0,"Untagged",INDEX('Staff &amp; Lists'!$K$5:$K$204,MATCH($AF34,AdSourceList,0))))</f>
        <v/>
      </c>
      <c r="AM34" s="18"/>
      <c r="AN34" s="18"/>
      <c r="AO34" s="18"/>
      <c r="AP34" s="3" t="str">
        <f>IF($AI34=0,"",MATCH(MAX(N($S34),0),'Pay Plan'!$D$5:$K$5,1))</f>
        <v/>
      </c>
    </row>
    <row r="35" spans="1:42" ht="15.9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 t="str">
        <f t="shared" si="0"/>
        <v/>
      </c>
      <c r="N35" s="18"/>
      <c r="O35" s="18"/>
      <c r="P35" s="18"/>
      <c r="Q35" s="19"/>
      <c r="R35" s="19"/>
      <c r="S35" s="20" t="str">
        <f t="shared" si="1"/>
        <v/>
      </c>
      <c r="T35" s="18"/>
      <c r="U35" s="18"/>
      <c r="V35" s="18"/>
      <c r="W35" s="18"/>
      <c r="X35" s="21"/>
      <c r="Y35" s="18"/>
      <c r="Z35" s="18"/>
      <c r="AA35" s="18"/>
      <c r="AB35" s="19"/>
      <c r="AC35" s="19"/>
      <c r="AD35" s="19"/>
      <c r="AE35" s="19"/>
      <c r="AF35" s="18"/>
      <c r="AG35" s="18"/>
      <c r="AH35" s="18"/>
      <c r="AI35" s="3">
        <f t="shared" si="2"/>
        <v>0</v>
      </c>
      <c r="AJ35" s="3">
        <f t="shared" si="3"/>
        <v>0</v>
      </c>
      <c r="AK35" s="3">
        <f t="shared" si="4"/>
        <v>0</v>
      </c>
      <c r="AL35" s="3" t="str">
        <f>IF($AF35="","",IF(COUNTIF(AdSourceList,$AF35)=0,"Untagged",INDEX('Staff &amp; Lists'!$K$5:$K$204,MATCH($AF35,AdSourceList,0))))</f>
        <v/>
      </c>
      <c r="AM35" s="18"/>
      <c r="AN35" s="18"/>
      <c r="AO35" s="18"/>
      <c r="AP35" s="3" t="str">
        <f>IF($AI35=0,"",MATCH(MAX(N($S35),0),'Pay Plan'!$D$5:$K$5,1))</f>
        <v/>
      </c>
    </row>
    <row r="36" spans="1:42" ht="15.9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 t="str">
        <f t="shared" si="0"/>
        <v/>
      </c>
      <c r="N36" s="18"/>
      <c r="O36" s="18"/>
      <c r="P36" s="18"/>
      <c r="Q36" s="19"/>
      <c r="R36" s="19"/>
      <c r="S36" s="20" t="str">
        <f t="shared" si="1"/>
        <v/>
      </c>
      <c r="T36" s="18"/>
      <c r="U36" s="18"/>
      <c r="V36" s="18"/>
      <c r="W36" s="18"/>
      <c r="X36" s="21"/>
      <c r="Y36" s="18"/>
      <c r="Z36" s="18"/>
      <c r="AA36" s="18"/>
      <c r="AB36" s="19"/>
      <c r="AC36" s="19"/>
      <c r="AD36" s="19"/>
      <c r="AE36" s="19"/>
      <c r="AF36" s="18"/>
      <c r="AG36" s="18"/>
      <c r="AH36" s="18"/>
      <c r="AI36" s="3">
        <f t="shared" si="2"/>
        <v>0</v>
      </c>
      <c r="AJ36" s="3">
        <f t="shared" si="3"/>
        <v>0</v>
      </c>
      <c r="AK36" s="3">
        <f t="shared" si="4"/>
        <v>0</v>
      </c>
      <c r="AL36" s="3" t="str">
        <f>IF($AF36="","",IF(COUNTIF(AdSourceList,$AF36)=0,"Untagged",INDEX('Staff &amp; Lists'!$K$5:$K$204,MATCH($AF36,AdSourceList,0))))</f>
        <v/>
      </c>
      <c r="AM36" s="18"/>
      <c r="AN36" s="18"/>
      <c r="AO36" s="18"/>
      <c r="AP36" s="3" t="str">
        <f>IF($AI36=0,"",MATCH(MAX(N($S36),0),'Pay Plan'!$D$5:$K$5,1))</f>
        <v/>
      </c>
    </row>
    <row r="37" spans="1:42" ht="15.9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 t="str">
        <f t="shared" si="0"/>
        <v/>
      </c>
      <c r="N37" s="18"/>
      <c r="O37" s="18"/>
      <c r="P37" s="18"/>
      <c r="Q37" s="19"/>
      <c r="R37" s="19"/>
      <c r="S37" s="20" t="str">
        <f t="shared" si="1"/>
        <v/>
      </c>
      <c r="T37" s="18"/>
      <c r="U37" s="18"/>
      <c r="V37" s="18"/>
      <c r="W37" s="18"/>
      <c r="X37" s="21"/>
      <c r="Y37" s="18"/>
      <c r="Z37" s="18"/>
      <c r="AA37" s="18"/>
      <c r="AB37" s="19"/>
      <c r="AC37" s="19"/>
      <c r="AD37" s="19"/>
      <c r="AE37" s="19"/>
      <c r="AF37" s="18"/>
      <c r="AG37" s="18"/>
      <c r="AH37" s="18"/>
      <c r="AI37" s="3">
        <f t="shared" si="2"/>
        <v>0</v>
      </c>
      <c r="AJ37" s="3">
        <f t="shared" si="3"/>
        <v>0</v>
      </c>
      <c r="AK37" s="3">
        <f t="shared" si="4"/>
        <v>0</v>
      </c>
      <c r="AL37" s="3" t="str">
        <f>IF($AF37="","",IF(COUNTIF(AdSourceList,$AF37)=0,"Untagged",INDEX('Staff &amp; Lists'!$K$5:$K$204,MATCH($AF37,AdSourceList,0))))</f>
        <v/>
      </c>
      <c r="AM37" s="18"/>
      <c r="AN37" s="18"/>
      <c r="AO37" s="18"/>
      <c r="AP37" s="3" t="str">
        <f>IF($AI37=0,"",MATCH(MAX(N($S37),0),'Pay Plan'!$D$5:$K$5,1))</f>
        <v/>
      </c>
    </row>
    <row r="38" spans="1:42" ht="15.9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 t="str">
        <f t="shared" si="0"/>
        <v/>
      </c>
      <c r="N38" s="18"/>
      <c r="O38" s="18"/>
      <c r="P38" s="18"/>
      <c r="Q38" s="19"/>
      <c r="R38" s="19"/>
      <c r="S38" s="20" t="str">
        <f t="shared" si="1"/>
        <v/>
      </c>
      <c r="T38" s="18"/>
      <c r="U38" s="18"/>
      <c r="V38" s="18"/>
      <c r="W38" s="18"/>
      <c r="X38" s="21"/>
      <c r="Y38" s="18"/>
      <c r="Z38" s="18"/>
      <c r="AA38" s="18"/>
      <c r="AB38" s="19"/>
      <c r="AC38" s="19"/>
      <c r="AD38" s="19"/>
      <c r="AE38" s="19"/>
      <c r="AF38" s="18"/>
      <c r="AG38" s="18"/>
      <c r="AH38" s="18"/>
      <c r="AI38" s="3">
        <f t="shared" si="2"/>
        <v>0</v>
      </c>
      <c r="AJ38" s="3">
        <f t="shared" si="3"/>
        <v>0</v>
      </c>
      <c r="AK38" s="3">
        <f t="shared" si="4"/>
        <v>0</v>
      </c>
      <c r="AL38" s="3" t="str">
        <f>IF($AF38="","",IF(COUNTIF(AdSourceList,$AF38)=0,"Untagged",INDEX('Staff &amp; Lists'!$K$5:$K$204,MATCH($AF38,AdSourceList,0))))</f>
        <v/>
      </c>
      <c r="AM38" s="18"/>
      <c r="AN38" s="18"/>
      <c r="AO38" s="18"/>
      <c r="AP38" s="3" t="str">
        <f>IF($AI38=0,"",MATCH(MAX(N($S38),0),'Pay Plan'!$D$5:$K$5,1))</f>
        <v/>
      </c>
    </row>
    <row r="39" spans="1:42" ht="15.9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 t="str">
        <f t="shared" si="0"/>
        <v/>
      </c>
      <c r="N39" s="18"/>
      <c r="O39" s="18"/>
      <c r="P39" s="18"/>
      <c r="Q39" s="19"/>
      <c r="R39" s="19"/>
      <c r="S39" s="20" t="str">
        <f t="shared" si="1"/>
        <v/>
      </c>
      <c r="T39" s="18"/>
      <c r="U39" s="18"/>
      <c r="V39" s="18"/>
      <c r="W39" s="18"/>
      <c r="X39" s="21"/>
      <c r="Y39" s="18"/>
      <c r="Z39" s="18"/>
      <c r="AA39" s="18"/>
      <c r="AB39" s="19"/>
      <c r="AC39" s="19"/>
      <c r="AD39" s="19"/>
      <c r="AE39" s="19"/>
      <c r="AF39" s="18"/>
      <c r="AG39" s="18"/>
      <c r="AH39" s="18"/>
      <c r="AI39" s="3">
        <f t="shared" si="2"/>
        <v>0</v>
      </c>
      <c r="AJ39" s="3">
        <f t="shared" si="3"/>
        <v>0</v>
      </c>
      <c r="AK39" s="3">
        <f t="shared" si="4"/>
        <v>0</v>
      </c>
      <c r="AL39" s="3" t="str">
        <f>IF($AF39="","",IF(COUNTIF(AdSourceList,$AF39)=0,"Untagged",INDEX('Staff &amp; Lists'!$K$5:$K$204,MATCH($AF39,AdSourceList,0))))</f>
        <v/>
      </c>
      <c r="AM39" s="18"/>
      <c r="AN39" s="18"/>
      <c r="AO39" s="18"/>
      <c r="AP39" s="3" t="str">
        <f>IF($AI39=0,"",MATCH(MAX(N($S39),0),'Pay Plan'!$D$5:$K$5,1))</f>
        <v/>
      </c>
    </row>
    <row r="40" spans="1:42" ht="15.9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 t="str">
        <f t="shared" si="0"/>
        <v/>
      </c>
      <c r="N40" s="18"/>
      <c r="O40" s="18"/>
      <c r="P40" s="18"/>
      <c r="Q40" s="19"/>
      <c r="R40" s="19"/>
      <c r="S40" s="20" t="str">
        <f t="shared" si="1"/>
        <v/>
      </c>
      <c r="T40" s="18"/>
      <c r="U40" s="18"/>
      <c r="V40" s="18"/>
      <c r="W40" s="18"/>
      <c r="X40" s="21"/>
      <c r="Y40" s="18"/>
      <c r="Z40" s="18"/>
      <c r="AA40" s="18"/>
      <c r="AB40" s="19"/>
      <c r="AC40" s="19"/>
      <c r="AD40" s="19"/>
      <c r="AE40" s="19"/>
      <c r="AF40" s="18"/>
      <c r="AG40" s="18"/>
      <c r="AH40" s="18"/>
      <c r="AI40" s="3">
        <f t="shared" si="2"/>
        <v>0</v>
      </c>
      <c r="AJ40" s="3">
        <f t="shared" si="3"/>
        <v>0</v>
      </c>
      <c r="AK40" s="3">
        <f t="shared" si="4"/>
        <v>0</v>
      </c>
      <c r="AL40" s="3" t="str">
        <f>IF($AF40="","",IF(COUNTIF(AdSourceList,$AF40)=0,"Untagged",INDEX('Staff &amp; Lists'!$K$5:$K$204,MATCH($AF40,AdSourceList,0))))</f>
        <v/>
      </c>
      <c r="AM40" s="18"/>
      <c r="AN40" s="18"/>
      <c r="AO40" s="18"/>
      <c r="AP40" s="3" t="str">
        <f>IF($AI40=0,"",MATCH(MAX(N($S40),0),'Pay Plan'!$D$5:$K$5,1))</f>
        <v/>
      </c>
    </row>
    <row r="41" spans="1:42" ht="15.9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 t="str">
        <f t="shared" si="0"/>
        <v/>
      </c>
      <c r="N41" s="18"/>
      <c r="O41" s="18"/>
      <c r="P41" s="18"/>
      <c r="Q41" s="19"/>
      <c r="R41" s="19"/>
      <c r="S41" s="20" t="str">
        <f t="shared" si="1"/>
        <v/>
      </c>
      <c r="T41" s="18"/>
      <c r="U41" s="18"/>
      <c r="V41" s="18"/>
      <c r="W41" s="18"/>
      <c r="X41" s="21"/>
      <c r="Y41" s="18"/>
      <c r="Z41" s="18"/>
      <c r="AA41" s="18"/>
      <c r="AB41" s="19"/>
      <c r="AC41" s="19"/>
      <c r="AD41" s="19"/>
      <c r="AE41" s="19"/>
      <c r="AF41" s="18"/>
      <c r="AG41" s="18"/>
      <c r="AH41" s="18"/>
      <c r="AI41" s="3">
        <f t="shared" si="2"/>
        <v>0</v>
      </c>
      <c r="AJ41" s="3">
        <f t="shared" si="3"/>
        <v>0</v>
      </c>
      <c r="AK41" s="3">
        <f t="shared" si="4"/>
        <v>0</v>
      </c>
      <c r="AL41" s="3" t="str">
        <f>IF($AF41="","",IF(COUNTIF(AdSourceList,$AF41)=0,"Untagged",INDEX('Staff &amp; Lists'!$K$5:$K$204,MATCH($AF41,AdSourceList,0))))</f>
        <v/>
      </c>
      <c r="AM41" s="18"/>
      <c r="AN41" s="18"/>
      <c r="AO41" s="18"/>
      <c r="AP41" s="3" t="str">
        <f>IF($AI41=0,"",MATCH(MAX(N($S41),0),'Pay Plan'!$D$5:$K$5,1))</f>
        <v/>
      </c>
    </row>
    <row r="42" spans="1:42" ht="15.9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 t="str">
        <f t="shared" si="0"/>
        <v/>
      </c>
      <c r="N42" s="18"/>
      <c r="O42" s="18"/>
      <c r="P42" s="18"/>
      <c r="Q42" s="19"/>
      <c r="R42" s="19"/>
      <c r="S42" s="20" t="str">
        <f t="shared" si="1"/>
        <v/>
      </c>
      <c r="T42" s="18"/>
      <c r="U42" s="18"/>
      <c r="V42" s="18"/>
      <c r="W42" s="18"/>
      <c r="X42" s="21"/>
      <c r="Y42" s="18"/>
      <c r="Z42" s="18"/>
      <c r="AA42" s="18"/>
      <c r="AB42" s="19"/>
      <c r="AC42" s="19"/>
      <c r="AD42" s="19"/>
      <c r="AE42" s="19"/>
      <c r="AF42" s="18"/>
      <c r="AG42" s="18"/>
      <c r="AH42" s="18"/>
      <c r="AI42" s="3">
        <f t="shared" si="2"/>
        <v>0</v>
      </c>
      <c r="AJ42" s="3">
        <f t="shared" si="3"/>
        <v>0</v>
      </c>
      <c r="AK42" s="3">
        <f t="shared" si="4"/>
        <v>0</v>
      </c>
      <c r="AL42" s="3" t="str">
        <f>IF($AF42="","",IF(COUNTIF(AdSourceList,$AF42)=0,"Untagged",INDEX('Staff &amp; Lists'!$K$5:$K$204,MATCH($AF42,AdSourceList,0))))</f>
        <v/>
      </c>
      <c r="AM42" s="18"/>
      <c r="AN42" s="18"/>
      <c r="AO42" s="18"/>
      <c r="AP42" s="3" t="str">
        <f>IF($AI42=0,"",MATCH(MAX(N($S42),0),'Pay Plan'!$D$5:$K$5,1))</f>
        <v/>
      </c>
    </row>
    <row r="44" spans="1:42" x14ac:dyDescent="0.25">
      <c r="A44" s="101" t="s">
        <v>432</v>
      </c>
      <c r="B44" s="102"/>
      <c r="C44" s="102"/>
      <c r="D44" s="102"/>
      <c r="E44" s="102"/>
      <c r="F44" s="102"/>
      <c r="G44" s="102"/>
      <c r="H44" s="103"/>
    </row>
    <row r="45" spans="1:42" x14ac:dyDescent="0.25">
      <c r="C45" s="22" t="s">
        <v>296</v>
      </c>
      <c r="E45" s="22" t="s">
        <v>297</v>
      </c>
      <c r="G45" s="22" t="s">
        <v>298</v>
      </c>
    </row>
    <row r="46" spans="1:42" x14ac:dyDescent="0.25">
      <c r="A46" s="3" t="s">
        <v>29</v>
      </c>
      <c r="C46" s="23">
        <f>COUNTIFS($A$8:$A$42,"New",$AI$8:$AI$42,1)</f>
        <v>0</v>
      </c>
      <c r="E46" s="23">
        <f>COUNTIFS($A$8:$A$42,"Used",$AI$8:$AI$42,1)</f>
        <v>0</v>
      </c>
      <c r="G46" s="24">
        <f>C46+E46</f>
        <v>0</v>
      </c>
    </row>
    <row r="47" spans="1:42" x14ac:dyDescent="0.25">
      <c r="A47" s="3" t="s">
        <v>270</v>
      </c>
      <c r="C47" s="25">
        <f>SUMIFS($Q$8:$Q$42,$A$8:$A$42,"New",$AI$8:$AI$42,1)</f>
        <v>0</v>
      </c>
      <c r="E47" s="25">
        <f>SUMIFS($Q$8:$Q$42,$A$8:$A$42,"Used",$AI$8:$AI$42,1)</f>
        <v>0</v>
      </c>
      <c r="G47" s="26">
        <f>C47+E47</f>
        <v>0</v>
      </c>
    </row>
    <row r="48" spans="1:42" x14ac:dyDescent="0.25">
      <c r="A48" s="3" t="s">
        <v>271</v>
      </c>
      <c r="C48" s="25">
        <f>SUMIFS($R$8:$R$42,$A$8:$A$42,"New",$AI$8:$AI$42,1)</f>
        <v>0</v>
      </c>
      <c r="E48" s="25">
        <f>SUMIFS($R$8:$R$42,$A$8:$A$42,"Used",$AI$8:$AI$42,1)</f>
        <v>0</v>
      </c>
      <c r="G48" s="26">
        <f>C48+E48</f>
        <v>0</v>
      </c>
    </row>
    <row r="49" spans="1:8" x14ac:dyDescent="0.25">
      <c r="A49" s="3" t="s">
        <v>272</v>
      </c>
      <c r="C49" s="25">
        <f>C47+C48</f>
        <v>0</v>
      </c>
      <c r="E49" s="25">
        <f>E47+E48</f>
        <v>0</v>
      </c>
      <c r="G49" s="27">
        <f>G47+G48</f>
        <v>0</v>
      </c>
    </row>
    <row r="50" spans="1:8" x14ac:dyDescent="0.25">
      <c r="A50" s="3" t="s">
        <v>299</v>
      </c>
      <c r="G50" s="24">
        <f>COUNTIFS($T$8:$T$42,"&lt;&gt;",$AI$8:$AI$42,1)</f>
        <v>0</v>
      </c>
    </row>
    <row r="53" spans="1:8" x14ac:dyDescent="0.25">
      <c r="A53" s="101" t="s">
        <v>300</v>
      </c>
      <c r="B53" s="102"/>
      <c r="C53" s="102"/>
      <c r="D53" s="102"/>
      <c r="E53" s="102"/>
      <c r="F53" s="102"/>
      <c r="G53" s="102"/>
      <c r="H53" s="103"/>
    </row>
    <row r="54" spans="1:8" x14ac:dyDescent="0.25">
      <c r="A54" s="3" t="s">
        <v>301</v>
      </c>
      <c r="C54" s="24">
        <f>COUNTIFS($T$8:$T$42,"&lt;&gt;",$AI$8:$AI$42,1)</f>
        <v>0</v>
      </c>
    </row>
    <row r="55" spans="1:8" x14ac:dyDescent="0.25">
      <c r="A55" s="3" t="s">
        <v>302</v>
      </c>
      <c r="C55" s="26">
        <f>SUMIFS($AB$8:$AB$42,$T$8:$T$42,"&lt;&gt;",$AI$8:$AI$42,1)</f>
        <v>0</v>
      </c>
    </row>
    <row r="56" spans="1:8" x14ac:dyDescent="0.25">
      <c r="A56" s="3" t="s">
        <v>303</v>
      </c>
      <c r="C56" s="24">
        <f>COUNTIFS($AG$8:$AG$42,"Pending")</f>
        <v>0</v>
      </c>
    </row>
    <row r="57" spans="1:8" x14ac:dyDescent="0.25">
      <c r="A57" s="3" t="s">
        <v>152</v>
      </c>
      <c r="C57" s="24">
        <f>COUNTIFS($N$8:$N$42,"Y",$AI$8:$AI$42,1)</f>
        <v>0</v>
      </c>
    </row>
    <row r="58" spans="1:8" x14ac:dyDescent="0.25">
      <c r="A58" s="3" t="s">
        <v>304</v>
      </c>
      <c r="C58" s="24">
        <f>COUNTIFS($T$8:$T$42,"&lt;&gt;",$Z$8:$Z$42,"N")</f>
        <v>0</v>
      </c>
    </row>
    <row r="59" spans="1:8" x14ac:dyDescent="0.25">
      <c r="A59" s="3" t="s">
        <v>305</v>
      </c>
      <c r="C59" s="24">
        <f>COUNTIFS($AH$8:$AH$42,"Y")</f>
        <v>0</v>
      </c>
    </row>
    <row r="61" spans="1:8" x14ac:dyDescent="0.25">
      <c r="A61" s="101" t="s">
        <v>433</v>
      </c>
      <c r="B61" s="102"/>
      <c r="C61" s="102"/>
      <c r="D61" s="102"/>
      <c r="E61" s="102"/>
      <c r="F61" s="102"/>
      <c r="G61" s="102"/>
      <c r="H61" s="103"/>
    </row>
    <row r="62" spans="1:8" x14ac:dyDescent="0.25">
      <c r="A62" s="3" t="s">
        <v>307</v>
      </c>
      <c r="C62" s="24">
        <f>'Jul 30'!$C$62+$G$46</f>
        <v>0</v>
      </c>
    </row>
    <row r="63" spans="1:8" x14ac:dyDescent="0.25">
      <c r="A63" s="3" t="s">
        <v>308</v>
      </c>
      <c r="C63" s="26">
        <f>'Jul 30'!$C$63+$G$49</f>
        <v>0</v>
      </c>
    </row>
    <row r="64" spans="1:8" x14ac:dyDescent="0.25">
      <c r="A64" s="3" t="s">
        <v>154</v>
      </c>
      <c r="C64" s="24" t="str">
        <f>IF(GoalUnitsTotal="","",GoalUnitsTotal)</f>
        <v/>
      </c>
    </row>
    <row r="65" spans="1:8" x14ac:dyDescent="0.25">
      <c r="A65" s="3" t="s">
        <v>156</v>
      </c>
      <c r="C65" s="26" t="str">
        <f>IF(GoalGrossTotal="","",GoalGrossTotal)</f>
        <v/>
      </c>
    </row>
    <row r="66" spans="1:8" x14ac:dyDescent="0.25">
      <c r="A66" s="3" t="s">
        <v>309</v>
      </c>
      <c r="C66" s="28" t="str">
        <f>IF(OR($C$64="",$C$68=0),"",MAX(0,ROUND(($C$64-$C$62)/$C$68,1)))</f>
        <v/>
      </c>
    </row>
    <row r="67" spans="1:8" x14ac:dyDescent="0.25">
      <c r="A67" s="3" t="s">
        <v>310</v>
      </c>
      <c r="C67" s="26" t="str">
        <f>IF(OR($C$65="",$C$68=0),"",MAX(0,ROUND(($C$65-$C$63)/$C$68,0)))</f>
        <v/>
      </c>
    </row>
    <row r="68" spans="1:8" x14ac:dyDescent="0.25">
      <c r="A68" s="3" t="s">
        <v>311</v>
      </c>
      <c r="C68" s="24">
        <v>1</v>
      </c>
    </row>
    <row r="69" spans="1:8" x14ac:dyDescent="0.25">
      <c r="A69" s="3" t="s">
        <v>312</v>
      </c>
      <c r="C69" s="99" t="str">
        <f>IF($C$64="","-",IF($C$62&gt;=$C$64,"✓ GOAL HIT — "&amp;$C$62&amp;" / "&amp;$C$64,"● SHORT "&amp;($C$64-$C$62)&amp;" — "&amp;$C$62&amp;" / "&amp;$C$64))</f>
        <v>-</v>
      </c>
      <c r="D69" s="100"/>
      <c r="E69" s="100"/>
      <c r="F69" s="100"/>
      <c r="G69" s="100"/>
      <c r="H69" s="100"/>
    </row>
  </sheetData>
  <sheetProtection sheet="1" formatColumns="0" formatRows="0"/>
  <mergeCells count="12">
    <mergeCell ref="T6:AE6"/>
    <mergeCell ref="A53:H53"/>
    <mergeCell ref="A1:C2"/>
    <mergeCell ref="R1:T2"/>
    <mergeCell ref="AF6:AH6"/>
    <mergeCell ref="C69:H69"/>
    <mergeCell ref="A44:H44"/>
    <mergeCell ref="A6:I6"/>
    <mergeCell ref="A61:H61"/>
    <mergeCell ref="D1:P1"/>
    <mergeCell ref="J6:S6"/>
    <mergeCell ref="D2:P2"/>
  </mergeCells>
  <conditionalFormatting sqref="A8:AH42">
    <cfRule type="expression" dxfId="12" priority="2">
      <formula>MOD(ROW()-8,2)=1</formula>
    </cfRule>
    <cfRule type="expression" dxfId="11" priority="3">
      <formula>$AG8="Pending"</formula>
    </cfRule>
    <cfRule type="expression" dxfId="10" priority="4">
      <formula>OR($AG8="Unwind",$AG8="Back Out")</formula>
    </cfRule>
  </conditionalFormatting>
  <conditionalFormatting sqref="C56">
    <cfRule type="expression" dxfId="9" priority="9">
      <formula>N($C$56)&gt;0</formula>
    </cfRule>
  </conditionalFormatting>
  <conditionalFormatting sqref="C58">
    <cfRule type="expression" dxfId="8" priority="8">
      <formula>N($C$58)&gt;0</formula>
    </cfRule>
  </conditionalFormatting>
  <conditionalFormatting sqref="C69">
    <cfRule type="expression" dxfId="7" priority="10">
      <formula>OR(LEFT($C$69,1)="✓",$C$69="● AHEAD")</formula>
    </cfRule>
    <cfRule type="expression" dxfId="6" priority="11">
      <formula>$C$69="● ON PACE"</formula>
    </cfRule>
    <cfRule type="expression" dxfId="5" priority="12">
      <formula>OR($C$69="● BEHIND",LEFT($C$69,7)="● SHORT")</formula>
    </cfRule>
  </conditionalFormatting>
  <conditionalFormatting sqref="N8:N42">
    <cfRule type="expression" dxfId="3" priority="5">
      <formula>AND($A8="New",N8="Y")</formula>
    </cfRule>
  </conditionalFormatting>
  <conditionalFormatting sqref="R1">
    <cfRule type="expression" dxfId="2" priority="1">
      <formula>$R$1&lt;&gt;""</formula>
    </cfRule>
  </conditionalFormatting>
  <conditionalFormatting sqref="Y8:Y42">
    <cfRule type="expression" dxfId="1" priority="6">
      <formula>AND(Y8&lt;&gt;"",LEN(Y8)&lt;17)</formula>
    </cfRule>
  </conditionalFormatting>
  <dataValidations count="16">
    <dataValidation type="list" allowBlank="1" showErrorMessage="1" sqref="A8:A42" xr:uid="{00000000-0002-0000-2700-000000000000}">
      <formula1>"New,Used"</formula1>
    </dataValidation>
    <dataValidation type="list" allowBlank="1" showErrorMessage="1" sqref="F8:G42" xr:uid="{00000000-0002-0000-2700-000001000000}">
      <formula1>SalespeopleList</formula1>
    </dataValidation>
    <dataValidation type="list" allowBlank="1" showErrorMessage="1" sqref="H8:H42" xr:uid="{00000000-0002-0000-2700-000003000000}">
      <formula1>SalesManagerList</formula1>
    </dataValidation>
    <dataValidation type="list" allowBlank="1" showErrorMessage="1" sqref="I8:I42" xr:uid="{00000000-0002-0000-2700-000004000000}">
      <formula1>FinanceManagerList</formula1>
    </dataValidation>
    <dataValidation type="list" allowBlank="1" showErrorMessage="1" sqref="J8:J42 U8:U42" xr:uid="{00000000-0002-0000-2700-000005000000}">
      <formula1>VehicleYearList</formula1>
    </dataValidation>
    <dataValidation type="list" allowBlank="1" showErrorMessage="1" sqref="K8:K42 V8:V42" xr:uid="{00000000-0002-0000-2700-000006000000}">
      <formula1>MakeList</formula1>
    </dataValidation>
    <dataValidation type="list" allowBlank="1" showErrorMessage="1" sqref="L8:L42 W8:W42" xr:uid="{00000000-0002-0000-2700-000007000000}">
      <formula1>INDIRECT(SUBSTITUTE(SUBSTITUTE(SUBSTITUTE(K8," ","_"),"-","_"),".","_"))</formula1>
    </dataValidation>
    <dataValidation type="list" allowBlank="1" showErrorMessage="1" sqref="N8:N42" xr:uid="{00000000-0002-0000-2700-000008000000}">
      <formula1>IF($A8="New",N_ONLY,YN_LIST)</formula1>
    </dataValidation>
    <dataValidation type="list" allowBlank="1" showErrorMessage="1" sqref="O8:O42 AH8:AH42 Z8:Z42" xr:uid="{00000000-0002-0000-2700-000009000000}">
      <formula1>"Y,N"</formula1>
    </dataValidation>
    <dataValidation type="list" allowBlank="1" showErrorMessage="1" sqref="P8:P42" xr:uid="{00000000-0002-0000-2700-00000A000000}">
      <formula1>LenderList</formula1>
    </dataValidation>
    <dataValidation type="list" allowBlank="1" showErrorMessage="1" sqref="AA8:AA42" xr:uid="{00000000-0002-0000-2700-00000F000000}">
      <formula1>"Retail,Wholesale,Auction,Buyback,TBD"</formula1>
    </dataValidation>
    <dataValidation type="list" allowBlank="1" showErrorMessage="1" sqref="AF8:AF42" xr:uid="{00000000-0002-0000-2700-000010000000}">
      <formula1>AdSourceList</formula1>
    </dataValidation>
    <dataValidation type="list" allowBlank="1" showErrorMessage="1" sqref="AG8:AG42" xr:uid="{00000000-0002-0000-2700-000011000000}">
      <formula1>"Delivered,Pending,Unwind,Back Out"</formula1>
    </dataValidation>
    <dataValidation type="list" allowBlank="1" showErrorMessage="1" sqref="AM8:AO42" xr:uid="{00000000-0002-0000-2700-000013000000}">
      <formula1>"Y"</formula1>
    </dataValidation>
    <dataValidation type="decimal" allowBlank="1" showErrorMessage="1" error="Enter a dollar amount (numbers only)." sqref="Q8:R42" xr:uid="{00000000-0002-0000-2700-000014000000}">
      <formula1>-250000</formula1>
      <formula2>250000</formula2>
    </dataValidation>
    <dataValidation type="decimal" allowBlank="1" showErrorMessage="1" error="Enter a dollar amount (numbers only)." sqref="AB8:AB42" xr:uid="{00000000-0002-0000-2700-000015000000}">
      <formula1>0</formula1>
      <formula2>500000</formula2>
    </dataValidation>
  </dataValidations>
  <pageMargins left="0.25" right="0.25" top="0.3" bottom="0.3" header="0.5" footer="0.5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00000000-000E-0000-2700-000007000000}">
            <xm:f>AND(D8&lt;&gt;"",COUNTIF('Deal Explorer'!$C$8:$C$1092,D8)&gt;1)</xm:f>
            <x14:dxf>
              <font>
                <b/>
                <sz val="9"/>
                <color rgb="FF9C6500"/>
                <name val="Arial"/>
              </font>
              <fill>
                <patternFill patternType="solid">
                  <fgColor rgb="FFFDF0DA"/>
                </patternFill>
              </fill>
            </x14:dxf>
          </x14:cfRule>
          <xm:sqref>D8:D42</xm:sqref>
        </x14:conditionalFormatting>
      </x14:conditionalFormatting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1E7A34"/>
    <pageSetUpPr fitToPage="1"/>
  </sheetPr>
  <dimension ref="A1:H39"/>
  <sheetViews>
    <sheetView showGridLines="0" workbookViewId="0">
      <pane ySplit="8" topLeftCell="A9" activePane="bottomLeft" state="frozen"/>
      <selection pane="bottomLeft"/>
    </sheetView>
  </sheetViews>
  <sheetFormatPr defaultRowHeight="15" x14ac:dyDescent="0.25"/>
  <cols>
    <col min="1" max="1" width="3.42578125" customWidth="1"/>
    <col min="2" max="2" width="11" customWidth="1"/>
    <col min="3" max="4" width="10" customWidth="1"/>
    <col min="5" max="7" width="12" customWidth="1"/>
    <col min="8" max="8" width="11" customWidth="1"/>
  </cols>
  <sheetData>
    <row r="1" spans="1:8" ht="20.100000000000001" customHeight="1" x14ac:dyDescent="0.25">
      <c r="A1" s="107" t="s">
        <v>434</v>
      </c>
      <c r="B1" s="109"/>
      <c r="C1" s="116" t="s">
        <v>435</v>
      </c>
      <c r="D1" s="100"/>
      <c r="E1" s="100"/>
      <c r="F1" s="100"/>
      <c r="G1" s="115" t="str">
        <f ca="1">" as of "&amp;TEXT(TODAY(),"ddd mmm d")</f>
        <v xml:space="preserve"> as of Sat Aug 1</v>
      </c>
      <c r="H1" s="100"/>
    </row>
    <row r="2" spans="1:8" ht="20.100000000000001" customHeight="1" x14ac:dyDescent="0.25">
      <c r="A2" s="119"/>
      <c r="B2" s="120"/>
      <c r="C2" s="100"/>
      <c r="D2" s="100"/>
      <c r="E2" s="100"/>
      <c r="F2" s="100"/>
      <c r="G2" s="100"/>
      <c r="H2" s="100"/>
    </row>
    <row r="3" spans="1:8" ht="20.100000000000001" customHeight="1" x14ac:dyDescent="0.25">
      <c r="A3" s="110"/>
      <c r="B3" s="112"/>
      <c r="C3" s="121" t="s">
        <v>436</v>
      </c>
      <c r="D3" s="100"/>
      <c r="E3" s="100"/>
      <c r="F3" s="100"/>
    </row>
    <row r="5" spans="1:8" x14ac:dyDescent="0.25">
      <c r="A5" s="124" t="s">
        <v>437</v>
      </c>
      <c r="B5" s="118"/>
      <c r="C5" s="118"/>
      <c r="D5" s="118"/>
      <c r="E5" s="118"/>
      <c r="F5" s="118"/>
      <c r="G5" s="118"/>
      <c r="H5" s="118"/>
    </row>
    <row r="6" spans="1:8" x14ac:dyDescent="0.25">
      <c r="B6" s="34" t="s">
        <v>301</v>
      </c>
      <c r="C6" s="34" t="s">
        <v>279</v>
      </c>
      <c r="D6" s="34" t="s">
        <v>304</v>
      </c>
      <c r="E6" s="34" t="s">
        <v>438</v>
      </c>
      <c r="F6" s="34" t="s">
        <v>439</v>
      </c>
      <c r="G6" s="34" t="s">
        <v>440</v>
      </c>
    </row>
    <row r="7" spans="1:8" ht="20.100000000000001" customHeight="1" x14ac:dyDescent="0.25">
      <c r="B7" s="88">
        <f>SUM(C9:C39)</f>
        <v>0</v>
      </c>
      <c r="C7" s="88">
        <f>SUM(D9:D39)</f>
        <v>0</v>
      </c>
      <c r="D7" s="88">
        <f>SUM(E9:E39)</f>
        <v>0</v>
      </c>
      <c r="E7" s="89" t="str">
        <f>IF(B7=0,"—",C7/B7)</f>
        <v>—</v>
      </c>
      <c r="F7" s="90">
        <f>SUM(F9:F39)</f>
        <v>0</v>
      </c>
      <c r="G7" s="90" t="str">
        <f>IF(B7=0,"—",F7/B7)</f>
        <v>—</v>
      </c>
    </row>
    <row r="8" spans="1:8" x14ac:dyDescent="0.25">
      <c r="A8" s="2"/>
      <c r="B8" s="37" t="s">
        <v>67</v>
      </c>
      <c r="C8" s="37" t="s">
        <v>301</v>
      </c>
      <c r="D8" s="37" t="s">
        <v>279</v>
      </c>
      <c r="E8" s="37" t="s">
        <v>441</v>
      </c>
      <c r="F8" s="37" t="s">
        <v>302</v>
      </c>
      <c r="G8" s="37" t="s">
        <v>440</v>
      </c>
      <c r="H8" s="37" t="s">
        <v>442</v>
      </c>
    </row>
    <row r="9" spans="1:8" ht="13.5" customHeight="1" x14ac:dyDescent="0.25">
      <c r="B9" s="91">
        <v>46204</v>
      </c>
      <c r="C9" s="92">
        <f>'Jul 1'!$C$54</f>
        <v>0</v>
      </c>
      <c r="D9" s="92">
        <f>'Jul 1'!$C$54-'Jul 1'!$C$58</f>
        <v>0</v>
      </c>
      <c r="E9" s="92">
        <f>'Jul 1'!$C$58</f>
        <v>0</v>
      </c>
      <c r="F9" s="43">
        <f>'Jul 1'!$C$55</f>
        <v>0</v>
      </c>
      <c r="G9" s="43" t="str">
        <f t="shared" ref="G9:G39" si="0">IF(C9=0,"—",F9/C9)</f>
        <v>—</v>
      </c>
      <c r="H9" s="40" t="str">
        <f t="shared" ref="H9:H39" si="1">IF(E9&gt;0,"⚠ "&amp;E9&amp;" kept","")</f>
        <v/>
      </c>
    </row>
    <row r="10" spans="1:8" ht="13.5" customHeight="1" x14ac:dyDescent="0.25">
      <c r="B10" s="93">
        <v>46205</v>
      </c>
      <c r="C10" s="94">
        <f>'Jul 2'!$C$54</f>
        <v>0</v>
      </c>
      <c r="D10" s="94">
        <f>'Jul 2'!$C$54-'Jul 2'!$C$58</f>
        <v>0</v>
      </c>
      <c r="E10" s="94">
        <f>'Jul 2'!$C$58</f>
        <v>0</v>
      </c>
      <c r="F10" s="49">
        <f>'Jul 2'!$C$55</f>
        <v>0</v>
      </c>
      <c r="G10" s="49" t="str">
        <f t="shared" si="0"/>
        <v>—</v>
      </c>
      <c r="H10" s="47" t="str">
        <f t="shared" si="1"/>
        <v/>
      </c>
    </row>
    <row r="11" spans="1:8" ht="13.5" customHeight="1" x14ac:dyDescent="0.25">
      <c r="B11" s="91">
        <v>46206</v>
      </c>
      <c r="C11" s="92">
        <f>'Jul 3'!$C$54</f>
        <v>0</v>
      </c>
      <c r="D11" s="92">
        <f>'Jul 3'!$C$54-'Jul 3'!$C$58</f>
        <v>0</v>
      </c>
      <c r="E11" s="92">
        <f>'Jul 3'!$C$58</f>
        <v>0</v>
      </c>
      <c r="F11" s="43">
        <f>'Jul 3'!$C$55</f>
        <v>0</v>
      </c>
      <c r="G11" s="43" t="str">
        <f t="shared" si="0"/>
        <v>—</v>
      </c>
      <c r="H11" s="40" t="str">
        <f t="shared" si="1"/>
        <v/>
      </c>
    </row>
    <row r="12" spans="1:8" ht="13.5" customHeight="1" x14ac:dyDescent="0.25">
      <c r="B12" s="93">
        <v>46207</v>
      </c>
      <c r="C12" s="94">
        <f>'Jul 4'!$C$54</f>
        <v>0</v>
      </c>
      <c r="D12" s="94">
        <f>'Jul 4'!$C$54-'Jul 4'!$C$58</f>
        <v>0</v>
      </c>
      <c r="E12" s="94">
        <f>'Jul 4'!$C$58</f>
        <v>0</v>
      </c>
      <c r="F12" s="49">
        <f>'Jul 4'!$C$55</f>
        <v>0</v>
      </c>
      <c r="G12" s="49" t="str">
        <f t="shared" si="0"/>
        <v>—</v>
      </c>
      <c r="H12" s="47" t="str">
        <f t="shared" si="1"/>
        <v/>
      </c>
    </row>
    <row r="13" spans="1:8" ht="13.5" customHeight="1" x14ac:dyDescent="0.25">
      <c r="B13" s="95">
        <v>46208</v>
      </c>
      <c r="C13" s="96">
        <f>'Jul 5'!$C$54</f>
        <v>0</v>
      </c>
      <c r="D13" s="96">
        <f>'Jul 5'!$C$54-'Jul 5'!$C$58</f>
        <v>0</v>
      </c>
      <c r="E13" s="96">
        <f>'Jul 5'!$C$58</f>
        <v>0</v>
      </c>
      <c r="F13" s="97">
        <f>'Jul 5'!$C$55</f>
        <v>0</v>
      </c>
      <c r="G13" s="97" t="str">
        <f t="shared" si="0"/>
        <v>—</v>
      </c>
      <c r="H13" s="98" t="str">
        <f t="shared" si="1"/>
        <v/>
      </c>
    </row>
    <row r="14" spans="1:8" ht="13.5" customHeight="1" x14ac:dyDescent="0.25">
      <c r="B14" s="93">
        <v>46209</v>
      </c>
      <c r="C14" s="94">
        <f>'Jul 6'!$C$54</f>
        <v>0</v>
      </c>
      <c r="D14" s="94">
        <f>'Jul 6'!$C$54-'Jul 6'!$C$58</f>
        <v>0</v>
      </c>
      <c r="E14" s="94">
        <f>'Jul 6'!$C$58</f>
        <v>0</v>
      </c>
      <c r="F14" s="49">
        <f>'Jul 6'!$C$55</f>
        <v>0</v>
      </c>
      <c r="G14" s="49" t="str">
        <f t="shared" si="0"/>
        <v>—</v>
      </c>
      <c r="H14" s="47" t="str">
        <f t="shared" si="1"/>
        <v/>
      </c>
    </row>
    <row r="15" spans="1:8" ht="13.5" customHeight="1" x14ac:dyDescent="0.25">
      <c r="B15" s="91">
        <v>46210</v>
      </c>
      <c r="C15" s="92">
        <f>'Jul 7'!$C$54</f>
        <v>0</v>
      </c>
      <c r="D15" s="92">
        <f>'Jul 7'!$C$54-'Jul 7'!$C$58</f>
        <v>0</v>
      </c>
      <c r="E15" s="92">
        <f>'Jul 7'!$C$58</f>
        <v>0</v>
      </c>
      <c r="F15" s="43">
        <f>'Jul 7'!$C$55</f>
        <v>0</v>
      </c>
      <c r="G15" s="43" t="str">
        <f t="shared" si="0"/>
        <v>—</v>
      </c>
      <c r="H15" s="40" t="str">
        <f t="shared" si="1"/>
        <v/>
      </c>
    </row>
    <row r="16" spans="1:8" ht="13.5" customHeight="1" x14ac:dyDescent="0.25">
      <c r="B16" s="93">
        <v>46211</v>
      </c>
      <c r="C16" s="94">
        <f>'Jul 8'!$C$54</f>
        <v>0</v>
      </c>
      <c r="D16" s="94">
        <f>'Jul 8'!$C$54-'Jul 8'!$C$58</f>
        <v>0</v>
      </c>
      <c r="E16" s="94">
        <f>'Jul 8'!$C$58</f>
        <v>0</v>
      </c>
      <c r="F16" s="49">
        <f>'Jul 8'!$C$55</f>
        <v>0</v>
      </c>
      <c r="G16" s="49" t="str">
        <f t="shared" si="0"/>
        <v>—</v>
      </c>
      <c r="H16" s="47" t="str">
        <f t="shared" si="1"/>
        <v/>
      </c>
    </row>
    <row r="17" spans="2:8" ht="13.5" customHeight="1" x14ac:dyDescent="0.25">
      <c r="B17" s="91">
        <v>46212</v>
      </c>
      <c r="C17" s="92">
        <f>'Jul 9'!$C$54</f>
        <v>0</v>
      </c>
      <c r="D17" s="92">
        <f>'Jul 9'!$C$54-'Jul 9'!$C$58</f>
        <v>0</v>
      </c>
      <c r="E17" s="92">
        <f>'Jul 9'!$C$58</f>
        <v>0</v>
      </c>
      <c r="F17" s="43">
        <f>'Jul 9'!$C$55</f>
        <v>0</v>
      </c>
      <c r="G17" s="43" t="str">
        <f t="shared" si="0"/>
        <v>—</v>
      </c>
      <c r="H17" s="40" t="str">
        <f t="shared" si="1"/>
        <v/>
      </c>
    </row>
    <row r="18" spans="2:8" ht="13.5" customHeight="1" x14ac:dyDescent="0.25">
      <c r="B18" s="93">
        <v>46213</v>
      </c>
      <c r="C18" s="94">
        <f>'Jul 10'!$C$54</f>
        <v>0</v>
      </c>
      <c r="D18" s="94">
        <f>'Jul 10'!$C$54-'Jul 10'!$C$58</f>
        <v>0</v>
      </c>
      <c r="E18" s="94">
        <f>'Jul 10'!$C$58</f>
        <v>0</v>
      </c>
      <c r="F18" s="49">
        <f>'Jul 10'!$C$55</f>
        <v>0</v>
      </c>
      <c r="G18" s="49" t="str">
        <f t="shared" si="0"/>
        <v>—</v>
      </c>
      <c r="H18" s="47" t="str">
        <f t="shared" si="1"/>
        <v/>
      </c>
    </row>
    <row r="19" spans="2:8" ht="13.5" customHeight="1" x14ac:dyDescent="0.25">
      <c r="B19" s="91">
        <v>46214</v>
      </c>
      <c r="C19" s="92">
        <f>'Jul 11'!$C$54</f>
        <v>0</v>
      </c>
      <c r="D19" s="92">
        <f>'Jul 11'!$C$54-'Jul 11'!$C$58</f>
        <v>0</v>
      </c>
      <c r="E19" s="92">
        <f>'Jul 11'!$C$58</f>
        <v>0</v>
      </c>
      <c r="F19" s="43">
        <f>'Jul 11'!$C$55</f>
        <v>0</v>
      </c>
      <c r="G19" s="43" t="str">
        <f t="shared" si="0"/>
        <v>—</v>
      </c>
      <c r="H19" s="40" t="str">
        <f t="shared" si="1"/>
        <v/>
      </c>
    </row>
    <row r="20" spans="2:8" ht="13.5" customHeight="1" x14ac:dyDescent="0.25">
      <c r="B20" s="95">
        <v>46215</v>
      </c>
      <c r="C20" s="96">
        <f>'Jul 12'!$C$54</f>
        <v>0</v>
      </c>
      <c r="D20" s="96">
        <f>'Jul 12'!$C$54-'Jul 12'!$C$58</f>
        <v>0</v>
      </c>
      <c r="E20" s="96">
        <f>'Jul 12'!$C$58</f>
        <v>0</v>
      </c>
      <c r="F20" s="97">
        <f>'Jul 12'!$C$55</f>
        <v>0</v>
      </c>
      <c r="G20" s="97" t="str">
        <f t="shared" si="0"/>
        <v>—</v>
      </c>
      <c r="H20" s="98" t="str">
        <f t="shared" si="1"/>
        <v/>
      </c>
    </row>
    <row r="21" spans="2:8" ht="13.5" customHeight="1" x14ac:dyDescent="0.25">
      <c r="B21" s="91">
        <v>46216</v>
      </c>
      <c r="C21" s="92">
        <f>'Jul 13'!$C$54</f>
        <v>0</v>
      </c>
      <c r="D21" s="92">
        <f>'Jul 13'!$C$54-'Jul 13'!$C$58</f>
        <v>0</v>
      </c>
      <c r="E21" s="92">
        <f>'Jul 13'!$C$58</f>
        <v>0</v>
      </c>
      <c r="F21" s="43">
        <f>'Jul 13'!$C$55</f>
        <v>0</v>
      </c>
      <c r="G21" s="43" t="str">
        <f t="shared" si="0"/>
        <v>—</v>
      </c>
      <c r="H21" s="40" t="str">
        <f t="shared" si="1"/>
        <v/>
      </c>
    </row>
    <row r="22" spans="2:8" ht="13.5" customHeight="1" x14ac:dyDescent="0.25">
      <c r="B22" s="93">
        <v>46217</v>
      </c>
      <c r="C22" s="94">
        <f>'Jul 14'!$C$54</f>
        <v>0</v>
      </c>
      <c r="D22" s="94">
        <f>'Jul 14'!$C$54-'Jul 14'!$C$58</f>
        <v>0</v>
      </c>
      <c r="E22" s="94">
        <f>'Jul 14'!$C$58</f>
        <v>0</v>
      </c>
      <c r="F22" s="49">
        <f>'Jul 14'!$C$55</f>
        <v>0</v>
      </c>
      <c r="G22" s="49" t="str">
        <f t="shared" si="0"/>
        <v>—</v>
      </c>
      <c r="H22" s="47" t="str">
        <f t="shared" si="1"/>
        <v/>
      </c>
    </row>
    <row r="23" spans="2:8" ht="13.5" customHeight="1" x14ac:dyDescent="0.25">
      <c r="B23" s="91">
        <v>46218</v>
      </c>
      <c r="C23" s="92">
        <f>'Jul 15'!$C$54</f>
        <v>0</v>
      </c>
      <c r="D23" s="92">
        <f>'Jul 15'!$C$54-'Jul 15'!$C$58</f>
        <v>0</v>
      </c>
      <c r="E23" s="92">
        <f>'Jul 15'!$C$58</f>
        <v>0</v>
      </c>
      <c r="F23" s="43">
        <f>'Jul 15'!$C$55</f>
        <v>0</v>
      </c>
      <c r="G23" s="43" t="str">
        <f t="shared" si="0"/>
        <v>—</v>
      </c>
      <c r="H23" s="40" t="str">
        <f t="shared" si="1"/>
        <v/>
      </c>
    </row>
    <row r="24" spans="2:8" ht="13.5" customHeight="1" x14ac:dyDescent="0.25">
      <c r="B24" s="93">
        <v>46219</v>
      </c>
      <c r="C24" s="94">
        <f>'Jul 16'!$C$54</f>
        <v>0</v>
      </c>
      <c r="D24" s="94">
        <f>'Jul 16'!$C$54-'Jul 16'!$C$58</f>
        <v>0</v>
      </c>
      <c r="E24" s="94">
        <f>'Jul 16'!$C$58</f>
        <v>0</v>
      </c>
      <c r="F24" s="49">
        <f>'Jul 16'!$C$55</f>
        <v>0</v>
      </c>
      <c r="G24" s="49" t="str">
        <f t="shared" si="0"/>
        <v>—</v>
      </c>
      <c r="H24" s="47" t="str">
        <f t="shared" si="1"/>
        <v/>
      </c>
    </row>
    <row r="25" spans="2:8" ht="13.5" customHeight="1" x14ac:dyDescent="0.25">
      <c r="B25" s="91">
        <v>46220</v>
      </c>
      <c r="C25" s="92">
        <f>'Jul 17'!$C$54</f>
        <v>0</v>
      </c>
      <c r="D25" s="92">
        <f>'Jul 17'!$C$54-'Jul 17'!$C$58</f>
        <v>0</v>
      </c>
      <c r="E25" s="92">
        <f>'Jul 17'!$C$58</f>
        <v>0</v>
      </c>
      <c r="F25" s="43">
        <f>'Jul 17'!$C$55</f>
        <v>0</v>
      </c>
      <c r="G25" s="43" t="str">
        <f t="shared" si="0"/>
        <v>—</v>
      </c>
      <c r="H25" s="40" t="str">
        <f t="shared" si="1"/>
        <v/>
      </c>
    </row>
    <row r="26" spans="2:8" ht="13.5" customHeight="1" x14ac:dyDescent="0.25">
      <c r="B26" s="93">
        <v>46221</v>
      </c>
      <c r="C26" s="94">
        <f>'Jul 18'!$C$54</f>
        <v>0</v>
      </c>
      <c r="D26" s="94">
        <f>'Jul 18'!$C$54-'Jul 18'!$C$58</f>
        <v>0</v>
      </c>
      <c r="E26" s="94">
        <f>'Jul 18'!$C$58</f>
        <v>0</v>
      </c>
      <c r="F26" s="49">
        <f>'Jul 18'!$C$55</f>
        <v>0</v>
      </c>
      <c r="G26" s="49" t="str">
        <f t="shared" si="0"/>
        <v>—</v>
      </c>
      <c r="H26" s="47" t="str">
        <f t="shared" si="1"/>
        <v/>
      </c>
    </row>
    <row r="27" spans="2:8" ht="13.5" customHeight="1" x14ac:dyDescent="0.25">
      <c r="B27" s="95">
        <v>46222</v>
      </c>
      <c r="C27" s="96">
        <f>'Jul 19'!$C$54</f>
        <v>0</v>
      </c>
      <c r="D27" s="96">
        <f>'Jul 19'!$C$54-'Jul 19'!$C$58</f>
        <v>0</v>
      </c>
      <c r="E27" s="96">
        <f>'Jul 19'!$C$58</f>
        <v>0</v>
      </c>
      <c r="F27" s="97">
        <f>'Jul 19'!$C$55</f>
        <v>0</v>
      </c>
      <c r="G27" s="97" t="str">
        <f t="shared" si="0"/>
        <v>—</v>
      </c>
      <c r="H27" s="98" t="str">
        <f t="shared" si="1"/>
        <v/>
      </c>
    </row>
    <row r="28" spans="2:8" ht="13.5" customHeight="1" x14ac:dyDescent="0.25">
      <c r="B28" s="93">
        <v>46223</v>
      </c>
      <c r="C28" s="94">
        <f>'Jul 20'!$C$54</f>
        <v>0</v>
      </c>
      <c r="D28" s="94">
        <f>'Jul 20'!$C$54-'Jul 20'!$C$58</f>
        <v>0</v>
      </c>
      <c r="E28" s="94">
        <f>'Jul 20'!$C$58</f>
        <v>0</v>
      </c>
      <c r="F28" s="49">
        <f>'Jul 20'!$C$55</f>
        <v>0</v>
      </c>
      <c r="G28" s="49" t="str">
        <f t="shared" si="0"/>
        <v>—</v>
      </c>
      <c r="H28" s="47" t="str">
        <f t="shared" si="1"/>
        <v/>
      </c>
    </row>
    <row r="29" spans="2:8" ht="13.5" customHeight="1" x14ac:dyDescent="0.25">
      <c r="B29" s="91">
        <v>46224</v>
      </c>
      <c r="C29" s="92">
        <f>'Jul 21'!$C$54</f>
        <v>0</v>
      </c>
      <c r="D29" s="92">
        <f>'Jul 21'!$C$54-'Jul 21'!$C$58</f>
        <v>0</v>
      </c>
      <c r="E29" s="92">
        <f>'Jul 21'!$C$58</f>
        <v>0</v>
      </c>
      <c r="F29" s="43">
        <f>'Jul 21'!$C$55</f>
        <v>0</v>
      </c>
      <c r="G29" s="43" t="str">
        <f t="shared" si="0"/>
        <v>—</v>
      </c>
      <c r="H29" s="40" t="str">
        <f t="shared" si="1"/>
        <v/>
      </c>
    </row>
    <row r="30" spans="2:8" ht="13.5" customHeight="1" x14ac:dyDescent="0.25">
      <c r="B30" s="93">
        <v>46225</v>
      </c>
      <c r="C30" s="94">
        <f>'Jul 22'!$C$54</f>
        <v>0</v>
      </c>
      <c r="D30" s="94">
        <f>'Jul 22'!$C$54-'Jul 22'!$C$58</f>
        <v>0</v>
      </c>
      <c r="E30" s="94">
        <f>'Jul 22'!$C$58</f>
        <v>0</v>
      </c>
      <c r="F30" s="49">
        <f>'Jul 22'!$C$55</f>
        <v>0</v>
      </c>
      <c r="G30" s="49" t="str">
        <f t="shared" si="0"/>
        <v>—</v>
      </c>
      <c r="H30" s="47" t="str">
        <f t="shared" si="1"/>
        <v/>
      </c>
    </row>
    <row r="31" spans="2:8" ht="13.5" customHeight="1" x14ac:dyDescent="0.25">
      <c r="B31" s="91">
        <v>46226</v>
      </c>
      <c r="C31" s="92">
        <f>'Jul 23'!$C$54</f>
        <v>0</v>
      </c>
      <c r="D31" s="92">
        <f>'Jul 23'!$C$54-'Jul 23'!$C$58</f>
        <v>0</v>
      </c>
      <c r="E31" s="92">
        <f>'Jul 23'!$C$58</f>
        <v>0</v>
      </c>
      <c r="F31" s="43">
        <f>'Jul 23'!$C$55</f>
        <v>0</v>
      </c>
      <c r="G31" s="43" t="str">
        <f t="shared" si="0"/>
        <v>—</v>
      </c>
      <c r="H31" s="40" t="str">
        <f t="shared" si="1"/>
        <v/>
      </c>
    </row>
    <row r="32" spans="2:8" ht="13.5" customHeight="1" x14ac:dyDescent="0.25">
      <c r="B32" s="93">
        <v>46227</v>
      </c>
      <c r="C32" s="94">
        <f>'Jul 24'!$C$54</f>
        <v>0</v>
      </c>
      <c r="D32" s="94">
        <f>'Jul 24'!$C$54-'Jul 24'!$C$58</f>
        <v>0</v>
      </c>
      <c r="E32" s="94">
        <f>'Jul 24'!$C$58</f>
        <v>0</v>
      </c>
      <c r="F32" s="49">
        <f>'Jul 24'!$C$55</f>
        <v>0</v>
      </c>
      <c r="G32" s="49" t="str">
        <f t="shared" si="0"/>
        <v>—</v>
      </c>
      <c r="H32" s="47" t="str">
        <f t="shared" si="1"/>
        <v/>
      </c>
    </row>
    <row r="33" spans="2:8" ht="13.5" customHeight="1" x14ac:dyDescent="0.25">
      <c r="B33" s="91">
        <v>46228</v>
      </c>
      <c r="C33" s="92">
        <f>'Jul 25'!$C$54</f>
        <v>0</v>
      </c>
      <c r="D33" s="92">
        <f>'Jul 25'!$C$54-'Jul 25'!$C$58</f>
        <v>0</v>
      </c>
      <c r="E33" s="92">
        <f>'Jul 25'!$C$58</f>
        <v>0</v>
      </c>
      <c r="F33" s="43">
        <f>'Jul 25'!$C$55</f>
        <v>0</v>
      </c>
      <c r="G33" s="43" t="str">
        <f t="shared" si="0"/>
        <v>—</v>
      </c>
      <c r="H33" s="40" t="str">
        <f t="shared" si="1"/>
        <v/>
      </c>
    </row>
    <row r="34" spans="2:8" ht="13.5" customHeight="1" x14ac:dyDescent="0.25">
      <c r="B34" s="95">
        <v>46229</v>
      </c>
      <c r="C34" s="96">
        <f>'Jul 26'!$C$54</f>
        <v>0</v>
      </c>
      <c r="D34" s="96">
        <f>'Jul 26'!$C$54-'Jul 26'!$C$58</f>
        <v>0</v>
      </c>
      <c r="E34" s="96">
        <f>'Jul 26'!$C$58</f>
        <v>0</v>
      </c>
      <c r="F34" s="97">
        <f>'Jul 26'!$C$55</f>
        <v>0</v>
      </c>
      <c r="G34" s="97" t="str">
        <f t="shared" si="0"/>
        <v>—</v>
      </c>
      <c r="H34" s="98" t="str">
        <f t="shared" si="1"/>
        <v/>
      </c>
    </row>
    <row r="35" spans="2:8" ht="13.5" customHeight="1" x14ac:dyDescent="0.25">
      <c r="B35" s="91">
        <v>46230</v>
      </c>
      <c r="C35" s="92">
        <f>'Jul 27'!$C$54</f>
        <v>0</v>
      </c>
      <c r="D35" s="92">
        <f>'Jul 27'!$C$54-'Jul 27'!$C$58</f>
        <v>0</v>
      </c>
      <c r="E35" s="92">
        <f>'Jul 27'!$C$58</f>
        <v>0</v>
      </c>
      <c r="F35" s="43">
        <f>'Jul 27'!$C$55</f>
        <v>0</v>
      </c>
      <c r="G35" s="43" t="str">
        <f t="shared" si="0"/>
        <v>—</v>
      </c>
      <c r="H35" s="40" t="str">
        <f t="shared" si="1"/>
        <v/>
      </c>
    </row>
    <row r="36" spans="2:8" ht="13.5" customHeight="1" x14ac:dyDescent="0.25">
      <c r="B36" s="93">
        <v>46231</v>
      </c>
      <c r="C36" s="94">
        <f>'Jul 28'!$C$54</f>
        <v>0</v>
      </c>
      <c r="D36" s="94">
        <f>'Jul 28'!$C$54-'Jul 28'!$C$58</f>
        <v>0</v>
      </c>
      <c r="E36" s="94">
        <f>'Jul 28'!$C$58</f>
        <v>0</v>
      </c>
      <c r="F36" s="49">
        <f>'Jul 28'!$C$55</f>
        <v>0</v>
      </c>
      <c r="G36" s="49" t="str">
        <f t="shared" si="0"/>
        <v>—</v>
      </c>
      <c r="H36" s="47" t="str">
        <f t="shared" si="1"/>
        <v/>
      </c>
    </row>
    <row r="37" spans="2:8" ht="13.5" customHeight="1" x14ac:dyDescent="0.25">
      <c r="B37" s="91">
        <v>46232</v>
      </c>
      <c r="C37" s="92">
        <f>'Jul 29'!$C$54</f>
        <v>0</v>
      </c>
      <c r="D37" s="92">
        <f>'Jul 29'!$C$54-'Jul 29'!$C$58</f>
        <v>0</v>
      </c>
      <c r="E37" s="92">
        <f>'Jul 29'!$C$58</f>
        <v>0</v>
      </c>
      <c r="F37" s="43">
        <f>'Jul 29'!$C$55</f>
        <v>0</v>
      </c>
      <c r="G37" s="43" t="str">
        <f t="shared" si="0"/>
        <v>—</v>
      </c>
      <c r="H37" s="40" t="str">
        <f t="shared" si="1"/>
        <v/>
      </c>
    </row>
    <row r="38" spans="2:8" ht="13.5" customHeight="1" x14ac:dyDescent="0.25">
      <c r="B38" s="93">
        <v>46233</v>
      </c>
      <c r="C38" s="94">
        <f>'Jul 30'!$C$54</f>
        <v>0</v>
      </c>
      <c r="D38" s="94">
        <f>'Jul 30'!$C$54-'Jul 30'!$C$58</f>
        <v>0</v>
      </c>
      <c r="E38" s="94">
        <f>'Jul 30'!$C$58</f>
        <v>0</v>
      </c>
      <c r="F38" s="49">
        <f>'Jul 30'!$C$55</f>
        <v>0</v>
      </c>
      <c r="G38" s="49" t="str">
        <f t="shared" si="0"/>
        <v>—</v>
      </c>
      <c r="H38" s="47" t="str">
        <f t="shared" si="1"/>
        <v/>
      </c>
    </row>
    <row r="39" spans="2:8" ht="13.5" customHeight="1" x14ac:dyDescent="0.25">
      <c r="B39" s="91">
        <v>46234</v>
      </c>
      <c r="C39" s="92">
        <f>'Jul 31'!$C$54</f>
        <v>0</v>
      </c>
      <c r="D39" s="92">
        <f>'Jul 31'!$C$54-'Jul 31'!$C$58</f>
        <v>0</v>
      </c>
      <c r="E39" s="92">
        <f>'Jul 31'!$C$58</f>
        <v>0</v>
      </c>
      <c r="F39" s="43">
        <f>'Jul 31'!$C$55</f>
        <v>0</v>
      </c>
      <c r="G39" s="43" t="str">
        <f t="shared" si="0"/>
        <v>—</v>
      </c>
      <c r="H39" s="40" t="str">
        <f t="shared" si="1"/>
        <v/>
      </c>
    </row>
  </sheetData>
  <sheetProtection sheet="1" formatColumns="0" formatRows="0"/>
  <mergeCells count="5">
    <mergeCell ref="C3:F3"/>
    <mergeCell ref="G1:H2"/>
    <mergeCell ref="C1:F2"/>
    <mergeCell ref="A5:H5"/>
    <mergeCell ref="A1:B3"/>
  </mergeCells>
  <conditionalFormatting sqref="H9:H39">
    <cfRule type="expression" dxfId="0" priority="1">
      <formula>LEFT($H9,1)="⚠"</formula>
    </cfRule>
  </conditionalFormatting>
  <pageMargins left="0.25" right="0.25" top="0.3" bottom="0.3" header="0.5" footer="0.5"/>
  <pageSetup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A6A6A6"/>
    <pageSetUpPr fitToPage="1"/>
  </sheetPr>
  <dimension ref="A1:BX204"/>
  <sheetViews>
    <sheetView workbookViewId="0"/>
  </sheetViews>
  <sheetFormatPr defaultRowHeight="15" x14ac:dyDescent="0.25"/>
  <cols>
    <col min="1" max="1" width="20" customWidth="1"/>
    <col min="4" max="4" width="16" customWidth="1"/>
    <col min="7" max="7" width="14" customWidth="1"/>
    <col min="10" max="10" width="22" customWidth="1"/>
    <col min="11" max="11" width="12" customWidth="1"/>
    <col min="13" max="13" width="22" customWidth="1"/>
    <col min="16" max="16" width="9" customWidth="1"/>
    <col min="18" max="18" width="14" customWidth="1"/>
    <col min="20" max="76" width="15" customWidth="1"/>
  </cols>
  <sheetData>
    <row r="1" spans="1:76" ht="15.75" x14ac:dyDescent="0.25">
      <c r="A1" s="29" t="s">
        <v>443</v>
      </c>
    </row>
    <row r="2" spans="1:76" x14ac:dyDescent="0.25">
      <c r="A2" s="30" t="s">
        <v>444</v>
      </c>
    </row>
    <row r="4" spans="1:76" x14ac:dyDescent="0.25">
      <c r="A4" s="4" t="s">
        <v>445</v>
      </c>
      <c r="D4" s="4" t="s">
        <v>446</v>
      </c>
      <c r="G4" s="4" t="s">
        <v>447</v>
      </c>
      <c r="J4" s="4" t="s">
        <v>448</v>
      </c>
      <c r="K4" s="4" t="s">
        <v>449</v>
      </c>
      <c r="M4" s="4" t="s">
        <v>450</v>
      </c>
      <c r="P4" s="4" t="s">
        <v>451</v>
      </c>
      <c r="R4" s="4" t="s">
        <v>452</v>
      </c>
      <c r="T4" s="4" t="s">
        <v>453</v>
      </c>
      <c r="U4" s="4" t="s">
        <v>454</v>
      </c>
      <c r="V4" s="4" t="s">
        <v>455</v>
      </c>
      <c r="W4" s="4" t="s">
        <v>456</v>
      </c>
      <c r="X4" s="4" t="s">
        <v>457</v>
      </c>
      <c r="Y4" s="4" t="s">
        <v>458</v>
      </c>
      <c r="Z4" s="4" t="s">
        <v>459</v>
      </c>
      <c r="AA4" s="4" t="s">
        <v>460</v>
      </c>
      <c r="AB4" s="4" t="s">
        <v>461</v>
      </c>
      <c r="AC4" s="4" t="s">
        <v>462</v>
      </c>
      <c r="AD4" s="4" t="s">
        <v>463</v>
      </c>
      <c r="AE4" s="4" t="s">
        <v>464</v>
      </c>
      <c r="AF4" s="4" t="s">
        <v>465</v>
      </c>
      <c r="AG4" s="4" t="s">
        <v>466</v>
      </c>
      <c r="AH4" s="4" t="s">
        <v>467</v>
      </c>
      <c r="AI4" s="4" t="s">
        <v>468</v>
      </c>
      <c r="AJ4" s="4" t="s">
        <v>469</v>
      </c>
      <c r="AK4" s="4" t="s">
        <v>470</v>
      </c>
      <c r="AL4" s="4" t="s">
        <v>471</v>
      </c>
      <c r="AM4" s="4" t="s">
        <v>472</v>
      </c>
      <c r="AN4" s="4" t="s">
        <v>473</v>
      </c>
      <c r="AO4" s="4" t="s">
        <v>474</v>
      </c>
      <c r="AP4" s="4" t="s">
        <v>475</v>
      </c>
      <c r="AQ4" s="4" t="s">
        <v>476</v>
      </c>
      <c r="AR4" s="4" t="s">
        <v>477</v>
      </c>
      <c r="AS4" s="4" t="s">
        <v>478</v>
      </c>
      <c r="AT4" s="4" t="s">
        <v>479</v>
      </c>
      <c r="AU4" s="4" t="s">
        <v>480</v>
      </c>
      <c r="AV4" s="4" t="s">
        <v>481</v>
      </c>
      <c r="AW4" s="4" t="s">
        <v>482</v>
      </c>
      <c r="AX4" s="4" t="s">
        <v>483</v>
      </c>
      <c r="AY4" s="4" t="s">
        <v>484</v>
      </c>
      <c r="AZ4" s="4" t="s">
        <v>485</v>
      </c>
      <c r="BA4" s="4" t="s">
        <v>486</v>
      </c>
      <c r="BB4" s="4" t="s">
        <v>487</v>
      </c>
      <c r="BC4" s="4" t="s">
        <v>488</v>
      </c>
      <c r="BD4" s="4" t="s">
        <v>489</v>
      </c>
      <c r="BE4" s="4" t="s">
        <v>490</v>
      </c>
      <c r="BF4" s="4" t="s">
        <v>491</v>
      </c>
      <c r="BG4" s="4" t="s">
        <v>492</v>
      </c>
      <c r="BH4" s="4" t="s">
        <v>493</v>
      </c>
      <c r="BI4" s="4" t="s">
        <v>494</v>
      </c>
      <c r="BJ4" s="4" t="s">
        <v>495</v>
      </c>
      <c r="BK4" s="4" t="s">
        <v>496</v>
      </c>
      <c r="BL4" s="4" t="s">
        <v>497</v>
      </c>
      <c r="BM4" s="4" t="s">
        <v>498</v>
      </c>
      <c r="BN4" s="4" t="s">
        <v>499</v>
      </c>
      <c r="BO4" s="4" t="s">
        <v>500</v>
      </c>
      <c r="BP4" s="4" t="s">
        <v>501</v>
      </c>
      <c r="BQ4" s="4" t="s">
        <v>502</v>
      </c>
      <c r="BR4" s="4" t="s">
        <v>503</v>
      </c>
      <c r="BS4" s="4" t="s">
        <v>504</v>
      </c>
      <c r="BT4" s="4" t="s">
        <v>505</v>
      </c>
      <c r="BU4" s="4" t="s">
        <v>506</v>
      </c>
      <c r="BV4" s="4" t="s">
        <v>507</v>
      </c>
      <c r="BW4" s="4" t="s">
        <v>508</v>
      </c>
      <c r="BX4" s="4" t="s">
        <v>509</v>
      </c>
    </row>
    <row r="5" spans="1:76" x14ac:dyDescent="0.25">
      <c r="A5" s="31" t="s">
        <v>79</v>
      </c>
      <c r="D5" s="31" t="s">
        <v>510</v>
      </c>
      <c r="G5" s="31" t="s">
        <v>511</v>
      </c>
      <c r="J5" s="31" t="s">
        <v>512</v>
      </c>
      <c r="K5" s="31" t="s">
        <v>176</v>
      </c>
      <c r="M5" s="31" t="s">
        <v>513</v>
      </c>
      <c r="P5" s="31">
        <v>2026</v>
      </c>
      <c r="R5" s="31" t="s">
        <v>453</v>
      </c>
      <c r="T5" s="31" t="s">
        <v>514</v>
      </c>
      <c r="U5" s="31" t="s">
        <v>515</v>
      </c>
      <c r="V5" s="31" t="s">
        <v>516</v>
      </c>
      <c r="W5" s="31" t="s">
        <v>517</v>
      </c>
      <c r="X5" s="31" t="s">
        <v>518</v>
      </c>
      <c r="Y5" s="31" t="s">
        <v>519</v>
      </c>
      <c r="Z5" s="31" t="s">
        <v>520</v>
      </c>
      <c r="AA5" s="31" t="s">
        <v>521</v>
      </c>
      <c r="AB5" s="31" t="s">
        <v>522</v>
      </c>
      <c r="AC5" s="31" t="s">
        <v>523</v>
      </c>
      <c r="AD5" s="31" t="s">
        <v>524</v>
      </c>
      <c r="AE5" s="31" t="s">
        <v>525</v>
      </c>
      <c r="AF5" s="31" t="s">
        <v>526</v>
      </c>
      <c r="AG5" s="31" t="s">
        <v>527</v>
      </c>
      <c r="AH5" s="31" t="s">
        <v>528</v>
      </c>
      <c r="AI5" s="31" t="s">
        <v>529</v>
      </c>
      <c r="AJ5" s="31" t="s">
        <v>530</v>
      </c>
      <c r="AK5" s="31" t="s">
        <v>531</v>
      </c>
      <c r="AL5" s="31" t="s">
        <v>532</v>
      </c>
      <c r="AM5" s="31" t="s">
        <v>533</v>
      </c>
      <c r="AN5" s="31" t="s">
        <v>534</v>
      </c>
      <c r="AO5" s="31" t="s">
        <v>535</v>
      </c>
      <c r="AP5" s="31" t="s">
        <v>536</v>
      </c>
      <c r="AQ5" s="31" t="s">
        <v>537</v>
      </c>
      <c r="AR5" s="31" t="s">
        <v>538</v>
      </c>
      <c r="AS5" s="31" t="s">
        <v>539</v>
      </c>
      <c r="AT5" s="31" t="s">
        <v>540</v>
      </c>
      <c r="AU5" s="31" t="s">
        <v>541</v>
      </c>
      <c r="AV5" s="31" t="s">
        <v>542</v>
      </c>
      <c r="AW5" s="31" t="s">
        <v>543</v>
      </c>
      <c r="AX5" s="31" t="s">
        <v>544</v>
      </c>
      <c r="AY5" s="31" t="s">
        <v>545</v>
      </c>
      <c r="AZ5" s="31" t="s">
        <v>546</v>
      </c>
      <c r="BA5" s="31" t="s">
        <v>547</v>
      </c>
      <c r="BB5" s="31" t="s">
        <v>548</v>
      </c>
      <c r="BC5" s="31" t="s">
        <v>549</v>
      </c>
      <c r="BD5" s="31" t="s">
        <v>550</v>
      </c>
      <c r="BE5" s="31" t="s">
        <v>551</v>
      </c>
      <c r="BF5" s="31" t="s">
        <v>552</v>
      </c>
      <c r="BG5" s="31" t="s">
        <v>553</v>
      </c>
      <c r="BH5" s="31" t="s">
        <v>554</v>
      </c>
      <c r="BI5" s="31" t="s">
        <v>555</v>
      </c>
      <c r="BJ5" s="31" t="s">
        <v>556</v>
      </c>
      <c r="BK5" s="31" t="s">
        <v>557</v>
      </c>
      <c r="BL5" s="31" t="s">
        <v>558</v>
      </c>
      <c r="BM5" s="31" t="s">
        <v>559</v>
      </c>
      <c r="BN5" s="31" t="s">
        <v>560</v>
      </c>
      <c r="BO5" s="31" t="s">
        <v>561</v>
      </c>
      <c r="BP5" s="31" t="s">
        <v>562</v>
      </c>
      <c r="BQ5" s="31" t="s">
        <v>563</v>
      </c>
      <c r="BR5" s="31" t="s">
        <v>564</v>
      </c>
      <c r="BS5" s="31" t="s">
        <v>565</v>
      </c>
      <c r="BT5" s="31" t="s">
        <v>566</v>
      </c>
      <c r="BU5" s="31" t="s">
        <v>567</v>
      </c>
      <c r="BV5" s="31" t="s">
        <v>568</v>
      </c>
      <c r="BW5" s="31" t="s">
        <v>569</v>
      </c>
      <c r="BX5" s="31" t="s">
        <v>570</v>
      </c>
    </row>
    <row r="6" spans="1:76" x14ac:dyDescent="0.25">
      <c r="A6" s="31" t="s">
        <v>80</v>
      </c>
      <c r="D6" s="31" t="s">
        <v>571</v>
      </c>
      <c r="G6" s="31" t="s">
        <v>572</v>
      </c>
      <c r="J6" s="31" t="s">
        <v>573</v>
      </c>
      <c r="K6" s="31" t="s">
        <v>176</v>
      </c>
      <c r="M6" s="31" t="s">
        <v>574</v>
      </c>
      <c r="P6" s="31">
        <v>2025</v>
      </c>
      <c r="R6" s="31" t="s">
        <v>454</v>
      </c>
      <c r="T6" s="31" t="s">
        <v>575</v>
      </c>
      <c r="U6" s="31" t="s">
        <v>576</v>
      </c>
      <c r="V6" s="31" t="s">
        <v>577</v>
      </c>
      <c r="W6" s="31" t="s">
        <v>578</v>
      </c>
      <c r="X6" s="31" t="s">
        <v>579</v>
      </c>
      <c r="Y6" s="31" t="s">
        <v>580</v>
      </c>
      <c r="Z6" s="31" t="s">
        <v>581</v>
      </c>
      <c r="AA6" s="31" t="s">
        <v>582</v>
      </c>
      <c r="AB6" s="31" t="s">
        <v>583</v>
      </c>
      <c r="AC6" s="31" t="s">
        <v>584</v>
      </c>
      <c r="AD6" s="31" t="s">
        <v>585</v>
      </c>
      <c r="AE6" s="31" t="s">
        <v>586</v>
      </c>
      <c r="AF6" s="31" t="s">
        <v>587</v>
      </c>
      <c r="AG6" s="31" t="s">
        <v>588</v>
      </c>
      <c r="AH6" s="31" t="s">
        <v>589</v>
      </c>
      <c r="AI6" s="31" t="s">
        <v>590</v>
      </c>
      <c r="AJ6" s="31" t="s">
        <v>591</v>
      </c>
      <c r="AK6" s="31" t="s">
        <v>592</v>
      </c>
      <c r="AL6" s="31" t="s">
        <v>593</v>
      </c>
      <c r="AM6" s="31" t="s">
        <v>594</v>
      </c>
      <c r="AN6" s="31" t="s">
        <v>595</v>
      </c>
      <c r="AO6" s="31" t="s">
        <v>596</v>
      </c>
      <c r="AP6" s="31" t="s">
        <v>597</v>
      </c>
      <c r="AQ6" s="31" t="s">
        <v>598</v>
      </c>
      <c r="AR6" s="31" t="s">
        <v>599</v>
      </c>
      <c r="AS6" s="31" t="s">
        <v>600</v>
      </c>
      <c r="AT6" s="31" t="s">
        <v>601</v>
      </c>
      <c r="AU6" s="31" t="s">
        <v>602</v>
      </c>
      <c r="AV6" s="31" t="s">
        <v>603</v>
      </c>
      <c r="AW6" s="31" t="s">
        <v>604</v>
      </c>
      <c r="AX6" s="31" t="s">
        <v>605</v>
      </c>
      <c r="AY6" s="31" t="s">
        <v>606</v>
      </c>
      <c r="AZ6" s="31" t="s">
        <v>607</v>
      </c>
      <c r="BA6" s="31" t="s">
        <v>608</v>
      </c>
      <c r="BB6" s="31" t="s">
        <v>609</v>
      </c>
      <c r="BC6" s="31" t="s">
        <v>610</v>
      </c>
      <c r="BD6" s="31" t="s">
        <v>611</v>
      </c>
      <c r="BE6" s="31" t="s">
        <v>612</v>
      </c>
      <c r="BF6" s="31" t="s">
        <v>613</v>
      </c>
      <c r="BG6" s="31" t="s">
        <v>614</v>
      </c>
      <c r="BH6" s="31" t="s">
        <v>615</v>
      </c>
      <c r="BI6" s="31" t="s">
        <v>616</v>
      </c>
      <c r="BJ6" s="31" t="s">
        <v>617</v>
      </c>
      <c r="BK6" s="31" t="s">
        <v>618</v>
      </c>
      <c r="BL6" s="31" t="s">
        <v>619</v>
      </c>
      <c r="BM6" s="31" t="s">
        <v>620</v>
      </c>
      <c r="BN6" s="31" t="s">
        <v>621</v>
      </c>
      <c r="BO6" s="31" t="s">
        <v>622</v>
      </c>
      <c r="BP6" s="31" t="s">
        <v>623</v>
      </c>
      <c r="BQ6" s="31" t="s">
        <v>624</v>
      </c>
      <c r="BR6" s="31" t="s">
        <v>625</v>
      </c>
      <c r="BS6" s="31" t="s">
        <v>626</v>
      </c>
      <c r="BT6" s="31" t="s">
        <v>627</v>
      </c>
      <c r="BU6" s="31" t="s">
        <v>628</v>
      </c>
      <c r="BV6" s="31" t="s">
        <v>629</v>
      </c>
      <c r="BW6" s="31" t="s">
        <v>630</v>
      </c>
      <c r="BX6" s="31" t="s">
        <v>631</v>
      </c>
    </row>
    <row r="7" spans="1:76" x14ac:dyDescent="0.25">
      <c r="A7" s="31" t="s">
        <v>92</v>
      </c>
      <c r="D7" s="31" t="s">
        <v>632</v>
      </c>
      <c r="G7" s="32"/>
      <c r="J7" s="31" t="s">
        <v>633</v>
      </c>
      <c r="K7" s="31" t="s">
        <v>177</v>
      </c>
      <c r="M7" s="31" t="s">
        <v>634</v>
      </c>
      <c r="P7" s="31">
        <v>2024</v>
      </c>
      <c r="R7" s="31" t="s">
        <v>455</v>
      </c>
      <c r="T7" s="31" t="s">
        <v>635</v>
      </c>
      <c r="U7" s="31" t="s">
        <v>636</v>
      </c>
      <c r="V7" s="31" t="s">
        <v>637</v>
      </c>
      <c r="W7" s="31" t="s">
        <v>638</v>
      </c>
      <c r="X7" s="31" t="s">
        <v>639</v>
      </c>
      <c r="Y7" s="31" t="s">
        <v>640</v>
      </c>
      <c r="Z7" s="31" t="s">
        <v>641</v>
      </c>
      <c r="AA7" s="31" t="s">
        <v>642</v>
      </c>
      <c r="AB7" s="31" t="s">
        <v>643</v>
      </c>
      <c r="AC7" s="31" t="s">
        <v>644</v>
      </c>
      <c r="AD7" s="31" t="s">
        <v>645</v>
      </c>
      <c r="AE7" s="31" t="s">
        <v>646</v>
      </c>
      <c r="AF7" s="31" t="s">
        <v>647</v>
      </c>
      <c r="AG7" s="31" t="s">
        <v>648</v>
      </c>
      <c r="AH7" s="31" t="s">
        <v>649</v>
      </c>
      <c r="AI7" s="31" t="s">
        <v>650</v>
      </c>
      <c r="AJ7" s="31" t="s">
        <v>651</v>
      </c>
      <c r="AK7" s="31" t="s">
        <v>652</v>
      </c>
      <c r="AL7" s="31" t="s">
        <v>653</v>
      </c>
      <c r="AM7" s="31" t="s">
        <v>654</v>
      </c>
      <c r="AN7" s="31" t="s">
        <v>655</v>
      </c>
      <c r="AO7" s="31" t="s">
        <v>656</v>
      </c>
      <c r="AP7" s="31" t="s">
        <v>657</v>
      </c>
      <c r="AQ7" s="31" t="s">
        <v>658</v>
      </c>
      <c r="AR7" s="31" t="s">
        <v>659</v>
      </c>
      <c r="AS7" s="31" t="s">
        <v>660</v>
      </c>
      <c r="AT7" s="31" t="s">
        <v>661</v>
      </c>
      <c r="AU7" s="31" t="s">
        <v>662</v>
      </c>
      <c r="AV7" s="31" t="s">
        <v>663</v>
      </c>
      <c r="AW7" s="32"/>
      <c r="AX7" s="31" t="s">
        <v>664</v>
      </c>
      <c r="AY7" s="31" t="s">
        <v>665</v>
      </c>
      <c r="AZ7" s="31" t="s">
        <v>666</v>
      </c>
      <c r="BA7" s="31" t="s">
        <v>667</v>
      </c>
      <c r="BB7" s="31" t="s">
        <v>668</v>
      </c>
      <c r="BC7" s="31" t="s">
        <v>669</v>
      </c>
      <c r="BD7" s="31" t="s">
        <v>670</v>
      </c>
      <c r="BE7" s="31" t="s">
        <v>671</v>
      </c>
      <c r="BF7" s="31" t="s">
        <v>672</v>
      </c>
      <c r="BG7" s="31" t="s">
        <v>673</v>
      </c>
      <c r="BH7" s="31" t="s">
        <v>674</v>
      </c>
      <c r="BI7" s="31" t="s">
        <v>675</v>
      </c>
      <c r="BJ7" s="31" t="s">
        <v>676</v>
      </c>
      <c r="BK7" s="31" t="s">
        <v>677</v>
      </c>
      <c r="BL7" s="31" t="s">
        <v>678</v>
      </c>
      <c r="BM7" s="31" t="s">
        <v>679</v>
      </c>
      <c r="BN7" s="31" t="s">
        <v>680</v>
      </c>
      <c r="BO7" s="31" t="s">
        <v>681</v>
      </c>
      <c r="BP7" s="31" t="s">
        <v>682</v>
      </c>
      <c r="BQ7" s="32"/>
      <c r="BR7" s="31" t="s">
        <v>683</v>
      </c>
      <c r="BS7" s="31" t="s">
        <v>684</v>
      </c>
      <c r="BT7" s="31" t="s">
        <v>685</v>
      </c>
      <c r="BU7" s="31" t="s">
        <v>686</v>
      </c>
      <c r="BV7" s="32"/>
      <c r="BW7" s="31" t="s">
        <v>687</v>
      </c>
      <c r="BX7" s="31" t="s">
        <v>688</v>
      </c>
    </row>
    <row r="8" spans="1:76" x14ac:dyDescent="0.25">
      <c r="A8" s="31" t="s">
        <v>93</v>
      </c>
      <c r="D8" s="31" t="s">
        <v>689</v>
      </c>
      <c r="G8" s="32"/>
      <c r="J8" s="31" t="s">
        <v>690</v>
      </c>
      <c r="K8" s="31" t="s">
        <v>178</v>
      </c>
      <c r="M8" s="31" t="s">
        <v>691</v>
      </c>
      <c r="P8" s="31">
        <v>2023</v>
      </c>
      <c r="R8" s="31" t="s">
        <v>456</v>
      </c>
      <c r="T8" s="31" t="s">
        <v>692</v>
      </c>
      <c r="U8" s="31" t="s">
        <v>693</v>
      </c>
      <c r="V8" s="31" t="s">
        <v>694</v>
      </c>
      <c r="W8" s="31" t="s">
        <v>695</v>
      </c>
      <c r="X8" s="31" t="s">
        <v>696</v>
      </c>
      <c r="Y8" s="31" t="s">
        <v>697</v>
      </c>
      <c r="Z8" s="31" t="s">
        <v>698</v>
      </c>
      <c r="AA8" s="31" t="s">
        <v>699</v>
      </c>
      <c r="AB8" s="31" t="s">
        <v>700</v>
      </c>
      <c r="AC8" s="31" t="s">
        <v>701</v>
      </c>
      <c r="AD8" s="31" t="s">
        <v>702</v>
      </c>
      <c r="AE8" s="31" t="s">
        <v>703</v>
      </c>
      <c r="AF8" s="31" t="s">
        <v>704</v>
      </c>
      <c r="AG8" s="31" t="s">
        <v>705</v>
      </c>
      <c r="AH8" s="31" t="s">
        <v>706</v>
      </c>
      <c r="AI8" s="31" t="s">
        <v>707</v>
      </c>
      <c r="AJ8" s="31" t="s">
        <v>708</v>
      </c>
      <c r="AK8" s="31" t="s">
        <v>709</v>
      </c>
      <c r="AL8" s="31" t="s">
        <v>710</v>
      </c>
      <c r="AM8" s="31" t="s">
        <v>711</v>
      </c>
      <c r="AN8" s="31" t="s">
        <v>712</v>
      </c>
      <c r="AO8" s="31" t="s">
        <v>713</v>
      </c>
      <c r="AP8" s="31" t="s">
        <v>714</v>
      </c>
      <c r="AQ8" s="31" t="s">
        <v>715</v>
      </c>
      <c r="AR8" s="31" t="s">
        <v>716</v>
      </c>
      <c r="AS8" s="31" t="s">
        <v>717</v>
      </c>
      <c r="AT8" s="31" t="s">
        <v>718</v>
      </c>
      <c r="AU8" s="31" t="s">
        <v>719</v>
      </c>
      <c r="AV8" s="31" t="s">
        <v>720</v>
      </c>
      <c r="AW8" s="32"/>
      <c r="AX8" s="31" t="s">
        <v>721</v>
      </c>
      <c r="AY8" s="31" t="s">
        <v>722</v>
      </c>
      <c r="AZ8" s="31" t="s">
        <v>723</v>
      </c>
      <c r="BA8" s="31" t="s">
        <v>724</v>
      </c>
      <c r="BB8" s="31" t="s">
        <v>725</v>
      </c>
      <c r="BC8" s="31" t="s">
        <v>726</v>
      </c>
      <c r="BD8" s="31" t="s">
        <v>727</v>
      </c>
      <c r="BE8" s="31" t="s">
        <v>728</v>
      </c>
      <c r="BF8" s="31" t="s">
        <v>729</v>
      </c>
      <c r="BG8" s="31" t="s">
        <v>730</v>
      </c>
      <c r="BH8" s="31" t="s">
        <v>731</v>
      </c>
      <c r="BI8" s="31" t="s">
        <v>732</v>
      </c>
      <c r="BJ8" s="31" t="s">
        <v>733</v>
      </c>
      <c r="BK8" s="31" t="s">
        <v>734</v>
      </c>
      <c r="BL8" s="31" t="s">
        <v>735</v>
      </c>
      <c r="BM8" s="31" t="s">
        <v>736</v>
      </c>
      <c r="BN8" s="31" t="s">
        <v>737</v>
      </c>
      <c r="BO8" s="31" t="s">
        <v>738</v>
      </c>
      <c r="BP8" s="31" t="s">
        <v>739</v>
      </c>
      <c r="BQ8" s="32"/>
      <c r="BR8" s="31" t="s">
        <v>740</v>
      </c>
      <c r="BS8" s="31" t="s">
        <v>741</v>
      </c>
      <c r="BT8" s="31" t="s">
        <v>742</v>
      </c>
      <c r="BU8" s="31" t="s">
        <v>743</v>
      </c>
      <c r="BV8" s="32"/>
      <c r="BW8" s="31" t="s">
        <v>744</v>
      </c>
      <c r="BX8" s="31" t="s">
        <v>745</v>
      </c>
    </row>
    <row r="9" spans="1:76" x14ac:dyDescent="0.25">
      <c r="A9" s="31" t="s">
        <v>94</v>
      </c>
      <c r="D9" s="32"/>
      <c r="J9" s="31" t="s">
        <v>746</v>
      </c>
      <c r="K9" s="31" t="s">
        <v>176</v>
      </c>
      <c r="M9" s="31" t="s">
        <v>747</v>
      </c>
      <c r="P9" s="31">
        <v>2022</v>
      </c>
      <c r="R9" s="31" t="s">
        <v>457</v>
      </c>
      <c r="T9" s="31" t="s">
        <v>748</v>
      </c>
      <c r="U9" s="31" t="s">
        <v>749</v>
      </c>
      <c r="V9" s="31" t="s">
        <v>750</v>
      </c>
      <c r="W9" s="31" t="s">
        <v>751</v>
      </c>
      <c r="X9" s="31" t="s">
        <v>752</v>
      </c>
      <c r="Y9" s="31" t="s">
        <v>753</v>
      </c>
      <c r="Z9" s="31" t="s">
        <v>754</v>
      </c>
      <c r="AA9" s="31" t="s">
        <v>755</v>
      </c>
      <c r="AB9" s="31" t="s">
        <v>756</v>
      </c>
      <c r="AC9" s="31" t="s">
        <v>757</v>
      </c>
      <c r="AD9" s="31" t="s">
        <v>758</v>
      </c>
      <c r="AE9" s="31" t="s">
        <v>759</v>
      </c>
      <c r="AF9" s="31" t="s">
        <v>760</v>
      </c>
      <c r="AG9" s="31" t="s">
        <v>761</v>
      </c>
      <c r="AH9" s="31" t="s">
        <v>762</v>
      </c>
      <c r="AI9" s="31" t="s">
        <v>763</v>
      </c>
      <c r="AJ9" s="31" t="s">
        <v>764</v>
      </c>
      <c r="AK9" s="32"/>
      <c r="AL9" s="31" t="s">
        <v>765</v>
      </c>
      <c r="AM9" s="31" t="s">
        <v>766</v>
      </c>
      <c r="AN9" s="31" t="s">
        <v>767</v>
      </c>
      <c r="AO9" s="31" t="s">
        <v>768</v>
      </c>
      <c r="AP9" s="31" t="s">
        <v>769</v>
      </c>
      <c r="AQ9" s="31" t="s">
        <v>770</v>
      </c>
      <c r="AR9" s="31" t="s">
        <v>771</v>
      </c>
      <c r="AS9" s="31" t="s">
        <v>772</v>
      </c>
      <c r="AT9" s="31" t="s">
        <v>773</v>
      </c>
      <c r="AU9" s="31" t="s">
        <v>774</v>
      </c>
      <c r="AV9" s="31" t="s">
        <v>775</v>
      </c>
      <c r="AW9" s="32"/>
      <c r="AX9" s="31" t="s">
        <v>776</v>
      </c>
      <c r="AY9" s="31" t="s">
        <v>777</v>
      </c>
      <c r="AZ9" s="31" t="s">
        <v>778</v>
      </c>
      <c r="BA9" s="31" t="s">
        <v>779</v>
      </c>
      <c r="BB9" s="31" t="s">
        <v>780</v>
      </c>
      <c r="BC9" s="31" t="s">
        <v>781</v>
      </c>
      <c r="BD9" s="31" t="s">
        <v>782</v>
      </c>
      <c r="BE9" s="31" t="s">
        <v>783</v>
      </c>
      <c r="BF9" s="31" t="s">
        <v>784</v>
      </c>
      <c r="BG9" s="31" t="s">
        <v>785</v>
      </c>
      <c r="BH9" s="32"/>
      <c r="BI9" s="31" t="s">
        <v>786</v>
      </c>
      <c r="BJ9" s="31" t="s">
        <v>787</v>
      </c>
      <c r="BK9" s="31" t="s">
        <v>788</v>
      </c>
      <c r="BL9" s="32"/>
      <c r="BM9" s="31" t="s">
        <v>789</v>
      </c>
      <c r="BN9" s="31" t="s">
        <v>790</v>
      </c>
      <c r="BO9" s="31" t="s">
        <v>791</v>
      </c>
      <c r="BP9" s="31" t="s">
        <v>792</v>
      </c>
      <c r="BQ9" s="32"/>
      <c r="BR9" s="31" t="s">
        <v>793</v>
      </c>
      <c r="BS9" s="31" t="s">
        <v>794</v>
      </c>
      <c r="BT9" s="31" t="s">
        <v>795</v>
      </c>
      <c r="BU9" s="31" t="s">
        <v>796</v>
      </c>
      <c r="BV9" s="32"/>
      <c r="BW9" s="31" t="s">
        <v>797</v>
      </c>
      <c r="BX9" s="31" t="s">
        <v>798</v>
      </c>
    </row>
    <row r="10" spans="1:76" x14ac:dyDescent="0.25">
      <c r="A10" s="31" t="s">
        <v>95</v>
      </c>
      <c r="D10" s="32"/>
      <c r="J10" s="31" t="s">
        <v>799</v>
      </c>
      <c r="K10" s="31" t="s">
        <v>176</v>
      </c>
      <c r="M10" s="31" t="s">
        <v>800</v>
      </c>
      <c r="P10" s="31">
        <v>2021</v>
      </c>
      <c r="R10" s="31" t="s">
        <v>458</v>
      </c>
      <c r="T10" s="31" t="s">
        <v>801</v>
      </c>
      <c r="U10" s="31" t="s">
        <v>802</v>
      </c>
      <c r="V10" s="31" t="s">
        <v>803</v>
      </c>
      <c r="W10" s="31" t="s">
        <v>804</v>
      </c>
      <c r="X10" s="31" t="s">
        <v>805</v>
      </c>
      <c r="Y10" s="31" t="s">
        <v>806</v>
      </c>
      <c r="Z10" s="31" t="s">
        <v>807</v>
      </c>
      <c r="AA10" s="31" t="s">
        <v>808</v>
      </c>
      <c r="AB10" s="31" t="s">
        <v>809</v>
      </c>
      <c r="AC10" s="31" t="s">
        <v>810</v>
      </c>
      <c r="AD10" s="31" t="s">
        <v>811</v>
      </c>
      <c r="AE10" s="31" t="s">
        <v>812</v>
      </c>
      <c r="AF10" s="32"/>
      <c r="AG10" s="31" t="s">
        <v>813</v>
      </c>
      <c r="AH10" s="31" t="s">
        <v>814</v>
      </c>
      <c r="AI10" s="31" t="s">
        <v>815</v>
      </c>
      <c r="AJ10" s="31" t="s">
        <v>816</v>
      </c>
      <c r="AK10" s="32"/>
      <c r="AL10" s="31" t="s">
        <v>817</v>
      </c>
      <c r="AM10" s="31" t="s">
        <v>818</v>
      </c>
      <c r="AN10" s="31" t="s">
        <v>819</v>
      </c>
      <c r="AO10" s="31" t="s">
        <v>820</v>
      </c>
      <c r="AP10" s="31" t="s">
        <v>821</v>
      </c>
      <c r="AQ10" s="31" t="s">
        <v>822</v>
      </c>
      <c r="AR10" s="31" t="s">
        <v>823</v>
      </c>
      <c r="AS10" s="31" t="s">
        <v>824</v>
      </c>
      <c r="AT10" s="31" t="s">
        <v>825</v>
      </c>
      <c r="AU10" s="31" t="s">
        <v>826</v>
      </c>
      <c r="AV10" s="31" t="s">
        <v>827</v>
      </c>
      <c r="AW10" s="32"/>
      <c r="AX10" s="31" t="s">
        <v>828</v>
      </c>
      <c r="AY10" s="31" t="s">
        <v>829</v>
      </c>
      <c r="AZ10" s="31" t="s">
        <v>830</v>
      </c>
      <c r="BA10" s="31" t="s">
        <v>831</v>
      </c>
      <c r="BB10" s="31" t="s">
        <v>832</v>
      </c>
      <c r="BC10" s="31" t="s">
        <v>833</v>
      </c>
      <c r="BD10" s="31" t="s">
        <v>834</v>
      </c>
      <c r="BE10" s="31" t="s">
        <v>835</v>
      </c>
      <c r="BF10" s="31" t="s">
        <v>836</v>
      </c>
      <c r="BG10" s="31" t="s">
        <v>837</v>
      </c>
      <c r="BH10" s="32"/>
      <c r="BI10" s="31" t="s">
        <v>838</v>
      </c>
      <c r="BJ10" s="31" t="s">
        <v>839</v>
      </c>
      <c r="BK10" s="31" t="s">
        <v>840</v>
      </c>
      <c r="BL10" s="32"/>
      <c r="BM10" s="31" t="s">
        <v>841</v>
      </c>
      <c r="BN10" s="31" t="s">
        <v>842</v>
      </c>
      <c r="BO10" s="31" t="s">
        <v>843</v>
      </c>
      <c r="BP10" s="31" t="s">
        <v>844</v>
      </c>
      <c r="BQ10" s="32"/>
      <c r="BR10" s="31" t="s">
        <v>845</v>
      </c>
      <c r="BS10" s="31" t="s">
        <v>846</v>
      </c>
      <c r="BT10" s="31" t="s">
        <v>847</v>
      </c>
      <c r="BU10" s="31" t="s">
        <v>848</v>
      </c>
      <c r="BV10" s="32"/>
      <c r="BW10" s="31" t="s">
        <v>849</v>
      </c>
      <c r="BX10" s="31" t="s">
        <v>850</v>
      </c>
    </row>
    <row r="11" spans="1:76" x14ac:dyDescent="0.25">
      <c r="A11" s="31" t="s">
        <v>96</v>
      </c>
      <c r="J11" s="31" t="s">
        <v>851</v>
      </c>
      <c r="K11" s="31" t="s">
        <v>177</v>
      </c>
      <c r="M11" s="31" t="s">
        <v>852</v>
      </c>
      <c r="P11" s="31">
        <v>2020</v>
      </c>
      <c r="R11" s="31" t="s">
        <v>459</v>
      </c>
      <c r="T11" s="31" t="s">
        <v>853</v>
      </c>
      <c r="U11" s="31" t="s">
        <v>854</v>
      </c>
      <c r="V11" s="31" t="s">
        <v>855</v>
      </c>
      <c r="W11" s="31" t="s">
        <v>856</v>
      </c>
      <c r="X11" s="31" t="s">
        <v>857</v>
      </c>
      <c r="Y11" s="31" t="s">
        <v>858</v>
      </c>
      <c r="Z11" s="31" t="s">
        <v>859</v>
      </c>
      <c r="AA11" s="31" t="s">
        <v>860</v>
      </c>
      <c r="AB11" s="31" t="s">
        <v>861</v>
      </c>
      <c r="AC11" s="31" t="s">
        <v>862</v>
      </c>
      <c r="AD11" s="31" t="s">
        <v>863</v>
      </c>
      <c r="AE11" s="31" t="s">
        <v>864</v>
      </c>
      <c r="AF11" s="32"/>
      <c r="AG11" s="31" t="s">
        <v>865</v>
      </c>
      <c r="AH11" s="31" t="s">
        <v>866</v>
      </c>
      <c r="AI11" s="31" t="s">
        <v>867</v>
      </c>
      <c r="AJ11" s="31" t="s">
        <v>868</v>
      </c>
      <c r="AK11" s="32"/>
      <c r="AL11" s="31" t="s">
        <v>467</v>
      </c>
      <c r="AM11" s="31" t="s">
        <v>869</v>
      </c>
      <c r="AN11" s="31" t="s">
        <v>870</v>
      </c>
      <c r="AO11" s="31" t="s">
        <v>871</v>
      </c>
      <c r="AP11" s="31" t="s">
        <v>872</v>
      </c>
      <c r="AQ11" s="31" t="s">
        <v>873</v>
      </c>
      <c r="AR11" s="31" t="s">
        <v>874</v>
      </c>
      <c r="AS11" s="31" t="s">
        <v>875</v>
      </c>
      <c r="AT11" s="31" t="s">
        <v>876</v>
      </c>
      <c r="AU11" s="31" t="s">
        <v>877</v>
      </c>
      <c r="AV11" s="32"/>
      <c r="AW11" s="32"/>
      <c r="AX11" s="31" t="s">
        <v>878</v>
      </c>
      <c r="AY11" s="31" t="s">
        <v>879</v>
      </c>
      <c r="AZ11" s="31" t="s">
        <v>880</v>
      </c>
      <c r="BA11" s="31" t="s">
        <v>881</v>
      </c>
      <c r="BB11" s="31" t="s">
        <v>882</v>
      </c>
      <c r="BC11" s="31" t="s">
        <v>883</v>
      </c>
      <c r="BD11" s="31" t="s">
        <v>884</v>
      </c>
      <c r="BE11" s="31" t="s">
        <v>885</v>
      </c>
      <c r="BF11" s="31" t="s">
        <v>886</v>
      </c>
      <c r="BG11" s="31" t="s">
        <v>887</v>
      </c>
      <c r="BH11" s="32"/>
      <c r="BI11" s="31" t="s">
        <v>888</v>
      </c>
      <c r="BJ11" s="31" t="s">
        <v>889</v>
      </c>
      <c r="BK11" s="31" t="s">
        <v>890</v>
      </c>
      <c r="BL11" s="32"/>
      <c r="BM11" s="31" t="s">
        <v>891</v>
      </c>
      <c r="BN11" s="31" t="s">
        <v>892</v>
      </c>
      <c r="BO11" s="31" t="s">
        <v>893</v>
      </c>
      <c r="BP11" s="31" t="s">
        <v>894</v>
      </c>
      <c r="BQ11" s="32"/>
      <c r="BR11" s="31" t="s">
        <v>895</v>
      </c>
      <c r="BS11" s="31" t="s">
        <v>896</v>
      </c>
      <c r="BT11" s="32"/>
      <c r="BU11" s="31" t="s">
        <v>897</v>
      </c>
      <c r="BV11" s="32"/>
      <c r="BW11" s="31" t="s">
        <v>898</v>
      </c>
      <c r="BX11" s="31" t="s">
        <v>899</v>
      </c>
    </row>
    <row r="12" spans="1:76" x14ac:dyDescent="0.25">
      <c r="A12" s="31" t="s">
        <v>97</v>
      </c>
      <c r="J12" s="31" t="s">
        <v>900</v>
      </c>
      <c r="K12" s="31" t="s">
        <v>179</v>
      </c>
      <c r="M12" s="31" t="s">
        <v>901</v>
      </c>
      <c r="P12" s="31">
        <v>2019</v>
      </c>
      <c r="R12" s="31" t="s">
        <v>460</v>
      </c>
      <c r="T12" s="31" t="s">
        <v>902</v>
      </c>
      <c r="U12" s="32"/>
      <c r="V12" s="31" t="s">
        <v>903</v>
      </c>
      <c r="W12" s="31" t="s">
        <v>904</v>
      </c>
      <c r="X12" s="31" t="s">
        <v>905</v>
      </c>
      <c r="Y12" s="31" t="s">
        <v>906</v>
      </c>
      <c r="Z12" s="31" t="s">
        <v>907</v>
      </c>
      <c r="AA12" s="31" t="s">
        <v>908</v>
      </c>
      <c r="AB12" s="31" t="s">
        <v>909</v>
      </c>
      <c r="AC12" s="31" t="s">
        <v>910</v>
      </c>
      <c r="AD12" s="31" t="s">
        <v>911</v>
      </c>
      <c r="AE12" s="31" t="s">
        <v>912</v>
      </c>
      <c r="AF12" s="32"/>
      <c r="AG12" s="31" t="s">
        <v>913</v>
      </c>
      <c r="AH12" s="31" t="s">
        <v>914</v>
      </c>
      <c r="AI12" s="31" t="s">
        <v>915</v>
      </c>
      <c r="AJ12" s="31" t="s">
        <v>916</v>
      </c>
      <c r="AK12" s="32"/>
      <c r="AL12" s="31" t="s">
        <v>917</v>
      </c>
      <c r="AM12" s="31" t="s">
        <v>918</v>
      </c>
      <c r="AN12" s="31" t="s">
        <v>919</v>
      </c>
      <c r="AO12" s="31" t="s">
        <v>920</v>
      </c>
      <c r="AP12" s="31" t="s">
        <v>921</v>
      </c>
      <c r="AQ12" s="31" t="s">
        <v>922</v>
      </c>
      <c r="AR12" s="31" t="s">
        <v>923</v>
      </c>
      <c r="AS12" s="31" t="s">
        <v>924</v>
      </c>
      <c r="AT12" s="31" t="s">
        <v>925</v>
      </c>
      <c r="AU12" s="31" t="s">
        <v>926</v>
      </c>
      <c r="AV12" s="32"/>
      <c r="AW12" s="32"/>
      <c r="AX12" s="31" t="s">
        <v>927</v>
      </c>
      <c r="AY12" s="31" t="s">
        <v>928</v>
      </c>
      <c r="AZ12" s="31" t="s">
        <v>929</v>
      </c>
      <c r="BA12" s="31" t="s">
        <v>930</v>
      </c>
      <c r="BB12" s="31" t="s">
        <v>931</v>
      </c>
      <c r="BC12" s="31" t="s">
        <v>932</v>
      </c>
      <c r="BD12" s="31" t="s">
        <v>933</v>
      </c>
      <c r="BE12" s="31" t="s">
        <v>934</v>
      </c>
      <c r="BF12" s="31" t="s">
        <v>935</v>
      </c>
      <c r="BG12" s="32"/>
      <c r="BH12" s="32"/>
      <c r="BI12" s="31" t="s">
        <v>936</v>
      </c>
      <c r="BJ12" s="31" t="s">
        <v>937</v>
      </c>
      <c r="BK12" s="31" t="s">
        <v>938</v>
      </c>
      <c r="BL12" s="32"/>
      <c r="BM12" s="31" t="s">
        <v>939</v>
      </c>
      <c r="BN12" s="32"/>
      <c r="BO12" s="31" t="s">
        <v>940</v>
      </c>
      <c r="BP12" s="31" t="s">
        <v>941</v>
      </c>
      <c r="BQ12" s="32"/>
      <c r="BR12" s="31" t="s">
        <v>942</v>
      </c>
      <c r="BS12" s="31" t="s">
        <v>943</v>
      </c>
      <c r="BT12" s="32"/>
      <c r="BU12" s="31" t="s">
        <v>944</v>
      </c>
      <c r="BV12" s="32"/>
      <c r="BW12" s="31" t="s">
        <v>945</v>
      </c>
      <c r="BX12" s="31" t="s">
        <v>946</v>
      </c>
    </row>
    <row r="13" spans="1:76" x14ac:dyDescent="0.25">
      <c r="A13" s="31" t="s">
        <v>98</v>
      </c>
      <c r="J13" s="31" t="s">
        <v>947</v>
      </c>
      <c r="K13" s="31" t="s">
        <v>176</v>
      </c>
      <c r="M13" s="31" t="s">
        <v>948</v>
      </c>
      <c r="P13" s="31">
        <v>2018</v>
      </c>
      <c r="R13" s="31" t="s">
        <v>461</v>
      </c>
      <c r="T13" s="31" t="s">
        <v>949</v>
      </c>
      <c r="U13" s="32"/>
      <c r="V13" s="31" t="s">
        <v>950</v>
      </c>
      <c r="W13" s="31" t="s">
        <v>951</v>
      </c>
      <c r="X13" s="31" t="s">
        <v>952</v>
      </c>
      <c r="Y13" s="31" t="s">
        <v>953</v>
      </c>
      <c r="Z13" s="31" t="s">
        <v>954</v>
      </c>
      <c r="AA13" s="31" t="s">
        <v>955</v>
      </c>
      <c r="AB13" s="31" t="s">
        <v>956</v>
      </c>
      <c r="AC13" s="31" t="s">
        <v>957</v>
      </c>
      <c r="AD13" s="31" t="s">
        <v>958</v>
      </c>
      <c r="AE13" s="31" t="s">
        <v>959</v>
      </c>
      <c r="AF13" s="32"/>
      <c r="AG13" s="31" t="s">
        <v>960</v>
      </c>
      <c r="AH13" s="32"/>
      <c r="AI13" s="31" t="s">
        <v>961</v>
      </c>
      <c r="AJ13" s="31" t="s">
        <v>962</v>
      </c>
      <c r="AK13" s="32"/>
      <c r="AL13" s="31" t="s">
        <v>963</v>
      </c>
      <c r="AM13" s="31" t="s">
        <v>964</v>
      </c>
      <c r="AN13" s="31" t="s">
        <v>965</v>
      </c>
      <c r="AO13" s="31" t="s">
        <v>966</v>
      </c>
      <c r="AP13" s="31" t="s">
        <v>967</v>
      </c>
      <c r="AQ13" s="31" t="s">
        <v>968</v>
      </c>
      <c r="AR13" s="31" t="s">
        <v>969</v>
      </c>
      <c r="AS13" s="31" t="s">
        <v>970</v>
      </c>
      <c r="AT13" s="31" t="s">
        <v>971</v>
      </c>
      <c r="AU13" s="31" t="s">
        <v>972</v>
      </c>
      <c r="AV13" s="32"/>
      <c r="AW13" s="32"/>
      <c r="AX13" s="31" t="s">
        <v>973</v>
      </c>
      <c r="AY13" s="31" t="s">
        <v>974</v>
      </c>
      <c r="AZ13" s="31" t="s">
        <v>975</v>
      </c>
      <c r="BA13" s="31" t="s">
        <v>976</v>
      </c>
      <c r="BB13" s="31" t="s">
        <v>977</v>
      </c>
      <c r="BC13" s="31" t="s">
        <v>978</v>
      </c>
      <c r="BD13" s="31" t="s">
        <v>979</v>
      </c>
      <c r="BE13" s="31" t="s">
        <v>980</v>
      </c>
      <c r="BF13" s="31" t="s">
        <v>981</v>
      </c>
      <c r="BG13" s="32"/>
      <c r="BH13" s="32"/>
      <c r="BI13" s="31" t="s">
        <v>982</v>
      </c>
      <c r="BJ13" s="31" t="s">
        <v>983</v>
      </c>
      <c r="BK13" s="31" t="s">
        <v>911</v>
      </c>
      <c r="BL13" s="32"/>
      <c r="BM13" s="32"/>
      <c r="BN13" s="32"/>
      <c r="BO13" s="31" t="s">
        <v>984</v>
      </c>
      <c r="BP13" s="32"/>
      <c r="BQ13" s="32"/>
      <c r="BR13" s="31" t="s">
        <v>985</v>
      </c>
      <c r="BS13" s="31" t="s">
        <v>986</v>
      </c>
      <c r="BT13" s="32"/>
      <c r="BU13" s="31" t="s">
        <v>987</v>
      </c>
      <c r="BV13" s="32"/>
      <c r="BW13" s="31" t="s">
        <v>988</v>
      </c>
      <c r="BX13" s="31" t="s">
        <v>989</v>
      </c>
    </row>
    <row r="14" spans="1:76" x14ac:dyDescent="0.25">
      <c r="A14" s="31" t="s">
        <v>99</v>
      </c>
      <c r="J14" s="31" t="s">
        <v>990</v>
      </c>
      <c r="K14" s="31" t="s">
        <v>176</v>
      </c>
      <c r="M14" s="31" t="s">
        <v>991</v>
      </c>
      <c r="P14" s="31">
        <v>2017</v>
      </c>
      <c r="R14" s="31" t="s">
        <v>462</v>
      </c>
      <c r="T14" s="31" t="s">
        <v>992</v>
      </c>
      <c r="U14" s="32"/>
      <c r="V14" s="31" t="s">
        <v>993</v>
      </c>
      <c r="W14" s="31" t="s">
        <v>994</v>
      </c>
      <c r="X14" s="31" t="s">
        <v>995</v>
      </c>
      <c r="Y14" s="31" t="s">
        <v>996</v>
      </c>
      <c r="Z14" s="31" t="s">
        <v>997</v>
      </c>
      <c r="AA14" s="31" t="s">
        <v>998</v>
      </c>
      <c r="AB14" s="31" t="s">
        <v>999</v>
      </c>
      <c r="AC14" s="31" t="s">
        <v>1000</v>
      </c>
      <c r="AD14" s="31" t="s">
        <v>1001</v>
      </c>
      <c r="AE14" s="31" t="s">
        <v>1002</v>
      </c>
      <c r="AF14" s="32"/>
      <c r="AG14" s="31" t="s">
        <v>1003</v>
      </c>
      <c r="AH14" s="32"/>
      <c r="AI14" s="31" t="s">
        <v>1004</v>
      </c>
      <c r="AJ14" s="31" t="s">
        <v>1005</v>
      </c>
      <c r="AK14" s="32"/>
      <c r="AL14" s="31" t="s">
        <v>1006</v>
      </c>
      <c r="AM14" s="31" t="s">
        <v>1007</v>
      </c>
      <c r="AN14" s="31" t="s">
        <v>1008</v>
      </c>
      <c r="AO14" s="31" t="s">
        <v>1009</v>
      </c>
      <c r="AP14" s="31" t="s">
        <v>1010</v>
      </c>
      <c r="AQ14" s="31" t="s">
        <v>1011</v>
      </c>
      <c r="AR14" s="32"/>
      <c r="AS14" s="31" t="s">
        <v>1012</v>
      </c>
      <c r="AT14" s="31" t="s">
        <v>1013</v>
      </c>
      <c r="AU14" s="31" t="s">
        <v>1014</v>
      </c>
      <c r="AV14" s="32"/>
      <c r="AW14" s="32"/>
      <c r="AX14" s="31" t="s">
        <v>1015</v>
      </c>
      <c r="AY14" s="31" t="s">
        <v>1016</v>
      </c>
      <c r="AZ14" s="31" t="s">
        <v>1017</v>
      </c>
      <c r="BA14" s="31" t="s">
        <v>1018</v>
      </c>
      <c r="BB14" s="31" t="s">
        <v>1019</v>
      </c>
      <c r="BC14" s="31" t="s">
        <v>1020</v>
      </c>
      <c r="BD14" s="31" t="s">
        <v>1021</v>
      </c>
      <c r="BE14" s="31" t="s">
        <v>1022</v>
      </c>
      <c r="BF14" s="31" t="s">
        <v>1023</v>
      </c>
      <c r="BG14" s="32"/>
      <c r="BH14" s="32"/>
      <c r="BI14" s="31" t="s">
        <v>1024</v>
      </c>
      <c r="BJ14" s="31" t="s">
        <v>1025</v>
      </c>
      <c r="BK14" s="32"/>
      <c r="BL14" s="32"/>
      <c r="BM14" s="32"/>
      <c r="BN14" s="32"/>
      <c r="BO14" s="31" t="s">
        <v>1026</v>
      </c>
      <c r="BP14" s="32"/>
      <c r="BQ14" s="32"/>
      <c r="BR14" s="31" t="s">
        <v>1027</v>
      </c>
      <c r="BS14" s="31" t="s">
        <v>1028</v>
      </c>
      <c r="BT14" s="32"/>
      <c r="BU14" s="31" t="s">
        <v>1029</v>
      </c>
      <c r="BV14" s="32"/>
      <c r="BW14" s="31" t="s">
        <v>1030</v>
      </c>
      <c r="BX14" s="31" t="s">
        <v>1031</v>
      </c>
    </row>
    <row r="15" spans="1:76" x14ac:dyDescent="0.25">
      <c r="A15" s="31" t="s">
        <v>100</v>
      </c>
      <c r="J15" s="31" t="s">
        <v>1032</v>
      </c>
      <c r="K15" s="31" t="s">
        <v>176</v>
      </c>
      <c r="M15" s="31" t="s">
        <v>1033</v>
      </c>
      <c r="P15" s="31">
        <v>2016</v>
      </c>
      <c r="R15" s="31" t="s">
        <v>463</v>
      </c>
      <c r="T15" s="31" t="s">
        <v>1034</v>
      </c>
      <c r="U15" s="32"/>
      <c r="V15" s="31" t="s">
        <v>1035</v>
      </c>
      <c r="W15" s="31" t="s">
        <v>1036</v>
      </c>
      <c r="X15" s="32"/>
      <c r="Y15" s="31" t="s">
        <v>1037</v>
      </c>
      <c r="Z15" s="31" t="s">
        <v>1038</v>
      </c>
      <c r="AA15" s="31" t="s">
        <v>1039</v>
      </c>
      <c r="AB15" s="31" t="s">
        <v>1040</v>
      </c>
      <c r="AC15" s="31" t="s">
        <v>1041</v>
      </c>
      <c r="AD15" s="31" t="s">
        <v>1042</v>
      </c>
      <c r="AE15" s="31" t="s">
        <v>1043</v>
      </c>
      <c r="AF15" s="32"/>
      <c r="AG15" s="31" t="s">
        <v>1044</v>
      </c>
      <c r="AH15" s="32"/>
      <c r="AI15" s="31" t="s">
        <v>1045</v>
      </c>
      <c r="AJ15" s="31" t="s">
        <v>1046</v>
      </c>
      <c r="AK15" s="32"/>
      <c r="AL15" s="31" t="s">
        <v>1047</v>
      </c>
      <c r="AM15" s="31" t="s">
        <v>1048</v>
      </c>
      <c r="AN15" s="31" t="s">
        <v>1049</v>
      </c>
      <c r="AO15" s="31" t="s">
        <v>1050</v>
      </c>
      <c r="AP15" s="31" t="s">
        <v>1051</v>
      </c>
      <c r="AQ15" s="31" t="s">
        <v>1052</v>
      </c>
      <c r="AR15" s="32"/>
      <c r="AS15" s="31" t="s">
        <v>1053</v>
      </c>
      <c r="AT15" s="31" t="s">
        <v>1054</v>
      </c>
      <c r="AU15" s="31" t="s">
        <v>1055</v>
      </c>
      <c r="AV15" s="32"/>
      <c r="AW15" s="32"/>
      <c r="AX15" s="32"/>
      <c r="AY15" s="31" t="s">
        <v>1056</v>
      </c>
      <c r="AZ15" s="31" t="s">
        <v>1057</v>
      </c>
      <c r="BA15" s="31" t="s">
        <v>1058</v>
      </c>
      <c r="BB15" s="31" t="s">
        <v>1059</v>
      </c>
      <c r="BC15" s="31" t="s">
        <v>1060</v>
      </c>
      <c r="BD15" s="31" t="s">
        <v>1061</v>
      </c>
      <c r="BE15" s="31" t="s">
        <v>1062</v>
      </c>
      <c r="BF15" s="31" t="s">
        <v>1063</v>
      </c>
      <c r="BG15" s="32"/>
      <c r="BH15" s="32"/>
      <c r="BI15" s="31" t="s">
        <v>1064</v>
      </c>
      <c r="BJ15" s="31" t="s">
        <v>1065</v>
      </c>
      <c r="BK15" s="32"/>
      <c r="BL15" s="32"/>
      <c r="BM15" s="32"/>
      <c r="BN15" s="32"/>
      <c r="BO15" s="31" t="s">
        <v>1066</v>
      </c>
      <c r="BP15" s="32"/>
      <c r="BQ15" s="32"/>
      <c r="BR15" s="31" t="s">
        <v>1067</v>
      </c>
      <c r="BS15" s="31" t="s">
        <v>1068</v>
      </c>
      <c r="BT15" s="32"/>
      <c r="BU15" s="31" t="s">
        <v>1069</v>
      </c>
      <c r="BV15" s="32"/>
      <c r="BW15" s="31" t="s">
        <v>1070</v>
      </c>
      <c r="BX15" s="31" t="s">
        <v>1071</v>
      </c>
    </row>
    <row r="16" spans="1:76" x14ac:dyDescent="0.25">
      <c r="A16" s="31" t="s">
        <v>101</v>
      </c>
      <c r="J16" s="31" t="s">
        <v>1072</v>
      </c>
      <c r="K16" s="31" t="s">
        <v>176</v>
      </c>
      <c r="M16" s="31" t="s">
        <v>1073</v>
      </c>
      <c r="P16" s="31">
        <v>2015</v>
      </c>
      <c r="R16" s="31" t="s">
        <v>464</v>
      </c>
      <c r="T16" s="31" t="s">
        <v>1074</v>
      </c>
      <c r="U16" s="32"/>
      <c r="V16" s="31" t="s">
        <v>1075</v>
      </c>
      <c r="W16" s="31" t="s">
        <v>1076</v>
      </c>
      <c r="X16" s="32"/>
      <c r="Y16" s="31" t="s">
        <v>1077</v>
      </c>
      <c r="Z16" s="31" t="s">
        <v>1078</v>
      </c>
      <c r="AA16" s="31" t="s">
        <v>1079</v>
      </c>
      <c r="AB16" s="31" t="s">
        <v>1080</v>
      </c>
      <c r="AC16" s="31" t="s">
        <v>1081</v>
      </c>
      <c r="AD16" s="31" t="s">
        <v>1082</v>
      </c>
      <c r="AE16" s="31" t="s">
        <v>1083</v>
      </c>
      <c r="AF16" s="32"/>
      <c r="AG16" s="31" t="s">
        <v>1084</v>
      </c>
      <c r="AH16" s="32"/>
      <c r="AI16" s="31" t="s">
        <v>1085</v>
      </c>
      <c r="AJ16" s="31" t="s">
        <v>1086</v>
      </c>
      <c r="AK16" s="32"/>
      <c r="AL16" s="31" t="s">
        <v>1087</v>
      </c>
      <c r="AM16" s="31" t="s">
        <v>1088</v>
      </c>
      <c r="AN16" s="31" t="s">
        <v>1089</v>
      </c>
      <c r="AO16" s="31" t="s">
        <v>1090</v>
      </c>
      <c r="AP16" s="31" t="s">
        <v>1091</v>
      </c>
      <c r="AQ16" s="31" t="s">
        <v>1092</v>
      </c>
      <c r="AR16" s="32"/>
      <c r="AS16" s="32"/>
      <c r="AT16" s="31" t="s">
        <v>1093</v>
      </c>
      <c r="AU16" s="31" t="s">
        <v>1094</v>
      </c>
      <c r="AV16" s="32"/>
      <c r="AW16" s="32"/>
      <c r="AX16" s="32"/>
      <c r="AY16" s="31" t="s">
        <v>1095</v>
      </c>
      <c r="AZ16" s="31" t="s">
        <v>1096</v>
      </c>
      <c r="BA16" s="31" t="s">
        <v>1097</v>
      </c>
      <c r="BB16" s="31" t="s">
        <v>1098</v>
      </c>
      <c r="BC16" s="32"/>
      <c r="BD16" s="31" t="s">
        <v>1099</v>
      </c>
      <c r="BE16" s="31" t="s">
        <v>1100</v>
      </c>
      <c r="BF16" s="31" t="s">
        <v>1101</v>
      </c>
      <c r="BG16" s="32"/>
      <c r="BH16" s="32"/>
      <c r="BI16" s="31" t="s">
        <v>1102</v>
      </c>
      <c r="BJ16" s="31" t="s">
        <v>1103</v>
      </c>
      <c r="BK16" s="32"/>
      <c r="BL16" s="32"/>
      <c r="BM16" s="32"/>
      <c r="BN16" s="32"/>
      <c r="BO16" s="31" t="s">
        <v>1104</v>
      </c>
      <c r="BP16" s="32"/>
      <c r="BQ16" s="32"/>
      <c r="BR16" s="31" t="s">
        <v>1105</v>
      </c>
      <c r="BS16" s="31" t="s">
        <v>1106</v>
      </c>
      <c r="BT16" s="32"/>
      <c r="BU16" s="31" t="s">
        <v>1107</v>
      </c>
      <c r="BV16" s="32"/>
      <c r="BW16" s="31" t="s">
        <v>1108</v>
      </c>
      <c r="BX16" s="31" t="s">
        <v>1109</v>
      </c>
    </row>
    <row r="17" spans="1:76" x14ac:dyDescent="0.25">
      <c r="A17" s="31" t="s">
        <v>102</v>
      </c>
      <c r="J17" s="31" t="s">
        <v>1110</v>
      </c>
      <c r="K17" s="31" t="s">
        <v>178</v>
      </c>
      <c r="M17" s="31" t="s">
        <v>1111</v>
      </c>
      <c r="P17" s="31">
        <v>2014</v>
      </c>
      <c r="R17" s="31" t="s">
        <v>465</v>
      </c>
      <c r="T17" s="31" t="s">
        <v>1112</v>
      </c>
      <c r="U17" s="32"/>
      <c r="V17" s="32"/>
      <c r="W17" s="31" t="s">
        <v>1113</v>
      </c>
      <c r="X17" s="32"/>
      <c r="Y17" s="31" t="s">
        <v>1114</v>
      </c>
      <c r="Z17" s="31" t="s">
        <v>1115</v>
      </c>
      <c r="AA17" s="31" t="s">
        <v>1116</v>
      </c>
      <c r="AB17" s="31" t="s">
        <v>1117</v>
      </c>
      <c r="AC17" s="31" t="s">
        <v>1118</v>
      </c>
      <c r="AD17" s="31" t="s">
        <v>1119</v>
      </c>
      <c r="AE17" s="31" t="s">
        <v>1120</v>
      </c>
      <c r="AF17" s="32"/>
      <c r="AG17" s="31" t="s">
        <v>1121</v>
      </c>
      <c r="AH17" s="32"/>
      <c r="AI17" s="31" t="s">
        <v>1122</v>
      </c>
      <c r="AJ17" s="31" t="s">
        <v>1123</v>
      </c>
      <c r="AK17" s="32"/>
      <c r="AL17" s="31" t="s">
        <v>1124</v>
      </c>
      <c r="AM17" s="31" t="s">
        <v>1125</v>
      </c>
      <c r="AN17" s="32"/>
      <c r="AO17" s="31" t="s">
        <v>1126</v>
      </c>
      <c r="AP17" s="31" t="s">
        <v>1127</v>
      </c>
      <c r="AQ17" s="31" t="s">
        <v>1128</v>
      </c>
      <c r="AR17" s="32"/>
      <c r="AS17" s="32"/>
      <c r="AT17" s="31" t="s">
        <v>1129</v>
      </c>
      <c r="AU17" s="31" t="s">
        <v>1130</v>
      </c>
      <c r="AV17" s="32"/>
      <c r="AW17" s="32"/>
      <c r="AX17" s="32"/>
      <c r="AY17" s="31" t="s">
        <v>1131</v>
      </c>
      <c r="AZ17" s="32"/>
      <c r="BA17" s="31" t="s">
        <v>1132</v>
      </c>
      <c r="BB17" s="32"/>
      <c r="BC17" s="32"/>
      <c r="BD17" s="31" t="s">
        <v>1133</v>
      </c>
      <c r="BE17" s="31" t="s">
        <v>1134</v>
      </c>
      <c r="BF17" s="32"/>
      <c r="BG17" s="32"/>
      <c r="BH17" s="32"/>
      <c r="BI17" s="31" t="s">
        <v>1135</v>
      </c>
      <c r="BJ17" s="31" t="s">
        <v>1136</v>
      </c>
      <c r="BK17" s="32"/>
      <c r="BL17" s="32"/>
      <c r="BM17" s="32"/>
      <c r="BN17" s="32"/>
      <c r="BO17" s="31" t="s">
        <v>1137</v>
      </c>
      <c r="BP17" s="32"/>
      <c r="BQ17" s="32"/>
      <c r="BR17" s="31" t="s">
        <v>1138</v>
      </c>
      <c r="BS17" s="31" t="s">
        <v>1139</v>
      </c>
      <c r="BT17" s="32"/>
      <c r="BU17" s="31" t="s">
        <v>1140</v>
      </c>
      <c r="BV17" s="32"/>
      <c r="BW17" s="31" t="s">
        <v>1141</v>
      </c>
      <c r="BX17" s="31" t="s">
        <v>1142</v>
      </c>
    </row>
    <row r="18" spans="1:76" x14ac:dyDescent="0.25">
      <c r="A18" s="31" t="s">
        <v>103</v>
      </c>
      <c r="J18" s="31" t="s">
        <v>1143</v>
      </c>
      <c r="K18" s="31" t="s">
        <v>176</v>
      </c>
      <c r="M18" s="31" t="s">
        <v>1144</v>
      </c>
      <c r="P18" s="31">
        <v>2013</v>
      </c>
      <c r="R18" s="31" t="s">
        <v>466</v>
      </c>
      <c r="T18" s="31" t="s">
        <v>1145</v>
      </c>
      <c r="U18" s="32"/>
      <c r="V18" s="32"/>
      <c r="W18" s="31" t="s">
        <v>1146</v>
      </c>
      <c r="X18" s="32"/>
      <c r="Y18" s="31" t="s">
        <v>1147</v>
      </c>
      <c r="Z18" s="31" t="s">
        <v>1148</v>
      </c>
      <c r="AA18" s="31" t="s">
        <v>1149</v>
      </c>
      <c r="AB18" s="31" t="s">
        <v>1150</v>
      </c>
      <c r="AC18" s="31" t="s">
        <v>887</v>
      </c>
      <c r="AD18" s="31" t="s">
        <v>1151</v>
      </c>
      <c r="AE18" s="31" t="s">
        <v>1152</v>
      </c>
      <c r="AF18" s="32"/>
      <c r="AG18" s="31" t="s">
        <v>1153</v>
      </c>
      <c r="AH18" s="32"/>
      <c r="AI18" s="31" t="s">
        <v>1154</v>
      </c>
      <c r="AJ18" s="31" t="s">
        <v>1155</v>
      </c>
      <c r="AK18" s="32"/>
      <c r="AL18" s="31" t="s">
        <v>1156</v>
      </c>
      <c r="AM18" s="31" t="s">
        <v>1157</v>
      </c>
      <c r="AN18" s="32"/>
      <c r="AO18" s="31" t="s">
        <v>1158</v>
      </c>
      <c r="AP18" s="31" t="s">
        <v>1159</v>
      </c>
      <c r="AQ18" s="31" t="s">
        <v>1160</v>
      </c>
      <c r="AR18" s="32"/>
      <c r="AS18" s="32"/>
      <c r="AT18" s="31" t="s">
        <v>1161</v>
      </c>
      <c r="AU18" s="31" t="s">
        <v>1162</v>
      </c>
      <c r="AV18" s="32"/>
      <c r="AW18" s="32"/>
      <c r="AX18" s="32"/>
      <c r="AY18" s="31" t="s">
        <v>1163</v>
      </c>
      <c r="AZ18" s="32"/>
      <c r="BA18" s="31" t="s">
        <v>1164</v>
      </c>
      <c r="BB18" s="32"/>
      <c r="BC18" s="32"/>
      <c r="BD18" s="31" t="s">
        <v>1165</v>
      </c>
      <c r="BE18" s="31" t="s">
        <v>1166</v>
      </c>
      <c r="BF18" s="32"/>
      <c r="BG18" s="32"/>
      <c r="BH18" s="32"/>
      <c r="BI18" s="31" t="s">
        <v>1167</v>
      </c>
      <c r="BJ18" s="31" t="s">
        <v>1168</v>
      </c>
      <c r="BK18" s="32"/>
      <c r="BL18" s="32"/>
      <c r="BM18" s="32"/>
      <c r="BN18" s="32"/>
      <c r="BO18" s="31" t="s">
        <v>1169</v>
      </c>
      <c r="BP18" s="32"/>
      <c r="BQ18" s="32"/>
      <c r="BR18" s="31" t="s">
        <v>1170</v>
      </c>
      <c r="BS18" s="31" t="s">
        <v>1171</v>
      </c>
      <c r="BT18" s="32"/>
      <c r="BU18" s="31" t="s">
        <v>1172</v>
      </c>
      <c r="BV18" s="32"/>
      <c r="BW18" s="31" t="s">
        <v>1173</v>
      </c>
      <c r="BX18" s="31" t="s">
        <v>1174</v>
      </c>
    </row>
    <row r="19" spans="1:76" x14ac:dyDescent="0.25">
      <c r="A19" s="31" t="s">
        <v>104</v>
      </c>
      <c r="J19" s="31" t="s">
        <v>1175</v>
      </c>
      <c r="K19" s="31" t="s">
        <v>176</v>
      </c>
      <c r="M19" s="31" t="s">
        <v>1176</v>
      </c>
      <c r="P19" s="31">
        <v>2012</v>
      </c>
      <c r="R19" s="31" t="s">
        <v>467</v>
      </c>
      <c r="T19" s="31" t="s">
        <v>1177</v>
      </c>
      <c r="U19" s="32"/>
      <c r="V19" s="32"/>
      <c r="W19" s="31" t="s">
        <v>1178</v>
      </c>
      <c r="X19" s="32"/>
      <c r="Y19" s="31" t="s">
        <v>1179</v>
      </c>
      <c r="Z19" s="31" t="s">
        <v>1180</v>
      </c>
      <c r="AA19" s="31" t="s">
        <v>1181</v>
      </c>
      <c r="AB19" s="31" t="s">
        <v>1182</v>
      </c>
      <c r="AC19" s="31" t="s">
        <v>1183</v>
      </c>
      <c r="AD19" s="31" t="s">
        <v>730</v>
      </c>
      <c r="AE19" s="31" t="s">
        <v>1184</v>
      </c>
      <c r="AF19" s="32"/>
      <c r="AG19" s="31" t="s">
        <v>1185</v>
      </c>
      <c r="AH19" s="32"/>
      <c r="AI19" s="31" t="s">
        <v>1186</v>
      </c>
      <c r="AJ19" s="31" t="s">
        <v>1187</v>
      </c>
      <c r="AK19" s="32"/>
      <c r="AL19" s="31" t="s">
        <v>1188</v>
      </c>
      <c r="AM19" s="31" t="s">
        <v>1189</v>
      </c>
      <c r="AN19" s="32"/>
      <c r="AO19" s="31" t="s">
        <v>1190</v>
      </c>
      <c r="AP19" s="31" t="s">
        <v>1191</v>
      </c>
      <c r="AQ19" s="31" t="s">
        <v>1192</v>
      </c>
      <c r="AR19" s="32"/>
      <c r="AS19" s="32"/>
      <c r="AT19" s="31" t="s">
        <v>1193</v>
      </c>
      <c r="AU19" s="31" t="s">
        <v>1194</v>
      </c>
      <c r="AV19" s="32"/>
      <c r="AW19" s="32"/>
      <c r="AX19" s="32"/>
      <c r="AY19" s="31" t="s">
        <v>1195</v>
      </c>
      <c r="AZ19" s="32"/>
      <c r="BA19" s="31" t="s">
        <v>1196</v>
      </c>
      <c r="BB19" s="32"/>
      <c r="BC19" s="32"/>
      <c r="BD19" s="31" t="s">
        <v>1197</v>
      </c>
      <c r="BE19" s="31" t="s">
        <v>1198</v>
      </c>
      <c r="BF19" s="32"/>
      <c r="BG19" s="32"/>
      <c r="BH19" s="32"/>
      <c r="BI19" s="31" t="s">
        <v>1199</v>
      </c>
      <c r="BJ19" s="31" t="s">
        <v>1200</v>
      </c>
      <c r="BK19" s="32"/>
      <c r="BL19" s="32"/>
      <c r="BM19" s="32"/>
      <c r="BN19" s="32"/>
      <c r="BO19" s="32"/>
      <c r="BP19" s="32"/>
      <c r="BQ19" s="32"/>
      <c r="BR19" s="31" t="s">
        <v>1201</v>
      </c>
      <c r="BS19" s="31" t="s">
        <v>1202</v>
      </c>
      <c r="BT19" s="32"/>
      <c r="BU19" s="31" t="s">
        <v>1203</v>
      </c>
      <c r="BV19" s="32"/>
      <c r="BW19" s="31" t="s">
        <v>1204</v>
      </c>
      <c r="BX19" s="31" t="s">
        <v>1205</v>
      </c>
    </row>
    <row r="20" spans="1:76" x14ac:dyDescent="0.25">
      <c r="A20" s="31" t="s">
        <v>105</v>
      </c>
      <c r="J20" s="31" t="s">
        <v>1206</v>
      </c>
      <c r="K20" s="31" t="s">
        <v>176</v>
      </c>
      <c r="M20" s="31" t="s">
        <v>1207</v>
      </c>
      <c r="P20" s="31">
        <v>2011</v>
      </c>
      <c r="R20" s="31" t="s">
        <v>468</v>
      </c>
      <c r="T20" s="31" t="s">
        <v>1208</v>
      </c>
      <c r="U20" s="32"/>
      <c r="V20" s="32"/>
      <c r="W20" s="31" t="s">
        <v>1209</v>
      </c>
      <c r="X20" s="32"/>
      <c r="Y20" s="31" t="s">
        <v>1210</v>
      </c>
      <c r="Z20" s="31" t="s">
        <v>1211</v>
      </c>
      <c r="AA20" s="31" t="s">
        <v>1212</v>
      </c>
      <c r="AB20" s="31" t="s">
        <v>1213</v>
      </c>
      <c r="AC20" s="31" t="s">
        <v>1214</v>
      </c>
      <c r="AD20" s="31" t="s">
        <v>1215</v>
      </c>
      <c r="AE20" s="31" t="s">
        <v>1216</v>
      </c>
      <c r="AF20" s="32"/>
      <c r="AG20" s="31" t="s">
        <v>1217</v>
      </c>
      <c r="AH20" s="32"/>
      <c r="AI20" s="31" t="s">
        <v>1218</v>
      </c>
      <c r="AJ20" s="31" t="s">
        <v>1219</v>
      </c>
      <c r="AK20" s="32"/>
      <c r="AL20" s="31" t="s">
        <v>1220</v>
      </c>
      <c r="AM20" s="31" t="s">
        <v>1221</v>
      </c>
      <c r="AN20" s="32"/>
      <c r="AO20" s="31" t="s">
        <v>1222</v>
      </c>
      <c r="AP20" s="32"/>
      <c r="AQ20" s="31" t="s">
        <v>1223</v>
      </c>
      <c r="AR20" s="32"/>
      <c r="AS20" s="32"/>
      <c r="AT20" s="31" t="s">
        <v>1224</v>
      </c>
      <c r="AU20" s="31" t="s">
        <v>1225</v>
      </c>
      <c r="AV20" s="32"/>
      <c r="AW20" s="32"/>
      <c r="AX20" s="32"/>
      <c r="AY20" s="31" t="s">
        <v>1226</v>
      </c>
      <c r="AZ20" s="32"/>
      <c r="BA20" s="31" t="s">
        <v>1227</v>
      </c>
      <c r="BB20" s="32"/>
      <c r="BC20" s="32"/>
      <c r="BD20" s="32"/>
      <c r="BE20" s="31" t="s">
        <v>1228</v>
      </c>
      <c r="BF20" s="32"/>
      <c r="BG20" s="32"/>
      <c r="BH20" s="32"/>
      <c r="BI20" s="31" t="s">
        <v>1229</v>
      </c>
      <c r="BJ20" s="31" t="s">
        <v>1230</v>
      </c>
      <c r="BK20" s="32"/>
      <c r="BL20" s="32"/>
      <c r="BM20" s="32"/>
      <c r="BN20" s="32"/>
      <c r="BO20" s="32"/>
      <c r="BP20" s="32"/>
      <c r="BQ20" s="32"/>
      <c r="BR20" s="31" t="s">
        <v>1231</v>
      </c>
      <c r="BS20" s="32"/>
      <c r="BT20" s="32"/>
      <c r="BU20" s="31" t="s">
        <v>1232</v>
      </c>
      <c r="BV20" s="32"/>
      <c r="BW20" s="31" t="s">
        <v>1233</v>
      </c>
      <c r="BX20" s="31" t="s">
        <v>1234</v>
      </c>
    </row>
    <row r="21" spans="1:76" x14ac:dyDescent="0.25">
      <c r="A21" s="32"/>
      <c r="J21" s="31" t="s">
        <v>1235</v>
      </c>
      <c r="K21" s="31" t="s">
        <v>176</v>
      </c>
      <c r="M21" s="31" t="s">
        <v>1236</v>
      </c>
      <c r="P21" s="31">
        <v>2010</v>
      </c>
      <c r="R21" s="31" t="s">
        <v>469</v>
      </c>
      <c r="T21" s="31" t="s">
        <v>1237</v>
      </c>
      <c r="U21" s="32"/>
      <c r="V21" s="32"/>
      <c r="W21" s="31" t="s">
        <v>1238</v>
      </c>
      <c r="X21" s="32"/>
      <c r="Y21" s="31" t="s">
        <v>1239</v>
      </c>
      <c r="Z21" s="31" t="s">
        <v>1240</v>
      </c>
      <c r="AA21" s="31" t="s">
        <v>1241</v>
      </c>
      <c r="AB21" s="31" t="s">
        <v>1242</v>
      </c>
      <c r="AC21" s="31" t="s">
        <v>1243</v>
      </c>
      <c r="AD21" s="31" t="s">
        <v>1244</v>
      </c>
      <c r="AE21" s="31" t="s">
        <v>1245</v>
      </c>
      <c r="AF21" s="32"/>
      <c r="AG21" s="31" t="s">
        <v>1246</v>
      </c>
      <c r="AH21" s="32"/>
      <c r="AI21" s="31" t="s">
        <v>1247</v>
      </c>
      <c r="AJ21" s="31" t="s">
        <v>1248</v>
      </c>
      <c r="AK21" s="32"/>
      <c r="AL21" s="31" t="s">
        <v>1249</v>
      </c>
      <c r="AM21" s="31" t="s">
        <v>1250</v>
      </c>
      <c r="AN21" s="32"/>
      <c r="AO21" s="31" t="s">
        <v>1251</v>
      </c>
      <c r="AP21" s="32"/>
      <c r="AQ21" s="31" t="s">
        <v>1252</v>
      </c>
      <c r="AR21" s="32"/>
      <c r="AS21" s="32"/>
      <c r="AT21" s="31" t="s">
        <v>1253</v>
      </c>
      <c r="AU21" s="32"/>
      <c r="AV21" s="32"/>
      <c r="AW21" s="32"/>
      <c r="AX21" s="32"/>
      <c r="AY21" s="31" t="s">
        <v>1254</v>
      </c>
      <c r="AZ21" s="32"/>
      <c r="BA21" s="31" t="s">
        <v>1255</v>
      </c>
      <c r="BB21" s="32"/>
      <c r="BC21" s="32"/>
      <c r="BD21" s="32"/>
      <c r="BE21" s="31" t="s">
        <v>1256</v>
      </c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1" t="s">
        <v>1257</v>
      </c>
      <c r="BV21" s="32"/>
      <c r="BW21" s="31" t="s">
        <v>1258</v>
      </c>
      <c r="BX21" s="31" t="s">
        <v>1259</v>
      </c>
    </row>
    <row r="22" spans="1:76" x14ac:dyDescent="0.25">
      <c r="A22" s="32"/>
      <c r="J22" s="31" t="s">
        <v>1260</v>
      </c>
      <c r="K22" s="31" t="s">
        <v>178</v>
      </c>
      <c r="M22" s="31" t="s">
        <v>1261</v>
      </c>
      <c r="P22" s="31">
        <v>2009</v>
      </c>
      <c r="R22" s="31" t="s">
        <v>470</v>
      </c>
      <c r="T22" s="31" t="s">
        <v>1262</v>
      </c>
      <c r="U22" s="32"/>
      <c r="V22" s="32"/>
      <c r="W22" s="31" t="s">
        <v>1263</v>
      </c>
      <c r="X22" s="32"/>
      <c r="Y22" s="31" t="s">
        <v>1264</v>
      </c>
      <c r="Z22" s="31" t="s">
        <v>1265</v>
      </c>
      <c r="AA22" s="31" t="s">
        <v>1266</v>
      </c>
      <c r="AB22" s="31" t="s">
        <v>1267</v>
      </c>
      <c r="AC22" s="32"/>
      <c r="AD22" s="31" t="s">
        <v>1268</v>
      </c>
      <c r="AE22" s="31" t="s">
        <v>1269</v>
      </c>
      <c r="AF22" s="32"/>
      <c r="AG22" s="31" t="s">
        <v>1270</v>
      </c>
      <c r="AH22" s="32"/>
      <c r="AI22" s="31" t="s">
        <v>1271</v>
      </c>
      <c r="AJ22" s="31" t="s">
        <v>1272</v>
      </c>
      <c r="AK22" s="32"/>
      <c r="AL22" s="31" t="s">
        <v>1273</v>
      </c>
      <c r="AM22" s="31" t="s">
        <v>1274</v>
      </c>
      <c r="AN22" s="32"/>
      <c r="AO22" s="32"/>
      <c r="AP22" s="32"/>
      <c r="AQ22" s="31" t="s">
        <v>1275</v>
      </c>
      <c r="AR22" s="32"/>
      <c r="AS22" s="32"/>
      <c r="AT22" s="31" t="s">
        <v>1276</v>
      </c>
      <c r="AU22" s="32"/>
      <c r="AV22" s="32"/>
      <c r="AW22" s="32"/>
      <c r="AX22" s="32"/>
      <c r="AY22" s="31" t="s">
        <v>1277</v>
      </c>
      <c r="AZ22" s="32"/>
      <c r="BA22" s="31" t="s">
        <v>1278</v>
      </c>
      <c r="BB22" s="32"/>
      <c r="BC22" s="32"/>
      <c r="BD22" s="32"/>
      <c r="BE22" s="31" t="s">
        <v>1279</v>
      </c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1" t="s">
        <v>1280</v>
      </c>
      <c r="BV22" s="32"/>
      <c r="BW22" s="31" t="s">
        <v>1281</v>
      </c>
      <c r="BX22" s="31" t="s">
        <v>1282</v>
      </c>
    </row>
    <row r="23" spans="1:76" x14ac:dyDescent="0.25">
      <c r="J23" s="31" t="s">
        <v>1283</v>
      </c>
      <c r="K23" s="31" t="s">
        <v>178</v>
      </c>
      <c r="M23" s="31" t="s">
        <v>1284</v>
      </c>
      <c r="P23" s="31">
        <v>2008</v>
      </c>
      <c r="R23" s="31" t="s">
        <v>471</v>
      </c>
      <c r="T23" s="32"/>
      <c r="U23" s="32"/>
      <c r="V23" s="32"/>
      <c r="W23" s="31" t="s">
        <v>1285</v>
      </c>
      <c r="X23" s="32"/>
      <c r="Y23" s="31" t="s">
        <v>1286</v>
      </c>
      <c r="Z23" s="31" t="s">
        <v>1287</v>
      </c>
      <c r="AA23" s="31" t="s">
        <v>1288</v>
      </c>
      <c r="AB23" s="31" t="s">
        <v>1289</v>
      </c>
      <c r="AC23" s="32"/>
      <c r="AD23" s="31" t="s">
        <v>1290</v>
      </c>
      <c r="AE23" s="31" t="s">
        <v>1291</v>
      </c>
      <c r="AF23" s="32"/>
      <c r="AG23" s="31" t="s">
        <v>1292</v>
      </c>
      <c r="AH23" s="32"/>
      <c r="AI23" s="31" t="s">
        <v>1293</v>
      </c>
      <c r="AJ23" s="31" t="s">
        <v>1294</v>
      </c>
      <c r="AK23" s="32"/>
      <c r="AL23" s="31" t="s">
        <v>1295</v>
      </c>
      <c r="AM23" s="31" t="s">
        <v>1296</v>
      </c>
      <c r="AN23" s="32"/>
      <c r="AO23" s="32"/>
      <c r="AP23" s="32"/>
      <c r="AQ23" s="31" t="s">
        <v>1297</v>
      </c>
      <c r="AR23" s="32"/>
      <c r="AS23" s="32"/>
      <c r="AT23" s="31" t="s">
        <v>1298</v>
      </c>
      <c r="AU23" s="32"/>
      <c r="AV23" s="32"/>
      <c r="AW23" s="32"/>
      <c r="AX23" s="32"/>
      <c r="AY23" s="31" t="s">
        <v>1299</v>
      </c>
      <c r="AZ23" s="32"/>
      <c r="BA23" s="31" t="s">
        <v>1300</v>
      </c>
      <c r="BB23" s="32"/>
      <c r="BC23" s="32"/>
      <c r="BD23" s="32"/>
      <c r="BE23" s="31" t="s">
        <v>1301</v>
      </c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1" t="s">
        <v>1302</v>
      </c>
      <c r="BV23" s="32"/>
      <c r="BW23" s="31" t="s">
        <v>1303</v>
      </c>
      <c r="BX23" s="31" t="s">
        <v>1304</v>
      </c>
    </row>
    <row r="24" spans="1:76" x14ac:dyDescent="0.25">
      <c r="A24" s="11" t="s">
        <v>1305</v>
      </c>
      <c r="J24" s="31" t="s">
        <v>1306</v>
      </c>
      <c r="K24" s="31" t="s">
        <v>178</v>
      </c>
      <c r="M24" s="31" t="s">
        <v>1307</v>
      </c>
      <c r="P24" s="31">
        <v>2007</v>
      </c>
      <c r="R24" s="31" t="s">
        <v>472</v>
      </c>
      <c r="T24" s="32"/>
      <c r="U24" s="32"/>
      <c r="V24" s="32"/>
      <c r="W24" s="31" t="s">
        <v>1308</v>
      </c>
      <c r="X24" s="32"/>
      <c r="Y24" s="31" t="s">
        <v>1309</v>
      </c>
      <c r="Z24" s="31" t="s">
        <v>1310</v>
      </c>
      <c r="AA24" s="31" t="s">
        <v>1311</v>
      </c>
      <c r="AB24" s="31" t="s">
        <v>1312</v>
      </c>
      <c r="AC24" s="32"/>
      <c r="AD24" s="31" t="s">
        <v>1313</v>
      </c>
      <c r="AE24" s="31" t="s">
        <v>1314</v>
      </c>
      <c r="AF24" s="32"/>
      <c r="AG24" s="31" t="s">
        <v>1315</v>
      </c>
      <c r="AH24" s="32"/>
      <c r="AI24" s="31" t="s">
        <v>1316</v>
      </c>
      <c r="AJ24" s="32"/>
      <c r="AK24" s="32"/>
      <c r="AL24" s="31" t="s">
        <v>1317</v>
      </c>
      <c r="AM24" s="31" t="s">
        <v>1318</v>
      </c>
      <c r="AN24" s="32"/>
      <c r="AO24" s="32"/>
      <c r="AP24" s="32"/>
      <c r="AQ24" s="31" t="s">
        <v>1319</v>
      </c>
      <c r="AR24" s="32"/>
      <c r="AS24" s="32"/>
      <c r="AT24" s="31" t="s">
        <v>1320</v>
      </c>
      <c r="AU24" s="32"/>
      <c r="AV24" s="32"/>
      <c r="AW24" s="32"/>
      <c r="AX24" s="32"/>
      <c r="AY24" s="31" t="s">
        <v>1321</v>
      </c>
      <c r="AZ24" s="32"/>
      <c r="BA24" s="31" t="s">
        <v>1322</v>
      </c>
      <c r="BB24" s="32"/>
      <c r="BC24" s="32"/>
      <c r="BD24" s="32"/>
      <c r="BE24" s="31" t="s">
        <v>1323</v>
      </c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1" t="s">
        <v>1324</v>
      </c>
      <c r="BV24" s="32"/>
      <c r="BW24" s="31" t="s">
        <v>1325</v>
      </c>
      <c r="BX24" s="31" t="s">
        <v>1326</v>
      </c>
    </row>
    <row r="25" spans="1:76" x14ac:dyDescent="0.25">
      <c r="A25" s="11" t="s">
        <v>1327</v>
      </c>
      <c r="J25" s="31" t="s">
        <v>1328</v>
      </c>
      <c r="K25" s="31" t="s">
        <v>178</v>
      </c>
      <c r="M25" s="31" t="s">
        <v>1329</v>
      </c>
      <c r="P25" s="31">
        <v>2006</v>
      </c>
      <c r="R25" s="31" t="s">
        <v>473</v>
      </c>
      <c r="T25" s="32"/>
      <c r="U25" s="32"/>
      <c r="V25" s="32"/>
      <c r="W25" s="31" t="s">
        <v>1330</v>
      </c>
      <c r="X25" s="32"/>
      <c r="Y25" s="31" t="s">
        <v>1331</v>
      </c>
      <c r="Z25" s="32"/>
      <c r="AA25" s="31" t="s">
        <v>1332</v>
      </c>
      <c r="AB25" s="31" t="s">
        <v>1333</v>
      </c>
      <c r="AC25" s="32"/>
      <c r="AD25" s="31" t="s">
        <v>1334</v>
      </c>
      <c r="AE25" s="31" t="s">
        <v>1335</v>
      </c>
      <c r="AF25" s="32"/>
      <c r="AG25" s="31" t="s">
        <v>1336</v>
      </c>
      <c r="AH25" s="32"/>
      <c r="AI25" s="32"/>
      <c r="AJ25" s="32"/>
      <c r="AK25" s="32"/>
      <c r="AL25" s="31" t="s">
        <v>1337</v>
      </c>
      <c r="AM25" s="31" t="s">
        <v>1338</v>
      </c>
      <c r="AN25" s="32"/>
      <c r="AO25" s="32"/>
      <c r="AP25" s="32"/>
      <c r="AQ25" s="31" t="s">
        <v>1339</v>
      </c>
      <c r="AR25" s="32"/>
      <c r="AS25" s="32"/>
      <c r="AT25" s="31" t="s">
        <v>1340</v>
      </c>
      <c r="AU25" s="32"/>
      <c r="AV25" s="32"/>
      <c r="AW25" s="32"/>
      <c r="AX25" s="32"/>
      <c r="AY25" s="31" t="s">
        <v>1341</v>
      </c>
      <c r="AZ25" s="32"/>
      <c r="BA25" s="31" t="s">
        <v>1342</v>
      </c>
      <c r="BB25" s="32"/>
      <c r="BC25" s="32"/>
      <c r="BD25" s="32"/>
      <c r="BE25" s="31" t="s">
        <v>1343</v>
      </c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1" t="s">
        <v>1344</v>
      </c>
      <c r="BV25" s="32"/>
      <c r="BW25" s="31" t="s">
        <v>1345</v>
      </c>
      <c r="BX25" s="31" t="s">
        <v>1346</v>
      </c>
    </row>
    <row r="26" spans="1:76" x14ac:dyDescent="0.25">
      <c r="J26" s="31" t="s">
        <v>1347</v>
      </c>
      <c r="K26" s="31" t="s">
        <v>179</v>
      </c>
      <c r="M26" s="31" t="s">
        <v>1348</v>
      </c>
      <c r="P26" s="31">
        <v>2005</v>
      </c>
      <c r="R26" s="31" t="s">
        <v>474</v>
      </c>
      <c r="T26" s="32"/>
      <c r="U26" s="32"/>
      <c r="V26" s="32"/>
      <c r="W26" s="31" t="s">
        <v>1349</v>
      </c>
      <c r="X26" s="32"/>
      <c r="Y26" s="31" t="s">
        <v>1350</v>
      </c>
      <c r="Z26" s="32"/>
      <c r="AA26" s="31" t="s">
        <v>1351</v>
      </c>
      <c r="AB26" s="31" t="s">
        <v>1352</v>
      </c>
      <c r="AC26" s="32"/>
      <c r="AD26" s="31" t="s">
        <v>1353</v>
      </c>
      <c r="AE26" s="31" t="s">
        <v>1354</v>
      </c>
      <c r="AF26" s="32"/>
      <c r="AG26" s="31" t="s">
        <v>1355</v>
      </c>
      <c r="AH26" s="32"/>
      <c r="AI26" s="32"/>
      <c r="AJ26" s="32"/>
      <c r="AK26" s="32"/>
      <c r="AL26" s="31" t="s">
        <v>1356</v>
      </c>
      <c r="AM26" s="31" t="s">
        <v>1357</v>
      </c>
      <c r="AN26" s="32"/>
      <c r="AO26" s="32"/>
      <c r="AP26" s="32"/>
      <c r="AQ26" s="31" t="s">
        <v>1358</v>
      </c>
      <c r="AR26" s="32"/>
      <c r="AS26" s="32"/>
      <c r="AT26" s="31" t="s">
        <v>1359</v>
      </c>
      <c r="AU26" s="32"/>
      <c r="AV26" s="32"/>
      <c r="AW26" s="32"/>
      <c r="AX26" s="32"/>
      <c r="AY26" s="31" t="s">
        <v>1360</v>
      </c>
      <c r="AZ26" s="32"/>
      <c r="BA26" s="31" t="s">
        <v>1361</v>
      </c>
      <c r="BB26" s="32"/>
      <c r="BC26" s="32"/>
      <c r="BD26" s="32"/>
      <c r="BE26" s="31" t="s">
        <v>1362</v>
      </c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1" t="s">
        <v>1363</v>
      </c>
      <c r="BV26" s="32"/>
      <c r="BW26" s="31" t="s">
        <v>1364</v>
      </c>
      <c r="BX26" s="31" t="s">
        <v>1365</v>
      </c>
    </row>
    <row r="27" spans="1:76" x14ac:dyDescent="0.25">
      <c r="J27" s="31" t="s">
        <v>1366</v>
      </c>
      <c r="K27" s="31" t="s">
        <v>176</v>
      </c>
      <c r="M27" s="31" t="s">
        <v>1367</v>
      </c>
      <c r="P27" s="31">
        <v>2004</v>
      </c>
      <c r="R27" s="31" t="s">
        <v>475</v>
      </c>
      <c r="T27" s="32"/>
      <c r="U27" s="32"/>
      <c r="V27" s="32"/>
      <c r="W27" s="31" t="s">
        <v>1368</v>
      </c>
      <c r="X27" s="32"/>
      <c r="Y27" s="31" t="s">
        <v>1369</v>
      </c>
      <c r="Z27" s="32"/>
      <c r="AA27" s="31" t="s">
        <v>1370</v>
      </c>
      <c r="AB27" s="31" t="s">
        <v>1371</v>
      </c>
      <c r="AC27" s="32"/>
      <c r="AD27" s="31" t="s">
        <v>1372</v>
      </c>
      <c r="AE27" s="31" t="s">
        <v>1373</v>
      </c>
      <c r="AF27" s="32"/>
      <c r="AG27" s="31" t="s">
        <v>1374</v>
      </c>
      <c r="AH27" s="32"/>
      <c r="AI27" s="32"/>
      <c r="AJ27" s="32"/>
      <c r="AK27" s="32"/>
      <c r="AL27" s="31" t="s">
        <v>1375</v>
      </c>
      <c r="AM27" s="31" t="s">
        <v>1376</v>
      </c>
      <c r="AN27" s="32"/>
      <c r="AO27" s="32"/>
      <c r="AP27" s="32"/>
      <c r="AQ27" s="31" t="s">
        <v>1377</v>
      </c>
      <c r="AR27" s="32"/>
      <c r="AS27" s="32"/>
      <c r="AT27" s="31" t="s">
        <v>1378</v>
      </c>
      <c r="AU27" s="32"/>
      <c r="AV27" s="32"/>
      <c r="AW27" s="32"/>
      <c r="AX27" s="32"/>
      <c r="AY27" s="31" t="s">
        <v>1379</v>
      </c>
      <c r="AZ27" s="32"/>
      <c r="BA27" s="31" t="s">
        <v>1380</v>
      </c>
      <c r="BB27" s="32"/>
      <c r="BC27" s="32"/>
      <c r="BD27" s="32"/>
      <c r="BE27" s="31" t="s">
        <v>1381</v>
      </c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1" t="s">
        <v>1382</v>
      </c>
      <c r="BV27" s="32"/>
      <c r="BW27" s="31" t="s">
        <v>1383</v>
      </c>
      <c r="BX27" s="31" t="s">
        <v>1384</v>
      </c>
    </row>
    <row r="28" spans="1:76" x14ac:dyDescent="0.25">
      <c r="J28" s="31" t="s">
        <v>1385</v>
      </c>
      <c r="K28" s="31" t="s">
        <v>179</v>
      </c>
      <c r="M28" s="31" t="s">
        <v>1386</v>
      </c>
      <c r="P28" s="31">
        <v>2003</v>
      </c>
      <c r="R28" s="31" t="s">
        <v>476</v>
      </c>
      <c r="T28" s="32"/>
      <c r="U28" s="32"/>
      <c r="V28" s="32"/>
      <c r="W28" s="31" t="s">
        <v>1387</v>
      </c>
      <c r="X28" s="32"/>
      <c r="Y28" s="31" t="s">
        <v>1388</v>
      </c>
      <c r="Z28" s="32"/>
      <c r="AA28" s="31" t="s">
        <v>1389</v>
      </c>
      <c r="AB28" s="31" t="s">
        <v>1390</v>
      </c>
      <c r="AC28" s="32"/>
      <c r="AD28" s="31" t="s">
        <v>1391</v>
      </c>
      <c r="AE28" s="31" t="s">
        <v>1392</v>
      </c>
      <c r="AF28" s="32"/>
      <c r="AG28" s="31" t="s">
        <v>1393</v>
      </c>
      <c r="AH28" s="32"/>
      <c r="AI28" s="32"/>
      <c r="AJ28" s="32"/>
      <c r="AK28" s="32"/>
      <c r="AL28" s="31" t="s">
        <v>1394</v>
      </c>
      <c r="AM28" s="31" t="s">
        <v>1395</v>
      </c>
      <c r="AN28" s="32"/>
      <c r="AO28" s="32"/>
      <c r="AP28" s="32"/>
      <c r="AQ28" s="32"/>
      <c r="AR28" s="32"/>
      <c r="AS28" s="32"/>
      <c r="AT28" s="31" t="s">
        <v>1396</v>
      </c>
      <c r="AU28" s="32"/>
      <c r="AV28" s="32"/>
      <c r="AW28" s="32"/>
      <c r="AX28" s="32"/>
      <c r="AY28" s="31" t="s">
        <v>1397</v>
      </c>
      <c r="AZ28" s="32"/>
      <c r="BA28" s="31" t="s">
        <v>1398</v>
      </c>
      <c r="BB28" s="32"/>
      <c r="BC28" s="32"/>
      <c r="BD28" s="32"/>
      <c r="BE28" s="31" t="s">
        <v>1399</v>
      </c>
      <c r="BF28" s="32"/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1" t="s">
        <v>1400</v>
      </c>
      <c r="BV28" s="32"/>
      <c r="BW28" s="31" t="s">
        <v>1401</v>
      </c>
      <c r="BX28" s="31" t="s">
        <v>1402</v>
      </c>
    </row>
    <row r="29" spans="1:76" x14ac:dyDescent="0.25">
      <c r="J29" s="31" t="s">
        <v>1403</v>
      </c>
      <c r="K29" s="31" t="s">
        <v>176</v>
      </c>
      <c r="M29" s="31" t="s">
        <v>1404</v>
      </c>
      <c r="P29" s="31">
        <v>2002</v>
      </c>
      <c r="R29" s="31" t="s">
        <v>477</v>
      </c>
      <c r="T29" s="32"/>
      <c r="U29" s="32"/>
      <c r="V29" s="32"/>
      <c r="W29" s="31" t="s">
        <v>1405</v>
      </c>
      <c r="X29" s="32"/>
      <c r="Y29" s="31" t="s">
        <v>1406</v>
      </c>
      <c r="Z29" s="32"/>
      <c r="AA29" s="31" t="s">
        <v>1407</v>
      </c>
      <c r="AB29" s="31" t="s">
        <v>1408</v>
      </c>
      <c r="AC29" s="32"/>
      <c r="AD29" s="31" t="s">
        <v>1409</v>
      </c>
      <c r="AE29" s="31" t="s">
        <v>1410</v>
      </c>
      <c r="AF29" s="32"/>
      <c r="AG29" s="31" t="s">
        <v>1411</v>
      </c>
      <c r="AH29" s="32"/>
      <c r="AI29" s="32"/>
      <c r="AJ29" s="32"/>
      <c r="AK29" s="32"/>
      <c r="AL29" s="31" t="s">
        <v>1412</v>
      </c>
      <c r="AM29" s="31" t="s">
        <v>1413</v>
      </c>
      <c r="AN29" s="32"/>
      <c r="AO29" s="32"/>
      <c r="AP29" s="32"/>
      <c r="AQ29" s="32"/>
      <c r="AR29" s="32"/>
      <c r="AS29" s="32"/>
      <c r="AT29" s="31" t="s">
        <v>1414</v>
      </c>
      <c r="AU29" s="32"/>
      <c r="AV29" s="32"/>
      <c r="AW29" s="32"/>
      <c r="AX29" s="32"/>
      <c r="AY29" s="31" t="s">
        <v>1415</v>
      </c>
      <c r="AZ29" s="32"/>
      <c r="BA29" s="31" t="s">
        <v>1416</v>
      </c>
      <c r="BB29" s="32"/>
      <c r="BC29" s="32"/>
      <c r="BD29" s="32"/>
      <c r="BE29" s="31" t="s">
        <v>1417</v>
      </c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1" t="s">
        <v>1418</v>
      </c>
      <c r="BV29" s="32"/>
      <c r="BW29" s="31" t="s">
        <v>1419</v>
      </c>
      <c r="BX29" s="32"/>
    </row>
    <row r="30" spans="1:76" x14ac:dyDescent="0.25">
      <c r="J30" s="31" t="s">
        <v>1420</v>
      </c>
      <c r="K30" s="31" t="s">
        <v>179</v>
      </c>
      <c r="M30" s="31" t="s">
        <v>1421</v>
      </c>
      <c r="P30" s="31">
        <v>2001</v>
      </c>
      <c r="R30" s="31" t="s">
        <v>478</v>
      </c>
      <c r="T30" s="32"/>
      <c r="U30" s="32"/>
      <c r="V30" s="32"/>
      <c r="W30" s="31" t="s">
        <v>1422</v>
      </c>
      <c r="X30" s="32"/>
      <c r="Y30" s="31" t="s">
        <v>1423</v>
      </c>
      <c r="Z30" s="32"/>
      <c r="AA30" s="31" t="s">
        <v>1424</v>
      </c>
      <c r="AB30" s="31" t="s">
        <v>1425</v>
      </c>
      <c r="AC30" s="32"/>
      <c r="AD30" s="31" t="s">
        <v>1426</v>
      </c>
      <c r="AE30" s="31" t="s">
        <v>1427</v>
      </c>
      <c r="AF30" s="32"/>
      <c r="AG30" s="31" t="s">
        <v>1428</v>
      </c>
      <c r="AH30" s="32"/>
      <c r="AI30" s="32"/>
      <c r="AJ30" s="32"/>
      <c r="AK30" s="32"/>
      <c r="AL30" s="32"/>
      <c r="AM30" s="31" t="s">
        <v>1429</v>
      </c>
      <c r="AN30" s="32"/>
      <c r="AO30" s="32"/>
      <c r="AP30" s="32"/>
      <c r="AQ30" s="32"/>
      <c r="AR30" s="32"/>
      <c r="AS30" s="32"/>
      <c r="AT30" s="31" t="s">
        <v>1430</v>
      </c>
      <c r="AU30" s="32"/>
      <c r="AV30" s="32"/>
      <c r="AW30" s="32"/>
      <c r="AX30" s="32"/>
      <c r="AY30" s="31" t="s">
        <v>1431</v>
      </c>
      <c r="AZ30" s="32"/>
      <c r="BA30" s="31" t="s">
        <v>1432</v>
      </c>
      <c r="BB30" s="32"/>
      <c r="BC30" s="32"/>
      <c r="BD30" s="32"/>
      <c r="BE30" s="31" t="s">
        <v>1433</v>
      </c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1" t="s">
        <v>1434</v>
      </c>
      <c r="BV30" s="32"/>
      <c r="BW30" s="31" t="s">
        <v>1435</v>
      </c>
      <c r="BX30" s="32"/>
    </row>
    <row r="31" spans="1:76" x14ac:dyDescent="0.25">
      <c r="J31" s="31" t="s">
        <v>1436</v>
      </c>
      <c r="K31" s="31" t="s">
        <v>179</v>
      </c>
      <c r="M31" s="31" t="s">
        <v>1437</v>
      </c>
      <c r="P31" s="31">
        <v>2000</v>
      </c>
      <c r="R31" s="31" t="s">
        <v>479</v>
      </c>
      <c r="T31" s="32"/>
      <c r="U31" s="32"/>
      <c r="V31" s="32"/>
      <c r="W31" s="31" t="s">
        <v>1438</v>
      </c>
      <c r="X31" s="32"/>
      <c r="Y31" s="31" t="s">
        <v>1439</v>
      </c>
      <c r="Z31" s="32"/>
      <c r="AA31" s="31" t="s">
        <v>1440</v>
      </c>
      <c r="AB31" s="31" t="s">
        <v>1441</v>
      </c>
      <c r="AC31" s="32"/>
      <c r="AD31" s="32"/>
      <c r="AE31" s="31" t="s">
        <v>1442</v>
      </c>
      <c r="AF31" s="32"/>
      <c r="AG31" s="31" t="s">
        <v>1443</v>
      </c>
      <c r="AH31" s="32"/>
      <c r="AI31" s="32"/>
      <c r="AJ31" s="32"/>
      <c r="AK31" s="32"/>
      <c r="AL31" s="32"/>
      <c r="AM31" s="31" t="s">
        <v>1444</v>
      </c>
      <c r="AN31" s="32"/>
      <c r="AO31" s="32"/>
      <c r="AP31" s="32"/>
      <c r="AQ31" s="32"/>
      <c r="AR31" s="32"/>
      <c r="AS31" s="32"/>
      <c r="AT31" s="31" t="s">
        <v>1445</v>
      </c>
      <c r="AU31" s="32"/>
      <c r="AV31" s="32"/>
      <c r="AW31" s="32"/>
      <c r="AX31" s="32"/>
      <c r="AY31" s="32"/>
      <c r="AZ31" s="32"/>
      <c r="BA31" s="31" t="s">
        <v>1446</v>
      </c>
      <c r="BB31" s="32"/>
      <c r="BC31" s="32"/>
      <c r="BD31" s="32"/>
      <c r="BE31" s="31" t="s">
        <v>1447</v>
      </c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1" t="s">
        <v>1448</v>
      </c>
      <c r="BV31" s="32"/>
      <c r="BW31" s="32"/>
      <c r="BX31" s="32"/>
    </row>
    <row r="32" spans="1:76" x14ac:dyDescent="0.25">
      <c r="J32" s="31" t="s">
        <v>1449</v>
      </c>
      <c r="K32" s="31" t="s">
        <v>176</v>
      </c>
      <c r="M32" s="31" t="s">
        <v>1450</v>
      </c>
      <c r="P32" s="31">
        <v>1999</v>
      </c>
      <c r="R32" s="31" t="s">
        <v>480</v>
      </c>
      <c r="T32" s="32"/>
      <c r="U32" s="32"/>
      <c r="V32" s="32"/>
      <c r="W32" s="31" t="s">
        <v>1451</v>
      </c>
      <c r="X32" s="32"/>
      <c r="Y32" s="31" t="s">
        <v>1452</v>
      </c>
      <c r="Z32" s="32"/>
      <c r="AA32" s="31" t="s">
        <v>1453</v>
      </c>
      <c r="AB32" s="31" t="s">
        <v>1454</v>
      </c>
      <c r="AC32" s="32"/>
      <c r="AD32" s="32"/>
      <c r="AE32" s="31" t="s">
        <v>1455</v>
      </c>
      <c r="AF32" s="32"/>
      <c r="AG32" s="31" t="s">
        <v>1456</v>
      </c>
      <c r="AH32" s="32"/>
      <c r="AI32" s="32"/>
      <c r="AJ32" s="32"/>
      <c r="AK32" s="32"/>
      <c r="AL32" s="32"/>
      <c r="AM32" s="31" t="s">
        <v>1457</v>
      </c>
      <c r="AN32" s="32"/>
      <c r="AO32" s="32"/>
      <c r="AP32" s="32"/>
      <c r="AQ32" s="32"/>
      <c r="AR32" s="32"/>
      <c r="AS32" s="32"/>
      <c r="AT32" s="31" t="s">
        <v>1458</v>
      </c>
      <c r="AU32" s="32"/>
      <c r="AV32" s="32"/>
      <c r="AW32" s="32"/>
      <c r="AX32" s="32"/>
      <c r="AY32" s="32"/>
      <c r="AZ32" s="32"/>
      <c r="BA32" s="31" t="s">
        <v>1459</v>
      </c>
      <c r="BB32" s="32"/>
      <c r="BC32" s="32"/>
      <c r="BD32" s="32"/>
      <c r="BE32" s="31" t="s">
        <v>1460</v>
      </c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1" t="s">
        <v>1461</v>
      </c>
      <c r="BV32" s="32"/>
      <c r="BW32" s="32"/>
      <c r="BX32" s="32"/>
    </row>
    <row r="33" spans="10:76" x14ac:dyDescent="0.25">
      <c r="J33" s="31" t="s">
        <v>1462</v>
      </c>
      <c r="K33" s="31" t="s">
        <v>178</v>
      </c>
      <c r="M33" s="31" t="s">
        <v>1463</v>
      </c>
      <c r="P33" s="31">
        <v>1998</v>
      </c>
      <c r="R33" s="31" t="s">
        <v>481</v>
      </c>
      <c r="T33" s="32"/>
      <c r="U33" s="32"/>
      <c r="V33" s="32"/>
      <c r="W33" s="31" t="s">
        <v>1464</v>
      </c>
      <c r="X33" s="32"/>
      <c r="Y33" s="31" t="s">
        <v>1465</v>
      </c>
      <c r="Z33" s="32"/>
      <c r="AA33" s="32"/>
      <c r="AB33" s="31" t="s">
        <v>1466</v>
      </c>
      <c r="AC33" s="32"/>
      <c r="AD33" s="32"/>
      <c r="AE33" s="32"/>
      <c r="AF33" s="32"/>
      <c r="AG33" s="31" t="s">
        <v>1467</v>
      </c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1" t="s">
        <v>1468</v>
      </c>
      <c r="AU33" s="32"/>
      <c r="AV33" s="32"/>
      <c r="AW33" s="32"/>
      <c r="AX33" s="32"/>
      <c r="AY33" s="32"/>
      <c r="AZ33" s="32"/>
      <c r="BA33" s="31" t="s">
        <v>1469</v>
      </c>
      <c r="BB33" s="32"/>
      <c r="BC33" s="32"/>
      <c r="BD33" s="32"/>
      <c r="BE33" s="31" t="s">
        <v>1470</v>
      </c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1" t="s">
        <v>1471</v>
      </c>
      <c r="BV33" s="32"/>
      <c r="BW33" s="32"/>
      <c r="BX33" s="32"/>
    </row>
    <row r="34" spans="10:76" x14ac:dyDescent="0.25">
      <c r="J34" s="31" t="s">
        <v>1472</v>
      </c>
      <c r="K34" s="31" t="s">
        <v>178</v>
      </c>
      <c r="M34" s="31" t="s">
        <v>1473</v>
      </c>
      <c r="P34" s="31">
        <v>1997</v>
      </c>
      <c r="R34" s="31" t="s">
        <v>482</v>
      </c>
      <c r="T34" s="32"/>
      <c r="U34" s="32"/>
      <c r="V34" s="32"/>
      <c r="W34" s="31" t="s">
        <v>1474</v>
      </c>
      <c r="X34" s="32"/>
      <c r="Y34" s="31" t="s">
        <v>1475</v>
      </c>
      <c r="Z34" s="32"/>
      <c r="AA34" s="32"/>
      <c r="AB34" s="31" t="s">
        <v>1476</v>
      </c>
      <c r="AC34" s="32"/>
      <c r="AD34" s="32"/>
      <c r="AE34" s="32"/>
      <c r="AF34" s="32"/>
      <c r="AG34" s="31" t="s">
        <v>1477</v>
      </c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 t="s">
        <v>1478</v>
      </c>
      <c r="AU34" s="32"/>
      <c r="AV34" s="32"/>
      <c r="AW34" s="32"/>
      <c r="AX34" s="32"/>
      <c r="AY34" s="32"/>
      <c r="AZ34" s="32"/>
      <c r="BA34" s="31" t="s">
        <v>1479</v>
      </c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1" t="s">
        <v>1480</v>
      </c>
      <c r="BV34" s="32"/>
      <c r="BW34" s="32"/>
      <c r="BX34" s="32"/>
    </row>
    <row r="35" spans="10:76" x14ac:dyDescent="0.25">
      <c r="J35" s="31" t="s">
        <v>1481</v>
      </c>
      <c r="K35" s="31" t="s">
        <v>179</v>
      </c>
      <c r="M35" s="31" t="s">
        <v>1482</v>
      </c>
      <c r="P35" s="31">
        <v>1996</v>
      </c>
      <c r="R35" s="31" t="s">
        <v>483</v>
      </c>
      <c r="T35" s="32"/>
      <c r="U35" s="32"/>
      <c r="V35" s="32"/>
      <c r="W35" s="31" t="s">
        <v>1483</v>
      </c>
      <c r="X35" s="32"/>
      <c r="Y35" s="31" t="s">
        <v>1484</v>
      </c>
      <c r="Z35" s="32"/>
      <c r="AA35" s="32"/>
      <c r="AB35" s="31" t="s">
        <v>1485</v>
      </c>
      <c r="AC35" s="32"/>
      <c r="AD35" s="32"/>
      <c r="AE35" s="32"/>
      <c r="AF35" s="32"/>
      <c r="AG35" s="31" t="s">
        <v>1486</v>
      </c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 t="s">
        <v>1487</v>
      </c>
      <c r="AU35" s="32"/>
      <c r="AV35" s="32"/>
      <c r="AW35" s="32"/>
      <c r="AX35" s="32"/>
      <c r="AY35" s="32"/>
      <c r="AZ35" s="32"/>
      <c r="BA35" s="31" t="s">
        <v>1488</v>
      </c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1" t="s">
        <v>1489</v>
      </c>
      <c r="BV35" s="32"/>
      <c r="BW35" s="32"/>
      <c r="BX35" s="32"/>
    </row>
    <row r="36" spans="10:76" x14ac:dyDescent="0.25">
      <c r="J36" s="31" t="s">
        <v>1490</v>
      </c>
      <c r="K36" s="31" t="s">
        <v>178</v>
      </c>
      <c r="M36" s="31" t="s">
        <v>1491</v>
      </c>
      <c r="P36" s="31">
        <v>1995</v>
      </c>
      <c r="R36" s="31" t="s">
        <v>484</v>
      </c>
      <c r="T36" s="32"/>
      <c r="U36" s="32"/>
      <c r="V36" s="32"/>
      <c r="W36" s="31" t="s">
        <v>1492</v>
      </c>
      <c r="X36" s="32"/>
      <c r="Y36" s="31" t="s">
        <v>1493</v>
      </c>
      <c r="Z36" s="32"/>
      <c r="AA36" s="32"/>
      <c r="AB36" s="31" t="s">
        <v>1494</v>
      </c>
      <c r="AC36" s="32"/>
      <c r="AD36" s="32"/>
      <c r="AE36" s="32"/>
      <c r="AF36" s="32"/>
      <c r="AG36" s="31" t="s">
        <v>1495</v>
      </c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 t="s">
        <v>1496</v>
      </c>
      <c r="AU36" s="32"/>
      <c r="AV36" s="32"/>
      <c r="AW36" s="32"/>
      <c r="AX36" s="32"/>
      <c r="AY36" s="32"/>
      <c r="AZ36" s="32"/>
      <c r="BA36" s="31" t="s">
        <v>1497</v>
      </c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1" t="s">
        <v>1498</v>
      </c>
      <c r="BV36" s="32"/>
      <c r="BW36" s="32"/>
      <c r="BX36" s="32"/>
    </row>
    <row r="37" spans="10:76" x14ac:dyDescent="0.25">
      <c r="J37" s="31" t="s">
        <v>1499</v>
      </c>
      <c r="K37" s="31" t="s">
        <v>178</v>
      </c>
      <c r="M37" s="31" t="s">
        <v>1500</v>
      </c>
      <c r="P37" s="32"/>
      <c r="R37" s="31" t="s">
        <v>485</v>
      </c>
      <c r="T37" s="32"/>
      <c r="U37" s="32"/>
      <c r="V37" s="32"/>
      <c r="W37" s="31" t="s">
        <v>1501</v>
      </c>
      <c r="X37" s="32"/>
      <c r="Y37" s="31" t="s">
        <v>1502</v>
      </c>
      <c r="Z37" s="32"/>
      <c r="AA37" s="32"/>
      <c r="AB37" s="31" t="s">
        <v>1503</v>
      </c>
      <c r="AC37" s="32"/>
      <c r="AD37" s="32"/>
      <c r="AE37" s="32"/>
      <c r="AF37" s="32"/>
      <c r="AG37" s="31" t="s">
        <v>1504</v>
      </c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 t="s">
        <v>1505</v>
      </c>
      <c r="AU37" s="32"/>
      <c r="AV37" s="32"/>
      <c r="AW37" s="32"/>
      <c r="AX37" s="32"/>
      <c r="AY37" s="32"/>
      <c r="AZ37" s="32"/>
      <c r="BA37" s="31" t="s">
        <v>1506</v>
      </c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1" t="s">
        <v>1507</v>
      </c>
      <c r="BV37" s="32"/>
      <c r="BW37" s="32"/>
      <c r="BX37" s="32"/>
    </row>
    <row r="38" spans="10:76" x14ac:dyDescent="0.25">
      <c r="J38" s="31" t="s">
        <v>1508</v>
      </c>
      <c r="K38" s="31" t="s">
        <v>177</v>
      </c>
      <c r="M38" s="31" t="s">
        <v>1509</v>
      </c>
      <c r="P38" s="32"/>
      <c r="R38" s="31" t="s">
        <v>486</v>
      </c>
      <c r="T38" s="32"/>
      <c r="U38" s="32"/>
      <c r="V38" s="32"/>
      <c r="W38" s="31" t="s">
        <v>1510</v>
      </c>
      <c r="X38" s="32"/>
      <c r="Y38" s="31" t="s">
        <v>1511</v>
      </c>
      <c r="Z38" s="32"/>
      <c r="AA38" s="32"/>
      <c r="AB38" s="31" t="s">
        <v>1512</v>
      </c>
      <c r="AC38" s="32"/>
      <c r="AD38" s="32"/>
      <c r="AE38" s="32"/>
      <c r="AF38" s="32"/>
      <c r="AG38" s="31" t="s">
        <v>1513</v>
      </c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 t="s">
        <v>1514</v>
      </c>
      <c r="AU38" s="32"/>
      <c r="AV38" s="32"/>
      <c r="AW38" s="32"/>
      <c r="AX38" s="32"/>
      <c r="AY38" s="32"/>
      <c r="AZ38" s="32"/>
      <c r="BA38" s="31" t="s">
        <v>1515</v>
      </c>
      <c r="BB38" s="32"/>
      <c r="BC38" s="32"/>
      <c r="BD38" s="32"/>
      <c r="BE38" s="32"/>
      <c r="BF38" s="32"/>
      <c r="BG38" s="32"/>
      <c r="BH38" s="32"/>
      <c r="BI38" s="32"/>
      <c r="BJ38" s="32"/>
      <c r="BK38" s="32"/>
      <c r="BL38" s="32"/>
      <c r="BM38" s="32"/>
      <c r="BN38" s="32"/>
      <c r="BO38" s="32"/>
      <c r="BP38" s="32"/>
      <c r="BQ38" s="32"/>
      <c r="BR38" s="32"/>
      <c r="BS38" s="32"/>
      <c r="BT38" s="32"/>
      <c r="BU38" s="31" t="s">
        <v>1516</v>
      </c>
      <c r="BV38" s="32"/>
      <c r="BW38" s="32"/>
      <c r="BX38" s="32"/>
    </row>
    <row r="39" spans="10:76" x14ac:dyDescent="0.25">
      <c r="J39" s="31" t="s">
        <v>1517</v>
      </c>
      <c r="K39" s="31" t="s">
        <v>179</v>
      </c>
      <c r="M39" s="31" t="s">
        <v>1518</v>
      </c>
      <c r="P39" s="33" t="s">
        <v>1519</v>
      </c>
      <c r="R39" s="31" t="s">
        <v>487</v>
      </c>
      <c r="T39" s="32"/>
      <c r="U39" s="32"/>
      <c r="V39" s="32"/>
      <c r="W39" s="31" t="s">
        <v>1520</v>
      </c>
      <c r="X39" s="32"/>
      <c r="Y39" s="31" t="s">
        <v>1521</v>
      </c>
      <c r="Z39" s="32"/>
      <c r="AA39" s="32"/>
      <c r="AB39" s="31" t="s">
        <v>1522</v>
      </c>
      <c r="AC39" s="32"/>
      <c r="AD39" s="32"/>
      <c r="AE39" s="32"/>
      <c r="AF39" s="32"/>
      <c r="AG39" s="31" t="s">
        <v>975</v>
      </c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 t="s">
        <v>1523</v>
      </c>
      <c r="AU39" s="32"/>
      <c r="AV39" s="32"/>
      <c r="AW39" s="32"/>
      <c r="AX39" s="32"/>
      <c r="AY39" s="32"/>
      <c r="AZ39" s="32"/>
      <c r="BA39" s="31" t="s">
        <v>1524</v>
      </c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2"/>
      <c r="BP39" s="32"/>
      <c r="BQ39" s="32"/>
      <c r="BR39" s="32"/>
      <c r="BS39" s="32"/>
      <c r="BT39" s="32"/>
      <c r="BU39" s="31" t="s">
        <v>1525</v>
      </c>
      <c r="BV39" s="32"/>
      <c r="BW39" s="32"/>
      <c r="BX39" s="32"/>
    </row>
    <row r="40" spans="10:76" x14ac:dyDescent="0.25">
      <c r="J40" s="31" t="s">
        <v>1526</v>
      </c>
      <c r="K40" s="31" t="s">
        <v>179</v>
      </c>
      <c r="M40" s="31" t="s">
        <v>1527</v>
      </c>
      <c r="P40" s="32" t="s">
        <v>1528</v>
      </c>
      <c r="R40" s="31" t="s">
        <v>488</v>
      </c>
      <c r="T40" s="32"/>
      <c r="U40" s="32"/>
      <c r="V40" s="32"/>
      <c r="W40" s="31" t="s">
        <v>1529</v>
      </c>
      <c r="X40" s="32"/>
      <c r="Y40" s="31" t="s">
        <v>1530</v>
      </c>
      <c r="Z40" s="32"/>
      <c r="AA40" s="32"/>
      <c r="AB40" s="31" t="s">
        <v>1531</v>
      </c>
      <c r="AC40" s="32"/>
      <c r="AD40" s="32"/>
      <c r="AE40" s="32"/>
      <c r="AF40" s="32"/>
      <c r="AG40" s="31" t="s">
        <v>1532</v>
      </c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 t="s">
        <v>1533</v>
      </c>
      <c r="AU40" s="32"/>
      <c r="AV40" s="32"/>
      <c r="AW40" s="32"/>
      <c r="AX40" s="32"/>
      <c r="AY40" s="32"/>
      <c r="AZ40" s="32"/>
      <c r="BA40" s="31" t="s">
        <v>1409</v>
      </c>
      <c r="BB40" s="32"/>
      <c r="BC40" s="32"/>
      <c r="BD40" s="32"/>
      <c r="BE40" s="32"/>
      <c r="BF40" s="32"/>
      <c r="BG40" s="32"/>
      <c r="BH40" s="32"/>
      <c r="BI40" s="32"/>
      <c r="BJ40" s="32"/>
      <c r="BK40" s="32"/>
      <c r="BL40" s="32"/>
      <c r="BM40" s="32"/>
      <c r="BN40" s="32"/>
      <c r="BO40" s="32"/>
      <c r="BP40" s="32"/>
      <c r="BQ40" s="32"/>
      <c r="BR40" s="32"/>
      <c r="BS40" s="32"/>
      <c r="BT40" s="32"/>
      <c r="BU40" s="31" t="s">
        <v>1534</v>
      </c>
      <c r="BV40" s="32"/>
      <c r="BW40" s="32"/>
      <c r="BX40" s="32"/>
    </row>
    <row r="41" spans="10:76" x14ac:dyDescent="0.25">
      <c r="J41" s="31" t="s">
        <v>1535</v>
      </c>
      <c r="K41" s="31" t="s">
        <v>178</v>
      </c>
      <c r="M41" s="31" t="s">
        <v>1536</v>
      </c>
      <c r="P41" s="32" t="s">
        <v>1537</v>
      </c>
      <c r="R41" s="31" t="s">
        <v>489</v>
      </c>
      <c r="T41" s="32"/>
      <c r="U41" s="32"/>
      <c r="V41" s="32"/>
      <c r="W41" s="31" t="s">
        <v>1538</v>
      </c>
      <c r="X41" s="32"/>
      <c r="Y41" s="31" t="s">
        <v>1539</v>
      </c>
      <c r="Z41" s="32"/>
      <c r="AA41" s="32"/>
      <c r="AB41" s="31" t="s">
        <v>1540</v>
      </c>
      <c r="AC41" s="32"/>
      <c r="AD41" s="32"/>
      <c r="AE41" s="32"/>
      <c r="AF41" s="32"/>
      <c r="AG41" s="31" t="s">
        <v>1541</v>
      </c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 t="s">
        <v>1542</v>
      </c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2"/>
      <c r="BI41" s="32"/>
      <c r="BJ41" s="32"/>
      <c r="BK41" s="32"/>
      <c r="BL41" s="32"/>
      <c r="BM41" s="32"/>
      <c r="BN41" s="32"/>
      <c r="BO41" s="32"/>
      <c r="BP41" s="32"/>
      <c r="BQ41" s="32"/>
      <c r="BR41" s="32"/>
      <c r="BS41" s="32"/>
      <c r="BT41" s="32"/>
      <c r="BU41" s="31" t="s">
        <v>1543</v>
      </c>
      <c r="BV41" s="32"/>
      <c r="BW41" s="32"/>
      <c r="BX41" s="32"/>
    </row>
    <row r="42" spans="10:76" x14ac:dyDescent="0.25">
      <c r="J42" s="31" t="s">
        <v>1544</v>
      </c>
      <c r="K42" s="31" t="s">
        <v>178</v>
      </c>
      <c r="M42" s="31" t="s">
        <v>1545</v>
      </c>
      <c r="P42" s="32"/>
      <c r="R42" s="31" t="s">
        <v>490</v>
      </c>
      <c r="T42" s="32"/>
      <c r="U42" s="32"/>
      <c r="V42" s="32"/>
      <c r="W42" s="31" t="s">
        <v>1546</v>
      </c>
      <c r="X42" s="32"/>
      <c r="Y42" s="31" t="s">
        <v>1547</v>
      </c>
      <c r="Z42" s="32"/>
      <c r="AA42" s="32"/>
      <c r="AB42" s="31" t="s">
        <v>1548</v>
      </c>
      <c r="AC42" s="32"/>
      <c r="AD42" s="32"/>
      <c r="AE42" s="32"/>
      <c r="AF42" s="32"/>
      <c r="AG42" s="31" t="s">
        <v>1549</v>
      </c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 t="s">
        <v>1550</v>
      </c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32"/>
      <c r="BU42" s="31" t="s">
        <v>1551</v>
      </c>
      <c r="BV42" s="32"/>
      <c r="BW42" s="32"/>
      <c r="BX42" s="32"/>
    </row>
    <row r="43" spans="10:76" x14ac:dyDescent="0.25">
      <c r="J43" s="31" t="s">
        <v>1552</v>
      </c>
      <c r="K43" s="31" t="s">
        <v>178</v>
      </c>
      <c r="M43" s="32"/>
      <c r="P43" s="32" t="s">
        <v>1537</v>
      </c>
      <c r="R43" s="31" t="s">
        <v>491</v>
      </c>
      <c r="T43" s="32"/>
      <c r="U43" s="32"/>
      <c r="V43" s="32"/>
      <c r="W43" s="31" t="s">
        <v>1553</v>
      </c>
      <c r="X43" s="32"/>
      <c r="Y43" s="31" t="s">
        <v>1554</v>
      </c>
      <c r="Z43" s="32"/>
      <c r="AA43" s="32"/>
      <c r="AB43" s="31" t="s">
        <v>1186</v>
      </c>
      <c r="AC43" s="32"/>
      <c r="AD43" s="32"/>
      <c r="AE43" s="32"/>
      <c r="AF43" s="32"/>
      <c r="AG43" s="31" t="s">
        <v>1555</v>
      </c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1" t="s">
        <v>1556</v>
      </c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  <c r="BQ43" s="32"/>
      <c r="BR43" s="32"/>
      <c r="BS43" s="32"/>
      <c r="BT43" s="32"/>
      <c r="BU43" s="31" t="s">
        <v>1557</v>
      </c>
      <c r="BV43" s="32"/>
      <c r="BW43" s="32"/>
      <c r="BX43" s="32"/>
    </row>
    <row r="44" spans="10:76" x14ac:dyDescent="0.25">
      <c r="J44" s="31" t="s">
        <v>1558</v>
      </c>
      <c r="K44" s="31" t="s">
        <v>179</v>
      </c>
      <c r="M44" s="32"/>
      <c r="R44" s="31" t="s">
        <v>492</v>
      </c>
      <c r="T44" s="32"/>
      <c r="U44" s="32"/>
      <c r="V44" s="32"/>
      <c r="W44" s="32"/>
      <c r="X44" s="32"/>
      <c r="Y44" s="31" t="s">
        <v>1559</v>
      </c>
      <c r="Z44" s="32"/>
      <c r="AA44" s="32"/>
      <c r="AB44" s="31" t="s">
        <v>1560</v>
      </c>
      <c r="AC44" s="32"/>
      <c r="AD44" s="32"/>
      <c r="AE44" s="32"/>
      <c r="AF44" s="32"/>
      <c r="AG44" s="31" t="s">
        <v>1561</v>
      </c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1" t="s">
        <v>1562</v>
      </c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K44" s="32"/>
      <c r="BL44" s="32"/>
      <c r="BM44" s="32"/>
      <c r="BN44" s="32"/>
      <c r="BO44" s="32"/>
      <c r="BP44" s="32"/>
      <c r="BQ44" s="32"/>
      <c r="BR44" s="32"/>
      <c r="BS44" s="32"/>
      <c r="BT44" s="32"/>
      <c r="BU44" s="31" t="s">
        <v>1563</v>
      </c>
      <c r="BV44" s="32"/>
      <c r="BW44" s="32"/>
      <c r="BX44" s="32"/>
    </row>
    <row r="45" spans="10:76" x14ac:dyDescent="0.25">
      <c r="J45" s="31" t="s">
        <v>1564</v>
      </c>
      <c r="K45" s="31" t="s">
        <v>179</v>
      </c>
      <c r="M45" s="32"/>
      <c r="R45" s="31" t="s">
        <v>493</v>
      </c>
      <c r="T45" s="32"/>
      <c r="U45" s="32"/>
      <c r="V45" s="32"/>
      <c r="W45" s="32"/>
      <c r="X45" s="32"/>
      <c r="Y45" s="31" t="s">
        <v>1565</v>
      </c>
      <c r="Z45" s="32"/>
      <c r="AA45" s="32"/>
      <c r="AB45" s="31" t="s">
        <v>1566</v>
      </c>
      <c r="AC45" s="32"/>
      <c r="AD45" s="32"/>
      <c r="AE45" s="32"/>
      <c r="AF45" s="32"/>
      <c r="AG45" s="31" t="s">
        <v>1567</v>
      </c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1" t="s">
        <v>1568</v>
      </c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1" t="s">
        <v>1569</v>
      </c>
      <c r="BV45" s="32"/>
      <c r="BW45" s="32"/>
      <c r="BX45" s="32"/>
    </row>
    <row r="46" spans="10:76" x14ac:dyDescent="0.25">
      <c r="J46" s="31" t="s">
        <v>1570</v>
      </c>
      <c r="K46" s="31" t="s">
        <v>179</v>
      </c>
      <c r="M46" s="32"/>
      <c r="R46" s="31" t="s">
        <v>494</v>
      </c>
      <c r="T46" s="32"/>
      <c r="U46" s="32"/>
      <c r="V46" s="32"/>
      <c r="W46" s="32"/>
      <c r="X46" s="32"/>
      <c r="Y46" s="31" t="s">
        <v>1571</v>
      </c>
      <c r="Z46" s="32"/>
      <c r="AA46" s="32"/>
      <c r="AB46" s="31" t="s">
        <v>1572</v>
      </c>
      <c r="AC46" s="32"/>
      <c r="AD46" s="32"/>
      <c r="AE46" s="32"/>
      <c r="AF46" s="32"/>
      <c r="AG46" s="31" t="s">
        <v>1573</v>
      </c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 t="s">
        <v>1574</v>
      </c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1" t="s">
        <v>1575</v>
      </c>
      <c r="BV46" s="32"/>
      <c r="BW46" s="32"/>
      <c r="BX46" s="32"/>
    </row>
    <row r="47" spans="10:76" x14ac:dyDescent="0.25">
      <c r="J47" s="31" t="s">
        <v>1576</v>
      </c>
      <c r="K47" s="31" t="s">
        <v>176</v>
      </c>
      <c r="M47" s="32"/>
      <c r="R47" s="31" t="s">
        <v>495</v>
      </c>
      <c r="T47" s="32"/>
      <c r="U47" s="32"/>
      <c r="V47" s="32"/>
      <c r="W47" s="32"/>
      <c r="X47" s="32"/>
      <c r="Y47" s="31" t="s">
        <v>1577</v>
      </c>
      <c r="Z47" s="32"/>
      <c r="AA47" s="32"/>
      <c r="AB47" s="31" t="s">
        <v>1578</v>
      </c>
      <c r="AC47" s="32"/>
      <c r="AD47" s="32"/>
      <c r="AE47" s="32"/>
      <c r="AF47" s="32"/>
      <c r="AG47" s="31" t="s">
        <v>1579</v>
      </c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 t="s">
        <v>1580</v>
      </c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1" t="s">
        <v>1581</v>
      </c>
      <c r="BV47" s="32"/>
      <c r="BW47" s="32"/>
      <c r="BX47" s="32"/>
    </row>
    <row r="48" spans="10:76" x14ac:dyDescent="0.25">
      <c r="J48" s="31" t="s">
        <v>1582</v>
      </c>
      <c r="K48" s="31" t="s">
        <v>176</v>
      </c>
      <c r="M48" s="32"/>
      <c r="R48" s="31" t="s">
        <v>496</v>
      </c>
      <c r="T48" s="32"/>
      <c r="U48" s="32"/>
      <c r="V48" s="32"/>
      <c r="W48" s="32"/>
      <c r="X48" s="32"/>
      <c r="Y48" s="31" t="s">
        <v>1583</v>
      </c>
      <c r="Z48" s="32"/>
      <c r="AA48" s="32"/>
      <c r="AB48" s="31" t="s">
        <v>1584</v>
      </c>
      <c r="AC48" s="32"/>
      <c r="AD48" s="32"/>
      <c r="AE48" s="32"/>
      <c r="AF48" s="32"/>
      <c r="AG48" s="31" t="s">
        <v>1585</v>
      </c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 t="s">
        <v>1586</v>
      </c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2"/>
      <c r="BP48" s="32"/>
      <c r="BQ48" s="32"/>
      <c r="BR48" s="32"/>
      <c r="BS48" s="32"/>
      <c r="BT48" s="32"/>
      <c r="BU48" s="32"/>
      <c r="BV48" s="32"/>
      <c r="BW48" s="32"/>
      <c r="BX48" s="32"/>
    </row>
    <row r="49" spans="10:76" x14ac:dyDescent="0.25">
      <c r="J49" s="31" t="s">
        <v>1587</v>
      </c>
      <c r="K49" s="31" t="s">
        <v>179</v>
      </c>
      <c r="M49" s="32"/>
      <c r="R49" s="31" t="s">
        <v>497</v>
      </c>
      <c r="T49" s="32"/>
      <c r="U49" s="32"/>
      <c r="V49" s="32"/>
      <c r="W49" s="32"/>
      <c r="X49" s="32"/>
      <c r="Y49" s="31" t="s">
        <v>1588</v>
      </c>
      <c r="Z49" s="32"/>
      <c r="AA49" s="32"/>
      <c r="AB49" s="31" t="s">
        <v>1589</v>
      </c>
      <c r="AC49" s="32"/>
      <c r="AD49" s="32"/>
      <c r="AE49" s="32"/>
      <c r="AF49" s="32"/>
      <c r="AG49" s="31" t="s">
        <v>1590</v>
      </c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 t="s">
        <v>1591</v>
      </c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2"/>
      <c r="BP49" s="32"/>
      <c r="BQ49" s="32"/>
      <c r="BR49" s="32"/>
      <c r="BS49" s="32"/>
      <c r="BT49" s="32"/>
      <c r="BU49" s="32"/>
      <c r="BV49" s="32"/>
      <c r="BW49" s="32"/>
      <c r="BX49" s="32"/>
    </row>
    <row r="50" spans="10:76" x14ac:dyDescent="0.25">
      <c r="J50" s="31" t="s">
        <v>1592</v>
      </c>
      <c r="K50" s="31" t="s">
        <v>176</v>
      </c>
      <c r="M50" s="32"/>
      <c r="R50" s="31" t="s">
        <v>498</v>
      </c>
      <c r="T50" s="32"/>
      <c r="U50" s="32"/>
      <c r="V50" s="32"/>
      <c r="W50" s="32"/>
      <c r="X50" s="32"/>
      <c r="Y50" s="31" t="s">
        <v>1593</v>
      </c>
      <c r="Z50" s="32"/>
      <c r="AA50" s="32"/>
      <c r="AB50" s="31" t="s">
        <v>1594</v>
      </c>
      <c r="AC50" s="32"/>
      <c r="AD50" s="32"/>
      <c r="AE50" s="32"/>
      <c r="AF50" s="32"/>
      <c r="AG50" s="31" t="s">
        <v>1595</v>
      </c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 t="s">
        <v>1596</v>
      </c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2"/>
      <c r="BP50" s="32"/>
      <c r="BQ50" s="32"/>
      <c r="BR50" s="32"/>
      <c r="BS50" s="32"/>
      <c r="BT50" s="32"/>
      <c r="BU50" s="32"/>
      <c r="BV50" s="32"/>
      <c r="BW50" s="32"/>
      <c r="BX50" s="32"/>
    </row>
    <row r="51" spans="10:76" x14ac:dyDescent="0.25">
      <c r="J51" s="31" t="s">
        <v>1597</v>
      </c>
      <c r="K51" s="31" t="s">
        <v>176</v>
      </c>
      <c r="M51" s="32"/>
      <c r="R51" s="31" t="s">
        <v>499</v>
      </c>
      <c r="T51" s="32"/>
      <c r="U51" s="32"/>
      <c r="V51" s="32"/>
      <c r="W51" s="32"/>
      <c r="X51" s="32"/>
      <c r="Y51" s="31" t="s">
        <v>1002</v>
      </c>
      <c r="Z51" s="32"/>
      <c r="AA51" s="32"/>
      <c r="AB51" s="31" t="s">
        <v>1598</v>
      </c>
      <c r="AC51" s="32"/>
      <c r="AD51" s="32"/>
      <c r="AE51" s="32"/>
      <c r="AF51" s="32"/>
      <c r="AG51" s="31" t="s">
        <v>1599</v>
      </c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 t="s">
        <v>1600</v>
      </c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2"/>
      <c r="BP51" s="32"/>
      <c r="BQ51" s="32"/>
      <c r="BR51" s="32"/>
      <c r="BS51" s="32"/>
      <c r="BT51" s="32"/>
      <c r="BU51" s="32"/>
      <c r="BV51" s="32"/>
      <c r="BW51" s="32"/>
      <c r="BX51" s="32"/>
    </row>
    <row r="52" spans="10:76" x14ac:dyDescent="0.25">
      <c r="J52" s="32"/>
      <c r="K52" s="32"/>
      <c r="M52" s="32"/>
      <c r="R52" s="31" t="s">
        <v>500</v>
      </c>
      <c r="T52" s="32"/>
      <c r="U52" s="32"/>
      <c r="V52" s="32"/>
      <c r="W52" s="32"/>
      <c r="X52" s="32"/>
      <c r="Y52" s="31" t="s">
        <v>631</v>
      </c>
      <c r="Z52" s="32"/>
      <c r="AA52" s="32"/>
      <c r="AB52" s="31" t="s">
        <v>1601</v>
      </c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 t="s">
        <v>1602</v>
      </c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2"/>
      <c r="BR52" s="32"/>
      <c r="BS52" s="32"/>
      <c r="BT52" s="32"/>
      <c r="BU52" s="32"/>
      <c r="BV52" s="32"/>
      <c r="BW52" s="32"/>
      <c r="BX52" s="32"/>
    </row>
    <row r="53" spans="10:76" x14ac:dyDescent="0.25">
      <c r="J53" s="32"/>
      <c r="K53" s="32"/>
      <c r="M53" s="32"/>
      <c r="R53" s="31" t="s">
        <v>501</v>
      </c>
      <c r="T53" s="32"/>
      <c r="U53" s="32"/>
      <c r="V53" s="32"/>
      <c r="W53" s="32"/>
      <c r="X53" s="32"/>
      <c r="Y53" s="31" t="s">
        <v>1603</v>
      </c>
      <c r="Z53" s="32"/>
      <c r="AA53" s="32"/>
      <c r="AB53" s="31" t="s">
        <v>1604</v>
      </c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 t="s">
        <v>1605</v>
      </c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2"/>
      <c r="BP53" s="32"/>
      <c r="BQ53" s="32"/>
      <c r="BR53" s="32"/>
      <c r="BS53" s="32"/>
      <c r="BT53" s="32"/>
      <c r="BU53" s="32"/>
      <c r="BV53" s="32"/>
      <c r="BW53" s="32"/>
      <c r="BX53" s="32"/>
    </row>
    <row r="54" spans="10:76" x14ac:dyDescent="0.25">
      <c r="J54" s="32"/>
      <c r="K54" s="32"/>
      <c r="M54" s="32"/>
      <c r="R54" s="31" t="s">
        <v>502</v>
      </c>
      <c r="T54" s="32"/>
      <c r="U54" s="32"/>
      <c r="V54" s="32"/>
      <c r="W54" s="32"/>
      <c r="X54" s="32"/>
      <c r="Y54" s="31" t="s">
        <v>1606</v>
      </c>
      <c r="Z54" s="32"/>
      <c r="AA54" s="32"/>
      <c r="AB54" s="31" t="s">
        <v>1607</v>
      </c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2"/>
      <c r="BP54" s="32"/>
      <c r="BQ54" s="32"/>
      <c r="BR54" s="32"/>
      <c r="BS54" s="32"/>
      <c r="BT54" s="32"/>
      <c r="BU54" s="32"/>
      <c r="BV54" s="32"/>
      <c r="BW54" s="32"/>
      <c r="BX54" s="32"/>
    </row>
    <row r="55" spans="10:76" x14ac:dyDescent="0.25">
      <c r="J55" s="32"/>
      <c r="K55" s="32"/>
      <c r="M55" s="32"/>
      <c r="R55" s="31" t="s">
        <v>503</v>
      </c>
      <c r="T55" s="32"/>
      <c r="U55" s="32"/>
      <c r="V55" s="32"/>
      <c r="W55" s="32"/>
      <c r="X55" s="32"/>
      <c r="Y55" s="31" t="s">
        <v>1608</v>
      </c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2"/>
      <c r="BP55" s="32"/>
      <c r="BQ55" s="32"/>
      <c r="BR55" s="32"/>
      <c r="BS55" s="32"/>
      <c r="BT55" s="32"/>
      <c r="BU55" s="32"/>
      <c r="BV55" s="32"/>
      <c r="BW55" s="32"/>
      <c r="BX55" s="32"/>
    </row>
    <row r="56" spans="10:76" x14ac:dyDescent="0.25">
      <c r="J56" s="32"/>
      <c r="K56" s="32"/>
      <c r="M56" s="32"/>
      <c r="R56" s="31" t="s">
        <v>504</v>
      </c>
      <c r="T56" s="32"/>
      <c r="U56" s="32"/>
      <c r="V56" s="32"/>
      <c r="W56" s="32"/>
      <c r="X56" s="32"/>
      <c r="Y56" s="31" t="s">
        <v>1609</v>
      </c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2"/>
      <c r="BP56" s="32"/>
      <c r="BQ56" s="32"/>
      <c r="BR56" s="32"/>
      <c r="BS56" s="32"/>
      <c r="BT56" s="32"/>
      <c r="BU56" s="32"/>
      <c r="BV56" s="32"/>
      <c r="BW56" s="32"/>
      <c r="BX56" s="32"/>
    </row>
    <row r="57" spans="10:76" x14ac:dyDescent="0.25">
      <c r="J57" s="32"/>
      <c r="K57" s="32"/>
      <c r="M57" s="32"/>
      <c r="R57" s="31" t="s">
        <v>505</v>
      </c>
    </row>
    <row r="58" spans="10:76" x14ac:dyDescent="0.25">
      <c r="J58" s="32"/>
      <c r="K58" s="32"/>
      <c r="M58" s="32"/>
      <c r="R58" s="31" t="s">
        <v>506</v>
      </c>
    </row>
    <row r="59" spans="10:76" x14ac:dyDescent="0.25">
      <c r="J59" s="32"/>
      <c r="K59" s="32"/>
      <c r="M59" s="32"/>
      <c r="R59" s="31" t="s">
        <v>507</v>
      </c>
    </row>
    <row r="60" spans="10:76" x14ac:dyDescent="0.25">
      <c r="J60" s="32"/>
      <c r="K60" s="32"/>
      <c r="M60" s="32"/>
      <c r="R60" s="31" t="s">
        <v>508</v>
      </c>
    </row>
    <row r="61" spans="10:76" x14ac:dyDescent="0.25">
      <c r="J61" s="32"/>
      <c r="K61" s="32"/>
      <c r="M61" s="32"/>
      <c r="R61" s="31" t="s">
        <v>509</v>
      </c>
    </row>
    <row r="62" spans="10:76" x14ac:dyDescent="0.25">
      <c r="J62" s="32"/>
      <c r="K62" s="32"/>
      <c r="M62" s="32"/>
    </row>
    <row r="63" spans="10:76" x14ac:dyDescent="0.25">
      <c r="J63" s="32"/>
      <c r="K63" s="32"/>
      <c r="M63" s="32"/>
    </row>
    <row r="64" spans="10:76" x14ac:dyDescent="0.25">
      <c r="J64" s="32"/>
      <c r="K64" s="32"/>
      <c r="M64" s="32"/>
    </row>
    <row r="65" spans="10:13" x14ac:dyDescent="0.25">
      <c r="J65" s="32"/>
      <c r="K65" s="32"/>
      <c r="M65" s="32"/>
    </row>
    <row r="66" spans="10:13" x14ac:dyDescent="0.25">
      <c r="J66" s="32"/>
      <c r="K66" s="32"/>
      <c r="M66" s="32"/>
    </row>
    <row r="67" spans="10:13" x14ac:dyDescent="0.25">
      <c r="J67" s="32"/>
      <c r="K67" s="32"/>
      <c r="M67" s="32"/>
    </row>
    <row r="68" spans="10:13" x14ac:dyDescent="0.25">
      <c r="J68" s="32"/>
      <c r="K68" s="32"/>
      <c r="M68" s="32"/>
    </row>
    <row r="69" spans="10:13" x14ac:dyDescent="0.25">
      <c r="J69" s="32"/>
      <c r="K69" s="32"/>
      <c r="M69" s="32"/>
    </row>
    <row r="70" spans="10:13" x14ac:dyDescent="0.25">
      <c r="J70" s="32"/>
      <c r="K70" s="32"/>
      <c r="M70" s="32"/>
    </row>
    <row r="71" spans="10:13" x14ac:dyDescent="0.25">
      <c r="J71" s="32"/>
      <c r="K71" s="32"/>
      <c r="M71" s="32"/>
    </row>
    <row r="72" spans="10:13" x14ac:dyDescent="0.25">
      <c r="J72" s="32"/>
      <c r="K72" s="32"/>
      <c r="M72" s="32"/>
    </row>
    <row r="73" spans="10:13" x14ac:dyDescent="0.25">
      <c r="J73" s="32"/>
      <c r="K73" s="32"/>
      <c r="M73" s="32"/>
    </row>
    <row r="74" spans="10:13" x14ac:dyDescent="0.25">
      <c r="J74" s="32"/>
      <c r="K74" s="32"/>
      <c r="M74" s="32"/>
    </row>
    <row r="75" spans="10:13" x14ac:dyDescent="0.25">
      <c r="J75" s="32"/>
      <c r="K75" s="32"/>
      <c r="M75" s="32"/>
    </row>
    <row r="76" spans="10:13" x14ac:dyDescent="0.25">
      <c r="J76" s="32"/>
      <c r="K76" s="32"/>
      <c r="M76" s="32"/>
    </row>
    <row r="77" spans="10:13" x14ac:dyDescent="0.25">
      <c r="J77" s="32"/>
      <c r="K77" s="32"/>
      <c r="M77" s="32"/>
    </row>
    <row r="78" spans="10:13" x14ac:dyDescent="0.25">
      <c r="J78" s="32"/>
      <c r="K78" s="32"/>
      <c r="M78" s="32"/>
    </row>
    <row r="79" spans="10:13" x14ac:dyDescent="0.25">
      <c r="J79" s="32"/>
      <c r="K79" s="32"/>
      <c r="M79" s="32"/>
    </row>
    <row r="80" spans="10:13" x14ac:dyDescent="0.25">
      <c r="J80" s="32"/>
      <c r="K80" s="32"/>
      <c r="M80" s="32"/>
    </row>
    <row r="81" spans="10:13" x14ac:dyDescent="0.25">
      <c r="J81" s="32"/>
      <c r="K81" s="32"/>
      <c r="M81" s="32"/>
    </row>
    <row r="82" spans="10:13" x14ac:dyDescent="0.25">
      <c r="J82" s="32"/>
      <c r="K82" s="32"/>
      <c r="M82" s="32"/>
    </row>
    <row r="83" spans="10:13" x14ac:dyDescent="0.25">
      <c r="J83" s="32"/>
      <c r="K83" s="32"/>
      <c r="M83" s="32"/>
    </row>
    <row r="84" spans="10:13" x14ac:dyDescent="0.25">
      <c r="J84" s="32"/>
      <c r="K84" s="32"/>
      <c r="M84" s="32"/>
    </row>
    <row r="85" spans="10:13" x14ac:dyDescent="0.25">
      <c r="J85" s="32"/>
      <c r="K85" s="32"/>
      <c r="M85" s="32"/>
    </row>
    <row r="86" spans="10:13" x14ac:dyDescent="0.25">
      <c r="J86" s="32"/>
      <c r="K86" s="32"/>
      <c r="M86" s="32"/>
    </row>
    <row r="87" spans="10:13" x14ac:dyDescent="0.25">
      <c r="J87" s="32"/>
      <c r="K87" s="32"/>
      <c r="M87" s="32"/>
    </row>
    <row r="88" spans="10:13" x14ac:dyDescent="0.25">
      <c r="J88" s="32"/>
      <c r="K88" s="32"/>
      <c r="M88" s="32"/>
    </row>
    <row r="89" spans="10:13" x14ac:dyDescent="0.25">
      <c r="J89" s="32"/>
      <c r="K89" s="32"/>
      <c r="M89" s="32"/>
    </row>
    <row r="90" spans="10:13" x14ac:dyDescent="0.25">
      <c r="J90" s="32"/>
      <c r="K90" s="32"/>
      <c r="M90" s="32"/>
    </row>
    <row r="91" spans="10:13" x14ac:dyDescent="0.25">
      <c r="J91" s="32"/>
      <c r="K91" s="32"/>
      <c r="M91" s="32"/>
    </row>
    <row r="92" spans="10:13" x14ac:dyDescent="0.25">
      <c r="J92" s="32"/>
      <c r="K92" s="32"/>
      <c r="M92" s="32"/>
    </row>
    <row r="93" spans="10:13" x14ac:dyDescent="0.25">
      <c r="J93" s="32"/>
      <c r="K93" s="32"/>
      <c r="M93" s="32"/>
    </row>
    <row r="94" spans="10:13" x14ac:dyDescent="0.25">
      <c r="J94" s="32"/>
      <c r="K94" s="32"/>
      <c r="M94" s="32"/>
    </row>
    <row r="95" spans="10:13" x14ac:dyDescent="0.25">
      <c r="J95" s="32"/>
      <c r="K95" s="32"/>
      <c r="M95" s="32"/>
    </row>
    <row r="96" spans="10:13" x14ac:dyDescent="0.25">
      <c r="J96" s="32"/>
      <c r="K96" s="32"/>
      <c r="M96" s="32"/>
    </row>
    <row r="97" spans="10:13" x14ac:dyDescent="0.25">
      <c r="J97" s="32"/>
      <c r="K97" s="32"/>
      <c r="M97" s="32"/>
    </row>
    <row r="98" spans="10:13" x14ac:dyDescent="0.25">
      <c r="J98" s="32"/>
      <c r="K98" s="32"/>
      <c r="M98" s="32"/>
    </row>
    <row r="99" spans="10:13" x14ac:dyDescent="0.25">
      <c r="J99" s="32"/>
      <c r="K99" s="32"/>
      <c r="M99" s="32"/>
    </row>
    <row r="100" spans="10:13" x14ac:dyDescent="0.25">
      <c r="J100" s="32"/>
      <c r="K100" s="32"/>
      <c r="M100" s="32"/>
    </row>
    <row r="101" spans="10:13" x14ac:dyDescent="0.25">
      <c r="J101" s="32"/>
      <c r="K101" s="32"/>
      <c r="M101" s="32"/>
    </row>
    <row r="102" spans="10:13" x14ac:dyDescent="0.25">
      <c r="J102" s="32"/>
      <c r="K102" s="32"/>
      <c r="M102" s="32"/>
    </row>
    <row r="103" spans="10:13" x14ac:dyDescent="0.25">
      <c r="J103" s="32"/>
      <c r="K103" s="32"/>
      <c r="M103" s="32"/>
    </row>
    <row r="104" spans="10:13" x14ac:dyDescent="0.25">
      <c r="J104" s="32"/>
      <c r="K104" s="32"/>
      <c r="M104" s="32"/>
    </row>
    <row r="105" spans="10:13" x14ac:dyDescent="0.25">
      <c r="J105" s="32"/>
      <c r="K105" s="32"/>
      <c r="M105" s="32"/>
    </row>
    <row r="106" spans="10:13" x14ac:dyDescent="0.25">
      <c r="J106" s="32"/>
      <c r="K106" s="32"/>
      <c r="M106" s="32"/>
    </row>
    <row r="107" spans="10:13" x14ac:dyDescent="0.25">
      <c r="J107" s="32"/>
      <c r="K107" s="32"/>
      <c r="M107" s="32"/>
    </row>
    <row r="108" spans="10:13" x14ac:dyDescent="0.25">
      <c r="J108" s="32"/>
      <c r="K108" s="32"/>
      <c r="M108" s="32"/>
    </row>
    <row r="109" spans="10:13" x14ac:dyDescent="0.25">
      <c r="J109" s="32"/>
      <c r="K109" s="32"/>
      <c r="M109" s="32"/>
    </row>
    <row r="110" spans="10:13" x14ac:dyDescent="0.25">
      <c r="J110" s="32"/>
      <c r="K110" s="32"/>
      <c r="M110" s="32"/>
    </row>
    <row r="111" spans="10:13" x14ac:dyDescent="0.25">
      <c r="J111" s="32"/>
      <c r="K111" s="32"/>
      <c r="M111" s="32"/>
    </row>
    <row r="112" spans="10:13" x14ac:dyDescent="0.25">
      <c r="J112" s="32"/>
      <c r="K112" s="32"/>
      <c r="M112" s="32"/>
    </row>
    <row r="113" spans="10:13" x14ac:dyDescent="0.25">
      <c r="J113" s="32"/>
      <c r="K113" s="32"/>
      <c r="M113" s="32"/>
    </row>
    <row r="114" spans="10:13" x14ac:dyDescent="0.25">
      <c r="J114" s="32"/>
      <c r="K114" s="32"/>
      <c r="M114" s="32"/>
    </row>
    <row r="115" spans="10:13" x14ac:dyDescent="0.25">
      <c r="J115" s="32"/>
      <c r="K115" s="32"/>
      <c r="M115" s="32"/>
    </row>
    <row r="116" spans="10:13" x14ac:dyDescent="0.25">
      <c r="J116" s="32"/>
      <c r="K116" s="32"/>
      <c r="M116" s="32"/>
    </row>
    <row r="117" spans="10:13" x14ac:dyDescent="0.25">
      <c r="J117" s="32"/>
      <c r="K117" s="32"/>
      <c r="M117" s="32"/>
    </row>
    <row r="118" spans="10:13" x14ac:dyDescent="0.25">
      <c r="J118" s="32"/>
      <c r="K118" s="32"/>
      <c r="M118" s="32"/>
    </row>
    <row r="119" spans="10:13" x14ac:dyDescent="0.25">
      <c r="J119" s="32"/>
      <c r="K119" s="32"/>
      <c r="M119" s="32"/>
    </row>
    <row r="120" spans="10:13" x14ac:dyDescent="0.25">
      <c r="J120" s="32"/>
      <c r="K120" s="32"/>
      <c r="M120" s="32"/>
    </row>
    <row r="121" spans="10:13" x14ac:dyDescent="0.25">
      <c r="J121" s="32"/>
      <c r="K121" s="32"/>
      <c r="M121" s="32"/>
    </row>
    <row r="122" spans="10:13" x14ac:dyDescent="0.25">
      <c r="J122" s="32"/>
      <c r="K122" s="32"/>
      <c r="M122" s="32"/>
    </row>
    <row r="123" spans="10:13" x14ac:dyDescent="0.25">
      <c r="J123" s="32"/>
      <c r="K123" s="32"/>
      <c r="M123" s="32"/>
    </row>
    <row r="124" spans="10:13" x14ac:dyDescent="0.25">
      <c r="J124" s="32"/>
      <c r="K124" s="32"/>
      <c r="M124" s="32"/>
    </row>
    <row r="125" spans="10:13" x14ac:dyDescent="0.25">
      <c r="J125" s="32"/>
      <c r="K125" s="32"/>
      <c r="M125" s="32"/>
    </row>
    <row r="126" spans="10:13" x14ac:dyDescent="0.25">
      <c r="J126" s="32"/>
      <c r="K126" s="32"/>
      <c r="M126" s="32"/>
    </row>
    <row r="127" spans="10:13" x14ac:dyDescent="0.25">
      <c r="J127" s="32"/>
      <c r="K127" s="32"/>
      <c r="M127" s="32"/>
    </row>
    <row r="128" spans="10:13" x14ac:dyDescent="0.25">
      <c r="J128" s="32"/>
      <c r="K128" s="32"/>
      <c r="M128" s="32"/>
    </row>
    <row r="129" spans="10:13" x14ac:dyDescent="0.25">
      <c r="J129" s="32"/>
      <c r="K129" s="32"/>
      <c r="M129" s="32"/>
    </row>
    <row r="130" spans="10:13" x14ac:dyDescent="0.25">
      <c r="J130" s="32"/>
      <c r="K130" s="32"/>
      <c r="M130" s="32"/>
    </row>
    <row r="131" spans="10:13" x14ac:dyDescent="0.25">
      <c r="J131" s="32"/>
      <c r="K131" s="32"/>
      <c r="M131" s="32"/>
    </row>
    <row r="132" spans="10:13" x14ac:dyDescent="0.25">
      <c r="J132" s="32"/>
      <c r="K132" s="32"/>
      <c r="M132" s="32"/>
    </row>
    <row r="133" spans="10:13" x14ac:dyDescent="0.25">
      <c r="J133" s="32"/>
      <c r="K133" s="32"/>
      <c r="M133" s="32"/>
    </row>
    <row r="134" spans="10:13" x14ac:dyDescent="0.25">
      <c r="J134" s="32"/>
      <c r="K134" s="32"/>
      <c r="M134" s="32"/>
    </row>
    <row r="135" spans="10:13" x14ac:dyDescent="0.25">
      <c r="J135" s="32"/>
      <c r="K135" s="32"/>
      <c r="M135" s="32"/>
    </row>
    <row r="136" spans="10:13" x14ac:dyDescent="0.25">
      <c r="J136" s="32"/>
      <c r="K136" s="32"/>
      <c r="M136" s="32"/>
    </row>
    <row r="137" spans="10:13" x14ac:dyDescent="0.25">
      <c r="J137" s="32"/>
      <c r="K137" s="32"/>
      <c r="M137" s="32"/>
    </row>
    <row r="138" spans="10:13" x14ac:dyDescent="0.25">
      <c r="J138" s="32"/>
      <c r="K138" s="32"/>
      <c r="M138" s="32"/>
    </row>
    <row r="139" spans="10:13" x14ac:dyDescent="0.25">
      <c r="J139" s="32"/>
      <c r="K139" s="32"/>
      <c r="M139" s="32"/>
    </row>
    <row r="140" spans="10:13" x14ac:dyDescent="0.25">
      <c r="J140" s="32"/>
      <c r="K140" s="32"/>
      <c r="M140" s="32"/>
    </row>
    <row r="141" spans="10:13" x14ac:dyDescent="0.25">
      <c r="J141" s="32"/>
      <c r="K141" s="32"/>
      <c r="M141" s="32"/>
    </row>
    <row r="142" spans="10:13" x14ac:dyDescent="0.25">
      <c r="J142" s="32"/>
      <c r="K142" s="32"/>
      <c r="M142" s="32"/>
    </row>
    <row r="143" spans="10:13" x14ac:dyDescent="0.25">
      <c r="J143" s="32"/>
      <c r="K143" s="32"/>
      <c r="M143" s="32"/>
    </row>
    <row r="144" spans="10:13" x14ac:dyDescent="0.25">
      <c r="J144" s="32"/>
      <c r="K144" s="32"/>
      <c r="M144" s="32"/>
    </row>
    <row r="145" spans="10:13" x14ac:dyDescent="0.25">
      <c r="J145" s="32"/>
      <c r="K145" s="32"/>
      <c r="M145" s="32"/>
    </row>
    <row r="146" spans="10:13" x14ac:dyDescent="0.25">
      <c r="J146" s="32"/>
      <c r="K146" s="32"/>
      <c r="M146" s="32"/>
    </row>
    <row r="147" spans="10:13" x14ac:dyDescent="0.25">
      <c r="J147" s="32"/>
      <c r="K147" s="32"/>
      <c r="M147" s="32"/>
    </row>
    <row r="148" spans="10:13" x14ac:dyDescent="0.25">
      <c r="J148" s="32"/>
      <c r="K148" s="32"/>
      <c r="M148" s="32"/>
    </row>
    <row r="149" spans="10:13" x14ac:dyDescent="0.25">
      <c r="J149" s="32"/>
      <c r="K149" s="32"/>
      <c r="M149" s="32"/>
    </row>
    <row r="150" spans="10:13" x14ac:dyDescent="0.25">
      <c r="J150" s="32"/>
      <c r="K150" s="32"/>
      <c r="M150" s="32"/>
    </row>
    <row r="151" spans="10:13" x14ac:dyDescent="0.25">
      <c r="J151" s="32"/>
      <c r="K151" s="32"/>
      <c r="M151" s="32"/>
    </row>
    <row r="152" spans="10:13" x14ac:dyDescent="0.25">
      <c r="J152" s="32"/>
      <c r="K152" s="32"/>
      <c r="M152" s="32"/>
    </row>
    <row r="153" spans="10:13" x14ac:dyDescent="0.25">
      <c r="J153" s="32"/>
      <c r="K153" s="32"/>
      <c r="M153" s="32"/>
    </row>
    <row r="154" spans="10:13" x14ac:dyDescent="0.25">
      <c r="J154" s="32"/>
      <c r="K154" s="32"/>
      <c r="M154" s="32"/>
    </row>
    <row r="155" spans="10:13" x14ac:dyDescent="0.25">
      <c r="J155" s="32"/>
      <c r="K155" s="32"/>
      <c r="M155" s="32"/>
    </row>
    <row r="156" spans="10:13" x14ac:dyDescent="0.25">
      <c r="J156" s="32"/>
      <c r="K156" s="32"/>
      <c r="M156" s="32"/>
    </row>
    <row r="157" spans="10:13" x14ac:dyDescent="0.25">
      <c r="J157" s="32"/>
      <c r="K157" s="32"/>
      <c r="M157" s="32"/>
    </row>
    <row r="158" spans="10:13" x14ac:dyDescent="0.25">
      <c r="J158" s="32"/>
      <c r="K158" s="32"/>
      <c r="M158" s="32"/>
    </row>
    <row r="159" spans="10:13" x14ac:dyDescent="0.25">
      <c r="J159" s="32"/>
      <c r="K159" s="32"/>
      <c r="M159" s="32"/>
    </row>
    <row r="160" spans="10:13" x14ac:dyDescent="0.25">
      <c r="J160" s="32"/>
      <c r="K160" s="32"/>
      <c r="M160" s="32"/>
    </row>
    <row r="161" spans="10:13" x14ac:dyDescent="0.25">
      <c r="J161" s="32"/>
      <c r="K161" s="32"/>
      <c r="M161" s="32"/>
    </row>
    <row r="162" spans="10:13" x14ac:dyDescent="0.25">
      <c r="J162" s="32"/>
      <c r="K162" s="32"/>
      <c r="M162" s="32"/>
    </row>
    <row r="163" spans="10:13" x14ac:dyDescent="0.25">
      <c r="J163" s="32"/>
      <c r="K163" s="32"/>
      <c r="M163" s="32"/>
    </row>
    <row r="164" spans="10:13" x14ac:dyDescent="0.25">
      <c r="J164" s="32"/>
      <c r="K164" s="32"/>
      <c r="M164" s="32"/>
    </row>
    <row r="165" spans="10:13" x14ac:dyDescent="0.25">
      <c r="J165" s="32"/>
      <c r="K165" s="32"/>
      <c r="M165" s="32"/>
    </row>
    <row r="166" spans="10:13" x14ac:dyDescent="0.25">
      <c r="J166" s="32"/>
      <c r="K166" s="32"/>
      <c r="M166" s="32"/>
    </row>
    <row r="167" spans="10:13" x14ac:dyDescent="0.25">
      <c r="J167" s="32"/>
      <c r="K167" s="32"/>
      <c r="M167" s="32"/>
    </row>
    <row r="168" spans="10:13" x14ac:dyDescent="0.25">
      <c r="J168" s="32"/>
      <c r="K168" s="32"/>
      <c r="M168" s="32"/>
    </row>
    <row r="169" spans="10:13" x14ac:dyDescent="0.25">
      <c r="J169" s="32"/>
      <c r="K169" s="32"/>
      <c r="M169" s="32"/>
    </row>
    <row r="170" spans="10:13" x14ac:dyDescent="0.25">
      <c r="J170" s="32"/>
      <c r="K170" s="32"/>
      <c r="M170" s="32"/>
    </row>
    <row r="171" spans="10:13" x14ac:dyDescent="0.25">
      <c r="J171" s="32"/>
      <c r="K171" s="32"/>
      <c r="M171" s="32"/>
    </row>
    <row r="172" spans="10:13" x14ac:dyDescent="0.25">
      <c r="J172" s="32"/>
      <c r="K172" s="32"/>
      <c r="M172" s="32"/>
    </row>
    <row r="173" spans="10:13" x14ac:dyDescent="0.25">
      <c r="J173" s="32"/>
      <c r="K173" s="32"/>
      <c r="M173" s="32"/>
    </row>
    <row r="174" spans="10:13" x14ac:dyDescent="0.25">
      <c r="J174" s="32"/>
      <c r="K174" s="32"/>
      <c r="M174" s="32"/>
    </row>
    <row r="175" spans="10:13" x14ac:dyDescent="0.25">
      <c r="J175" s="32"/>
      <c r="K175" s="32"/>
      <c r="M175" s="32"/>
    </row>
    <row r="176" spans="10:13" x14ac:dyDescent="0.25">
      <c r="J176" s="32"/>
      <c r="K176" s="32"/>
      <c r="M176" s="32"/>
    </row>
    <row r="177" spans="10:13" x14ac:dyDescent="0.25">
      <c r="J177" s="32"/>
      <c r="K177" s="32"/>
      <c r="M177" s="32"/>
    </row>
    <row r="178" spans="10:13" x14ac:dyDescent="0.25">
      <c r="J178" s="32"/>
      <c r="K178" s="32"/>
      <c r="M178" s="32"/>
    </row>
    <row r="179" spans="10:13" x14ac:dyDescent="0.25">
      <c r="J179" s="32"/>
      <c r="K179" s="32"/>
      <c r="M179" s="32"/>
    </row>
    <row r="180" spans="10:13" x14ac:dyDescent="0.25">
      <c r="J180" s="32"/>
      <c r="K180" s="32"/>
      <c r="M180" s="32"/>
    </row>
    <row r="181" spans="10:13" x14ac:dyDescent="0.25">
      <c r="J181" s="32"/>
      <c r="K181" s="32"/>
      <c r="M181" s="32"/>
    </row>
    <row r="182" spans="10:13" x14ac:dyDescent="0.25">
      <c r="J182" s="32"/>
      <c r="K182" s="32"/>
      <c r="M182" s="32"/>
    </row>
    <row r="183" spans="10:13" x14ac:dyDescent="0.25">
      <c r="J183" s="32"/>
      <c r="K183" s="32"/>
      <c r="M183" s="32"/>
    </row>
    <row r="184" spans="10:13" x14ac:dyDescent="0.25">
      <c r="J184" s="32"/>
      <c r="K184" s="32"/>
      <c r="M184" s="32"/>
    </row>
    <row r="185" spans="10:13" x14ac:dyDescent="0.25">
      <c r="J185" s="32"/>
      <c r="K185" s="32"/>
      <c r="M185" s="32"/>
    </row>
    <row r="186" spans="10:13" x14ac:dyDescent="0.25">
      <c r="J186" s="32"/>
      <c r="K186" s="32"/>
      <c r="M186" s="32"/>
    </row>
    <row r="187" spans="10:13" x14ac:dyDescent="0.25">
      <c r="J187" s="32"/>
      <c r="K187" s="32"/>
      <c r="M187" s="32"/>
    </row>
    <row r="188" spans="10:13" x14ac:dyDescent="0.25">
      <c r="J188" s="32"/>
      <c r="K188" s="32"/>
      <c r="M188" s="32"/>
    </row>
    <row r="189" spans="10:13" x14ac:dyDescent="0.25">
      <c r="J189" s="32"/>
      <c r="K189" s="32"/>
      <c r="M189" s="32"/>
    </row>
    <row r="190" spans="10:13" x14ac:dyDescent="0.25">
      <c r="J190" s="32"/>
      <c r="K190" s="32"/>
      <c r="M190" s="32"/>
    </row>
    <row r="191" spans="10:13" x14ac:dyDescent="0.25">
      <c r="J191" s="32"/>
      <c r="K191" s="32"/>
      <c r="M191" s="32"/>
    </row>
    <row r="192" spans="10:13" x14ac:dyDescent="0.25">
      <c r="J192" s="32"/>
      <c r="K192" s="32"/>
      <c r="M192" s="32"/>
    </row>
    <row r="193" spans="10:13" x14ac:dyDescent="0.25">
      <c r="J193" s="32"/>
      <c r="K193" s="32"/>
      <c r="M193" s="32"/>
    </row>
    <row r="194" spans="10:13" x14ac:dyDescent="0.25">
      <c r="J194" s="32"/>
      <c r="K194" s="32"/>
      <c r="M194" s="32"/>
    </row>
    <row r="195" spans="10:13" x14ac:dyDescent="0.25">
      <c r="J195" s="32"/>
      <c r="K195" s="32"/>
      <c r="M195" s="32"/>
    </row>
    <row r="196" spans="10:13" x14ac:dyDescent="0.25">
      <c r="J196" s="32"/>
      <c r="K196" s="32"/>
      <c r="M196" s="32"/>
    </row>
    <row r="197" spans="10:13" x14ac:dyDescent="0.25">
      <c r="J197" s="32"/>
      <c r="K197" s="32"/>
      <c r="M197" s="32"/>
    </row>
    <row r="198" spans="10:13" x14ac:dyDescent="0.25">
      <c r="J198" s="32"/>
      <c r="K198" s="32"/>
      <c r="M198" s="32"/>
    </row>
    <row r="199" spans="10:13" x14ac:dyDescent="0.25">
      <c r="J199" s="32"/>
      <c r="K199" s="32"/>
      <c r="M199" s="32"/>
    </row>
    <row r="200" spans="10:13" x14ac:dyDescent="0.25">
      <c r="J200" s="32"/>
      <c r="K200" s="32"/>
      <c r="M200" s="32"/>
    </row>
    <row r="201" spans="10:13" x14ac:dyDescent="0.25">
      <c r="J201" s="32"/>
      <c r="K201" s="32"/>
      <c r="M201" s="32"/>
    </row>
    <row r="202" spans="10:13" x14ac:dyDescent="0.25">
      <c r="J202" s="32"/>
      <c r="K202" s="32"/>
      <c r="M202" s="32"/>
    </row>
    <row r="203" spans="10:13" x14ac:dyDescent="0.25">
      <c r="J203" s="32"/>
      <c r="K203" s="32"/>
      <c r="M203" s="32"/>
    </row>
    <row r="204" spans="10:13" x14ac:dyDescent="0.25">
      <c r="J204" s="32"/>
      <c r="K204" s="32"/>
      <c r="M204" s="32"/>
    </row>
  </sheetData>
  <sheetProtection password="D1EF" sheet="1" formatColumns="0" formatRows="0"/>
  <pageMargins left="0.25" right="0.25" top="0.3" bottom="0.3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42</vt:i4>
      </vt:variant>
      <vt:variant>
        <vt:lpstr>Named Ranges</vt:lpstr>
      </vt:variant>
      <vt:variant>
        <vt:i4>115</vt:i4>
      </vt:variant>
    </vt:vector>
  </HeadingPairs>
  <TitlesOfParts>
    <vt:vector size="157" baseType="lpstr">
      <vt:lpstr>Guide</vt:lpstr>
      <vt:lpstr>Goals</vt:lpstr>
      <vt:lpstr>Scoreboard</vt:lpstr>
      <vt:lpstr>Deal Explorer</vt:lpstr>
      <vt:lpstr>Commissions</vt:lpstr>
      <vt:lpstr>Pay Plan</vt:lpstr>
      <vt:lpstr>Dashboard</vt:lpstr>
      <vt:lpstr>Nightly Text</vt:lpstr>
      <vt:lpstr>Leaderboard</vt:lpstr>
      <vt:lpstr>Jul 1</vt:lpstr>
      <vt:lpstr>Jul 2</vt:lpstr>
      <vt:lpstr>Jul 3</vt:lpstr>
      <vt:lpstr>Jul 4</vt:lpstr>
      <vt:lpstr>Jul 5</vt:lpstr>
      <vt:lpstr>Jul 6</vt:lpstr>
      <vt:lpstr>Jul 7</vt:lpstr>
      <vt:lpstr>Jul 8</vt:lpstr>
      <vt:lpstr>Jul 9</vt:lpstr>
      <vt:lpstr>Jul 10</vt:lpstr>
      <vt:lpstr>Jul 11</vt:lpstr>
      <vt:lpstr>Jul 12</vt:lpstr>
      <vt:lpstr>Jul 13</vt:lpstr>
      <vt:lpstr>Jul 14</vt:lpstr>
      <vt:lpstr>Jul 15</vt:lpstr>
      <vt:lpstr>Jul 16</vt:lpstr>
      <vt:lpstr>Jul 17</vt:lpstr>
      <vt:lpstr>Jul 18</vt:lpstr>
      <vt:lpstr>Jul 19</vt:lpstr>
      <vt:lpstr>Jul 20</vt:lpstr>
      <vt:lpstr>Jul 21</vt:lpstr>
      <vt:lpstr>Jul 22</vt:lpstr>
      <vt:lpstr>Jul 23</vt:lpstr>
      <vt:lpstr>Jul 24</vt:lpstr>
      <vt:lpstr>Jul 25</vt:lpstr>
      <vt:lpstr>Jul 26</vt:lpstr>
      <vt:lpstr>Jul 27</vt:lpstr>
      <vt:lpstr>Jul 28</vt:lpstr>
      <vt:lpstr>Jul 29</vt:lpstr>
      <vt:lpstr>Jul 30</vt:lpstr>
      <vt:lpstr>Jul 31</vt:lpstr>
      <vt:lpstr>Trade Report</vt:lpstr>
      <vt:lpstr>Staff &amp; Lists</vt:lpstr>
      <vt:lpstr>ACURA</vt:lpstr>
      <vt:lpstr>ALFA_ROMEO</vt:lpstr>
      <vt:lpstr>ASTON_MARTIN</vt:lpstr>
      <vt:lpstr>AUDI</vt:lpstr>
      <vt:lpstr>BENTLEY</vt:lpstr>
      <vt:lpstr>BMW</vt:lpstr>
      <vt:lpstr>BUICK</vt:lpstr>
      <vt:lpstr>CADILLAC</vt:lpstr>
      <vt:lpstr>CHEVROLET</vt:lpstr>
      <vt:lpstr>CHRYSLER</vt:lpstr>
      <vt:lpstr>DODGE</vt:lpstr>
      <vt:lpstr>FERRARI</vt:lpstr>
      <vt:lpstr>FIAT</vt:lpstr>
      <vt:lpstr>FORD</vt:lpstr>
      <vt:lpstr>GENESIS</vt:lpstr>
      <vt:lpstr>GMC</vt:lpstr>
      <vt:lpstr>GoalGrossNew</vt:lpstr>
      <vt:lpstr>GoalGrossPerDay</vt:lpstr>
      <vt:lpstr>GoalGrossTotal</vt:lpstr>
      <vt:lpstr>GoalGrossUsed</vt:lpstr>
      <vt:lpstr>GoalPVRBack</vt:lpstr>
      <vt:lpstr>GoalPVRFront</vt:lpstr>
      <vt:lpstr>GoalPVRTotal</vt:lpstr>
      <vt:lpstr>GoalSellingDays</vt:lpstr>
      <vt:lpstr>GoalUnitsNew</vt:lpstr>
      <vt:lpstr>GoalUnitsPerDay</vt:lpstr>
      <vt:lpstr>GoalUnitsTotal</vt:lpstr>
      <vt:lpstr>GoalUnitsUsed</vt:lpstr>
      <vt:lpstr>HONDA</vt:lpstr>
      <vt:lpstr>HUMMER</vt:lpstr>
      <vt:lpstr>HYUNDAI</vt:lpstr>
      <vt:lpstr>INFINITI</vt:lpstr>
      <vt:lpstr>ISUZU</vt:lpstr>
      <vt:lpstr>JAGUAR</vt:lpstr>
      <vt:lpstr>JEEP</vt:lpstr>
      <vt:lpstr>KIA</vt:lpstr>
      <vt:lpstr>LAMBORGHINI</vt:lpstr>
      <vt:lpstr>LAND_ROVER</vt:lpstr>
      <vt:lpstr>LEXUS</vt:lpstr>
      <vt:lpstr>LINCOLN</vt:lpstr>
      <vt:lpstr>LOTUS</vt:lpstr>
      <vt:lpstr>LUCID</vt:lpstr>
      <vt:lpstr>MakeList</vt:lpstr>
      <vt:lpstr>MASERATI</vt:lpstr>
      <vt:lpstr>MAZDA</vt:lpstr>
      <vt:lpstr>MCLAREN</vt:lpstr>
      <vt:lpstr>MERCEDES_BENZ</vt:lpstr>
      <vt:lpstr>MERCURY</vt:lpstr>
      <vt:lpstr>MINI</vt:lpstr>
      <vt:lpstr>MITSUBISHI</vt:lpstr>
      <vt:lpstr>N_ONLY</vt:lpstr>
      <vt:lpstr>NISSAN</vt:lpstr>
      <vt:lpstr>OLDSMOBILE</vt:lpstr>
      <vt:lpstr>PLYMOUTH</vt:lpstr>
      <vt:lpstr>POLESTAR</vt:lpstr>
      <vt:lpstr>PONTIAC</vt:lpstr>
      <vt:lpstr>PORSCHE</vt:lpstr>
      <vt:lpstr>Commissions!Print_Area</vt:lpstr>
      <vt:lpstr>Dashboard!Print_Area</vt:lpstr>
      <vt:lpstr>'Deal Explorer'!Print_Area</vt:lpstr>
      <vt:lpstr>Goals!Print_Area</vt:lpstr>
      <vt:lpstr>Guide!Print_Area</vt:lpstr>
      <vt:lpstr>'Jul 1'!Print_Area</vt:lpstr>
      <vt:lpstr>'Jul 10'!Print_Area</vt:lpstr>
      <vt:lpstr>'Jul 11'!Print_Area</vt:lpstr>
      <vt:lpstr>'Jul 12'!Print_Area</vt:lpstr>
      <vt:lpstr>'Jul 13'!Print_Area</vt:lpstr>
      <vt:lpstr>'Jul 14'!Print_Area</vt:lpstr>
      <vt:lpstr>'Jul 15'!Print_Area</vt:lpstr>
      <vt:lpstr>'Jul 16'!Print_Area</vt:lpstr>
      <vt:lpstr>'Jul 17'!Print_Area</vt:lpstr>
      <vt:lpstr>'Jul 18'!Print_Area</vt:lpstr>
      <vt:lpstr>'Jul 19'!Print_Area</vt:lpstr>
      <vt:lpstr>'Jul 2'!Print_Area</vt:lpstr>
      <vt:lpstr>'Jul 20'!Print_Area</vt:lpstr>
      <vt:lpstr>'Jul 21'!Print_Area</vt:lpstr>
      <vt:lpstr>'Jul 22'!Print_Area</vt:lpstr>
      <vt:lpstr>'Jul 23'!Print_Area</vt:lpstr>
      <vt:lpstr>'Jul 24'!Print_Area</vt:lpstr>
      <vt:lpstr>'Jul 25'!Print_Area</vt:lpstr>
      <vt:lpstr>'Jul 26'!Print_Area</vt:lpstr>
      <vt:lpstr>'Jul 27'!Print_Area</vt:lpstr>
      <vt:lpstr>'Jul 28'!Print_Area</vt:lpstr>
      <vt:lpstr>'Jul 29'!Print_Area</vt:lpstr>
      <vt:lpstr>'Jul 3'!Print_Area</vt:lpstr>
      <vt:lpstr>'Jul 30'!Print_Area</vt:lpstr>
      <vt:lpstr>'Jul 31'!Print_Area</vt:lpstr>
      <vt:lpstr>'Jul 4'!Print_Area</vt:lpstr>
      <vt:lpstr>'Jul 5'!Print_Area</vt:lpstr>
      <vt:lpstr>'Jul 6'!Print_Area</vt:lpstr>
      <vt:lpstr>'Jul 7'!Print_Area</vt:lpstr>
      <vt:lpstr>'Jul 8'!Print_Area</vt:lpstr>
      <vt:lpstr>'Jul 9'!Print_Area</vt:lpstr>
      <vt:lpstr>Leaderboard!Print_Area</vt:lpstr>
      <vt:lpstr>'Nightly Text'!Print_Area</vt:lpstr>
      <vt:lpstr>'Pay Plan'!Print_Area</vt:lpstr>
      <vt:lpstr>Scoreboard!Print_Area</vt:lpstr>
      <vt:lpstr>'Staff &amp; Lists'!Print_Area</vt:lpstr>
      <vt:lpstr>'Trade Report'!Print_Area</vt:lpstr>
      <vt:lpstr>RAM</vt:lpstr>
      <vt:lpstr>RIVIAN</vt:lpstr>
      <vt:lpstr>ROLLS_ROYCE</vt:lpstr>
      <vt:lpstr>SAAB</vt:lpstr>
      <vt:lpstr>SATURN</vt:lpstr>
      <vt:lpstr>SCION</vt:lpstr>
      <vt:lpstr>SMART</vt:lpstr>
      <vt:lpstr>SUBARU</vt:lpstr>
      <vt:lpstr>SUZUKI</vt:lpstr>
      <vt:lpstr>TESLA</vt:lpstr>
      <vt:lpstr>TOYOTA</vt:lpstr>
      <vt:lpstr>VehicleYearList</vt:lpstr>
      <vt:lpstr>VINFAST</vt:lpstr>
      <vt:lpstr>VOLKSWAGEN</vt:lpstr>
      <vt:lpstr>VOLVO</vt:lpstr>
      <vt:lpstr>YN_LIST</vt:lpstr>
    </vt:vector>
  </TitlesOfParts>
  <Company>Gallatin Ford / WeAuto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Lisowski</cp:lastModifiedBy>
  <dcterms:created xsi:type="dcterms:W3CDTF">2026-07-06T14:47:07Z</dcterms:created>
  <dcterms:modified xsi:type="dcterms:W3CDTF">2026-08-02T00:01:47Z</dcterms:modified>
</cp:coreProperties>
</file>