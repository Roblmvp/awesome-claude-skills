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42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Guide" sheetId="1" state="visible" r:id="rId3"/>
    <sheet name="Goals" sheetId="2" state="visible" r:id="rId4"/>
    <sheet name="Scoreboard" sheetId="3" state="visible" r:id="rId5"/>
    <sheet name="Deal Explorer" sheetId="4" state="visible" r:id="rId6"/>
    <sheet name="Commissions" sheetId="5" state="visible" r:id="rId7"/>
    <sheet name="Pay Plan" sheetId="6" state="hidden" r:id="rId8"/>
    <sheet name="Dashboard" sheetId="7" state="visible" r:id="rId9"/>
    <sheet name="Nightly Text" sheetId="8" state="visible" r:id="rId10"/>
    <sheet name="Leaderboard" sheetId="9" state="visible" r:id="rId11"/>
    <sheet name="Aug 1" sheetId="10" state="visible" r:id="rId12"/>
    <sheet name="Aug 2" sheetId="11" state="visible" r:id="rId13"/>
    <sheet name="Aug 3" sheetId="12" state="visible" r:id="rId14"/>
    <sheet name="Aug 4" sheetId="13" state="visible" r:id="rId15"/>
    <sheet name="Aug 5" sheetId="14" state="visible" r:id="rId16"/>
    <sheet name="Aug 6" sheetId="15" state="visible" r:id="rId17"/>
    <sheet name="Aug 7" sheetId="16" state="visible" r:id="rId18"/>
    <sheet name="Aug 8" sheetId="17" state="visible" r:id="rId19"/>
    <sheet name="Aug 9" sheetId="18" state="visible" r:id="rId20"/>
    <sheet name="Aug 10" sheetId="19" state="visible" r:id="rId21"/>
    <sheet name="Aug 11" sheetId="20" state="visible" r:id="rId22"/>
    <sheet name="Aug 12" sheetId="21" state="visible" r:id="rId23"/>
    <sheet name="Aug 13" sheetId="22" state="visible" r:id="rId24"/>
    <sheet name="Aug 14" sheetId="23" state="visible" r:id="rId25"/>
    <sheet name="Aug 15" sheetId="24" state="visible" r:id="rId26"/>
    <sheet name="Aug 16" sheetId="25" state="visible" r:id="rId27"/>
    <sheet name="Aug 17" sheetId="26" state="visible" r:id="rId28"/>
    <sheet name="Aug 18" sheetId="27" state="visible" r:id="rId29"/>
    <sheet name="Aug 19" sheetId="28" state="visible" r:id="rId30"/>
    <sheet name="Aug 20" sheetId="29" state="visible" r:id="rId31"/>
    <sheet name="Aug 21" sheetId="30" state="visible" r:id="rId32"/>
    <sheet name="Aug 22" sheetId="31" state="visible" r:id="rId33"/>
    <sheet name="Aug 23" sheetId="32" state="visible" r:id="rId34"/>
    <sheet name="Aug 24" sheetId="33" state="visible" r:id="rId35"/>
    <sheet name="Aug 25" sheetId="34" state="visible" r:id="rId36"/>
    <sheet name="Aug 26" sheetId="35" state="visible" r:id="rId37"/>
    <sheet name="Aug 27" sheetId="36" state="visible" r:id="rId38"/>
    <sheet name="Aug 28" sheetId="37" state="visible" r:id="rId39"/>
    <sheet name="Aug 29" sheetId="38" state="visible" r:id="rId40"/>
    <sheet name="Aug 30" sheetId="39" state="visible" r:id="rId41"/>
    <sheet name="Aug 31" sheetId="40" state="visible" r:id="rId42"/>
    <sheet name="Trade Report" sheetId="41" state="visible" r:id="rId43"/>
    <sheet name="Staff &amp; Lists" sheetId="42" state="visible" r:id="rId44"/>
  </sheets>
  <definedNames>
    <definedName function="false" hidden="false" localSheetId="9" name="_xlnm.Print_Area" vbProcedure="false">'Aug 1'!$A$1:$AH$70</definedName>
    <definedName function="false" hidden="false" localSheetId="18" name="_xlnm.Print_Area" vbProcedure="false">'Aug 10'!$A$1:$AH$70</definedName>
    <definedName function="false" hidden="false" localSheetId="19" name="_xlnm.Print_Area" vbProcedure="false">'Aug 11'!$A$1:$AH$70</definedName>
    <definedName function="false" hidden="false" localSheetId="20" name="_xlnm.Print_Area" vbProcedure="false">'Aug 12'!$A$1:$AH$70</definedName>
    <definedName function="false" hidden="false" localSheetId="21" name="_xlnm.Print_Area" vbProcedure="false">'Aug 13'!$A$1:$AH$70</definedName>
    <definedName function="false" hidden="false" localSheetId="22" name="_xlnm.Print_Area" vbProcedure="false">'Aug 14'!$A$1:$AH$70</definedName>
    <definedName function="false" hidden="false" localSheetId="23" name="_xlnm.Print_Area" vbProcedure="false">'Aug 15'!$A$1:$AH$70</definedName>
    <definedName function="false" hidden="false" localSheetId="24" name="_xlnm.Print_Area" vbProcedure="false">'Aug 16'!$A$1:$AH$70</definedName>
    <definedName function="false" hidden="false" localSheetId="25" name="_xlnm.Print_Area" vbProcedure="false">'Aug 17'!$A$1:$AH$70</definedName>
    <definedName function="false" hidden="false" localSheetId="26" name="_xlnm.Print_Area" vbProcedure="false">'Aug 18'!$A$1:$AH$70</definedName>
    <definedName function="false" hidden="false" localSheetId="27" name="_xlnm.Print_Area" vbProcedure="false">'Aug 19'!$A$1:$AH$70</definedName>
    <definedName function="false" hidden="false" localSheetId="10" name="_xlnm.Print_Area" vbProcedure="false">'Aug 2'!$A$1:$AH$70</definedName>
    <definedName function="false" hidden="false" localSheetId="28" name="_xlnm.Print_Area" vbProcedure="false">'Aug 20'!$A$1:$AH$70</definedName>
    <definedName function="false" hidden="false" localSheetId="29" name="_xlnm.Print_Area" vbProcedure="false">'Aug 21'!$A$1:$AH$70</definedName>
    <definedName function="false" hidden="false" localSheetId="30" name="_xlnm.Print_Area" vbProcedure="false">'Aug 22'!$A$1:$AH$70</definedName>
    <definedName function="false" hidden="false" localSheetId="31" name="_xlnm.Print_Area" vbProcedure="false">'Aug 23'!$A$1:$AH$70</definedName>
    <definedName function="false" hidden="false" localSheetId="32" name="_xlnm.Print_Area" vbProcedure="false">'Aug 24'!$A$1:$AH$70</definedName>
    <definedName function="false" hidden="false" localSheetId="33" name="_xlnm.Print_Area" vbProcedure="false">'Aug 25'!$A$1:$AH$70</definedName>
    <definedName function="false" hidden="false" localSheetId="34" name="_xlnm.Print_Area" vbProcedure="false">'Aug 26'!$A$1:$AH$70</definedName>
    <definedName function="false" hidden="false" localSheetId="35" name="_xlnm.Print_Area" vbProcedure="false">'Aug 27'!$A$1:$AH$70</definedName>
    <definedName function="false" hidden="false" localSheetId="36" name="_xlnm.Print_Area" vbProcedure="false">'Aug 28'!$A$1:$AH$70</definedName>
    <definedName function="false" hidden="false" localSheetId="37" name="_xlnm.Print_Area" vbProcedure="false">'Aug 29'!$A$1:$AH$70</definedName>
    <definedName function="false" hidden="false" localSheetId="11" name="_xlnm.Print_Area" vbProcedure="false">'Aug 3'!$A$1:$AH$70</definedName>
    <definedName function="false" hidden="false" localSheetId="38" name="_xlnm.Print_Area" vbProcedure="false">'Aug 30'!$A$1:$AH$70</definedName>
    <definedName function="false" hidden="false" localSheetId="39" name="_xlnm.Print_Area" vbProcedure="false">'Aug 31'!$A$1:$AH$70</definedName>
    <definedName function="false" hidden="false" localSheetId="12" name="_xlnm.Print_Area" vbProcedure="false">'Aug 4'!$A$1:$AH$70</definedName>
    <definedName function="false" hidden="false" localSheetId="13" name="_xlnm.Print_Area" vbProcedure="false">'Aug 5'!$A$1:$AH$70</definedName>
    <definedName function="false" hidden="false" localSheetId="14" name="_xlnm.Print_Area" vbProcedure="false">'Aug 6'!$A$1:$AH$70</definedName>
    <definedName function="false" hidden="false" localSheetId="15" name="_xlnm.Print_Area" vbProcedure="false">'Aug 7'!$A$1:$AH$70</definedName>
    <definedName function="false" hidden="false" localSheetId="16" name="_xlnm.Print_Area" vbProcedure="false">'Aug 8'!$A$1:$AH$70</definedName>
    <definedName function="false" hidden="false" localSheetId="17" name="_xlnm.Print_Area" vbProcedure="false">'Aug 9'!$A$1:$AH$70</definedName>
    <definedName function="false" hidden="false" localSheetId="4" name="_xlnm.Print_Area" vbProcedure="false">Commissions!$A$1:$R$32</definedName>
    <definedName function="false" hidden="false" localSheetId="6" name="_xlnm.Print_Area" vbProcedure="false">Dashboard!$A$1:$R$60</definedName>
    <definedName function="false" hidden="false" localSheetId="3" name="_xlnm.Print_Area" vbProcedure="false">'Deal Explorer'!$A$1:$L$1092</definedName>
    <definedName function="false" hidden="false" localSheetId="1" name="_xlnm.Print_Area" vbProcedure="false">Goals!$A$1:$K$40</definedName>
    <definedName function="false" hidden="false" localSheetId="0" name="_xlnm.Print_Area" vbProcedure="false">Guide!$A$1:$H$16</definedName>
    <definedName function="false" hidden="false" localSheetId="8" name="_xlnm.Print_Area" vbProcedure="false">Leaderboard!$A$1:$F$22</definedName>
    <definedName function="false" hidden="false" localSheetId="7" name="_xlnm.Print_Area" vbProcedure="false">'Nightly Text'!$A$1:$K$56</definedName>
    <definedName function="false" hidden="false" localSheetId="5" name="_xlnm.Print_Area" vbProcedure="false">'Pay Plan'!$A$1:$L$40</definedName>
    <definedName function="false" hidden="false" localSheetId="2" name="_xlnm.Print_Area" vbProcedure="false">Scoreboard!$A$1:$F$32</definedName>
    <definedName function="false" hidden="false" localSheetId="41" name="_xlnm.Print_Area" vbProcedure="false">'Staff &amp; Lists'!$A$1:$N$60</definedName>
    <definedName function="false" hidden="false" localSheetId="40" name="_xlnm.Print_Area" vbProcedure="false">'Trade Report'!$A$1:$H$40</definedName>
    <definedName function="false" hidden="false" name="ACURA" vbProcedure="false">'Staff &amp; Lists'!$T$5:$T$22</definedName>
    <definedName function="false" hidden="false" name="AdSourceList" vbProcedure="false">'Staff &amp; Lists'!$J$5:INDEX('Staff &amp; Lists'!$J$5:$J$204,COUNTA('Staff &amp; Lists'!$J$5:$J$204))</definedName>
    <definedName function="false" hidden="false" name="ALFA_ROMEO" vbProcedure="false">'Staff &amp; Lists'!$U$5:$U$11</definedName>
    <definedName function="false" hidden="false" name="ASTON_MARTIN" vbProcedure="false">'Staff &amp; Lists'!$V$5:$V$16</definedName>
    <definedName function="false" hidden="false" name="AUDI" vbProcedure="false">'Staff &amp; Lists'!$W$5:$W$43</definedName>
    <definedName function="false" hidden="false" name="BENTLEY" vbProcedure="false">'Staff &amp; Lists'!$X$5:$X$14</definedName>
    <definedName function="false" hidden="false" name="BMW" vbProcedure="false">'Staff &amp; Lists'!$Y$5:$Y$56</definedName>
    <definedName function="false" hidden="false" name="BM_ACV_OVER_MMR" vbProcedure="false">'Staff &amp; Lists'!$F$29</definedName>
    <definedName function="false" hidden="false" name="BM_APPR_TRADE" vbProcedure="false">'Staff &amp; Lists'!$F$26</definedName>
    <definedName function="false" hidden="false" name="BM_IMMED_WHOLESALE" vbProcedure="false">'Staff &amp; Lists'!$F$27</definedName>
    <definedName function="false" hidden="false" name="BM_TURNIN_DAYS" vbProcedure="false">'Staff &amp; Lists'!$F$30</definedName>
    <definedName function="false" hidden="false" name="BM_USED_TO_NEW" vbProcedure="false">'Staff &amp; Lists'!$F$28</definedName>
    <definedName function="false" hidden="false" name="BM_VSC_PEN" vbProcedure="false">'Staff &amp; Lists'!$F$25</definedName>
    <definedName function="false" hidden="false" name="BUICK" vbProcedure="false">'Staff &amp; Lists'!$Z$5:$Z$24</definedName>
    <definedName function="false" hidden="false" name="CADILLAC" vbProcedure="false">'Staff &amp; Lists'!$AA$5:$AA$32</definedName>
    <definedName function="false" hidden="false" name="CHEVROLET" vbProcedure="false">'Staff &amp; Lists'!$AB$5:$AB$54</definedName>
    <definedName function="false" hidden="false" name="CHRYSLER" vbProcedure="false">'Staff &amp; Lists'!$AC$5:$AC$21</definedName>
    <definedName function="false" hidden="false" name="DODGE" vbProcedure="false">'Staff &amp; Lists'!$AD$5:$AD$30</definedName>
    <definedName function="false" hidden="false" name="FERRARI" vbProcedure="false">'Staff &amp; Lists'!$AE$5:$AE$32</definedName>
    <definedName function="false" hidden="false" name="FIAT" vbProcedure="false">'Staff &amp; Lists'!$AF$5:$AF$9</definedName>
    <definedName function="false" hidden="false" name="FinanceManagerList" vbProcedure="false">'Staff &amp; Lists'!$G$5:INDEX('Staff &amp; Lists'!$G$5:$G$204,COUNTA('Staff &amp; Lists'!$G$5:$G$204))</definedName>
    <definedName function="false" hidden="false" name="FORD" vbProcedure="false">'Staff &amp; Lists'!$AG$5:$AG$51</definedName>
    <definedName function="false" hidden="false" name="GENESIS" vbProcedure="false">'Staff &amp; Lists'!$AH$5:$AH$12</definedName>
    <definedName function="false" hidden="false" name="GMC" vbProcedure="false">'Staff &amp; Lists'!$AI$5:$AI$24</definedName>
    <definedName function="false" hidden="false" name="GoalGrossNew" vbProcedure="false">Goals!$C$12</definedName>
    <definedName function="false" hidden="false" name="GoalGrossPerDay" vbProcedure="false">Goals!$B$25</definedName>
    <definedName function="false" hidden="false" name="GoalGrossTotal" vbProcedure="false">Goals!$C$14</definedName>
    <definedName function="false" hidden="false" name="GoalGrossUsed" vbProcedure="false">Goals!$C$13</definedName>
    <definedName function="false" hidden="false" name="GoalPVRBack" vbProcedure="false">Goals!$B$19</definedName>
    <definedName function="false" hidden="false" name="GoalPVRFront" vbProcedure="false">Goals!$B$18</definedName>
    <definedName function="false" hidden="false" name="GoalPVRTotal" vbProcedure="false">Goals!$B$20</definedName>
    <definedName function="false" hidden="false" name="GoalSellingDays" vbProcedure="false">Goals!$C$8</definedName>
    <definedName function="false" hidden="false" name="GoalUnitsNew" vbProcedure="false">Goals!$B$12</definedName>
    <definedName function="false" hidden="false" name="GoalUnitsPerDay" vbProcedure="false">Goals!$B$24</definedName>
    <definedName function="false" hidden="false" name="GoalUnitsTotal" vbProcedure="false">Goals!$B$14</definedName>
    <definedName function="false" hidden="false" name="GoalUnitsUsed" vbProcedure="false">Goals!$B$13</definedName>
    <definedName function="false" hidden="false" name="HONDA" vbProcedure="false">'Staff &amp; Lists'!$AJ$5:$AJ$23</definedName>
    <definedName function="false" hidden="false" name="HUMMER" vbProcedure="false">'Staff &amp; Lists'!$AK$5:$AK$8</definedName>
    <definedName function="false" hidden="false" name="HYUNDAI" vbProcedure="false">'Staff &amp; Lists'!$AL$5:$AL$29</definedName>
    <definedName function="false" hidden="false" name="INFINITI" vbProcedure="false">'Staff &amp; Lists'!$AM$5:$AM$32</definedName>
    <definedName function="false" hidden="false" name="ISUZU" vbProcedure="false">'Staff &amp; Lists'!$AN$5:$AN$16</definedName>
    <definedName function="false" hidden="false" name="JAGUAR" vbProcedure="false">'Staff &amp; Lists'!$AO$5:$AO$21</definedName>
    <definedName function="false" hidden="false" name="JEEP" vbProcedure="false">'Staff &amp; Lists'!$AP$5:$AP$19</definedName>
    <definedName function="false" hidden="false" name="KIA" vbProcedure="false">'Staff &amp; Lists'!$AQ$5:$AQ$27</definedName>
    <definedName function="false" hidden="false" name="LAMBORGHINI" vbProcedure="false">'Staff &amp; Lists'!$AR$5:$AR$13</definedName>
    <definedName function="false" hidden="false" name="LAND_ROVER" vbProcedure="false">'Staff &amp; Lists'!$AS$5:$AS$15</definedName>
    <definedName function="false" hidden="false" name="LenderList" vbProcedure="false">'Staff &amp; Lists'!$M$5:INDEX('Staff &amp; Lists'!$M$5:$M$204,COUNTA('Staff &amp; Lists'!$M$5:$M$204))</definedName>
    <definedName function="false" hidden="false" name="LEXUS" vbProcedure="false">'Staff &amp; Lists'!$AT$5:$AT$53</definedName>
    <definedName function="false" hidden="false" name="LINCOLN" vbProcedure="false">'Staff &amp; Lists'!$AU$5:$AU$20</definedName>
    <definedName function="false" hidden="false" name="LOTUS" vbProcedure="false">'Staff &amp; Lists'!$AV$5:$AV$10</definedName>
    <definedName function="false" hidden="false" name="LUCID" vbProcedure="false">'Staff &amp; Lists'!$AW$5:$AW$6</definedName>
    <definedName function="false" hidden="false" name="MakeList" vbProcedure="false">'Staff &amp; Lists'!$R$5:$R$61</definedName>
    <definedName function="false" hidden="false" name="MASERATI" vbProcedure="false">'Staff &amp; Lists'!$AX$5:$AX$14</definedName>
    <definedName function="false" hidden="false" name="MAZDA" vbProcedure="false">'Staff &amp; Lists'!$AY$5:$AY$30</definedName>
    <definedName function="false" hidden="false" name="MCLAREN" vbProcedure="false">'Staff &amp; Lists'!$AZ$5:$AZ$16</definedName>
    <definedName function="false" hidden="false" name="MERCEDES_BENZ" vbProcedure="false">'Staff &amp; Lists'!$BA$5:$BA$40</definedName>
    <definedName function="false" hidden="false" name="MERCURY" vbProcedure="false">'Staff &amp; Lists'!$BB$5:$BB$16</definedName>
    <definedName function="false" hidden="false" name="MINI" vbProcedure="false">'Staff &amp; Lists'!$BC$5:$BC$15</definedName>
    <definedName function="false" hidden="false" name="MITSUBISHI" vbProcedure="false">'Staff &amp; Lists'!$BD$5:$BD$19</definedName>
    <definedName function="false" hidden="false" name="NISSAN" vbProcedure="false">'Staff &amp; Lists'!$BE$5:$BE$33</definedName>
    <definedName function="false" hidden="false" name="N_ONLY" vbProcedure="false">'Staff &amp; Lists'!$P$43</definedName>
    <definedName function="false" hidden="false" name="OLDSMOBILE" vbProcedure="false">'Staff &amp; Lists'!$BF$5:$BF$16</definedName>
    <definedName function="false" hidden="false" name="PLYMOUTH" vbProcedure="false">'Staff &amp; Lists'!$BG$5:$BG$11</definedName>
    <definedName function="false" hidden="false" name="POLESTAR" vbProcedure="false">'Staff &amp; Lists'!$BH$5:$BH$8</definedName>
    <definedName function="false" hidden="false" name="PONTIAC" vbProcedure="false">'Staff &amp; Lists'!$BI$5:$BI$20</definedName>
    <definedName function="false" hidden="false" name="PORSCHE" vbProcedure="false">'Staff &amp; Lists'!$BJ$5:$BJ$20</definedName>
    <definedName function="false" hidden="false" name="RAM" vbProcedure="false">'Staff &amp; Lists'!$BK$5:$BK$13</definedName>
    <definedName function="false" hidden="false" name="RIVIAN" vbProcedure="false">'Staff &amp; Lists'!$BL$5:$BL$8</definedName>
    <definedName function="false" hidden="false" name="ROLLS_ROYCE" vbProcedure="false">'Staff &amp; Lists'!$BM$5:$BM$12</definedName>
    <definedName function="false" hidden="false" name="SAAB" vbProcedure="false">'Staff &amp; Lists'!$BN$5:$BN$11</definedName>
    <definedName function="false" hidden="false" name="SalesManagerList" vbProcedure="false">'Staff &amp; Lists'!$D$5:INDEX('Staff &amp; Lists'!$D$5:$D$204,COUNTA('Staff &amp; Lists'!$D$5:$D$204))</definedName>
    <definedName function="false" hidden="false" name="SalespeopleList" vbProcedure="false">'Staff &amp; Lists'!$A$5:INDEX('Staff &amp; Lists'!$A$5:$A$204,COUNTA('Staff &amp; Lists'!$A$5:$A$204))</definedName>
    <definedName function="false" hidden="false" name="SATURN" vbProcedure="false">'Staff &amp; Lists'!$BO$5:$BO$18</definedName>
    <definedName function="false" hidden="false" name="SCION" vbProcedure="false">'Staff &amp; Lists'!$BP$5:$BP$12</definedName>
    <definedName function="false" hidden="false" name="SMART" vbProcedure="false">'Staff &amp; Lists'!$BQ$5:$BQ$6</definedName>
    <definedName function="false" hidden="false" name="SUBARU" vbProcedure="false">'Staff &amp; Lists'!$BR$5:$BR$20</definedName>
    <definedName function="false" hidden="false" name="SUZUKI" vbProcedure="false">'Staff &amp; Lists'!$BS$5:$BS$19</definedName>
    <definedName function="false" hidden="false" name="TESLA" vbProcedure="false">'Staff &amp; Lists'!$BT$5:$BT$10</definedName>
    <definedName function="false" hidden="false" name="TOYOTA" vbProcedure="false">'Staff &amp; Lists'!$BU$5:$BU$47</definedName>
    <definedName function="false" hidden="false" name="VehicleYearList" vbProcedure="false">'Staff &amp; Lists'!$P$5:$P$36</definedName>
    <definedName function="false" hidden="false" name="VINFAST" vbProcedure="false">'Staff &amp; Lists'!$BV$5:$BV$6</definedName>
    <definedName function="false" hidden="false" name="VOLKSWAGEN" vbProcedure="false">'Staff &amp; Lists'!$BW$5:$BW$30</definedName>
    <definedName function="false" hidden="false" name="VOLVO" vbProcedure="false">'Staff &amp; Lists'!$BX$5:$BX$28</definedName>
    <definedName function="false" hidden="false" name="YN_LIST" vbProcedure="false">'Staff &amp; Lists'!$P$40:$P$41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<sst xmlns="http://schemas.openxmlformats.org/spreadsheetml/2006/main" count="4281" uniqueCount="1644">
  <si>
    <t xml:space="preserve">GUIDE</t>
  </si>
  <si>
    <t xml:space="preserve">GUIDE — HOW THIS WORKBOOK WORKS</t>
  </si>
  <si>
    <t xml:space="preserve">Gallatin Ford · Advanced Deal Log v6 · daily driver</t>
  </si>
  <si>
    <t xml:space="preserve">Daily flow</t>
  </si>
  <si>
    <t xml:space="preserve">Open today’s day tab (gold TODAY chip, or click a calendar day on the Dashboard). One deal per row: type, stock, deal#, customer, SP1/SP2, vehicle, gross, lender, ad source, status. Splits: put both reps in SP1 and SP2 — credit auto-splits ½/½. The strip at the top of every day tab shows today at a glance.</t>
  </si>
  <si>
    <t xml:space="preserve">Status drives everything</t>
  </si>
  <si>
    <t xml:space="preserve">Any deal with a Deal# counts (units, gross, pace, pay) unless its Status is Pending, Unwind or Back Out. That one rule now runs the whole book — Commissions included.</t>
  </si>
  <si>
    <t xml:space="preserve">Flags on the day tab</t>
  </si>
  <si>
    <t xml:space="preserve">Red Front Gross on a used deal = water (losing money on the front). Amber Lender / Front Gross / Ad Source = a delivered deal missing that field. Red ACV−MMR = we allowed more than the over-allowance limit above MMR (tune limits on Staff &amp; Lists → BENCHMARKS).</t>
  </si>
  <si>
    <t xml:space="preserve">Dashboard</t>
  </si>
  <si>
    <t xml:space="preserve">Live month roll-up: MTD cards, goal &amp; pace band with projected finish (▲/▼ vs goal), clickable calendar, salesperson leaderboard, channel mix, products, and the USED DESK &amp; F&amp;I INTEL band — used:new ratio, water count, wholesale %, product penetration vs target, PVR, per-F&amp;I-manager split.</t>
  </si>
  <si>
    <t xml:space="preserve">Deal Explorer</t>
  </si>
  <si>
    <t xml:space="preserve">Every deal in one table. Use the header filter arrows, or set the criteria row (Salesperson matches SP1 or SP2, Type, Status, Certified, Min Gross, Search) and filter the ✓ column.</t>
  </si>
  <si>
    <t xml:space="preserve">Commissions</t>
  </si>
  <si>
    <t xml:space="preserve">Retro pay: final monthly units set the tier for every deal. Draw is entered by payroll (yellow column); Balance = Earnings − Draw. Six internal audits sit under the table.</t>
  </si>
  <si>
    <t xml:space="preserve">Trade Report</t>
  </si>
  <si>
    <t xml:space="preserve">Per-day trades, turned-in vs kept, ACV, wholesaled count, ACV−MMR spread and aged-kept flags (⏰ after the turn-in deadline). Recap row grades appraisal capture and immediate-wholesale % against the benchmarks.</t>
  </si>
  <si>
    <t xml:space="preserve">Nightly Text</t>
  </si>
  <si>
    <t xml:space="preserve">Fill the yellow live inputs, wait for “✅ READY TO COPY”, then copy the box at the bottom into Teams. Day-override cell re-runs a prior day. Pace cells show projected units and gross.</t>
  </si>
  <si>
    <t xml:space="preserve">Goals, Benchmarks &amp; Pay Plan</t>
  </si>
  <si>
    <t xml:space="preserve">Set monthly goals on Goals (yellow). Tune targets on Staff &amp; Lists → BENCHMARKS (yellow) — every flag and verdict reads them live. Pay Plan (hidden tab) is the single source of truth for commission math.</t>
  </si>
  <si>
    <t xml:space="preserve">GALLATIN FORD — AUGUST 2026 GOALS</t>
  </si>
  <si>
    <t xml:space="preserve">MONTH FACTS</t>
  </si>
  <si>
    <t xml:space="preserve">Month</t>
  </si>
  <si>
    <t xml:space="preserve">August 2026</t>
  </si>
  <si>
    <t xml:space="preserve">Days in Month</t>
  </si>
  <si>
    <t xml:space="preserve">Closed (Sundays)</t>
  </si>
  <si>
    <t xml:space="preserve">Selling Days</t>
  </si>
  <si>
    <t xml:space="preserve">MONTHLY GOALS</t>
  </si>
  <si>
    <t xml:space="preserve">Units</t>
  </si>
  <si>
    <t xml:space="preserve">Gross</t>
  </si>
  <si>
    <t xml:space="preserve">New</t>
  </si>
  <si>
    <t xml:space="preserve">Used</t>
  </si>
  <si>
    <t xml:space="preserve">Total</t>
  </si>
  <si>
    <t xml:space="preserve">PVR GOALS (per copy)</t>
  </si>
  <si>
    <t xml:space="preserve">Front PVR</t>
  </si>
  <si>
    <t xml:space="preserve">Back PVR</t>
  </si>
  <si>
    <t xml:space="preserve">Total PVR</t>
  </si>
  <si>
    <t xml:space="preserve">PER-SELLING-DAY TARGETS</t>
  </si>
  <si>
    <t xml:space="preserve">Units / Day</t>
  </si>
  <si>
    <t xml:space="preserve">Gross / Day</t>
  </si>
  <si>
    <t xml:space="preserve">CONSISTENCY CHECK (±2%)</t>
  </si>
  <si>
    <t xml:space="preserve">SCOREBOARD</t>
  </si>
  <si>
    <t xml:space="preserve">SCOREBOARD — AUGUST 2026</t>
  </si>
  <si>
    <t xml:space="preserve">Goal vs month-to-date · blank until goals + deals are entered</t>
  </si>
  <si>
    <t xml:space="preserve">UNITS</t>
  </si>
  <si>
    <t xml:space="preserve">Goal</t>
  </si>
  <si>
    <t xml:space="preserve">MTD</t>
  </si>
  <si>
    <t xml:space="preserve">% Goal</t>
  </si>
  <si>
    <t xml:space="preserve">To Go</t>
  </si>
  <si>
    <t xml:space="preserve">GROSS</t>
  </si>
  <si>
    <t xml:space="preserve">PVR &amp; PACE</t>
  </si>
  <si>
    <t xml:space="preserve">PVR (MTD)</t>
  </si>
  <si>
    <t xml:space="preserve">goal</t>
  </si>
  <si>
    <t xml:space="preserve">Selling days left</t>
  </si>
  <si>
    <t xml:space="preserve">% to unit goal</t>
  </si>
  <si>
    <t xml:space="preserve">% to gross goal</t>
  </si>
  <si>
    <t xml:space="preserve">PACE — projected finish</t>
  </si>
  <si>
    <t xml:space="preserve">DEAL EXPLORER</t>
  </si>
  <si>
    <t xml:space="preserve">DEAL EXPLORER — AUGUST 2026</t>
  </si>
  <si>
    <t xml:space="preserve">Every deal in the month, one filterable ledger · set criteria below, then filter the ✓ column (Data → Reapply)</t>
  </si>
  <si>
    <t xml:space="preserve">Salesperson (SP1 or SP2)</t>
  </si>
  <si>
    <t xml:space="preserve">Type</t>
  </si>
  <si>
    <t xml:space="preserve">Status</t>
  </si>
  <si>
    <t xml:space="preserve">Cert?</t>
  </si>
  <si>
    <t xml:space="preserve">Min Gross</t>
  </si>
  <si>
    <t xml:space="preserve">Search text</t>
  </si>
  <si>
    <t xml:space="preserve">✓</t>
  </si>
  <si>
    <t xml:space="preserve">Date</t>
  </si>
  <si>
    <t xml:space="preserve">Deal#</t>
  </si>
  <si>
    <t xml:space="preserve">Stock</t>
  </si>
  <si>
    <t xml:space="preserve">Customer</t>
  </si>
  <si>
    <t xml:space="preserve">SP1</t>
  </si>
  <si>
    <t xml:space="preserve">SP2</t>
  </si>
  <si>
    <t xml:space="preserve">Vehicle</t>
  </si>
  <si>
    <t xml:space="preserve">Cert</t>
  </si>
  <si>
    <t xml:space="preserve">COMMISSIONS</t>
  </si>
  <si>
    <t xml:space="preserve">COMMISSIONS — AUGUST 2026</t>
  </si>
  <si>
    <t xml:space="preserve">Retro pay — final monthly units set the tier for every deal · qualifying = delivered · split = ½ flat · product $ to SP1 · draws entered by payroll</t>
  </si>
  <si>
    <t xml:space="preserve">COMMISSIONS AGG</t>
  </si>
  <si>
    <t xml:space="preserve">#</t>
  </si>
  <si>
    <t xml:space="preserve">Salesperson</t>
  </si>
  <si>
    <t xml:space="preserve">PVR</t>
  </si>
  <si>
    <t xml:space="preserve">Tier</t>
  </si>
  <si>
    <t xml:space="preserve">Flat</t>
  </si>
  <si>
    <t xml:space="preserve">Unit Bon</t>
  </si>
  <si>
    <t xml:space="preserve">FastStrt</t>
  </si>
  <si>
    <t xml:space="preserve">Prod $</t>
  </si>
  <si>
    <t xml:space="preserve">EARNINGS</t>
  </si>
  <si>
    <t xml:space="preserve">Draw</t>
  </si>
  <si>
    <t xml:space="preserve">BALANCE</t>
  </si>
  <si>
    <t xml:space="preserve">TOTALS</t>
  </si>
  <si>
    <t xml:space="preserve">INTERNAL AUDITS</t>
  </si>
  <si>
    <t xml:space="preserve">1 · Units credited = delivered deals on tabs</t>
  </si>
  <si>
    <t xml:space="preserve">2 · Earnings = Flat + Unit Bonus + Fast-Start + Products</t>
  </si>
  <si>
    <t xml:space="preserve">3 · Balance = Earnings − Draw</t>
  </si>
  <si>
    <t xml:space="preserve">4 · Product $ = rate × delivered products</t>
  </si>
  <si>
    <t xml:space="preserve">5 · No negative flat or units</t>
  </si>
  <si>
    <t xml:space="preserve">6 · Every selling SP maps to a tier</t>
  </si>
  <si>
    <t xml:space="preserve">PAY PLAN — SALESPERSON COMMISSION  ·  SOURCE OF TRUTH</t>
  </si>
  <si>
    <t xml:space="preserve">Dollar cells are unlocked — edit here, everything recalculates.  RETROACTIVE: final monthly units set the tier for every deal.</t>
  </si>
  <si>
    <t xml:space="preserve">UNITS \ GROSS</t>
  </si>
  <si>
    <t xml:space="preserve">&lt;$1,499</t>
  </si>
  <si>
    <t xml:space="preserve">$1,500–2,499</t>
  </si>
  <si>
    <t xml:space="preserve">$2,500–3,499</t>
  </si>
  <si>
    <t xml:space="preserve">$3,500–3,999</t>
  </si>
  <si>
    <t xml:space="preserve">$4,000–5,499</t>
  </si>
  <si>
    <t xml:space="preserve">$5,500–6,999</t>
  </si>
  <si>
    <t xml:space="preserve">$7,000–8,499</t>
  </si>
  <si>
    <t xml:space="preserve">$8,500+</t>
  </si>
  <si>
    <t xml:space="preserve">lookup →</t>
  </si>
  <si>
    <t xml:space="preserve">0–7</t>
  </si>
  <si>
    <t xml:space="preserve">8–13</t>
  </si>
  <si>
    <t xml:space="preserve">14–16</t>
  </si>
  <si>
    <t xml:space="preserve">17–19</t>
  </si>
  <si>
    <t xml:space="preserve">20–24</t>
  </si>
  <si>
    <t xml:space="preserve">25–29</t>
  </si>
  <si>
    <t xml:space="preserve">30+</t>
  </si>
  <si>
    <t xml:space="preserve">UNIT BONUS</t>
  </si>
  <si>
    <t xml:space="preserve">FAST START ≤10th</t>
  </si>
  <si>
    <t xml:space="preserve">PRODUCT $</t>
  </si>
  <si>
    <t xml:space="preserve">WEEKLY DRAW</t>
  </si>
  <si>
    <t xml:space="preserve">Int/Ext</t>
  </si>
  <si>
    <t xml:space="preserve">$/wk</t>
  </si>
  <si>
    <t xml:space="preserve">LoJack</t>
  </si>
  <si>
    <t xml:space="preserve">VSC</t>
  </si>
  <si>
    <t xml:space="preserve">YEAR-END $/car</t>
  </si>
  <si>
    <t xml:space="preserve">Year-end is annual — this August book is monthly. Track annual units separately; rate × annual units at year end.
ASSUMPTIONS (labeled): A1 split deals pay flat × unit credit (0.5 = half flat) · A2 qualifying = delivered · A3 fast-start uses delivery (tab) date · A4 product $ to SP1 · A5 negative gross pays floor tier · A6 draws entered by payroll on Commissions · A8 product columns AM:AO are off the printed day page</t>
  </si>
  <si>
    <t xml:space="preserve">DASHBOARD</t>
  </si>
  <si>
    <t xml:space="preserve">COMMAND DASHBOARD — AUGUST 2026</t>
  </si>
  <si>
    <t xml:space="preserve">Gallatin Ford · live month-to-date roll-up from all 31 day tabs</t>
  </si>
  <si>
    <t xml:space="preserve">PER-DAY AGG</t>
  </si>
  <si>
    <t xml:space="preserve">MONTH-TO-DATE</t>
  </si>
  <si>
    <t xml:space="preserve">TOTAL GROSS</t>
  </si>
  <si>
    <t xml:space="preserve">FRONT</t>
  </si>
  <si>
    <t xml:space="preserve">FINANCE</t>
  </si>
  <si>
    <t xml:space="preserve">TRADES</t>
  </si>
  <si>
    <t xml:space="preserve">CPO</t>
  </si>
  <si>
    <t xml:space="preserve">GOAL &amp; PACE</t>
  </si>
  <si>
    <t xml:space="preserve">Unit Goal</t>
  </si>
  <si>
    <t xml:space="preserve">% to Units</t>
  </si>
  <si>
    <t xml:space="preserve">Gross Goal</t>
  </si>
  <si>
    <t xml:space="preserve">% to Gross</t>
  </si>
  <si>
    <t xml:space="preserve">Selling Days Left</t>
  </si>
  <si>
    <t xml:space="preserve">PACE VERDICT</t>
  </si>
  <si>
    <t xml:space="preserve">Units Pace</t>
  </si>
  <si>
    <t xml:space="preserve">Gross Pace</t>
  </si>
  <si>
    <t xml:space="preserve">AUGUST 2026 CALENDAR — click a day to open its tab</t>
  </si>
  <si>
    <t xml:space="preserve">SUN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</si>
  <si>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</si>
  <si>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</si>
  <si>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</si>
  <si>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</si>
  <si>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</si>
  <si>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</si>
  <si>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closed</t>
  </si>
  <si>
    <t xml:space="preserve">SALESPERSON LEADERBOARD — month-to-date (split deals credited ½/½, ranked by units)</t>
  </si>
  <si>
    <t xml:space="preserve">CHANNEL MIX</t>
  </si>
  <si>
    <t xml:space="preserve">Avg/Unit</t>
  </si>
  <si>
    <t xml:space="preserve">Channel</t>
  </si>
  <si>
    <t xml:space="preserve">Deals</t>
  </si>
  <si>
    <t xml:space="preserve">% Mix</t>
  </si>
  <si>
    <t xml:space="preserve">PRODUCTS (MTD)</t>
  </si>
  <si>
    <t xml:space="preserve">Internet</t>
  </si>
  <si>
    <t xml:space="preserve">Phone</t>
  </si>
  <si>
    <t xml:space="preserve">Showroom</t>
  </si>
  <si>
    <t xml:space="preserve">Campaign</t>
  </si>
  <si>
    <t xml:space="preserve">Untagged</t>
  </si>
  <si>
    <t xml:space="preserve">USED DESK &amp; F&amp;I INTEL — MTD</t>
  </si>
  <si>
    <t xml:space="preserve">Used:New</t>
  </si>
  <si>
    <t xml:space="preserve">Water deals</t>
  </si>
  <si>
    <t xml:space="preserve">Wholesaled %</t>
  </si>
  <si>
    <t xml:space="preserve">VSC pen</t>
  </si>
  <si>
    <t xml:space="preserve">PVR front</t>
  </si>
  <si>
    <t xml:space="preserve">back</t>
  </si>
  <si>
    <t xml:space="preserve">total</t>
  </si>
  <si>
    <t xml:space="preserve">F&amp;I MANAGER SPLIT — deals · VSC · LoJack · Int/Ext</t>
  </si>
  <si>
    <t xml:space="preserve">NIGHTLY TEXT</t>
  </si>
  <si>
    <t xml:space="preserve">NIGHTLY TEXT — build tonight’s recap, then copy the box at the bottom into Teams</t>
  </si>
  <si>
    <t xml:space="preserve">DAY</t>
  </si>
  <si>
    <t xml:space="preserve">N u</t>
  </si>
  <si>
    <t xml:space="preserve">N frt</t>
  </si>
  <si>
    <t xml:space="preserve">N bk</t>
  </si>
  <si>
    <t xml:space="preserve">U u</t>
  </si>
  <si>
    <t xml:space="preserve">U frt</t>
  </si>
  <si>
    <t xml:space="preserve">U bk</t>
  </si>
  <si>
    <t xml:space="preserve">Aug 1</t>
  </si>
  <si>
    <t xml:space="preserve">Work days</t>
  </si>
  <si>
    <t xml:space="preserve">Days worked</t>
  </si>
  <si>
    <t xml:space="preserve">Aug 2</t>
  </si>
  <si>
    <t xml:space="preserve">Aug 3</t>
  </si>
  <si>
    <t xml:space="preserve">New deliv</t>
  </si>
  <si>
    <t xml:space="preserve">N. front</t>
  </si>
  <si>
    <t xml:space="preserve">N. back</t>
  </si>
  <si>
    <t xml:space="preserve">day override:</t>
  </si>
  <si>
    <t xml:space="preserve">Aug 4</t>
  </si>
  <si>
    <t xml:space="preserve">Used deliv</t>
  </si>
  <si>
    <t xml:space="preserve">U. front</t>
  </si>
  <si>
    <t xml:space="preserve">U. back</t>
  </si>
  <si>
    <t xml:space="preserve">Aug 5</t>
  </si>
  <si>
    <t xml:space="preserve">Gross today</t>
  </si>
  <si>
    <t xml:space="preserve">MTD New</t>
  </si>
  <si>
    <t xml:space="preserve">MTD Used</t>
  </si>
  <si>
    <t xml:space="preserve">Aug 6</t>
  </si>
  <si>
    <t xml:space="preserve">MTD gross</t>
  </si>
  <si>
    <t xml:space="preserve">Pacing</t>
  </si>
  <si>
    <t xml:space="preserve">Unit pace</t>
  </si>
  <si>
    <t xml:space="preserve">Aug 7</t>
  </si>
  <si>
    <t xml:space="preserve">Aug 8</t>
  </si>
  <si>
    <t xml:space="preserve">LIVE INPUTS — fill these each night (activity not captured on the day tabs)</t>
  </si>
  <si>
    <t xml:space="preserve">Aug 9</t>
  </si>
  <si>
    <t xml:space="preserve">Sold Inet:</t>
  </si>
  <si>
    <t xml:space="preserve">Appt leads:</t>
  </si>
  <si>
    <t xml:space="preserve">MTD Inet cls%:</t>
  </si>
  <si>
    <t xml:space="preserve">Aug 10</t>
  </si>
  <si>
    <t xml:space="preserve">Phone calls:</t>
  </si>
  <si>
    <t xml:space="preserve">Emails:</t>
  </si>
  <si>
    <t xml:space="preserve">Texts:</t>
  </si>
  <si>
    <t xml:space="preserve">Videos:</t>
  </si>
  <si>
    <t xml:space="preserve">Aug 11</t>
  </si>
  <si>
    <t xml:space="preserve">Total comm</t>
  </si>
  <si>
    <t xml:space="preserve">Unanswered:</t>
  </si>
  <si>
    <t xml:space="preserve">Aug 12</t>
  </si>
  <si>
    <t xml:space="preserve">Inet leads:</t>
  </si>
  <si>
    <t xml:space="preserve">Phone leads:</t>
  </si>
  <si>
    <t xml:space="preserve">Walk-in:</t>
  </si>
  <si>
    <t xml:space="preserve">Appts tmrw:</t>
  </si>
  <si>
    <t xml:space="preserve">Aug 13</t>
  </si>
  <si>
    <t xml:space="preserve">Sales Warrior:</t>
  </si>
  <si>
    <t xml:space="preserve">Aug 14</t>
  </si>
  <si>
    <t xml:space="preserve">Aug 15</t>
  </si>
  <si>
    <t xml:space="preserve">Aug 16</t>
  </si>
  <si>
    <t xml:space="preserve">Aug 17</t>
  </si>
  <si>
    <t xml:space="preserve">Aug 18</t>
  </si>
  <si>
    <t xml:space="preserve">Aug 19</t>
  </si>
  <si>
    <t xml:space="preserve">Aug 20</t>
  </si>
  <si>
    <t xml:space="preserve">Aug 21</t>
  </si>
  <si>
    <t xml:space="preserve">Aug 22</t>
  </si>
  <si>
    <t xml:space="preserve">Aug 23</t>
  </si>
  <si>
    <t xml:space="preserve">Aug 24</t>
  </si>
  <si>
    <t xml:space="preserve">Aug 25</t>
  </si>
  <si>
    <t xml:space="preserve">Aug 26</t>
  </si>
  <si>
    <t xml:space="preserve">Aug 27</t>
  </si>
  <si>
    <t xml:space="preserve">Aug 28</t>
  </si>
  <si>
    <t xml:space="preserve">Aug 29</t>
  </si>
  <si>
    <t xml:space="preserve">Aug 30</t>
  </si>
  <si>
    <t xml:space="preserve">Aug 31</t>
  </si>
  <si>
    <t xml:space="preserve">LEADERBOARD</t>
  </si>
  <si>
    <t xml:space="preserve">LEADERBOARD — AUGUST 2026</t>
  </si>
  <si>
    <t xml:space="preserve">Month-to-date · split deals credited ½/½ · ranked by units</t>
  </si>
  <si>
    <t xml:space="preserve">Rank</t>
  </si>
  <si>
    <t xml:space="preserve">AUG 1</t>
  </si>
  <si>
    <t xml:space="preserve">GALLATIN FORD — AUG 1 · SATURDAY</t>
  </si>
  <si>
    <t xml:space="preserve">Daily Deal Log · August 2026</t>
  </si>
  <si>
    <t xml:space="preserve">TOTAL</t>
  </si>
  <si>
    <t xml:space="preserve">PENDING</t>
  </si>
  <si>
    <t xml:space="preserve">WATER</t>
  </si>
  <si>
    <t xml:space="preserve">DEAL</t>
  </si>
  <si>
    <t xml:space="preserve">SOLD VEHICLE</t>
  </si>
  <si>
    <t xml:space="preserve">TRADE</t>
  </si>
  <si>
    <t xml:space="preserve">DESK</t>
  </si>
  <si>
    <t xml:space="preserve">Stock#</t>
  </si>
  <si>
    <t xml:space="preserve">Age</t>
  </si>
  <si>
    <t xml:space="preserve">Sales Mgr</t>
  </si>
  <si>
    <t xml:space="preserve">F&amp;I Mgr</t>
  </si>
  <si>
    <t xml:space="preserve">Sold Yr</t>
  </si>
  <si>
    <t xml:space="preserve">Sold Make</t>
  </si>
  <si>
    <t xml:space="preserve">Sold Model</t>
  </si>
  <si>
    <t xml:space="preserve">RDR</t>
  </si>
  <si>
    <t xml:space="preserve">Lender</t>
  </si>
  <si>
    <t xml:space="preserve">Front Gross</t>
  </si>
  <si>
    <t xml:space="preserve">Finance Gross</t>
  </si>
  <si>
    <t xml:space="preserve">Total Gross</t>
  </si>
  <si>
    <t xml:space="preserve">Trade Stock#</t>
  </si>
  <si>
    <t xml:space="preserve">Trade Yr</t>
  </si>
  <si>
    <t xml:space="preserve">Trade Make</t>
  </si>
  <si>
    <t xml:space="preserve">Trade Model</t>
  </si>
  <si>
    <t xml:space="preserve">Trade Mileage</t>
  </si>
  <si>
    <t xml:space="preserve">Trade VIN</t>
  </si>
  <si>
    <t xml:space="preserve">Turned In</t>
  </si>
  <si>
    <t xml:space="preserve">Disposition</t>
  </si>
  <si>
    <t xml:space="preserve">ACV</t>
  </si>
  <si>
    <t xml:space="preserve">MMR</t>
  </si>
  <si>
    <t xml:space="preserve">ACV Est</t>
  </si>
  <si>
    <t xml:space="preserve">JD Power Clean</t>
  </si>
  <si>
    <t xml:space="preserve">Ad Source</t>
  </si>
  <si>
    <t xml:space="preserve">We Owe</t>
  </si>
  <si>
    <t xml:space="preserve">x Delivered</t>
  </si>
  <si>
    <t xml:space="preserve">x Cr SP1</t>
  </si>
  <si>
    <t xml:space="preserve">x Cr SP2</t>
  </si>
  <si>
    <t xml:space="preserve">x Channel</t>
  </si>
  <si>
    <t xml:space="preserve">VSC
(Y)</t>
  </si>
  <si>
    <t xml:space="preserve">LoJack
(Y)</t>
  </si>
  <si>
    <t xml:space="preserve">Int/Ext
(Y)</t>
  </si>
  <si>
    <t xml:space="preserve">x Gross Tier</t>
  </si>
  <si>
    <t xml:space="preserve">x ACV−MMR</t>
  </si>
  <si>
    <t xml:space="preserve">DAILY SUMMARY — AUG 1</t>
  </si>
  <si>
    <t xml:space="preserve">NEW</t>
  </si>
  <si>
    <t xml:space="preserve">USED</t>
  </si>
  <si>
    <t xml:space="preserve">Trades Taken</t>
  </si>
  <si>
    <t xml:space="preserve">FLAGS</t>
  </si>
  <si>
    <t xml:space="preserve">Trades</t>
  </si>
  <si>
    <t xml:space="preserve">Wholesaled</t>
  </si>
  <si>
    <t xml:space="preserve">ACV Total</t>
  </si>
  <si>
    <t xml:space="preserve">ACV−MMR Σ</t>
  </si>
  <si>
    <t xml:space="preserve">Pending</t>
  </si>
  <si>
    <t xml:space="preserve">ACV−MMR n</t>
  </si>
  <si>
    <t xml:space="preserve">Water</t>
  </si>
  <si>
    <t xml:space="preserve">Not Turned In</t>
  </si>
  <si>
    <t xml:space="preserve">We Owes</t>
  </si>
  <si>
    <t xml:space="preserve">⚑  PACE COMMAND  —  MONTH STANDING THROUGH AUG 1   ·   goals sync from the Goals tab</t>
  </si>
  <si>
    <t xml:space="preserve">MTD Units</t>
  </si>
  <si>
    <t xml:space="preserve">MTD Gross</t>
  </si>
  <si>
    <t xml:space="preserve">Units Needed / Selling Day</t>
  </si>
  <si>
    <t xml:space="preserve">Gross Needed / Selling Day</t>
  </si>
  <si>
    <t xml:space="preserve">Selling Days Left (incl. today)</t>
  </si>
  <si>
    <t xml:space="preserve">Pace Verdict</t>
  </si>
  <si>
    <t xml:space="preserve">AUG 2</t>
  </si>
  <si>
    <t xml:space="preserve">GALLATIN FORD — AUG 2 · SUNDAY</t>
  </si>
  <si>
    <t xml:space="preserve">Daily Deal Log · August 2026  ·  CLOSED (SUNDAY)</t>
  </si>
  <si>
    <t xml:space="preserve">DAILY SUMMARY — AUG 2</t>
  </si>
  <si>
    <t xml:space="preserve">⚑  PACE COMMAND  —  MONTH STANDING THROUGH AUG 2   ·   goals sync from the Goals tab</t>
  </si>
  <si>
    <t xml:space="preserve">AUG 3</t>
  </si>
  <si>
    <t xml:space="preserve">GALLATIN FORD — AUG 3 · MONDAY</t>
  </si>
  <si>
    <t xml:space="preserve">DAILY SUMMARY — AUG 3</t>
  </si>
  <si>
    <t xml:space="preserve">⚑  PACE COMMAND  —  MONTH STANDING THROUGH AUG 3   ·   goals sync from the Goals tab</t>
  </si>
  <si>
    <t xml:space="preserve">AUG 4</t>
  </si>
  <si>
    <t xml:space="preserve">GALLATIN FORD — AUG 4 · TUESDAY</t>
  </si>
  <si>
    <t xml:space="preserve">DAILY SUMMARY — AUG 4</t>
  </si>
  <si>
    <t xml:space="preserve">⚑  PACE COMMAND  —  MONTH STANDING THROUGH AUG 4   ·   goals sync from the Goals tab</t>
  </si>
  <si>
    <t xml:space="preserve">AUG 5</t>
  </si>
  <si>
    <t xml:space="preserve">GALLATIN FORD — AUG 5 · WEDNESDAY</t>
  </si>
  <si>
    <t xml:space="preserve">DAILY SUMMARY — AUG 5</t>
  </si>
  <si>
    <t xml:space="preserve">⚑  PACE COMMAND  —  MONTH STANDING THROUGH AUG 5   ·   goals sync from the Goals tab</t>
  </si>
  <si>
    <t xml:space="preserve">AUG 6</t>
  </si>
  <si>
    <t xml:space="preserve">GALLATIN FORD — AUG 6 · THURSDAY</t>
  </si>
  <si>
    <t xml:space="preserve">DAILY SUMMARY — AUG 6</t>
  </si>
  <si>
    <t xml:space="preserve">⚑  PACE COMMAND  —  MONTH STANDING THROUGH AUG 6   ·   goals sync from the Goals tab</t>
  </si>
  <si>
    <t xml:space="preserve">AUG 7</t>
  </si>
  <si>
    <t xml:space="preserve">GALLATIN FORD — AUG 7 · FRIDAY</t>
  </si>
  <si>
    <t xml:space="preserve">DAILY SUMMARY — AUG 7</t>
  </si>
  <si>
    <t xml:space="preserve">⚑  PACE COMMAND  —  MONTH STANDING THROUGH AUG 7   ·   goals sync from the Goals tab</t>
  </si>
  <si>
    <t xml:space="preserve">AUG 8</t>
  </si>
  <si>
    <t xml:space="preserve">GALLATIN FORD — AUG 8 · SATURDAY</t>
  </si>
  <si>
    <t xml:space="preserve">DAILY SUMMARY — AUG 8</t>
  </si>
  <si>
    <t xml:space="preserve">⚑  PACE COMMAND  —  MONTH STANDING THROUGH AUG 8   ·   goals sync from the Goals tab</t>
  </si>
  <si>
    <t xml:space="preserve">AUG 9</t>
  </si>
  <si>
    <t xml:space="preserve">GALLATIN FORD — AUG 9 · SUNDAY</t>
  </si>
  <si>
    <t xml:space="preserve">DAILY SUMMARY — AUG 9</t>
  </si>
  <si>
    <t xml:space="preserve">⚑  PACE COMMAND  —  MONTH STANDING THROUGH AUG 9   ·   goals sync from the Goals tab</t>
  </si>
  <si>
    <t xml:space="preserve">AUG 10</t>
  </si>
  <si>
    <t xml:space="preserve">GALLATIN FORD — AUG 10 · MONDAY</t>
  </si>
  <si>
    <t xml:space="preserve">DAILY SUMMARY — AUG 10</t>
  </si>
  <si>
    <t xml:space="preserve">⚑  PACE COMMAND  —  MONTH STANDING THROUGH AUG 10   ·   goals sync from the Goals tab</t>
  </si>
  <si>
    <t xml:space="preserve">AUG 11</t>
  </si>
  <si>
    <t xml:space="preserve">GALLATIN FORD — AUG 11 · TUESDAY</t>
  </si>
  <si>
    <t xml:space="preserve">DAILY SUMMARY — AUG 11</t>
  </si>
  <si>
    <t xml:space="preserve">⚑  PACE COMMAND  —  MONTH STANDING THROUGH AUG 11   ·   goals sync from the Goals tab</t>
  </si>
  <si>
    <t xml:space="preserve">AUG 12</t>
  </si>
  <si>
    <t xml:space="preserve">GALLATIN FORD — AUG 12 · WEDNESDAY</t>
  </si>
  <si>
    <t xml:space="preserve">DAILY SUMMARY — AUG 12</t>
  </si>
  <si>
    <t xml:space="preserve">⚑  PACE COMMAND  —  MONTH STANDING THROUGH AUG 12   ·   goals sync from the Goals tab</t>
  </si>
  <si>
    <t xml:space="preserve">AUG 13</t>
  </si>
  <si>
    <t xml:space="preserve">GALLATIN FORD — AUG 13 · THURSDAY</t>
  </si>
  <si>
    <t xml:space="preserve">DAILY SUMMARY — AUG 13</t>
  </si>
  <si>
    <t xml:space="preserve">⚑  PACE COMMAND  —  MONTH STANDING THROUGH AUG 13   ·   goals sync from the Goals tab</t>
  </si>
  <si>
    <t xml:space="preserve">AUG 14</t>
  </si>
  <si>
    <t xml:space="preserve">GALLATIN FORD — AUG 14 · FRIDAY</t>
  </si>
  <si>
    <t xml:space="preserve">DAILY SUMMARY — AUG 14</t>
  </si>
  <si>
    <t xml:space="preserve">⚑  PACE COMMAND  —  MONTH STANDING THROUGH AUG 14   ·   goals sync from the Goals tab</t>
  </si>
  <si>
    <t xml:space="preserve">AUG 15</t>
  </si>
  <si>
    <t xml:space="preserve">GALLATIN FORD — AUG 15 · SATURDAY</t>
  </si>
  <si>
    <t xml:space="preserve">DAILY SUMMARY — AUG 15</t>
  </si>
  <si>
    <t xml:space="preserve">⚑  PACE COMMAND  —  MONTH STANDING THROUGH AUG 15   ·   goals sync from the Goals tab</t>
  </si>
  <si>
    <t xml:space="preserve">AUG 16</t>
  </si>
  <si>
    <t xml:space="preserve">GALLATIN FORD — AUG 16 · SUNDAY</t>
  </si>
  <si>
    <t xml:space="preserve">DAILY SUMMARY — AUG 16</t>
  </si>
  <si>
    <t xml:space="preserve">⚑  PACE COMMAND  —  MONTH STANDING THROUGH AUG 16   ·   goals sync from the Goals tab</t>
  </si>
  <si>
    <t xml:space="preserve">AUG 17</t>
  </si>
  <si>
    <t xml:space="preserve">GALLATIN FORD — AUG 17 · MONDAY</t>
  </si>
  <si>
    <t xml:space="preserve">DAILY SUMMARY — AUG 17</t>
  </si>
  <si>
    <t xml:space="preserve">⚑  PACE COMMAND  —  MONTH STANDING THROUGH AUG 17   ·   goals sync from the Goals tab</t>
  </si>
  <si>
    <t xml:space="preserve">AUG 18</t>
  </si>
  <si>
    <t xml:space="preserve">GALLATIN FORD — AUG 18 · TUESDAY</t>
  </si>
  <si>
    <t xml:space="preserve">DAILY SUMMARY — AUG 18</t>
  </si>
  <si>
    <t xml:space="preserve">⚑  PACE COMMAND  —  MONTH STANDING THROUGH AUG 18   ·   goals sync from the Goals tab</t>
  </si>
  <si>
    <t xml:space="preserve">AUG 19</t>
  </si>
  <si>
    <t xml:space="preserve">GALLATIN FORD — AUG 19 · WEDNESDAY</t>
  </si>
  <si>
    <t xml:space="preserve">DAILY SUMMARY — AUG 19</t>
  </si>
  <si>
    <t xml:space="preserve">⚑  PACE COMMAND  —  MONTH STANDING THROUGH AUG 19   ·   goals sync from the Goals tab</t>
  </si>
  <si>
    <t xml:space="preserve">AUG 20</t>
  </si>
  <si>
    <t xml:space="preserve">GALLATIN FORD — AUG 20 · THURSDAY</t>
  </si>
  <si>
    <t xml:space="preserve">DAILY SUMMARY — AUG 20</t>
  </si>
  <si>
    <t xml:space="preserve">⚑  PACE COMMAND  —  MONTH STANDING THROUGH AUG 20   ·   goals sync from the Goals tab</t>
  </si>
  <si>
    <t xml:space="preserve">AUG 21</t>
  </si>
  <si>
    <t xml:space="preserve">GALLATIN FORD — AUG 21 · FRIDAY</t>
  </si>
  <si>
    <t xml:space="preserve">DAILY SUMMARY — AUG 21</t>
  </si>
  <si>
    <t xml:space="preserve">⚑  PACE COMMAND  —  MONTH STANDING THROUGH AUG 21   ·   goals sync from the Goals tab</t>
  </si>
  <si>
    <t xml:space="preserve">AUG 22</t>
  </si>
  <si>
    <t xml:space="preserve">GALLATIN FORD — AUG 22 · SATURDAY</t>
  </si>
  <si>
    <t xml:space="preserve">DAILY SUMMARY — AUG 22</t>
  </si>
  <si>
    <t xml:space="preserve">⚑  PACE COMMAND  —  MONTH STANDING THROUGH AUG 22   ·   goals sync from the Goals tab</t>
  </si>
  <si>
    <t xml:space="preserve">AUG 23</t>
  </si>
  <si>
    <t xml:space="preserve">GALLATIN FORD — AUG 23 · SUNDAY</t>
  </si>
  <si>
    <t xml:space="preserve">DAILY SUMMARY — AUG 23</t>
  </si>
  <si>
    <t xml:space="preserve">⚑  PACE COMMAND  —  MONTH STANDING THROUGH AUG 23   ·   goals sync from the Goals tab</t>
  </si>
  <si>
    <t xml:space="preserve">AUG 24</t>
  </si>
  <si>
    <t xml:space="preserve">GALLATIN FORD — AUG 24 · MONDAY</t>
  </si>
  <si>
    <t xml:space="preserve">DAILY SUMMARY — AUG 24</t>
  </si>
  <si>
    <t xml:space="preserve">⚑  PACE COMMAND  —  MONTH STANDING THROUGH AUG 24   ·   goals sync from the Goals tab</t>
  </si>
  <si>
    <t xml:space="preserve">AUG 25</t>
  </si>
  <si>
    <t xml:space="preserve">GALLATIN FORD — AUG 25 · TUESDAY</t>
  </si>
  <si>
    <t xml:space="preserve">DAILY SUMMARY — AUG 25</t>
  </si>
  <si>
    <t xml:space="preserve">⚑  PACE COMMAND  —  MONTH STANDING THROUGH AUG 25   ·   goals sync from the Goals tab</t>
  </si>
  <si>
    <t xml:space="preserve">AUG 26</t>
  </si>
  <si>
    <t xml:space="preserve">GALLATIN FORD — AUG 26 · WEDNESDAY</t>
  </si>
  <si>
    <t xml:space="preserve">DAILY SUMMARY — AUG 26</t>
  </si>
  <si>
    <t xml:space="preserve">⚑  PACE COMMAND  —  MONTH STANDING THROUGH AUG 26   ·   goals sync from the Goals tab</t>
  </si>
  <si>
    <t xml:space="preserve">AUG 27</t>
  </si>
  <si>
    <t xml:space="preserve">GALLATIN FORD — AUG 27 · THURSDAY</t>
  </si>
  <si>
    <t xml:space="preserve">DAILY SUMMARY — AUG 27</t>
  </si>
  <si>
    <t xml:space="preserve">⚑  PACE COMMAND  —  MONTH STANDING THROUGH AUG 27   ·   goals sync from the Goals tab</t>
  </si>
  <si>
    <t xml:space="preserve">AUG 28</t>
  </si>
  <si>
    <t xml:space="preserve">GALLATIN FORD — AUG 28 · FRIDAY</t>
  </si>
  <si>
    <t xml:space="preserve">DAILY SUMMARY — AUG 28</t>
  </si>
  <si>
    <t xml:space="preserve">⚑  PACE COMMAND  —  MONTH STANDING THROUGH AUG 28   ·   goals sync from the Goals tab</t>
  </si>
  <si>
    <t xml:space="preserve">AUG 29</t>
  </si>
  <si>
    <t xml:space="preserve">GALLATIN FORD — AUG 29 · SATURDAY</t>
  </si>
  <si>
    <t xml:space="preserve">DAILY SUMMARY — AUG 29</t>
  </si>
  <si>
    <t xml:space="preserve">⚑  PACE COMMAND  —  MONTH STANDING THROUGH AUG 29   ·   goals sync from the Goals tab</t>
  </si>
  <si>
    <t xml:space="preserve">AUG 30</t>
  </si>
  <si>
    <t xml:space="preserve">GALLATIN FORD — AUG 30 · SUNDAY</t>
  </si>
  <si>
    <t xml:space="preserve">DAILY SUMMARY — AUG 30</t>
  </si>
  <si>
    <t xml:space="preserve">⚑  PACE COMMAND  —  MONTH STANDING THROUGH AUG 30   ·   goals sync from the Goals tab</t>
  </si>
  <si>
    <t xml:space="preserve">AUG 31</t>
  </si>
  <si>
    <t xml:space="preserve">GALLATIN FORD — AUG 31 · MONDAY</t>
  </si>
  <si>
    <t xml:space="preserve">DAILY SUMMARY — AUG 31</t>
  </si>
  <si>
    <t xml:space="preserve">⚑  PACE COMMAND  —  MONTH STANDING THROUGH AUG 31   ·   goals sync from the Goals tab</t>
  </si>
  <si>
    <t xml:space="preserve">TRADE REPORT</t>
  </si>
  <si>
    <t xml:space="preserve">TRADE REPORT — AUGUST 2026</t>
  </si>
  <si>
    <t xml:space="preserve">Every trade taken this month · turned-in vs kept · ACV</t>
  </si>
  <si>
    <t xml:space="preserve">MONTH RECAP</t>
  </si>
  <si>
    <t xml:space="preserve">Turned-In %</t>
  </si>
  <si>
    <t xml:space="preserve">Total ACV</t>
  </si>
  <si>
    <t xml:space="preserve">Avg ACV</t>
  </si>
  <si>
    <t xml:space="preserve">Capture %</t>
  </si>
  <si>
    <t xml:space="preserve">Whlsl %</t>
  </si>
  <si>
    <t xml:space="preserve">Avg ACV−MMR</t>
  </si>
  <si>
    <t xml:space="preserve">Aged kept</t>
  </si>
  <si>
    <t xml:space="preserve">Not Turned</t>
  </si>
  <si>
    <t xml:space="preserve">Flag</t>
  </si>
  <si>
    <t xml:space="preserve">ΣACV−MMR</t>
  </si>
  <si>
    <t xml:space="preserve">n</t>
  </si>
  <si>
    <t xml:space="preserve">Aged</t>
  </si>
  <si>
    <t xml:space="preserve">STAFF ROSTER &amp; REFERENCE LISTS — GALLATIN FORD</t>
  </si>
  <si>
    <t xml:space="preserve">Edit names below to add/remove staff — every dropdown and the Dashboard leaderboard reads from this tab automatically.</t>
  </si>
  <si>
    <t xml:space="preserve">SALESPEOPLE</t>
  </si>
  <si>
    <t xml:space="preserve">SALES MANAGERS</t>
  </si>
  <si>
    <t xml:space="preserve">FINANCE MANAGERS</t>
  </si>
  <si>
    <t xml:space="preserve">AD SOURCE LIST</t>
  </si>
  <si>
    <t xml:space="preserve">CHANNEL</t>
  </si>
  <si>
    <t xml:space="preserve">LENDERS</t>
  </si>
  <si>
    <t xml:space="preserve">VEHICLE YEARS</t>
  </si>
  <si>
    <t xml:space="preserve">MAKES</t>
  </si>
  <si>
    <t xml:space="preserve">ACURA</t>
  </si>
  <si>
    <t xml:space="preserve">ALFA ROMEO</t>
  </si>
  <si>
    <t xml:space="preserve">ASTON MARTIN</t>
  </si>
  <si>
    <t xml:space="preserve">AUDI</t>
  </si>
  <si>
    <t xml:space="preserve">BENTLEY</t>
  </si>
  <si>
    <t xml:space="preserve">BMW</t>
  </si>
  <si>
    <t xml:space="preserve">BUICK</t>
  </si>
  <si>
    <t xml:space="preserve">CADILLAC</t>
  </si>
  <si>
    <t xml:space="preserve">CHEVROLET</t>
  </si>
  <si>
    <t xml:space="preserve">CHRYSLER</t>
  </si>
  <si>
    <t xml:space="preserve">DODGE</t>
  </si>
  <si>
    <t xml:space="preserve">FERRARI</t>
  </si>
  <si>
    <t xml:space="preserve">FIAT</t>
  </si>
  <si>
    <t xml:space="preserve">FORD</t>
  </si>
  <si>
    <t xml:space="preserve">GENESIS</t>
  </si>
  <si>
    <t xml:space="preserve">GMC</t>
  </si>
  <si>
    <t xml:space="preserve">HONDA</t>
  </si>
  <si>
    <t xml:space="preserve">HUMMER</t>
  </si>
  <si>
    <t xml:space="preserve">HYUNDAI</t>
  </si>
  <si>
    <t xml:space="preserve">INFINITI</t>
  </si>
  <si>
    <t xml:space="preserve">ISUZU</t>
  </si>
  <si>
    <t xml:space="preserve">JAGUAR</t>
  </si>
  <si>
    <t xml:space="preserve">JEEP</t>
  </si>
  <si>
    <t xml:space="preserve">KIA</t>
  </si>
  <si>
    <t xml:space="preserve">LAMBORGHINI</t>
  </si>
  <si>
    <t xml:space="preserve">LAND ROVER</t>
  </si>
  <si>
    <t xml:space="preserve">LEXUS</t>
  </si>
  <si>
    <t xml:space="preserve">LINCOLN</t>
  </si>
  <si>
    <t xml:space="preserve">LOTUS</t>
  </si>
  <si>
    <t xml:space="preserve">LUCID</t>
  </si>
  <si>
    <t xml:space="preserve">MASERATI</t>
  </si>
  <si>
    <t xml:space="preserve">MAZDA</t>
  </si>
  <si>
    <t xml:space="preserve">MCLAREN</t>
  </si>
  <si>
    <t xml:space="preserve">MERCEDES-BENZ</t>
  </si>
  <si>
    <t xml:space="preserve">MERCURY</t>
  </si>
  <si>
    <t xml:space="preserve">MINI</t>
  </si>
  <si>
    <t xml:space="preserve">MITSUBISHI</t>
  </si>
  <si>
    <t xml:space="preserve">NISSAN</t>
  </si>
  <si>
    <t xml:space="preserve">OLDSMOBILE</t>
  </si>
  <si>
    <t xml:space="preserve">PLYMOUTH</t>
  </si>
  <si>
    <t xml:space="preserve">POLESTAR</t>
  </si>
  <si>
    <t xml:space="preserve">PONTIAC</t>
  </si>
  <si>
    <t xml:space="preserve">PORSCHE</t>
  </si>
  <si>
    <t xml:space="preserve">RAM</t>
  </si>
  <si>
    <t xml:space="preserve">RIVIAN</t>
  </si>
  <si>
    <t xml:space="preserve">ROLLS-ROYCE</t>
  </si>
  <si>
    <t xml:space="preserve">SAAB</t>
  </si>
  <si>
    <t xml:space="preserve">SATURN</t>
  </si>
  <si>
    <t xml:space="preserve">SCION</t>
  </si>
  <si>
    <t xml:space="preserve">SMART</t>
  </si>
  <si>
    <t xml:space="preserve">SUBARU</t>
  </si>
  <si>
    <t xml:space="preserve">SUZUKI</t>
  </si>
  <si>
    <t xml:space="preserve">TESLA</t>
  </si>
  <si>
    <t xml:space="preserve">TOYOTA</t>
  </si>
  <si>
    <t xml:space="preserve">VINFAST</t>
  </si>
  <si>
    <t xml:space="preserve">VOLKSWAGEN</t>
  </si>
  <si>
    <t xml:space="preserve">VOLVO</t>
  </si>
  <si>
    <t xml:space="preserve">FEDY ALI</t>
  </si>
  <si>
    <t xml:space="preserve">NATA RODRIGUEZ</t>
  </si>
  <si>
    <t xml:space="preserve">JOHN MCCAN</t>
  </si>
  <si>
    <t xml:space="preserve">AUTOBYTEL</t>
  </si>
  <si>
    <t xml:space="preserve">CASH</t>
  </si>
  <si>
    <t xml:space="preserve">ILX</t>
  </si>
  <si>
    <t xml:space="preserve">GIULIA</t>
  </si>
  <si>
    <t xml:space="preserve">DB7</t>
  </si>
  <si>
    <t xml:space="preserve">A3</t>
  </si>
  <si>
    <t xml:space="preserve">CONTINENTAL GT</t>
  </si>
  <si>
    <t xml:space="preserve">1 SERIES</t>
  </si>
  <si>
    <t xml:space="preserve">CENTURY</t>
  </si>
  <si>
    <t xml:space="preserve">ATS</t>
  </si>
  <si>
    <t xml:space="preserve">ASTRO</t>
  </si>
  <si>
    <t xml:space="preserve">200</t>
  </si>
  <si>
    <t xml:space="preserve">AVENGER</t>
  </si>
  <si>
    <t xml:space="preserve">296</t>
  </si>
  <si>
    <t xml:space="preserve">500</t>
  </si>
  <si>
    <t xml:space="preserve">AEROSTAR</t>
  </si>
  <si>
    <t xml:space="preserve">G70</t>
  </si>
  <si>
    <t xml:space="preserve">ACADIA</t>
  </si>
  <si>
    <t xml:space="preserve">ACCORD</t>
  </si>
  <si>
    <t xml:space="preserve">H1</t>
  </si>
  <si>
    <t xml:space="preserve">ACCENT</t>
  </si>
  <si>
    <t xml:space="preserve">EX35</t>
  </si>
  <si>
    <t xml:space="preserve">AMIGO</t>
  </si>
  <si>
    <t xml:space="preserve">E-PACE</t>
  </si>
  <si>
    <t xml:space="preserve">CHEROKEE</t>
  </si>
  <si>
    <t xml:space="preserve">AMANTI</t>
  </si>
  <si>
    <t xml:space="preserve">AVENTADOR</t>
  </si>
  <si>
    <t xml:space="preserve">DEFENDER</t>
  </si>
  <si>
    <t xml:space="preserve">CT 200H</t>
  </si>
  <si>
    <t xml:space="preserve">AVIATOR</t>
  </si>
  <si>
    <t xml:space="preserve">ELISE</t>
  </si>
  <si>
    <t xml:space="preserve">AIR</t>
  </si>
  <si>
    <t xml:space="preserve">COUPE</t>
  </si>
  <si>
    <t xml:space="preserve">323</t>
  </si>
  <si>
    <t xml:space="preserve">570S</t>
  </si>
  <si>
    <t xml:space="preserve">190</t>
  </si>
  <si>
    <t xml:space="preserve">COUGAR</t>
  </si>
  <si>
    <t xml:space="preserve">COOPER</t>
  </si>
  <si>
    <t xml:space="preserve">3000GT</t>
  </si>
  <si>
    <t xml:space="preserve">200SX</t>
  </si>
  <si>
    <t xml:space="preserve">88</t>
  </si>
  <si>
    <t xml:space="preserve">ACCLAIM</t>
  </si>
  <si>
    <t xml:space="preserve">1</t>
  </si>
  <si>
    <t xml:space="preserve">AZTEK</t>
  </si>
  <si>
    <t xml:space="preserve">911</t>
  </si>
  <si>
    <t xml:space="preserve">1500</t>
  </si>
  <si>
    <t xml:space="preserve">R1T</t>
  </si>
  <si>
    <t xml:space="preserve">CULLINAN</t>
  </si>
  <si>
    <t xml:space="preserve">9-2X</t>
  </si>
  <si>
    <t xml:space="preserve">ASTRA</t>
  </si>
  <si>
    <t xml:space="preserve">FR-S</t>
  </si>
  <si>
    <t xml:space="preserve">FORTWO</t>
  </si>
  <si>
    <t xml:space="preserve">ASCENT</t>
  </si>
  <si>
    <t xml:space="preserve">AERIO</t>
  </si>
  <si>
    <t xml:space="preserve">MODEL 3</t>
  </si>
  <si>
    <t xml:space="preserve">4RUNNER</t>
  </si>
  <si>
    <t xml:space="preserve">VF 8</t>
  </si>
  <si>
    <t xml:space="preserve">ARTEON</t>
  </si>
  <si>
    <t xml:space="preserve">240</t>
  </si>
  <si>
    <t xml:space="preserve">CHAD EMBRY</t>
  </si>
  <si>
    <t xml:space="preserve">TONY BATTISTA</t>
  </si>
  <si>
    <t xml:space="preserve">JACOB MAGED</t>
  </si>
  <si>
    <t xml:space="preserve">AUTOTRADER</t>
  </si>
  <si>
    <t xml:space="preserve">OSL (Outside Lien)</t>
  </si>
  <si>
    <t xml:space="preserve">INTEGRA</t>
  </si>
  <si>
    <t xml:space="preserve">STELVIO</t>
  </si>
  <si>
    <t xml:space="preserve">DB9</t>
  </si>
  <si>
    <t xml:space="preserve">A4</t>
  </si>
  <si>
    <t xml:space="preserve">CONTINENTAL GTC</t>
  </si>
  <si>
    <t xml:space="preserve">2 SERIES</t>
  </si>
  <si>
    <t xml:space="preserve">REGAL</t>
  </si>
  <si>
    <t xml:space="preserve">CTS</t>
  </si>
  <si>
    <t xml:space="preserve">AVALANCHE</t>
  </si>
  <si>
    <t xml:space="preserve">300</t>
  </si>
  <si>
    <t xml:space="preserve">CALIBER</t>
  </si>
  <si>
    <t xml:space="preserve">348</t>
  </si>
  <si>
    <t xml:space="preserve">500L</t>
  </si>
  <si>
    <t xml:space="preserve">ASPIRE</t>
  </si>
  <si>
    <t xml:space="preserve">G80</t>
  </si>
  <si>
    <t xml:space="preserve">CANYON</t>
  </si>
  <si>
    <t xml:space="preserve">ACCORD CROSSTOUR</t>
  </si>
  <si>
    <t xml:space="preserve">H2</t>
  </si>
  <si>
    <t xml:space="preserve">AZERA</t>
  </si>
  <si>
    <t xml:space="preserve">FX35</t>
  </si>
  <si>
    <t xml:space="preserve">ASCENDER</t>
  </si>
  <si>
    <t xml:space="preserve">F-PACE</t>
  </si>
  <si>
    <t xml:space="preserve">COMANCHE</t>
  </si>
  <si>
    <t xml:space="preserve">BORREGO</t>
  </si>
  <si>
    <t xml:space="preserve">DIABLO</t>
  </si>
  <si>
    <t xml:space="preserve">DISCOVERY</t>
  </si>
  <si>
    <t xml:space="preserve">ES 300</t>
  </si>
  <si>
    <t xml:space="preserve">BLACKWOOD</t>
  </si>
  <si>
    <t xml:space="preserve">EVORA</t>
  </si>
  <si>
    <t xml:space="preserve">GRAVITY</t>
  </si>
  <si>
    <t xml:space="preserve">GHIBLI</t>
  </si>
  <si>
    <t xml:space="preserve">626</t>
  </si>
  <si>
    <t xml:space="preserve">600LT</t>
  </si>
  <si>
    <t xml:space="preserve">A-CLASS</t>
  </si>
  <si>
    <t xml:space="preserve">GRAND MARQUIS</t>
  </si>
  <si>
    <t xml:space="preserve">COOPER CLUBMAN</t>
  </si>
  <si>
    <t xml:space="preserve">DIAMANTE</t>
  </si>
  <si>
    <t xml:space="preserve">240SX</t>
  </si>
  <si>
    <t xml:space="preserve">98</t>
  </si>
  <si>
    <t xml:space="preserve">BREEZE</t>
  </si>
  <si>
    <t xml:space="preserve">2</t>
  </si>
  <si>
    <t xml:space="preserve">BONNEVILLE</t>
  </si>
  <si>
    <t xml:space="preserve">918 SPYDER</t>
  </si>
  <si>
    <t xml:space="preserve">1500 CLASSIC</t>
  </si>
  <si>
    <t xml:space="preserve">R1S</t>
  </si>
  <si>
    <t xml:space="preserve">DAWN</t>
  </si>
  <si>
    <t xml:space="preserve">9-3</t>
  </si>
  <si>
    <t xml:space="preserve">AURA</t>
  </si>
  <si>
    <t xml:space="preserve">IA</t>
  </si>
  <si>
    <t xml:space="preserve">FORTWO ELECTRIC</t>
  </si>
  <si>
    <t xml:space="preserve">B9 TRIBECA</t>
  </si>
  <si>
    <t xml:space="preserve">EQUATOR</t>
  </si>
  <si>
    <t xml:space="preserve">MODEL S</t>
  </si>
  <si>
    <t xml:space="preserve">86</t>
  </si>
  <si>
    <t xml:space="preserve">VF 9</t>
  </si>
  <si>
    <t xml:space="preserve">ATLAS</t>
  </si>
  <si>
    <t xml:space="preserve">740</t>
  </si>
  <si>
    <t xml:space="preserve">RICH AMMERMAN</t>
  </si>
  <si>
    <t xml:space="preserve">ROBERT LISOWSKI</t>
  </si>
  <si>
    <t xml:space="preserve">BDC</t>
  </si>
  <si>
    <t xml:space="preserve">5th/3rd</t>
  </si>
  <si>
    <t xml:space="preserve">LEGEND</t>
  </si>
  <si>
    <t xml:space="preserve">TONALE</t>
  </si>
  <si>
    <t xml:space="preserve">DB11</t>
  </si>
  <si>
    <t xml:space="preserve">A5</t>
  </si>
  <si>
    <t xml:space="preserve">CONTINENTAL FLYING SPUR</t>
  </si>
  <si>
    <t xml:space="preserve">3 SERIES</t>
  </si>
  <si>
    <t xml:space="preserve">LESABRE</t>
  </si>
  <si>
    <t xml:space="preserve">CT4</t>
  </si>
  <si>
    <t xml:space="preserve">AVEO</t>
  </si>
  <si>
    <t xml:space="preserve">300M</t>
  </si>
  <si>
    <t xml:space="preserve">CARAVAN</t>
  </si>
  <si>
    <t xml:space="preserve">355</t>
  </si>
  <si>
    <t xml:space="preserve">500X</t>
  </si>
  <si>
    <t xml:space="preserve">BRONCO</t>
  </si>
  <si>
    <t xml:space="preserve">G90</t>
  </si>
  <si>
    <t xml:space="preserve">ENVOY</t>
  </si>
  <si>
    <t xml:space="preserve">CIVIC</t>
  </si>
  <si>
    <t xml:space="preserve">H3</t>
  </si>
  <si>
    <t xml:space="preserve">ELANTRA</t>
  </si>
  <si>
    <t xml:space="preserve">FX45</t>
  </si>
  <si>
    <t xml:space="preserve">AXIOM</t>
  </si>
  <si>
    <t xml:space="preserve">F-TYPE</t>
  </si>
  <si>
    <t xml:space="preserve">COMMANDER</t>
  </si>
  <si>
    <t xml:space="preserve">CADENZA</t>
  </si>
  <si>
    <t xml:space="preserve">GALLARDO</t>
  </si>
  <si>
    <t xml:space="preserve">DISCOVERY SPORT</t>
  </si>
  <si>
    <t xml:space="preserve">ES 330</t>
  </si>
  <si>
    <t xml:space="preserve">CONTINENTAL</t>
  </si>
  <si>
    <t xml:space="preserve">EXIGE</t>
  </si>
  <si>
    <t xml:space="preserve">GRANTURISMO</t>
  </si>
  <si>
    <t xml:space="preserve">929</t>
  </si>
  <si>
    <t xml:space="preserve">650S</t>
  </si>
  <si>
    <t xml:space="preserve">AMG GT</t>
  </si>
  <si>
    <t xml:space="preserve">MARAUDER</t>
  </si>
  <si>
    <t xml:space="preserve">COOPER COUNTRYMAN</t>
  </si>
  <si>
    <t xml:space="preserve">ECLIPSE</t>
  </si>
  <si>
    <t xml:space="preserve">300ZX</t>
  </si>
  <si>
    <t xml:space="preserve">ACHIEVA</t>
  </si>
  <si>
    <t xml:space="preserve">GRAND VOYAGER</t>
  </si>
  <si>
    <t xml:space="preserve">3</t>
  </si>
  <si>
    <t xml:space="preserve">FIREBIRD</t>
  </si>
  <si>
    <t xml:space="preserve">924</t>
  </si>
  <si>
    <t xml:space="preserve">2500</t>
  </si>
  <si>
    <t xml:space="preserve">R2</t>
  </si>
  <si>
    <t xml:space="preserve">GHOST</t>
  </si>
  <si>
    <t xml:space="preserve">9-4X</t>
  </si>
  <si>
    <t xml:space="preserve">ION</t>
  </si>
  <si>
    <t xml:space="preserve">IM</t>
  </si>
  <si>
    <t xml:space="preserve">BAJA</t>
  </si>
  <si>
    <t xml:space="preserve">ESTEEM</t>
  </si>
  <si>
    <t xml:space="preserve">MODEL X</t>
  </si>
  <si>
    <t xml:space="preserve">AVALON</t>
  </si>
  <si>
    <t xml:space="preserve">ATLAS CROSS SPORT</t>
  </si>
  <si>
    <t xml:space="preserve">850</t>
  </si>
  <si>
    <t xml:space="preserve">GARRET SCHWETTMAN</t>
  </si>
  <si>
    <t xml:space="preserve">JOE BARBA</t>
  </si>
  <si>
    <t xml:space="preserve">BE BACK</t>
  </si>
  <si>
    <t xml:space="preserve">Achieva Credit Union</t>
  </si>
  <si>
    <t xml:space="preserve">CL</t>
  </si>
  <si>
    <t xml:space="preserve">4C</t>
  </si>
  <si>
    <t xml:space="preserve">DB12</t>
  </si>
  <si>
    <t xml:space="preserve">A6</t>
  </si>
  <si>
    <t xml:space="preserve">FLYING SPUR</t>
  </si>
  <si>
    <t xml:space="preserve">4 SERIES</t>
  </si>
  <si>
    <t xml:space="preserve">PARK AVENUE</t>
  </si>
  <si>
    <t xml:space="preserve">CT5</t>
  </si>
  <si>
    <t xml:space="preserve">BERETTA</t>
  </si>
  <si>
    <t xml:space="preserve">CIRRUS</t>
  </si>
  <si>
    <t xml:space="preserve">GRAND CARAVAN</t>
  </si>
  <si>
    <t xml:space="preserve">360</t>
  </si>
  <si>
    <t xml:space="preserve">500E</t>
  </si>
  <si>
    <t xml:space="preserve">BRONCO SPORT</t>
  </si>
  <si>
    <t xml:space="preserve">GV60</t>
  </si>
  <si>
    <t xml:space="preserve">ENVOY XL</t>
  </si>
  <si>
    <t xml:space="preserve">CIVIC DEL SOL</t>
  </si>
  <si>
    <t xml:space="preserve">H3T</t>
  </si>
  <si>
    <t xml:space="preserve">ELANTRA N</t>
  </si>
  <si>
    <t xml:space="preserve">FX50</t>
  </si>
  <si>
    <t xml:space="preserve">HOMBRE</t>
  </si>
  <si>
    <t xml:space="preserve">I-PACE</t>
  </si>
  <si>
    <t xml:space="preserve">COMPASS</t>
  </si>
  <si>
    <t xml:space="preserve">CARNIVAL</t>
  </si>
  <si>
    <t xml:space="preserve">HURACAN</t>
  </si>
  <si>
    <t xml:space="preserve">FREELANDER</t>
  </si>
  <si>
    <t xml:space="preserve">ES 350</t>
  </si>
  <si>
    <t xml:space="preserve">CORSAIR</t>
  </si>
  <si>
    <t xml:space="preserve">EMIRA</t>
  </si>
  <si>
    <t xml:space="preserve">GRANSPORT</t>
  </si>
  <si>
    <t xml:space="preserve">B-SERIES</t>
  </si>
  <si>
    <t xml:space="preserve">675LT</t>
  </si>
  <si>
    <t xml:space="preserve">B-CLASS</t>
  </si>
  <si>
    <t xml:space="preserve">MARINER</t>
  </si>
  <si>
    <t xml:space="preserve">COOPER PACEMAN</t>
  </si>
  <si>
    <t xml:space="preserve">ECLIPSE CROSS</t>
  </si>
  <si>
    <t xml:space="preserve">350Z</t>
  </si>
  <si>
    <t xml:space="preserve">ALERO</t>
  </si>
  <si>
    <t xml:space="preserve">NEON</t>
  </si>
  <si>
    <t xml:space="preserve">4</t>
  </si>
  <si>
    <t xml:space="preserve">G3</t>
  </si>
  <si>
    <t xml:space="preserve">928</t>
  </si>
  <si>
    <t xml:space="preserve">3500</t>
  </si>
  <si>
    <t xml:space="preserve">R3</t>
  </si>
  <si>
    <t xml:space="preserve">PHANTOM</t>
  </si>
  <si>
    <t xml:space="preserve">9-5</t>
  </si>
  <si>
    <t xml:space="preserve">L-SERIES</t>
  </si>
  <si>
    <t xml:space="preserve">IQ</t>
  </si>
  <si>
    <t xml:space="preserve">BRZ</t>
  </si>
  <si>
    <t xml:space="preserve">FORENZA</t>
  </si>
  <si>
    <t xml:space="preserve">MODEL Y</t>
  </si>
  <si>
    <t xml:space="preserve">BZ4X</t>
  </si>
  <si>
    <t xml:space="preserve">BEETLE</t>
  </si>
  <si>
    <t xml:space="preserve">940</t>
  </si>
  <si>
    <t xml:space="preserve">MERCEDES CLARK</t>
  </si>
  <si>
    <t xml:space="preserve">BING</t>
  </si>
  <si>
    <t xml:space="preserve">Ally</t>
  </si>
  <si>
    <t xml:space="preserve">TL</t>
  </si>
  <si>
    <t xml:space="preserve">164</t>
  </si>
  <si>
    <t xml:space="preserve">DBS</t>
  </si>
  <si>
    <t xml:space="preserve">A7</t>
  </si>
  <si>
    <t xml:space="preserve">BENTAYGA</t>
  </si>
  <si>
    <t xml:space="preserve">5 SERIES</t>
  </si>
  <si>
    <t xml:space="preserve">RIVIERA</t>
  </si>
  <si>
    <t xml:space="preserve">CT6</t>
  </si>
  <si>
    <t xml:space="preserve">BLAZER</t>
  </si>
  <si>
    <t xml:space="preserve">CONCORDE</t>
  </si>
  <si>
    <t xml:space="preserve">CHALLENGER</t>
  </si>
  <si>
    <t xml:space="preserve">430</t>
  </si>
  <si>
    <t xml:space="preserve">124 SPIDER</t>
  </si>
  <si>
    <t xml:space="preserve">C-MAX</t>
  </si>
  <si>
    <t xml:space="preserve">GV70</t>
  </si>
  <si>
    <t xml:space="preserve">HUMMER EV PICKUP</t>
  </si>
  <si>
    <t xml:space="preserve">CLARITY</t>
  </si>
  <si>
    <t xml:space="preserve">ENTOURAGE</t>
  </si>
  <si>
    <t xml:space="preserve">G20</t>
  </si>
  <si>
    <t xml:space="preserve">I-280</t>
  </si>
  <si>
    <t xml:space="preserve">S-TYPE</t>
  </si>
  <si>
    <t xml:space="preserve">GLADIATOR</t>
  </si>
  <si>
    <t xml:space="preserve">EV6</t>
  </si>
  <si>
    <t xml:space="preserve">MURCIELAGO</t>
  </si>
  <si>
    <t xml:space="preserve">LR2</t>
  </si>
  <si>
    <t xml:space="preserve">ES 300H</t>
  </si>
  <si>
    <t xml:space="preserve">LS</t>
  </si>
  <si>
    <t xml:space="preserve">ELETRE</t>
  </si>
  <si>
    <t xml:space="preserve">GRANCABRIO</t>
  </si>
  <si>
    <t xml:space="preserve">CX-3</t>
  </si>
  <si>
    <t xml:space="preserve">720S</t>
  </si>
  <si>
    <t xml:space="preserve">C-CLASS</t>
  </si>
  <si>
    <t xml:space="preserve">MILAN</t>
  </si>
  <si>
    <t xml:space="preserve">COOPER ROADSTER</t>
  </si>
  <si>
    <t xml:space="preserve">ENDEAVOR</t>
  </si>
  <si>
    <t xml:space="preserve">370Z</t>
  </si>
  <si>
    <t xml:space="preserve">AURORA</t>
  </si>
  <si>
    <t xml:space="preserve">PROWLER</t>
  </si>
  <si>
    <t xml:space="preserve">G5</t>
  </si>
  <si>
    <t xml:space="preserve">944</t>
  </si>
  <si>
    <t xml:space="preserve">4500</t>
  </si>
  <si>
    <t xml:space="preserve">SILVER SERAPH</t>
  </si>
  <si>
    <t xml:space="preserve">9-7X</t>
  </si>
  <si>
    <t xml:space="preserve">OUTLOOK</t>
  </si>
  <si>
    <t xml:space="preserve">TC</t>
  </si>
  <si>
    <t xml:space="preserve">CROSSTREK</t>
  </si>
  <si>
    <t xml:space="preserve">GRAND VITARA</t>
  </si>
  <si>
    <t xml:space="preserve">CYBERTRUCK</t>
  </si>
  <si>
    <t xml:space="preserve">C-HR</t>
  </si>
  <si>
    <t xml:space="preserve">CABRIO</t>
  </si>
  <si>
    <t xml:space="preserve">960</t>
  </si>
  <si>
    <t xml:space="preserve">ZAY JOHNSON</t>
  </si>
  <si>
    <t xml:space="preserve">BUYATOYOTA.COM</t>
  </si>
  <si>
    <t xml:space="preserve">American Credit Acceptance</t>
  </si>
  <si>
    <t xml:space="preserve">TLX</t>
  </si>
  <si>
    <t xml:space="preserve">GTV</t>
  </si>
  <si>
    <t xml:space="preserve">VANTAGE</t>
  </si>
  <si>
    <t xml:space="preserve">A8</t>
  </si>
  <si>
    <t xml:space="preserve">MULSANNE</t>
  </si>
  <si>
    <t xml:space="preserve">6 SERIES</t>
  </si>
  <si>
    <t xml:space="preserve">SKYLARK</t>
  </si>
  <si>
    <t xml:space="preserve">STS</t>
  </si>
  <si>
    <t xml:space="preserve">BLAZER EV</t>
  </si>
  <si>
    <t xml:space="preserve">CROSSFIRE</t>
  </si>
  <si>
    <t xml:space="preserve">CHARGER</t>
  </si>
  <si>
    <t xml:space="preserve">456</t>
  </si>
  <si>
    <t xml:space="preserve">CONTOUR</t>
  </si>
  <si>
    <t xml:space="preserve">GV80</t>
  </si>
  <si>
    <t xml:space="preserve">HUMMER EV SUV</t>
  </si>
  <si>
    <t xml:space="preserve">CR-V</t>
  </si>
  <si>
    <t xml:space="preserve">EQUUS</t>
  </si>
  <si>
    <t xml:space="preserve">G35</t>
  </si>
  <si>
    <t xml:space="preserve">I-290</t>
  </si>
  <si>
    <t xml:space="preserve">X-TYPE</t>
  </si>
  <si>
    <t xml:space="preserve">GRAND CHEROKEE</t>
  </si>
  <si>
    <t xml:space="preserve">EV9</t>
  </si>
  <si>
    <t xml:space="preserve">URUS</t>
  </si>
  <si>
    <t xml:space="preserve">LR3</t>
  </si>
  <si>
    <t xml:space="preserve">GS 300</t>
  </si>
  <si>
    <t xml:space="preserve">MARK LT</t>
  </si>
  <si>
    <t xml:space="preserve">ESPRIT</t>
  </si>
  <si>
    <t xml:space="preserve">GRECALE</t>
  </si>
  <si>
    <t xml:space="preserve">CX-30</t>
  </si>
  <si>
    <t xml:space="preserve">750S</t>
  </si>
  <si>
    <t xml:space="preserve">CL-CLASS</t>
  </si>
  <si>
    <t xml:space="preserve">MONTEGO</t>
  </si>
  <si>
    <t xml:space="preserve">COOPER COUPE</t>
  </si>
  <si>
    <t xml:space="preserve">GALANT</t>
  </si>
  <si>
    <t xml:space="preserve">ALTIMA</t>
  </si>
  <si>
    <t xml:space="preserve">BRAVADA</t>
  </si>
  <si>
    <t xml:space="preserve">SUNDANCE</t>
  </si>
  <si>
    <t xml:space="preserve">G6</t>
  </si>
  <si>
    <t xml:space="preserve">968</t>
  </si>
  <si>
    <t xml:space="preserve">5500</t>
  </si>
  <si>
    <t xml:space="preserve">SPECTRE</t>
  </si>
  <si>
    <t xml:space="preserve">900</t>
  </si>
  <si>
    <t xml:space="preserve">RELAY</t>
  </si>
  <si>
    <t xml:space="preserve">XA</t>
  </si>
  <si>
    <t xml:space="preserve">FORESTER</t>
  </si>
  <si>
    <t xml:space="preserve">KIZASHI</t>
  </si>
  <si>
    <t xml:space="preserve">ROADSTER</t>
  </si>
  <si>
    <t xml:space="preserve">CAMRY</t>
  </si>
  <si>
    <t xml:space="preserve">CC</t>
  </si>
  <si>
    <t xml:space="preserve">C30</t>
  </si>
  <si>
    <t xml:space="preserve">JUSTIN ROLLER</t>
  </si>
  <si>
    <t xml:space="preserve">CALL LIST</t>
  </si>
  <si>
    <t xml:space="preserve">AMERICREDIT</t>
  </si>
  <si>
    <t xml:space="preserve">RL</t>
  </si>
  <si>
    <t xml:space="preserve">SPIDER</t>
  </si>
  <si>
    <t xml:space="preserve">VANQUISH</t>
  </si>
  <si>
    <t xml:space="preserve">S3</t>
  </si>
  <si>
    <t xml:space="preserve">ARNAGE</t>
  </si>
  <si>
    <t xml:space="preserve">7 SERIES</t>
  </si>
  <si>
    <t xml:space="preserve">ROADMASTER</t>
  </si>
  <si>
    <t xml:space="preserve">DTS</t>
  </si>
  <si>
    <t xml:space="preserve">BOLT EV</t>
  </si>
  <si>
    <t xml:space="preserve">LHS</t>
  </si>
  <si>
    <t xml:space="preserve">CHARGER DAYTONA</t>
  </si>
  <si>
    <t xml:space="preserve">458</t>
  </si>
  <si>
    <t xml:space="preserve">CROWN VICTORIA</t>
  </si>
  <si>
    <t xml:space="preserve">ELECTRIFIED G80</t>
  </si>
  <si>
    <t xml:space="preserve">JIMMY</t>
  </si>
  <si>
    <t xml:space="preserve">CR-Z</t>
  </si>
  <si>
    <t xml:space="preserve">G37</t>
  </si>
  <si>
    <t xml:space="preserve">I-350</t>
  </si>
  <si>
    <t xml:space="preserve">XE</t>
  </si>
  <si>
    <t xml:space="preserve">GRAND CHEROKEE L</t>
  </si>
  <si>
    <t xml:space="preserve">FORTE</t>
  </si>
  <si>
    <t xml:space="preserve">REVUELTO</t>
  </si>
  <si>
    <t xml:space="preserve">LR4</t>
  </si>
  <si>
    <t xml:space="preserve">GS 350</t>
  </si>
  <si>
    <t xml:space="preserve">MARK VIII</t>
  </si>
  <si>
    <t xml:space="preserve">LEVANTE</t>
  </si>
  <si>
    <t xml:space="preserve">CX-5</t>
  </si>
  <si>
    <t xml:space="preserve">765LT</t>
  </si>
  <si>
    <t xml:space="preserve">CLA</t>
  </si>
  <si>
    <t xml:space="preserve">MONTEREY</t>
  </si>
  <si>
    <t xml:space="preserve">COUNTRYMAN</t>
  </si>
  <si>
    <t xml:space="preserve">LANCER</t>
  </si>
  <si>
    <t xml:space="preserve">ARIYA</t>
  </si>
  <si>
    <t xml:space="preserve">CUTLASS</t>
  </si>
  <si>
    <t xml:space="preserve">VOYAGER</t>
  </si>
  <si>
    <t xml:space="preserve">G8</t>
  </si>
  <si>
    <t xml:space="preserve">BOXSTER</t>
  </si>
  <si>
    <t xml:space="preserve">PROMASTER</t>
  </si>
  <si>
    <t xml:space="preserve">WRAITH</t>
  </si>
  <si>
    <t xml:space="preserve">9000</t>
  </si>
  <si>
    <t xml:space="preserve">SC1</t>
  </si>
  <si>
    <t xml:space="preserve">XB</t>
  </si>
  <si>
    <t xml:space="preserve">IMPREZA</t>
  </si>
  <si>
    <t xml:space="preserve">RENO</t>
  </si>
  <si>
    <t xml:space="preserve">CELICA</t>
  </si>
  <si>
    <t xml:space="preserve">CORRADO</t>
  </si>
  <si>
    <t xml:space="preserve">C40</t>
  </si>
  <si>
    <t xml:space="preserve">MATT ALFIERI</t>
  </si>
  <si>
    <t xml:space="preserve">CAMPAIGN</t>
  </si>
  <si>
    <t xml:space="preserve">Arra Finance (Crescent)</t>
  </si>
  <si>
    <t xml:space="preserve">RLX</t>
  </si>
  <si>
    <t xml:space="preserve">RAPIDE</t>
  </si>
  <si>
    <t xml:space="preserve">S4</t>
  </si>
  <si>
    <t xml:space="preserve">AZURE</t>
  </si>
  <si>
    <t xml:space="preserve">8 SERIES</t>
  </si>
  <si>
    <t xml:space="preserve">LACROSSE</t>
  </si>
  <si>
    <t xml:space="preserve">XTS</t>
  </si>
  <si>
    <t xml:space="preserve">BOLT EUV</t>
  </si>
  <si>
    <t xml:space="preserve">NEW YORKER</t>
  </si>
  <si>
    <t xml:space="preserve">DAKOTA</t>
  </si>
  <si>
    <t xml:space="preserve">488</t>
  </si>
  <si>
    <t xml:space="preserve">E-150</t>
  </si>
  <si>
    <t xml:space="preserve">ELECTRIFIED GV70</t>
  </si>
  <si>
    <t xml:space="preserve">SAFARI</t>
  </si>
  <si>
    <t xml:space="preserve">CROSSTOUR</t>
  </si>
  <si>
    <t xml:space="preserve">GENESIS COUPE</t>
  </si>
  <si>
    <t xml:space="preserve">I30</t>
  </si>
  <si>
    <t xml:space="preserve">I-370</t>
  </si>
  <si>
    <t xml:space="preserve">XF</t>
  </si>
  <si>
    <t xml:space="preserve">GRAND WAGONEER</t>
  </si>
  <si>
    <t xml:space="preserve">K4</t>
  </si>
  <si>
    <t xml:space="preserve">COUNTACH</t>
  </si>
  <si>
    <t xml:space="preserve">RANGE ROVER</t>
  </si>
  <si>
    <t xml:space="preserve">GS 430</t>
  </si>
  <si>
    <t xml:space="preserve">MKC</t>
  </si>
  <si>
    <t xml:space="preserve">MC20</t>
  </si>
  <si>
    <t xml:space="preserve">CX-50</t>
  </si>
  <si>
    <t xml:space="preserve">ARTURA</t>
  </si>
  <si>
    <t xml:space="preserve">CLE</t>
  </si>
  <si>
    <t xml:space="preserve">MOUNTAINEER</t>
  </si>
  <si>
    <t xml:space="preserve">CLUBMAN</t>
  </si>
  <si>
    <t xml:space="preserve">LANCER EVOLUTION</t>
  </si>
  <si>
    <t xml:space="preserve">ARMADA</t>
  </si>
  <si>
    <t xml:space="preserve">CUTLASS CIERA</t>
  </si>
  <si>
    <t xml:space="preserve">GRAND AM</t>
  </si>
  <si>
    <t xml:space="preserve">CARRERA GT</t>
  </si>
  <si>
    <t xml:space="preserve">PROMASTER CITY</t>
  </si>
  <si>
    <t xml:space="preserve">CORNICHE</t>
  </si>
  <si>
    <t xml:space="preserve">SC2</t>
  </si>
  <si>
    <t xml:space="preserve">XD</t>
  </si>
  <si>
    <t xml:space="preserve">JUSTY</t>
  </si>
  <si>
    <t xml:space="preserve">SAMURAI</t>
  </si>
  <si>
    <t xml:space="preserve">COROLLA</t>
  </si>
  <si>
    <t xml:space="preserve">EOS</t>
  </si>
  <si>
    <t xml:space="preserve">C70</t>
  </si>
  <si>
    <t xml:space="preserve">ZACH CUPP</t>
  </si>
  <si>
    <t xml:space="preserve">CAP ONE</t>
  </si>
  <si>
    <t xml:space="preserve">Ascend FCU</t>
  </si>
  <si>
    <t xml:space="preserve">TSX</t>
  </si>
  <si>
    <t xml:space="preserve">VIRAGE</t>
  </si>
  <si>
    <t xml:space="preserve">S5</t>
  </si>
  <si>
    <t xml:space="preserve">BROOKLANDS</t>
  </si>
  <si>
    <t xml:space="preserve">M2</t>
  </si>
  <si>
    <t xml:space="preserve">LUCERNE</t>
  </si>
  <si>
    <t xml:space="preserve">DEVILLE</t>
  </si>
  <si>
    <t xml:space="preserve">CAMARO</t>
  </si>
  <si>
    <t xml:space="preserve">PACIFICA</t>
  </si>
  <si>
    <t xml:space="preserve">DART</t>
  </si>
  <si>
    <t xml:space="preserve">512</t>
  </si>
  <si>
    <t xml:space="preserve">E-250</t>
  </si>
  <si>
    <t xml:space="preserve">SAVANA</t>
  </si>
  <si>
    <t xml:space="preserve">ELEMENT</t>
  </si>
  <si>
    <t xml:space="preserve">IONIQ</t>
  </si>
  <si>
    <t xml:space="preserve">I35</t>
  </si>
  <si>
    <t xml:space="preserve">OASIS</t>
  </si>
  <si>
    <t xml:space="preserve">XJ</t>
  </si>
  <si>
    <t xml:space="preserve">LIBERTY</t>
  </si>
  <si>
    <t xml:space="preserve">K5</t>
  </si>
  <si>
    <t xml:space="preserve">TEMERARIO</t>
  </si>
  <si>
    <t xml:space="preserve">RANGE ROVER EVOQUE</t>
  </si>
  <si>
    <t xml:space="preserve">GS 460</t>
  </si>
  <si>
    <t xml:space="preserve">MKS</t>
  </si>
  <si>
    <t xml:space="preserve">QUATTROPORTE</t>
  </si>
  <si>
    <t xml:space="preserve">CX-7</t>
  </si>
  <si>
    <t xml:space="preserve">GT</t>
  </si>
  <si>
    <t xml:space="preserve">CLK</t>
  </si>
  <si>
    <t xml:space="preserve">MYSTIQUE</t>
  </si>
  <si>
    <t xml:space="preserve">HARDTOP</t>
  </si>
  <si>
    <t xml:space="preserve">MIRAGE</t>
  </si>
  <si>
    <t xml:space="preserve">CUBE</t>
  </si>
  <si>
    <t xml:space="preserve">CUTLASS SUPREME</t>
  </si>
  <si>
    <t xml:space="preserve">GRAND PRIX</t>
  </si>
  <si>
    <t xml:space="preserve">CAYENNE</t>
  </si>
  <si>
    <t xml:space="preserve">SKY</t>
  </si>
  <si>
    <t xml:space="preserve">LEGACY</t>
  </si>
  <si>
    <t xml:space="preserve">SIDEKICK</t>
  </si>
  <si>
    <t xml:space="preserve">COROLLA CROSS</t>
  </si>
  <si>
    <t xml:space="preserve">EUROVAN</t>
  </si>
  <si>
    <t xml:space="preserve">EX30</t>
  </si>
  <si>
    <t xml:space="preserve">ANDREW MIEIR</t>
  </si>
  <si>
    <t xml:space="preserve">CAR GURU</t>
  </si>
  <si>
    <t xml:space="preserve">Axos Bank</t>
  </si>
  <si>
    <t xml:space="preserve">RSX</t>
  </si>
  <si>
    <t xml:space="preserve">DBX</t>
  </si>
  <si>
    <t xml:space="preserve">S6</t>
  </si>
  <si>
    <t xml:space="preserve">TURBO R</t>
  </si>
  <si>
    <t xml:space="preserve">M3</t>
  </si>
  <si>
    <t xml:space="preserve">RENDEZVOUS</t>
  </si>
  <si>
    <t xml:space="preserve">SEVILLE</t>
  </si>
  <si>
    <t xml:space="preserve">CAPRICE</t>
  </si>
  <si>
    <t xml:space="preserve">PACIFICA HYBRID</t>
  </si>
  <si>
    <t xml:space="preserve">DURANGO</t>
  </si>
  <si>
    <t xml:space="preserve">550</t>
  </si>
  <si>
    <t xml:space="preserve">E-350</t>
  </si>
  <si>
    <t xml:space="preserve">SIERRA 1500</t>
  </si>
  <si>
    <t xml:space="preserve">FIT</t>
  </si>
  <si>
    <t xml:space="preserve">IONIQ 5</t>
  </si>
  <si>
    <t xml:space="preserve">J30</t>
  </si>
  <si>
    <t xml:space="preserve">RODEO</t>
  </si>
  <si>
    <t xml:space="preserve">XJ6</t>
  </si>
  <si>
    <t xml:space="preserve">PATRIOT</t>
  </si>
  <si>
    <t xml:space="preserve">K900</t>
  </si>
  <si>
    <t xml:space="preserve">RANGE ROVER SPORT</t>
  </si>
  <si>
    <t xml:space="preserve">GS F</t>
  </si>
  <si>
    <t xml:space="preserve">MKT</t>
  </si>
  <si>
    <t xml:space="preserve">SPYDER</t>
  </si>
  <si>
    <t xml:space="preserve">CX-70</t>
  </si>
  <si>
    <t xml:space="preserve">MP4-12C</t>
  </si>
  <si>
    <t xml:space="preserve">CLS</t>
  </si>
  <si>
    <t xml:space="preserve">SABLE</t>
  </si>
  <si>
    <t xml:space="preserve">CONVERTIBLE</t>
  </si>
  <si>
    <t xml:space="preserve">MONTERO</t>
  </si>
  <si>
    <t xml:space="preserve">FRONTIER</t>
  </si>
  <si>
    <t xml:space="preserve">INTRIGUE</t>
  </si>
  <si>
    <t xml:space="preserve">GTO</t>
  </si>
  <si>
    <t xml:space="preserve">CAYMAN</t>
  </si>
  <si>
    <t xml:space="preserve">SL1</t>
  </si>
  <si>
    <t xml:space="preserve">OUTBACK</t>
  </si>
  <si>
    <t xml:space="preserve">SWIFT</t>
  </si>
  <si>
    <t xml:space="preserve">COROLLA IM</t>
  </si>
  <si>
    <t xml:space="preserve">E-GOLF</t>
  </si>
  <si>
    <t xml:space="preserve">EX90</t>
  </si>
  <si>
    <t xml:space="preserve">RAFAEL CAMPOS</t>
  </si>
  <si>
    <t xml:space="preserve">CARFAX</t>
  </si>
  <si>
    <t xml:space="preserve">Bank of America</t>
  </si>
  <si>
    <t xml:space="preserve">NSX</t>
  </si>
  <si>
    <t xml:space="preserve">VALOUR</t>
  </si>
  <si>
    <t xml:space="preserve">S7</t>
  </si>
  <si>
    <t xml:space="preserve">M4</t>
  </si>
  <si>
    <t xml:space="preserve">RAINIER</t>
  </si>
  <si>
    <t xml:space="preserve">ELDORADO</t>
  </si>
  <si>
    <t xml:space="preserve">CAPTIVA SPORT</t>
  </si>
  <si>
    <t xml:space="preserve">PT CRUISER</t>
  </si>
  <si>
    <t xml:space="preserve">HORNET</t>
  </si>
  <si>
    <t xml:space="preserve">575</t>
  </si>
  <si>
    <t xml:space="preserve">E-SERIES</t>
  </si>
  <si>
    <t xml:space="preserve">SIERRA 2500HD</t>
  </si>
  <si>
    <t xml:space="preserve">HR-V</t>
  </si>
  <si>
    <t xml:space="preserve">IONIQ 6</t>
  </si>
  <si>
    <t xml:space="preserve">JX35</t>
  </si>
  <si>
    <t xml:space="preserve">TROOPER</t>
  </si>
  <si>
    <t xml:space="preserve">XJ8</t>
  </si>
  <si>
    <t xml:space="preserve">RENEGADE</t>
  </si>
  <si>
    <t xml:space="preserve">NIRO</t>
  </si>
  <si>
    <t xml:space="preserve">RANGE ROVER VELAR</t>
  </si>
  <si>
    <t xml:space="preserve">GX 460</t>
  </si>
  <si>
    <t xml:space="preserve">MKX</t>
  </si>
  <si>
    <t xml:space="preserve">CX-9</t>
  </si>
  <si>
    <t xml:space="preserve">P1</t>
  </si>
  <si>
    <t xml:space="preserve">E-CLASS</t>
  </si>
  <si>
    <t xml:space="preserve">TRACER</t>
  </si>
  <si>
    <t xml:space="preserve">ACEMAN</t>
  </si>
  <si>
    <t xml:space="preserve">MONTERO SPORT</t>
  </si>
  <si>
    <t xml:space="preserve">GT-R</t>
  </si>
  <si>
    <t xml:space="preserve">SILHOUETTE</t>
  </si>
  <si>
    <t xml:space="preserve">MONTANA</t>
  </si>
  <si>
    <t xml:space="preserve">MACAN</t>
  </si>
  <si>
    <t xml:space="preserve">SL2</t>
  </si>
  <si>
    <t xml:space="preserve">SOLTERRA</t>
  </si>
  <si>
    <t xml:space="preserve">SX4</t>
  </si>
  <si>
    <t xml:space="preserve">CRESSIDA</t>
  </si>
  <si>
    <t xml:space="preserve">GLI</t>
  </si>
  <si>
    <t xml:space="preserve">S40</t>
  </si>
  <si>
    <t xml:space="preserve">JACOB LICHTENSTRAHL</t>
  </si>
  <si>
    <t xml:space="preserve">CARS.COM</t>
  </si>
  <si>
    <t xml:space="preserve">C&amp;F Finance</t>
  </si>
  <si>
    <t xml:space="preserve">MDX</t>
  </si>
  <si>
    <t xml:space="preserve">LAGONDA</t>
  </si>
  <si>
    <t xml:space="preserve">S8</t>
  </si>
  <si>
    <t xml:space="preserve">M5</t>
  </si>
  <si>
    <t xml:space="preserve">TERRAZA</t>
  </si>
  <si>
    <t xml:space="preserve">FLEETWOOD</t>
  </si>
  <si>
    <t xml:space="preserve">CAVALIER</t>
  </si>
  <si>
    <t xml:space="preserve">SEBRING</t>
  </si>
  <si>
    <t xml:space="preserve">INTREPID</t>
  </si>
  <si>
    <t xml:space="preserve">599</t>
  </si>
  <si>
    <t xml:space="preserve">E-TRANSIT</t>
  </si>
  <si>
    <t xml:space="preserve">SIERRA 3500HD</t>
  </si>
  <si>
    <t xml:space="preserve">INSIGHT</t>
  </si>
  <si>
    <t xml:space="preserve">IONIQ 9</t>
  </si>
  <si>
    <t xml:space="preserve">M35</t>
  </si>
  <si>
    <t xml:space="preserve">VEHICROSS</t>
  </si>
  <si>
    <t xml:space="preserve">XJR</t>
  </si>
  <si>
    <t xml:space="preserve">WAGONEER</t>
  </si>
  <si>
    <t xml:space="preserve">OPTIMA</t>
  </si>
  <si>
    <t xml:space="preserve">GX 470</t>
  </si>
  <si>
    <t xml:space="preserve">MKZ</t>
  </si>
  <si>
    <t xml:space="preserve">CX-90</t>
  </si>
  <si>
    <t xml:space="preserve">SENNA</t>
  </si>
  <si>
    <t xml:space="preserve">EQB</t>
  </si>
  <si>
    <t xml:space="preserve">VILLAGER</t>
  </si>
  <si>
    <t xml:space="preserve">OUTLANDER</t>
  </si>
  <si>
    <t xml:space="preserve">JUKE</t>
  </si>
  <si>
    <t xml:space="preserve">REGENCY</t>
  </si>
  <si>
    <t xml:space="preserve">SOLSTICE</t>
  </si>
  <si>
    <t xml:space="preserve">MACAN ELECTRIC</t>
  </si>
  <si>
    <t xml:space="preserve">SW1</t>
  </si>
  <si>
    <t xml:space="preserve">SVX</t>
  </si>
  <si>
    <t xml:space="preserve">VERONA</t>
  </si>
  <si>
    <t xml:space="preserve">CROWN</t>
  </si>
  <si>
    <t xml:space="preserve">GOLF</t>
  </si>
  <si>
    <t xml:space="preserve">S60</t>
  </si>
  <si>
    <t xml:space="preserve">BRAYDON JOHNSON</t>
  </si>
  <si>
    <t xml:space="preserve">COASTAL</t>
  </si>
  <si>
    <t xml:space="preserve">CapitalOne</t>
  </si>
  <si>
    <t xml:space="preserve">RDX</t>
  </si>
  <si>
    <t xml:space="preserve">RS3</t>
  </si>
  <si>
    <t xml:space="preserve">M6</t>
  </si>
  <si>
    <t xml:space="preserve">ENCLAVE</t>
  </si>
  <si>
    <t xml:space="preserve">CATERA</t>
  </si>
  <si>
    <t xml:space="preserve">CITY EXPRESS</t>
  </si>
  <si>
    <t xml:space="preserve">TOWN &amp; COUNTRY</t>
  </si>
  <si>
    <t xml:space="preserve">JOURNEY</t>
  </si>
  <si>
    <t xml:space="preserve">612</t>
  </si>
  <si>
    <t xml:space="preserve">ECOSPORT</t>
  </si>
  <si>
    <t xml:space="preserve">SIERRA EV</t>
  </si>
  <si>
    <t xml:space="preserve">ODYSSEY</t>
  </si>
  <si>
    <t xml:space="preserve">KONA</t>
  </si>
  <si>
    <t xml:space="preserve">M37</t>
  </si>
  <si>
    <t xml:space="preserve">XJS</t>
  </si>
  <si>
    <t xml:space="preserve">WAGONEER S</t>
  </si>
  <si>
    <t xml:space="preserve">RIO</t>
  </si>
  <si>
    <t xml:space="preserve">GX 550</t>
  </si>
  <si>
    <t xml:space="preserve">NAUTILUS</t>
  </si>
  <si>
    <t xml:space="preserve">MAZDA2</t>
  </si>
  <si>
    <t xml:space="preserve">EQE</t>
  </si>
  <si>
    <t xml:space="preserve">OUTLANDER PHEV</t>
  </si>
  <si>
    <t xml:space="preserve">KICKS</t>
  </si>
  <si>
    <t xml:space="preserve">SUNFIRE</t>
  </si>
  <si>
    <t xml:space="preserve">PANAMERA</t>
  </si>
  <si>
    <t xml:space="preserve">SW2</t>
  </si>
  <si>
    <t xml:space="preserve">TRIBECA</t>
  </si>
  <si>
    <t xml:space="preserve">VITARA</t>
  </si>
  <si>
    <t xml:space="preserve">CROWN SIGNIA</t>
  </si>
  <si>
    <t xml:space="preserve">GOLF GTI</t>
  </si>
  <si>
    <t xml:space="preserve">S70</t>
  </si>
  <si>
    <t xml:space="preserve">CHRIS HORNE</t>
  </si>
  <si>
    <t xml:space="preserve">DEALER CHAT</t>
  </si>
  <si>
    <t xml:space="preserve">Chase</t>
  </si>
  <si>
    <t xml:space="preserve">ZDX</t>
  </si>
  <si>
    <t xml:space="preserve">RS5</t>
  </si>
  <si>
    <t xml:space="preserve">M8</t>
  </si>
  <si>
    <t xml:space="preserve">ENCORE</t>
  </si>
  <si>
    <t xml:space="preserve">ALLANTE</t>
  </si>
  <si>
    <t xml:space="preserve">COBALT</t>
  </si>
  <si>
    <t xml:space="preserve">MAGNUM</t>
  </si>
  <si>
    <t xml:space="preserve">812</t>
  </si>
  <si>
    <t xml:space="preserve">EDGE</t>
  </si>
  <si>
    <t xml:space="preserve">SONOMA</t>
  </si>
  <si>
    <t xml:space="preserve">PASSPORT</t>
  </si>
  <si>
    <t xml:space="preserve">KONA ELECTRIC</t>
  </si>
  <si>
    <t xml:space="preserve">M45</t>
  </si>
  <si>
    <t xml:space="preserve">XK</t>
  </si>
  <si>
    <t xml:space="preserve">WRANGLER</t>
  </si>
  <si>
    <t xml:space="preserve">RONDO</t>
  </si>
  <si>
    <t xml:space="preserve">HS 250H</t>
  </si>
  <si>
    <t xml:space="preserve">NAVIGATOR</t>
  </si>
  <si>
    <t xml:space="preserve">MAZDA3</t>
  </si>
  <si>
    <t xml:space="preserve">EQE SUV</t>
  </si>
  <si>
    <t xml:space="preserve">OUTLANDER SPORT</t>
  </si>
  <si>
    <t xml:space="preserve">LEAF</t>
  </si>
  <si>
    <t xml:space="preserve">TORRENT</t>
  </si>
  <si>
    <t xml:space="preserve">TAYCAN</t>
  </si>
  <si>
    <t xml:space="preserve">VUE</t>
  </si>
  <si>
    <t xml:space="preserve">WRX</t>
  </si>
  <si>
    <t xml:space="preserve">X-90</t>
  </si>
  <si>
    <t xml:space="preserve">ECHO</t>
  </si>
  <si>
    <t xml:space="preserve">GOLF R</t>
  </si>
  <si>
    <t xml:space="preserve">S80</t>
  </si>
  <si>
    <t xml:space="preserve">TIM CAMPBELL</t>
  </si>
  <si>
    <t xml:space="preserve">DEALER ON</t>
  </si>
  <si>
    <t xml:space="preserve">Commerce Bank</t>
  </si>
  <si>
    <t xml:space="preserve">SLX</t>
  </si>
  <si>
    <t xml:space="preserve">RS6</t>
  </si>
  <si>
    <t xml:space="preserve">X1</t>
  </si>
  <si>
    <t xml:space="preserve">ENCORE GX</t>
  </si>
  <si>
    <t xml:space="preserve">XLR</t>
  </si>
  <si>
    <t xml:space="preserve">COLORADO</t>
  </si>
  <si>
    <t xml:space="preserve">ASPEN</t>
  </si>
  <si>
    <t xml:space="preserve">CALIFORNIA</t>
  </si>
  <si>
    <t xml:space="preserve">ESCAPE</t>
  </si>
  <si>
    <t xml:space="preserve">SUBURBAN</t>
  </si>
  <si>
    <t xml:space="preserve">PILOT</t>
  </si>
  <si>
    <t xml:space="preserve">NEXO</t>
  </si>
  <si>
    <t xml:space="preserve">M56</t>
  </si>
  <si>
    <t xml:space="preserve">XK8</t>
  </si>
  <si>
    <t xml:space="preserve">WRANGLER UNLIMITED</t>
  </si>
  <si>
    <t xml:space="preserve">SEDONA</t>
  </si>
  <si>
    <t xml:space="preserve">IS 250</t>
  </si>
  <si>
    <t xml:space="preserve">TOWN CAR</t>
  </si>
  <si>
    <t xml:space="preserve">MAZDA5</t>
  </si>
  <si>
    <t xml:space="preserve">EQS</t>
  </si>
  <si>
    <t xml:space="preserve">RAIDER</t>
  </si>
  <si>
    <t xml:space="preserve">MAXIMA</t>
  </si>
  <si>
    <t xml:space="preserve">TRANS AM</t>
  </si>
  <si>
    <t xml:space="preserve">718 BOXSTER</t>
  </si>
  <si>
    <t xml:space="preserve">WRX STI</t>
  </si>
  <si>
    <t xml:space="preserve">XL-7</t>
  </si>
  <si>
    <t xml:space="preserve">FJ CRUISER</t>
  </si>
  <si>
    <t xml:space="preserve">GTI</t>
  </si>
  <si>
    <t xml:space="preserve">S90</t>
  </si>
  <si>
    <t xml:space="preserve">BILL RISKO</t>
  </si>
  <si>
    <t xml:space="preserve">DEALER SITE</t>
  </si>
  <si>
    <t xml:space="preserve">Consumer Portfolio Services</t>
  </si>
  <si>
    <t xml:space="preserve">VIGOR</t>
  </si>
  <si>
    <t xml:space="preserve">RS7</t>
  </si>
  <si>
    <t xml:space="preserve">X2</t>
  </si>
  <si>
    <t xml:space="preserve">ENVISION</t>
  </si>
  <si>
    <t xml:space="preserve">SRX</t>
  </si>
  <si>
    <t xml:space="preserve">CORSICA</t>
  </si>
  <si>
    <t xml:space="preserve">IMPERIAL</t>
  </si>
  <si>
    <t xml:space="preserve">NITRO</t>
  </si>
  <si>
    <t xml:space="preserve">PORTOFINO</t>
  </si>
  <si>
    <t xml:space="preserve">ESCORT</t>
  </si>
  <si>
    <t xml:space="preserve">TERRAIN</t>
  </si>
  <si>
    <t xml:space="preserve">PRELUDE</t>
  </si>
  <si>
    <t xml:space="preserve">PALISADE</t>
  </si>
  <si>
    <t xml:space="preserve">Q40</t>
  </si>
  <si>
    <t xml:space="preserve">XKR</t>
  </si>
  <si>
    <t xml:space="preserve">SELTOS</t>
  </si>
  <si>
    <t xml:space="preserve">IS 300</t>
  </si>
  <si>
    <t xml:space="preserve">ZEPHYR</t>
  </si>
  <si>
    <t xml:space="preserve">MAZDA6</t>
  </si>
  <si>
    <t xml:space="preserve">EQS SUV</t>
  </si>
  <si>
    <t xml:space="preserve">MURANO</t>
  </si>
  <si>
    <t xml:space="preserve">VIBE</t>
  </si>
  <si>
    <t xml:space="preserve">718 CAYMAN</t>
  </si>
  <si>
    <t xml:space="preserve">XV CROSSTREK</t>
  </si>
  <si>
    <t xml:space="preserve">GR COROLLA</t>
  </si>
  <si>
    <t xml:space="preserve">ID.4</t>
  </si>
  <si>
    <t xml:space="preserve">V40</t>
  </si>
  <si>
    <t xml:space="preserve">DEALER WEB</t>
  </si>
  <si>
    <t xml:space="preserve">Credit Acceptance</t>
  </si>
  <si>
    <t xml:space="preserve">ADX</t>
  </si>
  <si>
    <t xml:space="preserve">TT</t>
  </si>
  <si>
    <t xml:space="preserve">X3</t>
  </si>
  <si>
    <t xml:space="preserve">ENVISTA</t>
  </si>
  <si>
    <t xml:space="preserve">XT4</t>
  </si>
  <si>
    <t xml:space="preserve">CORVETTE</t>
  </si>
  <si>
    <t xml:space="preserve">LEBARON</t>
  </si>
  <si>
    <t xml:space="preserve">RAM 1500</t>
  </si>
  <si>
    <t xml:space="preserve">ROMA</t>
  </si>
  <si>
    <t xml:space="preserve">EXCURSION</t>
  </si>
  <si>
    <t xml:space="preserve">TYPHOON</t>
  </si>
  <si>
    <t xml:space="preserve">PROLOGUE</t>
  </si>
  <si>
    <t xml:space="preserve">SANTA CRUZ</t>
  </si>
  <si>
    <t xml:space="preserve">Q45</t>
  </si>
  <si>
    <t xml:space="preserve">VANDEN PLAS</t>
  </si>
  <si>
    <t xml:space="preserve">SEPHIA</t>
  </si>
  <si>
    <t xml:space="preserve">IS 350</t>
  </si>
  <si>
    <t xml:space="preserve">MIATA</t>
  </si>
  <si>
    <t xml:space="preserve">G-CLASS</t>
  </si>
  <si>
    <t xml:space="preserve">NV200</t>
  </si>
  <si>
    <t xml:space="preserve">GR SUPRA</t>
  </si>
  <si>
    <t xml:space="preserve">ID. BUZZ</t>
  </si>
  <si>
    <t xml:space="preserve">V50</t>
  </si>
  <si>
    <t xml:space="preserve">DRIVE BY</t>
  </si>
  <si>
    <t xml:space="preserve">Enbright Credit Union</t>
  </si>
  <si>
    <t xml:space="preserve">EL</t>
  </si>
  <si>
    <t xml:space="preserve">TTS</t>
  </si>
  <si>
    <t xml:space="preserve">X4</t>
  </si>
  <si>
    <t xml:space="preserve">VERANO</t>
  </si>
  <si>
    <t xml:space="preserve">XT5</t>
  </si>
  <si>
    <t xml:space="preserve">CRUZE</t>
  </si>
  <si>
    <t xml:space="preserve">RAM 2500</t>
  </si>
  <si>
    <t xml:space="preserve">PUROSANGUE</t>
  </si>
  <si>
    <t xml:space="preserve">EXPEDITION</t>
  </si>
  <si>
    <t xml:space="preserve">YUKON</t>
  </si>
  <si>
    <t xml:space="preserve">RIDGELINE</t>
  </si>
  <si>
    <t xml:space="preserve">SANTA FE</t>
  </si>
  <si>
    <t xml:space="preserve">Q50</t>
  </si>
  <si>
    <t xml:space="preserve">SORENTO</t>
  </si>
  <si>
    <t xml:space="preserve">IS 500</t>
  </si>
  <si>
    <t xml:space="preserve">MILLENIA</t>
  </si>
  <si>
    <t xml:space="preserve">GL-CLASS</t>
  </si>
  <si>
    <t xml:space="preserve">NV1500</t>
  </si>
  <si>
    <t xml:space="preserve">GR86</t>
  </si>
  <si>
    <t xml:space="preserve">JETTA</t>
  </si>
  <si>
    <t xml:space="preserve">V60</t>
  </si>
  <si>
    <t xml:space="preserve">EMPLOYEE</t>
  </si>
  <si>
    <t xml:space="preserve">Exeter Finance</t>
  </si>
  <si>
    <t xml:space="preserve">TT RS</t>
  </si>
  <si>
    <t xml:space="preserve">X5</t>
  </si>
  <si>
    <t xml:space="preserve">CASCADA</t>
  </si>
  <si>
    <t xml:space="preserve">XT6</t>
  </si>
  <si>
    <t xml:space="preserve">EQUINOX</t>
  </si>
  <si>
    <t xml:space="preserve">RAM 3500</t>
  </si>
  <si>
    <t xml:space="preserve">F8</t>
  </si>
  <si>
    <t xml:space="preserve">EXPLORER</t>
  </si>
  <si>
    <t xml:space="preserve">YUKON XL</t>
  </si>
  <si>
    <t xml:space="preserve">S2000</t>
  </si>
  <si>
    <t xml:space="preserve">SONATA</t>
  </si>
  <si>
    <t xml:space="preserve">Q60</t>
  </si>
  <si>
    <t xml:space="preserve">SOUL</t>
  </si>
  <si>
    <t xml:space="preserve">IS F</t>
  </si>
  <si>
    <t xml:space="preserve">MPV</t>
  </si>
  <si>
    <t xml:space="preserve">GLA</t>
  </si>
  <si>
    <t xml:space="preserve">NV2500</t>
  </si>
  <si>
    <t xml:space="preserve">GRAND HIGHLANDER</t>
  </si>
  <si>
    <t xml:space="preserve">NEW BEETLE</t>
  </si>
  <si>
    <t xml:space="preserve">V70</t>
  </si>
  <si>
    <t xml:space="preserve">Type (on each day tab)  -&gt;  New / Used</t>
  </si>
  <si>
    <t xml:space="preserve">BENCHMARKS — tune targets here (yellow cells)</t>
  </si>
  <si>
    <t xml:space="preserve">FRESH UP</t>
  </si>
  <si>
    <t xml:space="preserve">First Help Financial</t>
  </si>
  <si>
    <t xml:space="preserve">R8</t>
  </si>
  <si>
    <t xml:space="preserve">X6</t>
  </si>
  <si>
    <t xml:space="preserve">ELECTRA</t>
  </si>
  <si>
    <t xml:space="preserve">ESCALADE</t>
  </si>
  <si>
    <t xml:space="preserve">EQUINOX EV</t>
  </si>
  <si>
    <t xml:space="preserve">RAMCHARGER</t>
  </si>
  <si>
    <t xml:space="preserve">SF90</t>
  </si>
  <si>
    <t xml:space="preserve">EXPLORER SPORT TRAC</t>
  </si>
  <si>
    <t xml:space="preserve">YUKON DENALI</t>
  </si>
  <si>
    <t xml:space="preserve">TIBURON</t>
  </si>
  <si>
    <t xml:space="preserve">Q70</t>
  </si>
  <si>
    <t xml:space="preserve">SPECTRA</t>
  </si>
  <si>
    <t xml:space="preserve">LC 500</t>
  </si>
  <si>
    <t xml:space="preserve">MX-30</t>
  </si>
  <si>
    <t xml:space="preserve">GLB</t>
  </si>
  <si>
    <t xml:space="preserve">PATHFINDER</t>
  </si>
  <si>
    <t xml:space="preserve">HIGHLANDER</t>
  </si>
  <si>
    <t xml:space="preserve">PASSAT</t>
  </si>
  <si>
    <t xml:space="preserve">V90</t>
  </si>
  <si>
    <t xml:space="preserve">Rows marked Pending, Unwind, or Back Out are excluded from unit &amp; gross totals.</t>
  </si>
  <si>
    <t xml:space="preserve">VSC penetration target</t>
  </si>
  <si>
    <t xml:space="preserve">GLOBAL</t>
  </si>
  <si>
    <t xml:space="preserve">Flagship Financial</t>
  </si>
  <si>
    <t xml:space="preserve">Q3</t>
  </si>
  <si>
    <t xml:space="preserve">X7</t>
  </si>
  <si>
    <t xml:space="preserve">ESCALADE ESV</t>
  </si>
  <si>
    <t xml:space="preserve">EXPRESS</t>
  </si>
  <si>
    <t xml:space="preserve">SPIRIT</t>
  </si>
  <si>
    <t xml:space="preserve">F12</t>
  </si>
  <si>
    <t xml:space="preserve">F-150</t>
  </si>
  <si>
    <t xml:space="preserve">TUCSON</t>
  </si>
  <si>
    <t xml:space="preserve">QX30</t>
  </si>
  <si>
    <t xml:space="preserve">SPORTAGE</t>
  </si>
  <si>
    <t xml:space="preserve">LFA</t>
  </si>
  <si>
    <t xml:space="preserve">MX-5 MIATA</t>
  </si>
  <si>
    <t xml:space="preserve">GLC</t>
  </si>
  <si>
    <t xml:space="preserve">QUEST</t>
  </si>
  <si>
    <t xml:space="preserve">LAND CRUISER</t>
  </si>
  <si>
    <t xml:space="preserve">PHAETON</t>
  </si>
  <si>
    <t xml:space="preserve">XC40</t>
  </si>
  <si>
    <t xml:space="preserve">Appraisal-to-trade floor</t>
  </si>
  <si>
    <t xml:space="preserve">GOLDDIGGER</t>
  </si>
  <si>
    <t xml:space="preserve">Ford Credit</t>
  </si>
  <si>
    <t xml:space="preserve">Q4 E-TRON</t>
  </si>
  <si>
    <t xml:space="preserve">XM</t>
  </si>
  <si>
    <t xml:space="preserve">ESCALADE EXT</t>
  </si>
  <si>
    <t xml:space="preserve">HHR</t>
  </si>
  <si>
    <t xml:space="preserve">STEALTH</t>
  </si>
  <si>
    <t xml:space="preserve">FF</t>
  </si>
  <si>
    <t xml:space="preserve">F-150 LIGHTNING</t>
  </si>
  <si>
    <t xml:space="preserve">VELOSTER</t>
  </si>
  <si>
    <t xml:space="preserve">QX4</t>
  </si>
  <si>
    <t xml:space="preserve">STINGER</t>
  </si>
  <si>
    <t xml:space="preserve">LS 400</t>
  </si>
  <si>
    <t xml:space="preserve">MX-6</t>
  </si>
  <si>
    <t xml:space="preserve">GLE</t>
  </si>
  <si>
    <t xml:space="preserve">ROGUE</t>
  </si>
  <si>
    <t xml:space="preserve">MATRIX</t>
  </si>
  <si>
    <t xml:space="preserve">RABBIT</t>
  </si>
  <si>
    <t xml:space="preserve">XC60</t>
  </si>
  <si>
    <t xml:space="preserve">Immediate-wholesale ceiling</t>
  </si>
  <si>
    <t xml:space="preserve">GOOGLE</t>
  </si>
  <si>
    <t xml:space="preserve">Global Lending Services</t>
  </si>
  <si>
    <t xml:space="preserve">Q5</t>
  </si>
  <si>
    <t xml:space="preserve">Z3</t>
  </si>
  <si>
    <t xml:space="preserve">ESCALADE IQ</t>
  </si>
  <si>
    <t xml:space="preserve">IMPALA</t>
  </si>
  <si>
    <t xml:space="preserve">STRATUS</t>
  </si>
  <si>
    <t xml:space="preserve">GTC4LUSSO</t>
  </si>
  <si>
    <t xml:space="preserve">F-250</t>
  </si>
  <si>
    <t xml:space="preserve">VENUE</t>
  </si>
  <si>
    <t xml:space="preserve">QX50</t>
  </si>
  <si>
    <t xml:space="preserve">TELLURIDE</t>
  </si>
  <si>
    <t xml:space="preserve">LS 430</t>
  </si>
  <si>
    <t xml:space="preserve">PROTEGE</t>
  </si>
  <si>
    <t xml:space="preserve">GLK</t>
  </si>
  <si>
    <t xml:space="preserve">ROGUE SPORT</t>
  </si>
  <si>
    <t xml:space="preserve">MIRAI</t>
  </si>
  <si>
    <t xml:space="preserve">ROUTAN</t>
  </si>
  <si>
    <t xml:space="preserve">XC70</t>
  </si>
  <si>
    <t xml:space="preserve">Used:New target</t>
  </si>
  <si>
    <t xml:space="preserve">HITMAN</t>
  </si>
  <si>
    <t xml:space="preserve">GoFi, LLC</t>
  </si>
  <si>
    <t xml:space="preserve">Q7</t>
  </si>
  <si>
    <t xml:space="preserve">Z4</t>
  </si>
  <si>
    <t xml:space="preserve">LYRIQ</t>
  </si>
  <si>
    <t xml:space="preserve">LUMINA</t>
  </si>
  <si>
    <t xml:space="preserve">VIPER</t>
  </si>
  <si>
    <t xml:space="preserve">LAFERRARI</t>
  </si>
  <si>
    <t xml:space="preserve">F-350</t>
  </si>
  <si>
    <t xml:space="preserve">VERACRUZ</t>
  </si>
  <si>
    <t xml:space="preserve">QX55</t>
  </si>
  <si>
    <t xml:space="preserve">LS 460</t>
  </si>
  <si>
    <t xml:space="preserve">RX-7</t>
  </si>
  <si>
    <t xml:space="preserve">GLS</t>
  </si>
  <si>
    <t xml:space="preserve">SENTRA</t>
  </si>
  <si>
    <t xml:space="preserve">MR2</t>
  </si>
  <si>
    <t xml:space="preserve">TAOS</t>
  </si>
  <si>
    <t xml:space="preserve">XC90</t>
  </si>
  <si>
    <t xml:space="preserve">ACV over MMR flag ($)</t>
  </si>
  <si>
    <t xml:space="preserve">HOOK LOGIC</t>
  </si>
  <si>
    <t xml:space="preserve">Huntington</t>
  </si>
  <si>
    <t xml:space="preserve">Q8</t>
  </si>
  <si>
    <t xml:space="preserve">Z8</t>
  </si>
  <si>
    <t xml:space="preserve">CELESTIQ</t>
  </si>
  <si>
    <t xml:space="preserve">MALIBU</t>
  </si>
  <si>
    <t xml:space="preserve">SPRINTER</t>
  </si>
  <si>
    <t xml:space="preserve">ENZO</t>
  </si>
  <si>
    <t xml:space="preserve">F-450</t>
  </si>
  <si>
    <t xml:space="preserve">XG350</t>
  </si>
  <si>
    <t xml:space="preserve">QX56</t>
  </si>
  <si>
    <t xml:space="preserve">LS 500</t>
  </si>
  <si>
    <t xml:space="preserve">RX-8</t>
  </si>
  <si>
    <t xml:space="preserve">M-CLASS</t>
  </si>
  <si>
    <t xml:space="preserve">TITAN</t>
  </si>
  <si>
    <t xml:space="preserve">MR2 SPYDER</t>
  </si>
  <si>
    <t xml:space="preserve">TIGUAN</t>
  </si>
  <si>
    <t xml:space="preserve">Trade turn-in days</t>
  </si>
  <si>
    <t xml:space="preserve">HYUNDAI MAIL</t>
  </si>
  <si>
    <t xml:space="preserve">Lendbuzz Funding LLC</t>
  </si>
  <si>
    <t xml:space="preserve">Q8 E-TRON</t>
  </si>
  <si>
    <t xml:space="preserve">I3</t>
  </si>
  <si>
    <t xml:space="preserve">OPTIQ</t>
  </si>
  <si>
    <t xml:space="preserve">METRO</t>
  </si>
  <si>
    <t xml:space="preserve">MONACO</t>
  </si>
  <si>
    <t xml:space="preserve">F50</t>
  </si>
  <si>
    <t xml:space="preserve">F-550</t>
  </si>
  <si>
    <t xml:space="preserve">QX60</t>
  </si>
  <si>
    <t xml:space="preserve">LX 470</t>
  </si>
  <si>
    <t xml:space="preserve">TRIBUTE</t>
  </si>
  <si>
    <t xml:space="preserve">MAYBACH</t>
  </si>
  <si>
    <t xml:space="preserve">TITAN XD</t>
  </si>
  <si>
    <t xml:space="preserve">PASEO</t>
  </si>
  <si>
    <t xml:space="preserve">TOUAREG</t>
  </si>
  <si>
    <t xml:space="preserve">INSERT SALE</t>
  </si>
  <si>
    <t xml:space="preserve">NorthWest Bank</t>
  </si>
  <si>
    <t xml:space="preserve">SQ5</t>
  </si>
  <si>
    <t xml:space="preserve">I4</t>
  </si>
  <si>
    <t xml:space="preserve">VISTIQ</t>
  </si>
  <si>
    <t xml:space="preserve">MONTE CARLO</t>
  </si>
  <si>
    <t xml:space="preserve">TESTAROSSA</t>
  </si>
  <si>
    <t xml:space="preserve">FESTIVA</t>
  </si>
  <si>
    <t xml:space="preserve">QX70</t>
  </si>
  <si>
    <t xml:space="preserve">LX 570</t>
  </si>
  <si>
    <t xml:space="preserve">METRIS</t>
  </si>
  <si>
    <t xml:space="preserve">VERSA</t>
  </si>
  <si>
    <t xml:space="preserve">PREVIA</t>
  </si>
  <si>
    <t xml:space="preserve">KBB.COM</t>
  </si>
  <si>
    <t xml:space="preserve">Northwest Federal Credit Union</t>
  </si>
  <si>
    <t xml:space="preserve">SQ7</t>
  </si>
  <si>
    <t xml:space="preserve">I5</t>
  </si>
  <si>
    <t xml:space="preserve">BROUGHAM</t>
  </si>
  <si>
    <t xml:space="preserve">PRIZM</t>
  </si>
  <si>
    <t xml:space="preserve">12CILINDRI</t>
  </si>
  <si>
    <t xml:space="preserve">FIESTA</t>
  </si>
  <si>
    <t xml:space="preserve">QX80</t>
  </si>
  <si>
    <t xml:space="preserve">LX 600</t>
  </si>
  <si>
    <t xml:space="preserve">ML</t>
  </si>
  <si>
    <t xml:space="preserve">XTERRA</t>
  </si>
  <si>
    <t xml:space="preserve">PRIUS</t>
  </si>
  <si>
    <t xml:space="preserve">LOCAL</t>
  </si>
  <si>
    <t xml:space="preserve">Old Hickory Credit Union</t>
  </si>
  <si>
    <t xml:space="preserve">SQ8</t>
  </si>
  <si>
    <t xml:space="preserve">I7</t>
  </si>
  <si>
    <t xml:space="preserve">S-10</t>
  </si>
  <si>
    <t xml:space="preserve">FIVE HUNDRED</t>
  </si>
  <si>
    <t xml:space="preserve">NX 200T</t>
  </si>
  <si>
    <t xml:space="preserve">R-CLASS</t>
  </si>
  <si>
    <t xml:space="preserve">Z</t>
  </si>
  <si>
    <t xml:space="preserve">PRIUS C</t>
  </si>
  <si>
    <t xml:space="preserve">LOCATION</t>
  </si>
  <si>
    <t xml:space="preserve">OneMain Auto</t>
  </si>
  <si>
    <t xml:space="preserve">E-TRON</t>
  </si>
  <si>
    <t xml:space="preserve">I8</t>
  </si>
  <si>
    <t xml:space="preserve">SILVERADO 1500</t>
  </si>
  <si>
    <t xml:space="preserve">FLEX</t>
  </si>
  <si>
    <t xml:space="preserve">NX 300</t>
  </si>
  <si>
    <t xml:space="preserve">S-CLASS</t>
  </si>
  <si>
    <t xml:space="preserve">PRIUS PRIME</t>
  </si>
  <si>
    <t xml:space="preserve">MAILER</t>
  </si>
  <si>
    <t xml:space="preserve">PNC Bank</t>
  </si>
  <si>
    <t xml:space="preserve">E-TRON GT</t>
  </si>
  <si>
    <t xml:space="preserve">IX</t>
  </si>
  <si>
    <t xml:space="preserve">SILVERADO 2500HD</t>
  </si>
  <si>
    <t xml:space="preserve">FOCUS</t>
  </si>
  <si>
    <t xml:space="preserve">NX 350</t>
  </si>
  <si>
    <t xml:space="preserve">SL</t>
  </si>
  <si>
    <t xml:space="preserve">PRIUS V</t>
  </si>
  <si>
    <t xml:space="preserve">NO INFO.</t>
  </si>
  <si>
    <t xml:space="preserve">Regional Acceptance</t>
  </si>
  <si>
    <t xml:space="preserve">RS Q8</t>
  </si>
  <si>
    <t xml:space="preserve">X3 M</t>
  </si>
  <si>
    <t xml:space="preserve">SILVERADO 3500HD</t>
  </si>
  <si>
    <t xml:space="preserve">FREESTAR</t>
  </si>
  <si>
    <t xml:space="preserve">NX 450H+</t>
  </si>
  <si>
    <t xml:space="preserve">SLC</t>
  </si>
  <si>
    <t xml:space="preserve">RAV4</t>
  </si>
  <si>
    <t xml:space="preserve">OTHER</t>
  </si>
  <si>
    <t xml:space="preserve">Resound Credit Union</t>
  </si>
  <si>
    <t xml:space="preserve">ALLROAD</t>
  </si>
  <si>
    <t xml:space="preserve">X4 M</t>
  </si>
  <si>
    <t xml:space="preserve">SILVERADO EV</t>
  </si>
  <si>
    <t xml:space="preserve">FREESTYLE</t>
  </si>
  <si>
    <t xml:space="preserve">RC 300</t>
  </si>
  <si>
    <t xml:space="preserve">SLK</t>
  </si>
  <si>
    <t xml:space="preserve">RAV4 PRIME</t>
  </si>
  <si>
    <t xml:space="preserve">PHONE UP</t>
  </si>
  <si>
    <t xml:space="preserve">Santander Consumer USA</t>
  </si>
  <si>
    <t xml:space="preserve">A4 ALLROAD</t>
  </si>
  <si>
    <t xml:space="preserve">X5 M</t>
  </si>
  <si>
    <t xml:space="preserve">SONIC</t>
  </si>
  <si>
    <t xml:space="preserve">FUSION</t>
  </si>
  <si>
    <t xml:space="preserve">RC 350</t>
  </si>
  <si>
    <t xml:space="preserve">SLR MCLAREN</t>
  </si>
  <si>
    <t xml:space="preserve">SEQUOIA</t>
  </si>
  <si>
    <t xml:space="preserve">RADIO</t>
  </si>
  <si>
    <t xml:space="preserve">TD Auto Finance</t>
  </si>
  <si>
    <t xml:space="preserve">CPO LOCK LISTS (engine)</t>
  </si>
  <si>
    <t xml:space="preserve">A6 ALLROAD</t>
  </si>
  <si>
    <t xml:space="preserve">X6 M</t>
  </si>
  <si>
    <t xml:space="preserve">SPARK</t>
  </si>
  <si>
    <t xml:space="preserve">RC F</t>
  </si>
  <si>
    <t xml:space="preserve">SLS AMG</t>
  </si>
  <si>
    <t xml:space="preserve">SIENNA</t>
  </si>
  <si>
    <t xml:space="preserve">RED TAG</t>
  </si>
  <si>
    <t xml:space="preserve">Truist DFS</t>
  </si>
  <si>
    <t xml:space="preserve">Y</t>
  </si>
  <si>
    <t xml:space="preserve">CABRIOLET</t>
  </si>
  <si>
    <t xml:space="preserve">318</t>
  </si>
  <si>
    <t xml:space="preserve">SPARK EV</t>
  </si>
  <si>
    <t xml:space="preserve">MAVERICK</t>
  </si>
  <si>
    <t xml:space="preserve">RX 300</t>
  </si>
  <si>
    <t xml:space="preserve">SOLARA</t>
  </si>
  <si>
    <t xml:space="preserve">REFERRAL</t>
  </si>
  <si>
    <t xml:space="preserve">Wells Fargo Auto</t>
  </si>
  <si>
    <t xml:space="preserve">N</t>
  </si>
  <si>
    <t xml:space="preserve">90</t>
  </si>
  <si>
    <t xml:space="preserve">325</t>
  </si>
  <si>
    <t xml:space="preserve">SS</t>
  </si>
  <si>
    <t xml:space="preserve">MUSTANG</t>
  </si>
  <si>
    <t xml:space="preserve">RX 330</t>
  </si>
  <si>
    <t xml:space="preserve">SUPRA</t>
  </si>
  <si>
    <t xml:space="preserve">REPEAT</t>
  </si>
  <si>
    <t xml:space="preserve">Westlake Financial</t>
  </si>
  <si>
    <t xml:space="preserve">100</t>
  </si>
  <si>
    <t xml:space="preserve">328</t>
  </si>
  <si>
    <t xml:space="preserve">SSR</t>
  </si>
  <si>
    <t xml:space="preserve">MUSTANG MACH-E</t>
  </si>
  <si>
    <t xml:space="preserve">RX 350</t>
  </si>
  <si>
    <t xml:space="preserve">T100</t>
  </si>
  <si>
    <t xml:space="preserve">SERVICE</t>
  </si>
  <si>
    <t xml:space="preserve">V8</t>
  </si>
  <si>
    <t xml:space="preserve">330</t>
  </si>
  <si>
    <t xml:space="preserve">PROBE</t>
  </si>
  <si>
    <t xml:space="preserve">RX 400H</t>
  </si>
  <si>
    <t xml:space="preserve">TACOMA</t>
  </si>
  <si>
    <t xml:space="preserve">SET MAILER</t>
  </si>
  <si>
    <t xml:space="preserve">335</t>
  </si>
  <si>
    <t xml:space="preserve">TAHOE</t>
  </si>
  <si>
    <t xml:space="preserve">RANGER</t>
  </si>
  <si>
    <t xml:space="preserve">RX 450H</t>
  </si>
  <si>
    <t xml:space="preserve">TERCEL</t>
  </si>
  <si>
    <t xml:space="preserve">SPANISH RADIO</t>
  </si>
  <si>
    <t xml:space="preserve">525</t>
  </si>
  <si>
    <t xml:space="preserve">TRACKER</t>
  </si>
  <si>
    <t xml:space="preserve">TAURUS</t>
  </si>
  <si>
    <t xml:space="preserve">RX 500H</t>
  </si>
  <si>
    <t xml:space="preserve">TUNDRA</t>
  </si>
  <si>
    <t xml:space="preserve">TENT SALE</t>
  </si>
  <si>
    <t xml:space="preserve">528</t>
  </si>
  <si>
    <t xml:space="preserve">TRAILBLAZER</t>
  </si>
  <si>
    <t xml:space="preserve">TAURUS X</t>
  </si>
  <si>
    <t xml:space="preserve">RZ 450E</t>
  </si>
  <si>
    <t xml:space="preserve">VENZA</t>
  </si>
  <si>
    <t xml:space="preserve">TOYOTA.COM</t>
  </si>
  <si>
    <t xml:space="preserve">530</t>
  </si>
  <si>
    <t xml:space="preserve">TRAVERSE</t>
  </si>
  <si>
    <t xml:space="preserve">TEMPO</t>
  </si>
  <si>
    <t xml:space="preserve">SC 300</t>
  </si>
  <si>
    <t xml:space="preserve">YARIS</t>
  </si>
  <si>
    <t xml:space="preserve">TRUE CAR</t>
  </si>
  <si>
    <t xml:space="preserve">535</t>
  </si>
  <si>
    <t xml:space="preserve">TRAX</t>
  </si>
  <si>
    <t xml:space="preserve">THUNDERBIRD</t>
  </si>
  <si>
    <t xml:space="preserve">SC 400</t>
  </si>
  <si>
    <t xml:space="preserve">TV</t>
  </si>
  <si>
    <t xml:space="preserve">540</t>
  </si>
  <si>
    <t xml:space="preserve">UPLANDER</t>
  </si>
  <si>
    <t xml:space="preserve">TRANSIT</t>
  </si>
  <si>
    <t xml:space="preserve">SC 430</t>
  </si>
  <si>
    <t xml:space="preserve">USAA</t>
  </si>
  <si>
    <t xml:space="preserve">545</t>
  </si>
  <si>
    <t xml:space="preserve">VENTURE</t>
  </si>
  <si>
    <t xml:space="preserve">TRANSIT CONNECT</t>
  </si>
  <si>
    <t xml:space="preserve">TX 350</t>
  </si>
  <si>
    <t xml:space="preserve">ZAG</t>
  </si>
  <si>
    <t xml:space="preserve">VOLT</t>
  </si>
  <si>
    <t xml:space="preserve">WINDSTAR</t>
  </si>
  <si>
    <t xml:space="preserve">TX 500H</t>
  </si>
  <si>
    <t xml:space="preserve">C/K 1500</t>
  </si>
  <si>
    <t xml:space="preserve">UX 200</t>
  </si>
  <si>
    <t xml:space="preserve">750</t>
  </si>
  <si>
    <t xml:space="preserve">C/K 2500</t>
  </si>
  <si>
    <t xml:space="preserve">UX 250H</t>
  </si>
  <si>
    <t xml:space="preserve">760</t>
  </si>
  <si>
    <t xml:space="preserve">C/K 3500</t>
  </si>
  <si>
    <t xml:space="preserve">M ROADSTER</t>
  </si>
  <si>
    <t xml:space="preserve">M COUPE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</si>
</sst>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;[RED]&quot;($&quot;#,##0\);\-"/>
    <numFmt numFmtId="166" formatCode="0.0"/>
    <numFmt numFmtId="167" formatCode="0%"/>
    <numFmt numFmtId="168" formatCode="General"/>
    <numFmt numFmtId="169" formatCode="\$#,##0"/>
    <numFmt numFmtId="170" formatCode="ddd\ m/d"/>
    <numFmt numFmtId="171" formatCode="\$#,##0"/>
    <numFmt numFmtId="172" formatCode="0.00"/>
    <numFmt numFmtId="173" formatCode="\$#,##0;&quot;($&quot;#,##0\)"/>
    <numFmt numFmtId="174" formatCode="#,##0"/>
    <numFmt numFmtId="175" formatCode="\$#,##0;[RED]&quot;($&quot;#,##0\)"/>
    <numFmt numFmtId="176" formatCode="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B1F4D"/>
      <name val="Arial"/>
      <family val="0"/>
      <charset val="1"/>
    </font>
    <font>
      <b val="true"/>
      <sz val="16"/>
      <color rgb="FF0B1F4D"/>
      <name val="Arial"/>
      <family val="0"/>
      <charset val="1"/>
    </font>
    <font>
      <b val="true"/>
      <sz val="10"/>
      <color rgb="FF1F4E96"/>
      <name val="Arial"/>
      <family val="0"/>
      <charset val="1"/>
    </font>
    <font>
      <i val="true"/>
      <sz val="8"/>
      <color rgb="FF8A8F98"/>
      <name val="Arial"/>
      <family val="0"/>
      <charset val="1"/>
    </font>
    <font>
      <b val="true"/>
      <sz val="11"/>
      <color rgb="FF1F4E96"/>
      <name val="Arial"/>
      <family val="0"/>
      <charset val="1"/>
    </font>
    <font>
      <b val="true"/>
      <sz val="10"/>
      <color rgb="FF0B1F4D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0B1F4D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8"/>
      <color rgb="FF8A8F98"/>
      <name val="Arial"/>
      <family val="0"/>
      <charset val="1"/>
    </font>
    <font>
      <sz val="9"/>
      <color rgb="FFC9A227"/>
      <name val="Arial"/>
      <family val="0"/>
      <charset val="1"/>
    </font>
    <font>
      <b val="true"/>
      <sz val="9"/>
      <color rgb="FF1F4E96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1E7A34"/>
      <name val="Arial"/>
      <family val="0"/>
      <charset val="1"/>
    </font>
    <font>
      <i val="true"/>
      <sz val="8"/>
      <name val="Arial"/>
      <family val="0"/>
      <charset val="1"/>
    </font>
    <font>
      <i val="true"/>
      <sz val="9"/>
      <color rgb="FF8A8F98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9"/>
      <color rgb="FFC9A227"/>
      <name val="Arial"/>
      <family val="0"/>
      <charset val="1"/>
    </font>
    <font>
      <b val="true"/>
      <sz val="12"/>
      <color rgb="FF0B1F4D"/>
      <name val="Arial"/>
      <family val="0"/>
      <charset val="1"/>
    </font>
    <font>
      <sz val="10"/>
      <color rgb="FF111111"/>
      <name val="Arial"/>
      <family val="0"/>
      <charset val="1"/>
    </font>
    <font>
      <sz val="10"/>
      <color rgb="FF111111"/>
      <name val="Consolas"/>
      <family val="0"/>
      <charset val="1"/>
    </font>
    <font>
      <b val="true"/>
      <sz val="10"/>
      <color rgb="FFC9A227"/>
      <name val="Arial"/>
      <family val="0"/>
      <charset val="1"/>
    </font>
    <font>
      <b val="true"/>
      <sz val="13"/>
      <color rgb="FF0B1F4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0B1F4D"/>
      <name val="Arial"/>
      <family val="0"/>
      <charset val="1"/>
    </font>
    <font>
      <b val="true"/>
      <sz val="8"/>
      <color rgb="FFC9A227"/>
      <name val="Arial"/>
      <family val="0"/>
      <charset val="1"/>
    </font>
    <font>
      <i val="true"/>
      <sz val="7"/>
      <color rgb="FF8A8F98"/>
      <name val="Arial"/>
      <family val="0"/>
      <charset val="1"/>
    </font>
    <font>
      <b val="true"/>
      <sz val="8"/>
      <color rgb="FF8A8F98"/>
      <name val="Arial"/>
      <family val="0"/>
      <charset val="1"/>
    </font>
    <font>
      <b val="true"/>
      <sz val="15"/>
      <color rgb="FF0B1F4D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3F4F6"/>
      </patternFill>
    </fill>
    <fill>
      <patternFill patternType="solid">
        <fgColor rgb="FF0B1F4D"/>
        <bgColor rgb="FF111111"/>
      </patternFill>
    </fill>
    <fill>
      <patternFill patternType="solid">
        <fgColor rgb="FFFFF6BE"/>
        <bgColor rgb="FFFDF0DA"/>
      </patternFill>
    </fill>
    <fill>
      <patternFill patternType="solid">
        <fgColor rgb="FFF3F4F6"/>
        <bgColor rgb="FFFFFFFF"/>
      </patternFill>
    </fill>
    <fill>
      <patternFill patternType="solid">
        <fgColor rgb="FFB8C4DC"/>
        <bgColor rgb="FFD0D3D8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D0D3D8"/>
      </left>
      <right style="thin">
        <color rgb="FFD0D3D8"/>
      </right>
      <top style="thin">
        <color rgb="FFD0D3D8"/>
      </top>
      <bottom style="thin">
        <color rgb="FFD0D3D8"/>
      </bottom>
      <diagonal/>
    </border>
    <border diagonalUp="false" diagonalDown="false">
      <left/>
      <right/>
      <top/>
      <bottom style="medium">
        <color rgb="FFC9A227"/>
      </bottom>
      <diagonal/>
    </border>
    <border diagonalUp="false" diagonalDown="false">
      <left style="thin">
        <color rgb="FFD0D3D8"/>
      </left>
      <right style="thin">
        <color rgb="FFD0D3D8"/>
      </right>
      <top style="medium">
        <color rgb="FFC9A227"/>
      </top>
      <bottom style="thin">
        <color rgb="FFD0D3D8"/>
      </bottom>
      <diagonal/>
    </border>
    <border diagonalUp="false" diagonalDown="false">
      <left/>
      <right/>
      <top/>
      <bottom style="thin">
        <color rgb="FFD0D3D8"/>
      </bottom>
      <diagonal/>
    </border>
    <border diagonalUp="false" diagonalDown="false">
      <left/>
      <right/>
      <top style="medium">
        <color rgb="FF0B1F4D"/>
      </top>
      <bottom/>
      <diagonal/>
    </border>
    <border diagonalUp="false" diagonalDown="false">
      <left/>
      <right style="thin">
        <color rgb="FF2A3F6E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5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0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10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14" fillId="4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2" fontId="14" fillId="4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4" fillId="4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14" fillId="4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ont>
        <name val="Arial"/>
        <charset val="1"/>
        <family val="0"/>
        <b val="1"/>
        <color rgb="FF1E7A34"/>
        <sz val="10"/>
      </font>
    </dxf>
    <dxf>
      <font>
        <name val="Arial"/>
        <charset val="1"/>
        <family val="0"/>
        <b val="1"/>
        <color rgb="FF9C6500"/>
        <sz val="10"/>
      </font>
      <fill>
        <patternFill>
          <bgColor rgb="FFFDF0DA"/>
        </patternFill>
      </fill>
    </dxf>
    <dxf>
      <fill>
        <patternFill patternType="solid">
          <fgColor rgb="FF0B1F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7A3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1E7A34"/>
        <sz val="9"/>
      </font>
    </dxf>
    <dxf>
      <font>
        <name val="Arial"/>
        <charset val="1"/>
        <family val="0"/>
        <b val="1"/>
        <color rgb="FF9C6500"/>
        <sz val="9"/>
      </font>
      <fill>
        <patternFill>
          <bgColor rgb="FFFDF0DA"/>
        </patternFill>
      </fill>
    </dxf>
    <dxf>
      <font>
        <name val="Arial"/>
        <charset val="1"/>
        <family val="0"/>
        <b val="1"/>
        <color rgb="FF1E7A34"/>
        <sz val="11"/>
      </font>
    </dxf>
    <dxf>
      <font>
        <name val="Arial"/>
        <charset val="1"/>
        <family val="0"/>
        <b val="1"/>
        <color rgb="FF9C6500"/>
        <sz val="11"/>
      </font>
      <fill>
        <patternFill>
          <bgColor rgb="FFFDF0DA"/>
        </patternFill>
      </fill>
    </dxf>
    <dxf>
      <font>
        <name val="Arial"/>
        <charset val="1"/>
        <family val="0"/>
        <b val="1"/>
        <color rgb="FFB32424"/>
        <sz val="11"/>
      </font>
    </dxf>
    <dxf>
      <font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C9A227"/>
        </patternFill>
      </fill>
    </dxf>
    <dxf>
      <fill>
        <patternFill>
          <bgColor rgb="FFF3F4F6"/>
        </patternFill>
      </fill>
    </dxf>
    <dxf>
      <fill>
        <patternFill>
          <bgColor rgb="FFDEEAF9"/>
        </patternFill>
      </fill>
    </dxf>
    <dxf>
      <font>
        <name val="Arial"/>
        <charset val="1"/>
        <family val="0"/>
        <color rgb="FF8A8F98"/>
        <sz val="9"/>
      </font>
    </dxf>
    <dxf>
      <font>
        <name val="Arial"/>
        <charset val="1"/>
        <family val="0"/>
        <b val="1"/>
        <color rgb="FF0B1F4D"/>
        <sz val="9"/>
      </font>
      <fill>
        <patternFill>
          <bgColor rgb="FFDEEAF9"/>
        </patternFill>
      </fill>
    </dxf>
    <dxf>
      <font>
        <name val="Arial"/>
        <charset val="1"/>
        <family val="0"/>
        <b val="1"/>
        <color rgb="FFB32424"/>
        <sz val="10"/>
      </font>
    </dxf>
    <dxf>
      <fill>
        <patternFill>
          <bgColor rgb="FFFFD966"/>
        </patternFill>
      </fill>
    </dxf>
    <dxf>
      <font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9C6500"/>
        <sz val="9"/>
      </font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1E7A34"/>
      <rgbColor rgb="FF000080"/>
      <rgbColor rgb="FF9C6500"/>
      <rgbColor rgb="FF800080"/>
      <rgbColor rgb="FF008080"/>
      <rgbColor rgb="FFB8C4DC"/>
      <rgbColor rgb="FF808080"/>
      <rgbColor rgb="FF9999FF"/>
      <rgbColor rgb="FF993366"/>
      <rgbColor rgb="FFFFF6BE"/>
      <rgbColor rgb="FFDEEAF9"/>
      <rgbColor rgb="FF660066"/>
      <rgbColor rgb="FFFF8080"/>
      <rgbColor rgb="FF1F4E96"/>
      <rgbColor rgb="FFD0D3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DF0DA"/>
      <rgbColor rgb="FF99CCFF"/>
      <rgbColor rgb="FFFF99CC"/>
      <rgbColor rgb="FFCC99FF"/>
      <rgbColor rgb="FFF8CBAD"/>
      <rgbColor rgb="FF3366FF"/>
      <rgbColor rgb="FF33CCCC"/>
      <rgbColor rgb="FF99CC00"/>
      <rgbColor rgb="FFFFD966"/>
      <rgbColor rgb="FFC9A227"/>
      <rgbColor rgb="FFFF6600"/>
      <rgbColor rgb="FF595959"/>
      <rgbColor rgb="FF8A8F98"/>
      <rgbColor rgb="FF0B1F4D"/>
      <rgbColor rgb="FF339966"/>
      <rgbColor rgb="FF111111"/>
      <rgbColor rgb="FF333300"/>
      <rgbColor rgb="FFB32424"/>
      <rgbColor rgb="FF993366"/>
      <rgbColor rgb="FF2A3F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ealLedger" displayName="DealLedger" ref="A7:L1092" headerRowCount="1" totalsRowCount="0" totalsRowShown="0">
  <autoFilter ref="A7:L1092"/>
  <tableColumns count="12">
    <tableColumn id="1" name="✓"/>
    <tableColumn id="2" name="Date"/>
    <tableColumn id="3" name="Deal#"/>
    <tableColumn id="4" name="Stock"/>
    <tableColumn id="5" name="Customer"/>
    <tableColumn id="6" name="Type"/>
    <tableColumn id="7" name="SP1"/>
    <tableColumn id="8" name="SP2"/>
    <tableColumn id="9" name="Vehicle"/>
    <tableColumn id="10" name="Gross"/>
    <tableColumn id="11" name="Status"/>
    <tableColumn id="12" name="Cer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8" min="4" style="0" width="8"/>
  </cols>
  <sheetData>
    <row r="1" customFormat="false" ht="19.5" hidden="false" customHeight="true" outlineLevel="0" collapsed="false">
      <c r="A1" s="1" t="s">
        <v>0</v>
      </c>
      <c r="B1" s="1"/>
      <c r="C1" s="2" t="s">
        <v>1</v>
      </c>
      <c r="D1" s="2"/>
      <c r="E1" s="2"/>
      <c r="F1" s="2"/>
      <c r="G1" s="3" t="str">
        <f aca="true">" as of "&amp;TEXT(TODAY(),"ddd mmm d")</f>
        <v> as of Sun Aug 2</v>
      </c>
      <c r="H1" s="3"/>
    </row>
    <row r="2" customFormat="false" ht="19.5" hidden="false" customHeight="true" outlineLevel="0" collapsed="false">
      <c r="A2" s="1"/>
      <c r="B2" s="1"/>
      <c r="C2" s="2"/>
      <c r="D2" s="2"/>
      <c r="E2" s="2"/>
      <c r="F2" s="2"/>
      <c r="G2" s="3"/>
      <c r="H2" s="3"/>
    </row>
    <row r="3" customFormat="false" ht="19.5" hidden="false" customHeight="true" outlineLevel="0" collapsed="false">
      <c r="A3" s="1"/>
      <c r="B3" s="1"/>
      <c r="C3" s="4" t="s">
        <v>2</v>
      </c>
      <c r="D3" s="4"/>
      <c r="E3" s="4"/>
      <c r="F3" s="4"/>
    </row>
    <row r="5" customFormat="false" ht="15" hidden="false" customHeight="false" outlineLevel="0" collapsed="false">
      <c r="B5" s="5" t="str">
        <f aca="false">"PVR month-to-date:  "&amp;IF('Aug 31'!$C$62=0,"— (no delivered units yet)",TEXT('Aug 31'!$C$63/'Aug 31'!$C$62,"$#,##0")&amp;" per copy  ·  "&amp;'Aug 31'!$C$62&amp;" units  ·  "&amp;TEXT('Aug 31'!$C$63,"$#,##0")&amp;" total gross")</f>
        <v>PVR month-to-date:  — (no delivered units yet)</v>
      </c>
      <c r="C5" s="5"/>
      <c r="D5" s="5"/>
      <c r="E5" s="5"/>
      <c r="F5" s="5"/>
      <c r="G5" s="5"/>
      <c r="H5" s="5"/>
    </row>
    <row r="7" customFormat="false" ht="30" hidden="false" customHeight="true" outlineLevel="0" collapsed="false">
      <c r="B7" s="6" t="s">
        <v>3</v>
      </c>
      <c r="C7" s="7" t="s">
        <v>4</v>
      </c>
      <c r="D7" s="7"/>
      <c r="E7" s="7"/>
      <c r="F7" s="7"/>
      <c r="G7" s="7"/>
      <c r="H7" s="7"/>
    </row>
    <row r="8" customFormat="false" ht="30" hidden="false" customHeight="true" outlineLevel="0" collapsed="false">
      <c r="B8" s="6" t="s">
        <v>5</v>
      </c>
      <c r="C8" s="7" t="s">
        <v>6</v>
      </c>
      <c r="D8" s="7"/>
      <c r="E8" s="7"/>
      <c r="F8" s="7"/>
      <c r="G8" s="7"/>
      <c r="H8" s="7"/>
    </row>
    <row r="9" customFormat="false" ht="30" hidden="false" customHeight="true" outlineLevel="0" collapsed="false">
      <c r="B9" s="6" t="s">
        <v>7</v>
      </c>
      <c r="C9" s="7" t="s">
        <v>8</v>
      </c>
      <c r="D9" s="7"/>
      <c r="E9" s="7"/>
      <c r="F9" s="7"/>
      <c r="G9" s="7"/>
      <c r="H9" s="7"/>
    </row>
    <row r="10" customFormat="false" ht="30" hidden="false" customHeight="true" outlineLevel="0" collapsed="false">
      <c r="B10" s="6" t="s">
        <v>9</v>
      </c>
      <c r="C10" s="7" t="s">
        <v>10</v>
      </c>
      <c r="D10" s="7"/>
      <c r="E10" s="7"/>
      <c r="F10" s="7"/>
      <c r="G10" s="7"/>
      <c r="H10" s="7"/>
    </row>
    <row r="11" customFormat="false" ht="30" hidden="false" customHeight="true" outlineLevel="0" collapsed="false">
      <c r="B11" s="6" t="s">
        <v>11</v>
      </c>
      <c r="C11" s="7" t="s">
        <v>12</v>
      </c>
      <c r="D11" s="7"/>
      <c r="E11" s="7"/>
      <c r="F11" s="7"/>
      <c r="G11" s="7"/>
      <c r="H11" s="7"/>
    </row>
    <row r="12" customFormat="false" ht="30" hidden="false" customHeight="true" outlineLevel="0" collapsed="false">
      <c r="B12" s="6" t="s">
        <v>13</v>
      </c>
      <c r="C12" s="7" t="s">
        <v>14</v>
      </c>
      <c r="D12" s="7"/>
      <c r="E12" s="7"/>
      <c r="F12" s="7"/>
      <c r="G12" s="7"/>
      <c r="H12" s="7"/>
    </row>
    <row r="13" customFormat="false" ht="30" hidden="false" customHeight="true" outlineLevel="0" collapsed="false">
      <c r="B13" s="6" t="s">
        <v>15</v>
      </c>
      <c r="C13" s="7" t="s">
        <v>16</v>
      </c>
      <c r="D13" s="7"/>
      <c r="E13" s="7"/>
      <c r="F13" s="7"/>
      <c r="G13" s="7"/>
      <c r="H13" s="7"/>
    </row>
    <row r="14" customFormat="false" ht="30" hidden="false" customHeight="true" outlineLevel="0" collapsed="false">
      <c r="B14" s="6" t="s">
        <v>17</v>
      </c>
      <c r="C14" s="7" t="s">
        <v>18</v>
      </c>
      <c r="D14" s="7"/>
      <c r="E14" s="7"/>
      <c r="F14" s="7"/>
      <c r="G14" s="7"/>
      <c r="H14" s="7"/>
    </row>
    <row r="15" customFormat="false" ht="30" hidden="false" customHeight="true" outlineLevel="0" collapsed="false">
      <c r="B15" s="6" t="s">
        <v>19</v>
      </c>
      <c r="C15" s="7" t="s">
        <v>20</v>
      </c>
      <c r="D15" s="7"/>
      <c r="E15" s="7"/>
      <c r="F15" s="7"/>
      <c r="G15" s="7"/>
      <c r="H15" s="7"/>
    </row>
  </sheetData>
  <sheetProtection sheet="true" formatColumns="false" formatRows="false"/>
  <mergeCells count="14">
    <mergeCell ref="A1:B3"/>
    <mergeCell ref="C1:F2"/>
    <mergeCell ref="G1:H2"/>
    <mergeCell ref="C3:F3"/>
    <mergeCell ref="B5:H5"/>
    <mergeCell ref="C7:H7"/>
    <mergeCell ref="C8:H8"/>
    <mergeCell ref="C9:H9"/>
    <mergeCell ref="C10:H10"/>
    <mergeCell ref="C11:H11"/>
    <mergeCell ref="C12:H12"/>
    <mergeCell ref="C13:H13"/>
    <mergeCell ref="C14:H14"/>
    <mergeCell ref="C15:H15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9" activeCellId="0" sqref="A2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3"/>
  </cols>
  <sheetData>
    <row r="1" customFormat="false" ht="15" hidden="false" customHeight="false" outlineLevel="0" collapsed="false">
      <c r="A1" s="8" t="s">
        <v>21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8"/>
      <c r="B2" s="8"/>
      <c r="C2" s="8"/>
      <c r="D2" s="8"/>
      <c r="E2" s="8"/>
      <c r="F2" s="8"/>
      <c r="G2" s="8"/>
      <c r="H2" s="8"/>
    </row>
    <row r="4" customFormat="false" ht="15" hidden="false" customHeight="false" outlineLevel="0" collapsed="false">
      <c r="A4" s="9" t="s">
        <v>22</v>
      </c>
      <c r="B4" s="9"/>
      <c r="C4" s="9"/>
      <c r="D4" s="9"/>
    </row>
    <row r="5" customFormat="false" ht="15" hidden="false" customHeight="false" outlineLevel="0" collapsed="false">
      <c r="A5" s="10" t="s">
        <v>23</v>
      </c>
      <c r="C5" s="11" t="s">
        <v>24</v>
      </c>
    </row>
    <row r="6" customFormat="false" ht="15" hidden="false" customHeight="false" outlineLevel="0" collapsed="false">
      <c r="A6" s="10" t="s">
        <v>25</v>
      </c>
      <c r="C6" s="11" t="n">
        <v>31</v>
      </c>
    </row>
    <row r="7" customFormat="false" ht="15" hidden="false" customHeight="false" outlineLevel="0" collapsed="false">
      <c r="A7" s="10" t="s">
        <v>26</v>
      </c>
      <c r="C7" s="11" t="n">
        <v>5</v>
      </c>
    </row>
    <row r="8" customFormat="false" ht="15" hidden="false" customHeight="false" outlineLevel="0" collapsed="false">
      <c r="A8" s="10" t="s">
        <v>27</v>
      </c>
      <c r="C8" s="11" t="n">
        <v>26</v>
      </c>
    </row>
    <row r="10" customFormat="false" ht="15" hidden="false" customHeight="false" outlineLevel="0" collapsed="false">
      <c r="A10" s="9" t="s">
        <v>28</v>
      </c>
      <c r="B10" s="9"/>
      <c r="C10" s="9"/>
      <c r="D10" s="9"/>
      <c r="E10" s="9"/>
    </row>
    <row r="11" customFormat="false" ht="15" hidden="false" customHeight="false" outlineLevel="0" collapsed="false">
      <c r="B11" s="12" t="s">
        <v>29</v>
      </c>
      <c r="C11" s="12" t="s">
        <v>30</v>
      </c>
    </row>
    <row r="12" customFormat="false" ht="15" hidden="false" customHeight="false" outlineLevel="0" collapsed="false">
      <c r="A12" s="10" t="s">
        <v>31</v>
      </c>
      <c r="B12" s="13"/>
      <c r="C12" s="14"/>
    </row>
    <row r="13" customFormat="false" ht="15" hidden="false" customHeight="false" outlineLevel="0" collapsed="false">
      <c r="A13" s="10" t="s">
        <v>32</v>
      </c>
      <c r="B13" s="13"/>
      <c r="C13" s="14"/>
    </row>
    <row r="14" customFormat="false" ht="15" hidden="false" customHeight="false" outlineLevel="0" collapsed="false">
      <c r="A14" s="15" t="s">
        <v>33</v>
      </c>
      <c r="B14" s="12" t="str">
        <f aca="false">IF(COUNT(B12:B13)=0,"",SUM(B12:B13))</f>
        <v/>
      </c>
      <c r="C14" s="16" t="str">
        <f aca="false">IF(COUNT(C12:C13)=0,"",SUM(C12:C13))</f>
        <v/>
      </c>
    </row>
    <row r="17" customFormat="false" ht="15" hidden="false" customHeight="false" outlineLevel="0" collapsed="false">
      <c r="A17" s="9" t="s">
        <v>34</v>
      </c>
      <c r="B17" s="9"/>
      <c r="C17" s="9"/>
      <c r="D17" s="9"/>
    </row>
    <row r="18" customFormat="false" ht="15" hidden="false" customHeight="false" outlineLevel="0" collapsed="false">
      <c r="A18" s="10" t="s">
        <v>35</v>
      </c>
      <c r="B18" s="14"/>
    </row>
    <row r="19" customFormat="false" ht="15" hidden="false" customHeight="false" outlineLevel="0" collapsed="false">
      <c r="A19" s="10" t="s">
        <v>36</v>
      </c>
      <c r="B19" s="14"/>
    </row>
    <row r="20" customFormat="false" ht="15" hidden="false" customHeight="false" outlineLevel="0" collapsed="false">
      <c r="A20" s="15" t="s">
        <v>37</v>
      </c>
      <c r="B20" s="16" t="str">
        <f aca="false">IF(COUNT(B18:B19)=0,"",SUM(B18:B19))</f>
        <v/>
      </c>
    </row>
    <row r="23" customFormat="false" ht="15" hidden="false" customHeight="false" outlineLevel="0" collapsed="false">
      <c r="A23" s="9" t="s">
        <v>38</v>
      </c>
      <c r="B23" s="9"/>
      <c r="C23" s="9"/>
      <c r="D23" s="9"/>
    </row>
    <row r="24" customFormat="false" ht="15" hidden="false" customHeight="false" outlineLevel="0" collapsed="false">
      <c r="A24" s="10" t="s">
        <v>39</v>
      </c>
      <c r="B24" s="17" t="str">
        <f aca="false">IF(OR($C$8="",$C$8=0,B14=""),"",ROUND(B14/$C$8,1))</f>
        <v/>
      </c>
    </row>
    <row r="25" customFormat="false" ht="15" hidden="false" customHeight="false" outlineLevel="0" collapsed="false">
      <c r="A25" s="10" t="s">
        <v>40</v>
      </c>
      <c r="B25" s="16" t="str">
        <f aca="false">IF(OR($C$8="",$C$8=0,C14=""),"",ROUND(C14/$C$8,0))</f>
        <v/>
      </c>
    </row>
    <row r="28" customFormat="false" ht="15" hidden="false" customHeight="false" outlineLevel="0" collapsed="false">
      <c r="A28" s="9" t="s">
        <v>41</v>
      </c>
      <c r="B28" s="9"/>
      <c r="C28" s="9"/>
      <c r="D28" s="9"/>
      <c r="E28" s="9"/>
      <c r="F28" s="9"/>
    </row>
    <row r="29" customFormat="false" ht="15" hidden="false" customHeight="false" outlineLevel="0" collapsed="false">
      <c r="A29" s="18" t="str">
        <f aca="false">IF(OR(B14="",C14="",B18="",B19=""),"-",IF(ABS(B14*(B18+B19)-C14)&lt;=0.02*C14,"✓ CONSISTENT — units × PVR ≈ gross goal","⚠ CHECK — units × PVR ≠ gross goal (±2%)"))</f>
        <v>-</v>
      </c>
      <c r="B29" s="18"/>
      <c r="C29" s="18"/>
      <c r="D29" s="18"/>
      <c r="E29" s="18"/>
      <c r="F29" s="18"/>
    </row>
  </sheetData>
  <sheetProtection sheet="true" formatColumns="false" formatRows="false"/>
  <mergeCells count="7">
    <mergeCell ref="A1:H2"/>
    <mergeCell ref="A4:D4"/>
    <mergeCell ref="A10:E10"/>
    <mergeCell ref="A17:D17"/>
    <mergeCell ref="A23:D23"/>
    <mergeCell ref="A28:F28"/>
    <mergeCell ref="A29:F29"/>
  </mergeCells>
  <conditionalFormatting sqref="A29">
    <cfRule type="expression" priority="2" aboveAverage="0" equalAverage="0" bottom="0" percent="0" rank="0" text="" dxfId="0">
      <formula>LEFT($A$29,1)="✓"</formula>
    </cfRule>
    <cfRule type="expression" priority="3" aboveAverage="0" equalAverage="0" bottom="0" percent="0" rank="0" text="" dxfId="1">
      <formula>LEFT($A$29,1)="⚠"</formula>
    </cfRule>
  </conditionalFormatting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16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3"/>
  </cols>
  <sheetData>
    <row r="1" customFormat="false" ht="19.5" hidden="false" customHeight="true" outlineLevel="0" collapsed="false">
      <c r="A1" s="1" t="s">
        <v>42</v>
      </c>
      <c r="B1" s="1"/>
      <c r="C1" s="2" t="s">
        <v>43</v>
      </c>
      <c r="D1" s="2"/>
      <c r="E1" s="3" t="str">
        <f aca="true">" as of "&amp;TEXT(TODAY(),"ddd mmm d")</f>
        <v> as of Sun Aug 2</v>
      </c>
      <c r="F1" s="3"/>
    </row>
    <row r="2" customFormat="false" ht="19.5" hidden="false" customHeight="true" outlineLevel="0" collapsed="false">
      <c r="A2" s="1"/>
      <c r="B2" s="1"/>
      <c r="C2" s="2"/>
      <c r="D2" s="2"/>
      <c r="E2" s="3"/>
      <c r="F2" s="3"/>
    </row>
    <row r="3" customFormat="false" ht="19.5" hidden="false" customHeight="true" outlineLevel="0" collapsed="false">
      <c r="A3" s="1"/>
      <c r="B3" s="1"/>
      <c r="C3" s="4" t="s">
        <v>44</v>
      </c>
      <c r="D3" s="4"/>
    </row>
    <row r="6" customFormat="false" ht="15" hidden="false" customHeight="false" outlineLevel="0" collapsed="false">
      <c r="A6" s="19" t="s">
        <v>45</v>
      </c>
      <c r="B6" s="19"/>
      <c r="C6" s="19"/>
      <c r="D6" s="19"/>
      <c r="E6" s="19"/>
      <c r="F6" s="19"/>
    </row>
    <row r="7" customFormat="false" ht="15" hidden="false" customHeight="false" outlineLevel="0" collapsed="false">
      <c r="B7" s="20"/>
      <c r="C7" s="20" t="s">
        <v>46</v>
      </c>
      <c r="D7" s="20" t="s">
        <v>47</v>
      </c>
      <c r="E7" s="20" t="s">
        <v>48</v>
      </c>
      <c r="F7" s="20" t="s">
        <v>49</v>
      </c>
    </row>
    <row r="8" customFormat="false" ht="15" hidden="false" customHeight="false" outlineLevel="0" collapsed="false">
      <c r="B8" s="21" t="s">
        <v>31</v>
      </c>
      <c r="C8" s="22" t="str">
        <f aca="false">IF(GoalUnitsNew="","-",GoalUnitsNew)</f>
        <v>-</v>
      </c>
      <c r="D8" s="22" t="n">
        <f aca="false">$B$36</f>
        <v>0</v>
      </c>
      <c r="E8" s="23" t="str">
        <f aca="false">IF(OR(GoalUnitsNew="",GoalUnitsNew=0),"-",$B$36/GoalUnitsNew)</f>
        <v>-</v>
      </c>
      <c r="F8" s="22" t="str">
        <f aca="false">IF(GoalUnitsNew="","-",MAX(0,GoalUnitsNew-$B$36))</f>
        <v>-</v>
      </c>
      <c r="G8" s="24" t="str">
        <f aca="false">IF(OR($C8="-",N($C8)=0),"",REPT("█",MIN(20,ROUND($D8/$C8*20,0)))&amp;IF($D8&gt;=$C8," ✔",""))</f>
        <v/>
      </c>
    </row>
    <row r="9" customFormat="false" ht="15" hidden="false" customHeight="false" outlineLevel="0" collapsed="false">
      <c r="B9" s="21" t="s">
        <v>32</v>
      </c>
      <c r="C9" s="22" t="str">
        <f aca="false">IF(GoalUnitsUsed="","-",GoalUnitsUsed)</f>
        <v>-</v>
      </c>
      <c r="D9" s="22" t="n">
        <f aca="false">$B$37</f>
        <v>0</v>
      </c>
      <c r="E9" s="23" t="str">
        <f aca="false">IF(OR(GoalUnitsUsed="",GoalUnitsUsed=0),"-",$B$37/GoalUnitsUsed)</f>
        <v>-</v>
      </c>
      <c r="F9" s="22" t="str">
        <f aca="false">IF(GoalUnitsUsed="","-",MAX(0,GoalUnitsUsed-$B$37))</f>
        <v>-</v>
      </c>
      <c r="G9" s="24" t="str">
        <f aca="false">IF(OR($C9="-",N($C9)=0),"",REPT("█",MIN(20,ROUND($D9/$C9*20,0)))&amp;IF($D9&gt;=$C9," ✔",""))</f>
        <v/>
      </c>
    </row>
    <row r="10" customFormat="false" ht="15" hidden="false" customHeight="false" outlineLevel="0" collapsed="false">
      <c r="B10" s="21" t="s">
        <v>33</v>
      </c>
      <c r="C10" s="22" t="str">
        <f aca="false">IF(GoalUnitsTotal="","-",GoalUnitsTotal)</f>
        <v>-</v>
      </c>
      <c r="D10" s="22" t="n">
        <f aca="false">'Aug 31'!$C$62</f>
        <v>0</v>
      </c>
      <c r="E10" s="23" t="str">
        <f aca="false">IF(OR(GoalUnitsTotal="",GoalUnitsTotal=0),"-",'Aug 31'!$C$62/GoalUnitsTotal)</f>
        <v>-</v>
      </c>
      <c r="F10" s="22" t="str">
        <f aca="false">IF(GoalUnitsTotal="","-",MAX(0,GoalUnitsTotal-'Aug 31'!$C$62))</f>
        <v>-</v>
      </c>
      <c r="G10" s="24" t="str">
        <f aca="false">IF(OR($C10="-",N($C10)=0),"",REPT("█",MIN(20,ROUND($D10/$C10*20,0)))&amp;IF($D10&gt;=$C10," ✔",""))</f>
        <v/>
      </c>
    </row>
    <row r="12" customFormat="false" ht="15" hidden="false" customHeight="false" outlineLevel="0" collapsed="false">
      <c r="A12" s="19" t="s">
        <v>50</v>
      </c>
      <c r="B12" s="19"/>
      <c r="C12" s="19"/>
      <c r="D12" s="19"/>
      <c r="E12" s="19"/>
      <c r="F12" s="19"/>
    </row>
    <row r="13" customFormat="false" ht="15" hidden="false" customHeight="false" outlineLevel="0" collapsed="false">
      <c r="B13" s="20"/>
      <c r="C13" s="20" t="s">
        <v>46</v>
      </c>
      <c r="D13" s="20" t="s">
        <v>47</v>
      </c>
      <c r="E13" s="20" t="s">
        <v>48</v>
      </c>
      <c r="F13" s="20" t="s">
        <v>49</v>
      </c>
    </row>
    <row r="14" customFormat="false" ht="15" hidden="false" customHeight="false" outlineLevel="0" collapsed="false">
      <c r="B14" s="21" t="s">
        <v>31</v>
      </c>
      <c r="C14" s="25" t="str">
        <f aca="false">IF(GoalGrossNew="","-",GoalGrossNew)</f>
        <v>-</v>
      </c>
      <c r="D14" s="25" t="n">
        <f aca="false">$B$38</f>
        <v>0</v>
      </c>
      <c r="E14" s="23" t="str">
        <f aca="false">IF(OR(GoalGrossNew="",GoalGrossNew=0),"-",$B$38/GoalGrossNew)</f>
        <v>-</v>
      </c>
      <c r="F14" s="25" t="str">
        <f aca="false">IF(GoalGrossNew="","-",MAX(0,GoalGrossNew-$B$38))</f>
        <v>-</v>
      </c>
      <c r="G14" s="24" t="str">
        <f aca="false">IF(OR($C14="-",N($C14)=0),"",REPT("█",MIN(20,ROUND($D14/$C14*20,0)))&amp;IF($D14&gt;=$C14," ✔",""))</f>
        <v/>
      </c>
    </row>
    <row r="15" customFormat="false" ht="15" hidden="false" customHeight="false" outlineLevel="0" collapsed="false">
      <c r="B15" s="21" t="s">
        <v>32</v>
      </c>
      <c r="C15" s="25" t="str">
        <f aca="false">IF(GoalGrossUsed="","-",GoalGrossUsed)</f>
        <v>-</v>
      </c>
      <c r="D15" s="25" t="n">
        <f aca="false">$B$39</f>
        <v>0</v>
      </c>
      <c r="E15" s="23" t="str">
        <f aca="false">IF(OR(GoalGrossUsed="",GoalGrossUsed=0),"-",$B$39/GoalGrossUsed)</f>
        <v>-</v>
      </c>
      <c r="F15" s="25" t="str">
        <f aca="false">IF(GoalGrossUsed="","-",MAX(0,GoalGrossUsed-$B$39))</f>
        <v>-</v>
      </c>
      <c r="G15" s="24" t="str">
        <f aca="false">IF(OR($C15="-",N($C15)=0),"",REPT("█",MIN(20,ROUND($D15/$C15*20,0)))&amp;IF($D15&gt;=$C15," ✔",""))</f>
        <v/>
      </c>
    </row>
    <row r="16" customFormat="false" ht="15" hidden="false" customHeight="false" outlineLevel="0" collapsed="false">
      <c r="B16" s="21" t="s">
        <v>33</v>
      </c>
      <c r="C16" s="25" t="str">
        <f aca="false">IF(GoalGrossTotal="","-",GoalGrossTotal)</f>
        <v>-</v>
      </c>
      <c r="D16" s="25" t="n">
        <f aca="false">'Aug 31'!$C$63</f>
        <v>0</v>
      </c>
      <c r="E16" s="23" t="str">
        <f aca="false">IF(OR(GoalGrossTotal="",GoalGrossTotal=0),"-",'Aug 31'!$C$63/GoalGrossTotal)</f>
        <v>-</v>
      </c>
      <c r="F16" s="25" t="str">
        <f aca="false">IF(GoalGrossTotal="","-",MAX(0,GoalGrossTotal-'Aug 31'!$C$63))</f>
        <v>-</v>
      </c>
      <c r="G16" s="24" t="str">
        <f aca="false">IF(OR($C16="-",N($C16)=0),"",REPT("█",MIN(20,ROUND($D16/$C16*20,0)))&amp;IF($D16&gt;=$C16," ✔",""))</f>
        <v/>
      </c>
    </row>
    <row r="18" customFormat="false" ht="15" hidden="false" customHeight="false" outlineLevel="0" collapsed="false">
      <c r="A18" s="19" t="s">
        <v>51</v>
      </c>
      <c r="B18" s="19"/>
      <c r="C18" s="19"/>
      <c r="D18" s="19"/>
      <c r="E18" s="19"/>
      <c r="F18" s="19"/>
    </row>
    <row r="19" customFormat="false" ht="15" hidden="false" customHeight="false" outlineLevel="0" collapsed="false">
      <c r="B19" s="21" t="s">
        <v>52</v>
      </c>
      <c r="C19" s="26" t="s">
        <v>53</v>
      </c>
      <c r="D19" s="27" t="str">
        <f aca="false">IF('Aug 31'!$C$62=0,"-",'Aug 31'!$C$63/'Aug 31'!$C$62)</f>
        <v>-</v>
      </c>
      <c r="E19" s="25" t="str">
        <f aca="false">IF(GoalPVRTotal="","-",GoalPVRTotal)</f>
        <v>-</v>
      </c>
      <c r="F19" s="28"/>
    </row>
    <row r="20" customFormat="false" ht="15" hidden="false" customHeight="false" outlineLevel="0" collapsed="false">
      <c r="B20" s="21" t="s">
        <v>54</v>
      </c>
      <c r="C20" s="28"/>
      <c r="D20" s="29" t="n">
        <f aca="false">Dashboard!$BT$5</f>
        <v>25</v>
      </c>
      <c r="E20" s="28"/>
      <c r="F20" s="28"/>
    </row>
    <row r="21" customFormat="false" ht="15" hidden="false" customHeight="false" outlineLevel="0" collapsed="false">
      <c r="B21" s="21" t="s">
        <v>55</v>
      </c>
      <c r="C21" s="28"/>
      <c r="D21" s="30" t="str">
        <f aca="false">IF(OR(GoalUnitsTotal="",GoalUnitsTotal=0),"-",'Aug 31'!$C$62/GoalUnitsTotal)</f>
        <v>-</v>
      </c>
      <c r="E21" s="28"/>
      <c r="F21" s="28"/>
    </row>
    <row r="22" customFormat="false" ht="15" hidden="false" customHeight="false" outlineLevel="0" collapsed="false">
      <c r="B22" s="21" t="s">
        <v>56</v>
      </c>
      <c r="C22" s="28"/>
      <c r="D22" s="30" t="str">
        <f aca="false">IF(OR(GoalGrossTotal="",GoalGrossTotal=0),"-",'Aug 31'!$C$63/GoalGrossTotal)</f>
        <v>-</v>
      </c>
      <c r="E22" s="28"/>
      <c r="F22" s="28"/>
    </row>
    <row r="24" customFormat="false" ht="15" hidden="false" customHeight="false" outlineLevel="0" collapsed="false">
      <c r="B24" s="19" t="s">
        <v>57</v>
      </c>
    </row>
    <row r="25" customFormat="false" ht="15" hidden="false" customHeight="false" outlineLevel="0" collapsed="false">
      <c r="B25" s="21" t="s">
        <v>29</v>
      </c>
      <c r="C25" s="31" t="n">
        <f aca="false">IF(Dashboard!$BT$4=0,"-",ROUND('Aug 31'!$C$62/Dashboard!$BT$4*GoalSellingDays,1))</f>
        <v>0</v>
      </c>
      <c r="D25" s="27" t="str">
        <f aca="false">IF(OR(GoalUnitsTotal="",C25="-"),"-",IF(C25&gt;=GoalUnitsTotal,"▲ +"&amp;TEXT(C25-GoalUnitsTotal,"0.0"),"▼ "&amp;TEXT(C25-GoalUnitsTotal,"0.0")))</f>
        <v>-</v>
      </c>
    </row>
    <row r="26" customFormat="false" ht="15" hidden="false" customHeight="false" outlineLevel="0" collapsed="false">
      <c r="B26" s="21" t="s">
        <v>30</v>
      </c>
      <c r="C26" s="32" t="n">
        <f aca="false">IF(Dashboard!$BT$4=0,"-",ROUND('Aug 31'!$C$63/Dashboard!$BT$4*GoalSellingDays,0))</f>
        <v>0</v>
      </c>
      <c r="D26" s="27" t="str">
        <f aca="false">IF(OR(GoalGrossTotal="",C26="-"),"-",IF(C26&gt;=GoalGrossTotal,"▲ "&amp;TEXT(C26-GoalGrossTotal,"$#,##0"),"▼ "&amp;TEXT(C26-GoalGrossTotal,"$#,##0")))</f>
        <v>-</v>
      </c>
    </row>
    <row r="36" customFormat="false" ht="15" hidden="false" customHeight="false" outlineLevel="0" collapsed="false">
      <c r="B36" s="0" t="n">
        <f aca="false">'Aug 1'!$C$46+'Aug 2'!$C$46+'Aug 3'!$C$46+'Aug 4'!$C$46+'Aug 5'!$C$46+'Aug 6'!$C$46+'Aug 7'!$C$46+'Aug 8'!$C$46+'Aug 9'!$C$46+'Aug 10'!$C$46+'Aug 11'!$C$46+'Aug 12'!$C$46+'Aug 13'!$C$46+'Aug 14'!$C$46+'Aug 15'!$C$46+'Aug 16'!$C$46+'Aug 17'!$C$46+'Aug 18'!$C$46+'Aug 19'!$C$46+'Aug 20'!$C$46+'Aug 21'!$C$46+'Aug 22'!$C$46+'Aug 23'!$C$46+'Aug 24'!$C$46+'Aug 25'!$C$46+'Aug 26'!$C$46+'Aug 27'!$C$46+'Aug 28'!$C$46+'Aug 29'!$C$46+'Aug 30'!$C$46+'Aug 31'!$C$46</f>
        <v>0</v>
      </c>
    </row>
    <row r="37" customFormat="false" ht="15" hidden="false" customHeight="false" outlineLevel="0" collapsed="false">
      <c r="B37" s="0" t="n">
        <f aca="false">'Aug 1'!$E$46+'Aug 2'!$E$46+'Aug 3'!$E$46+'Aug 4'!$E$46+'Aug 5'!$E$46+'Aug 6'!$E$46+'Aug 7'!$E$46+'Aug 8'!$E$46+'Aug 9'!$E$46+'Aug 10'!$E$46+'Aug 11'!$E$46+'Aug 12'!$E$46+'Aug 13'!$E$46+'Aug 14'!$E$46+'Aug 15'!$E$46+'Aug 16'!$E$46+'Aug 17'!$E$46+'Aug 18'!$E$46+'Aug 19'!$E$46+'Aug 20'!$E$46+'Aug 21'!$E$46+'Aug 22'!$E$46+'Aug 23'!$E$46+'Aug 24'!$E$46+'Aug 25'!$E$46+'Aug 26'!$E$46+'Aug 27'!$E$46+'Aug 28'!$E$46+'Aug 29'!$E$46+'Aug 30'!$E$46+'Aug 31'!$E$46</f>
        <v>0</v>
      </c>
    </row>
    <row r="38" customFormat="false" ht="15" hidden="false" customHeight="false" outlineLevel="0" collapsed="false">
      <c r="B38" s="0" t="n">
        <f aca="false">'Aug 1'!$C$49+'Aug 2'!$C$49+'Aug 3'!$C$49+'Aug 4'!$C$49+'Aug 5'!$C$49+'Aug 6'!$C$49+'Aug 7'!$C$49+'Aug 8'!$C$49+'Aug 9'!$C$49+'Aug 10'!$C$49+'Aug 11'!$C$49+'Aug 12'!$C$49+'Aug 13'!$C$49+'Aug 14'!$C$49+'Aug 15'!$C$49+'Aug 16'!$C$49+'Aug 17'!$C$49+'Aug 18'!$C$49+'Aug 19'!$C$49+'Aug 20'!$C$49+'Aug 21'!$C$49+'Aug 22'!$C$49+'Aug 23'!$C$49+'Aug 24'!$C$49+'Aug 25'!$C$49+'Aug 26'!$C$49+'Aug 27'!$C$49+'Aug 28'!$C$49+'Aug 29'!$C$49+'Aug 30'!$C$49+'Aug 31'!$C$49</f>
        <v>0</v>
      </c>
    </row>
    <row r="39" customFormat="false" ht="15" hidden="false" customHeight="false" outlineLevel="0" collapsed="false">
      <c r="B39" s="0" t="n">
        <f aca="false">'Aug 1'!$E$49+'Aug 2'!$E$49+'Aug 3'!$E$49+'Aug 4'!$E$49+'Aug 5'!$E$49+'Aug 6'!$E$49+'Aug 7'!$E$49+'Aug 8'!$E$49+'Aug 9'!$E$49+'Aug 10'!$E$49+'Aug 11'!$E$49+'Aug 12'!$E$49+'Aug 13'!$E$49+'Aug 14'!$E$49+'Aug 15'!$E$49+'Aug 16'!$E$49+'Aug 17'!$E$49+'Aug 18'!$E$49+'Aug 19'!$E$49+'Aug 20'!$E$49+'Aug 21'!$E$49+'Aug 22'!$E$49+'Aug 23'!$E$49+'Aug 24'!$E$49+'Aug 25'!$E$49+'Aug 26'!$E$49+'Aug 27'!$E$49+'Aug 28'!$E$49+'Aug 29'!$E$49+'Aug 30'!$E$49+'Aug 31'!$E$49</f>
        <v>0</v>
      </c>
    </row>
  </sheetData>
  <sheetProtection sheet="true" formatColumns="false" formatRows="false"/>
  <mergeCells count="7">
    <mergeCell ref="A1:B3"/>
    <mergeCell ref="C1:D2"/>
    <mergeCell ref="E1:F2"/>
    <mergeCell ref="C3:D3"/>
    <mergeCell ref="A6:F6"/>
    <mergeCell ref="A12:F12"/>
    <mergeCell ref="A18:F18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L10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E62" activeCellId="0" sqref="E6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20"/>
    <col collapsed="false" customWidth="true" hidden="false" outlineLevel="0" max="6" min="6" style="0" width="6"/>
    <col collapsed="false" customWidth="true" hidden="false" outlineLevel="0" max="8" min="7" style="0" width="15"/>
    <col collapsed="false" customWidth="true" hidden="false" outlineLevel="0" max="9" min="9" style="0" width="26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6"/>
  </cols>
  <sheetData>
    <row r="1" customFormat="false" ht="19.5" hidden="false" customHeight="true" outlineLevel="0" collapsed="false">
      <c r="A1" s="1" t="s">
        <v>58</v>
      </c>
      <c r="B1" s="1"/>
      <c r="C1" s="2" t="s">
        <v>59</v>
      </c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1"/>
      <c r="B2" s="1"/>
      <c r="C2" s="2"/>
      <c r="D2" s="2"/>
      <c r="E2" s="2"/>
      <c r="F2" s="2"/>
      <c r="G2" s="2"/>
      <c r="H2" s="2"/>
      <c r="I2" s="2"/>
    </row>
    <row r="3" customFormat="false" ht="19.5" hidden="false" customHeight="true" outlineLevel="0" collapsed="false">
      <c r="A3" s="1"/>
      <c r="B3" s="1"/>
      <c r="C3" s="4" t="s">
        <v>60</v>
      </c>
      <c r="D3" s="4"/>
      <c r="E3" s="4"/>
      <c r="F3" s="4"/>
      <c r="G3" s="4"/>
      <c r="H3" s="4"/>
      <c r="I3" s="4"/>
    </row>
    <row r="4" customFormat="false" ht="15" hidden="false" customHeight="false" outlineLevel="0" collapsed="false">
      <c r="B4" s="4" t="s">
        <v>61</v>
      </c>
      <c r="C4" s="4"/>
      <c r="D4" s="33" t="s">
        <v>62</v>
      </c>
      <c r="E4" s="4" t="s">
        <v>63</v>
      </c>
      <c r="F4" s="4"/>
      <c r="G4" s="33" t="s">
        <v>64</v>
      </c>
      <c r="H4" s="33" t="s">
        <v>65</v>
      </c>
      <c r="I4" s="4" t="s">
        <v>66</v>
      </c>
      <c r="J4" s="4"/>
      <c r="K4" s="4"/>
      <c r="L4" s="4"/>
    </row>
    <row r="5" customFormat="false" ht="15.75" hidden="false" customHeight="true" outlineLevel="0" collapsed="false"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customFormat="false" ht="15" hidden="false" customHeight="false" outlineLevel="0" collapsed="false">
      <c r="B6" s="35" t="str">
        <f aca="false">"Showing "&amp;COUNTIF(A8:A1092,"✓")&amp;" of "&amp;SUMPRODUCT(($C$8:$C$1092&lt;&gt;"")*($C$8:$C$1092&lt;&gt;0))&amp;" deals booked this month"</f>
        <v>Showing 0 of 0 deals booked this month</v>
      </c>
      <c r="C6" s="35"/>
      <c r="D6" s="35"/>
      <c r="E6" s="35"/>
    </row>
    <row r="7" customFormat="false" ht="15.75" hidden="false" customHeight="true" outlineLevel="0" collapsed="false">
      <c r="A7" s="36" t="s">
        <v>67</v>
      </c>
      <c r="B7" s="36" t="s">
        <v>68</v>
      </c>
      <c r="C7" s="36" t="s">
        <v>69</v>
      </c>
      <c r="D7" s="36" t="s">
        <v>70</v>
      </c>
      <c r="E7" s="37" t="s">
        <v>71</v>
      </c>
      <c r="F7" s="36" t="s">
        <v>62</v>
      </c>
      <c r="G7" s="37" t="s">
        <v>72</v>
      </c>
      <c r="H7" s="37" t="s">
        <v>73</v>
      </c>
      <c r="I7" s="37" t="s">
        <v>74</v>
      </c>
      <c r="J7" s="36" t="s">
        <v>30</v>
      </c>
      <c r="K7" s="36" t="s">
        <v>63</v>
      </c>
      <c r="L7" s="36" t="s">
        <v>75</v>
      </c>
    </row>
    <row r="8" customFormat="false" ht="15" hidden="false" customHeight="false" outlineLevel="0" collapsed="false">
      <c r="A8" s="38" t="str">
        <f aca="false">IF(OR(C8="",C8=0),"",IF(AND(OR($B$5="",G8=$B$5,H8=$B$5),OR($D$5="",F8=$D$5),OR($E$5="",K8=$E$5),OR($G$5="",L8=$G$5),OR($H$5="",N(J8)&gt;=$H$5),OR($I$5="",ISNUMBER(SEARCH($I$5,C8&amp;" "&amp;D8&amp;" "&amp;E8&amp;" "&amp;I8)))),"✓",""))</f>
        <v/>
      </c>
      <c r="B8" s="39" t="n">
        <v>46235</v>
      </c>
      <c r="C8" s="40" t="n">
        <f aca="false">'Aug 1'!$D$8</f>
        <v>0</v>
      </c>
      <c r="D8" s="40" t="n">
        <f aca="false">'Aug 1'!$B$8</f>
        <v>0</v>
      </c>
      <c r="E8" s="41" t="n">
        <f aca="false">'Aug 1'!$E$8</f>
        <v>0</v>
      </c>
      <c r="F8" s="40" t="n">
        <f aca="false">'Aug 1'!$A$8</f>
        <v>0</v>
      </c>
      <c r="G8" s="41" t="n">
        <f aca="false">'Aug 1'!$F$8</f>
        <v>0</v>
      </c>
      <c r="H8" s="41" t="n">
        <f aca="false">'Aug 1'!$G$8</f>
        <v>0</v>
      </c>
      <c r="I8" s="41" t="str">
        <f aca="false">'Aug 1'!$M$8</f>
        <v/>
      </c>
      <c r="J8" s="42" t="str">
        <f aca="false">'Aug 1'!$S$8</f>
        <v/>
      </c>
      <c r="K8" s="40" t="n">
        <f aca="false">'Aug 1'!$AG$8</f>
        <v>0</v>
      </c>
      <c r="L8" s="40" t="n">
        <f aca="false">'Aug 1'!$N$8</f>
        <v>0</v>
      </c>
    </row>
    <row r="9" customFormat="false" ht="15" hidden="false" customHeight="false" outlineLevel="0" collapsed="false">
      <c r="A9" s="38" t="str">
        <f aca="false">IF(OR(C9="",C9=0),"",IF(AND(OR($B$5="",G9=$B$5,H9=$B$5),OR($D$5="",F9=$D$5),OR($E$5="",K9=$E$5),OR($G$5="",L9=$G$5),OR($H$5="",N(J9)&gt;=$H$5),OR($I$5="",ISNUMBER(SEARCH($I$5,C9&amp;" "&amp;D9&amp;" "&amp;E9&amp;" "&amp;I9)))),"✓",""))</f>
        <v/>
      </c>
      <c r="B9" s="39" t="n">
        <v>46235</v>
      </c>
      <c r="C9" s="40" t="n">
        <f aca="false">'Aug 1'!$D$9</f>
        <v>0</v>
      </c>
      <c r="D9" s="40" t="n">
        <f aca="false">'Aug 1'!$B$9</f>
        <v>0</v>
      </c>
      <c r="E9" s="41" t="n">
        <f aca="false">'Aug 1'!$E$9</f>
        <v>0</v>
      </c>
      <c r="F9" s="40" t="n">
        <f aca="false">'Aug 1'!$A$9</f>
        <v>0</v>
      </c>
      <c r="G9" s="41" t="n">
        <f aca="false">'Aug 1'!$F$9</f>
        <v>0</v>
      </c>
      <c r="H9" s="41" t="n">
        <f aca="false">'Aug 1'!$G$9</f>
        <v>0</v>
      </c>
      <c r="I9" s="41" t="str">
        <f aca="false">'Aug 1'!$M$9</f>
        <v/>
      </c>
      <c r="J9" s="42" t="str">
        <f aca="false">'Aug 1'!$S$9</f>
        <v/>
      </c>
      <c r="K9" s="40" t="n">
        <f aca="false">'Aug 1'!$AG$9</f>
        <v>0</v>
      </c>
      <c r="L9" s="40" t="n">
        <f aca="false">'Aug 1'!$N$9</f>
        <v>0</v>
      </c>
    </row>
    <row r="10" customFormat="false" ht="15" hidden="false" customHeight="false" outlineLevel="0" collapsed="false">
      <c r="A10" s="38" t="str">
        <f aca="false">IF(OR(C10="",C10=0),"",IF(AND(OR($B$5="",G10=$B$5,H10=$B$5),OR($D$5="",F10=$D$5),OR($E$5="",K10=$E$5),OR($G$5="",L10=$G$5),OR($H$5="",N(J10)&gt;=$H$5),OR($I$5="",ISNUMBER(SEARCH($I$5,C10&amp;" "&amp;D10&amp;" "&amp;E10&amp;" "&amp;I10)))),"✓",""))</f>
        <v/>
      </c>
      <c r="B10" s="39" t="n">
        <v>46235</v>
      </c>
      <c r="C10" s="40" t="n">
        <f aca="false">'Aug 1'!$D$10</f>
        <v>0</v>
      </c>
      <c r="D10" s="40" t="n">
        <f aca="false">'Aug 1'!$B$10</f>
        <v>0</v>
      </c>
      <c r="E10" s="41" t="n">
        <f aca="false">'Aug 1'!$E$10</f>
        <v>0</v>
      </c>
      <c r="F10" s="40" t="n">
        <f aca="false">'Aug 1'!$A$10</f>
        <v>0</v>
      </c>
      <c r="G10" s="41" t="n">
        <f aca="false">'Aug 1'!$F$10</f>
        <v>0</v>
      </c>
      <c r="H10" s="41" t="n">
        <f aca="false">'Aug 1'!$G$10</f>
        <v>0</v>
      </c>
      <c r="I10" s="41" t="str">
        <f aca="false">'Aug 1'!$M$10</f>
        <v/>
      </c>
      <c r="J10" s="42" t="str">
        <f aca="false">'Aug 1'!$S$10</f>
        <v/>
      </c>
      <c r="K10" s="40" t="n">
        <f aca="false">'Aug 1'!$AG$10</f>
        <v>0</v>
      </c>
      <c r="L10" s="40" t="n">
        <f aca="false">'Aug 1'!$N$10</f>
        <v>0</v>
      </c>
    </row>
    <row r="11" customFormat="false" ht="15" hidden="false" customHeight="false" outlineLevel="0" collapsed="false">
      <c r="A11" s="38" t="str">
        <f aca="false">IF(OR(C11="",C11=0),"",IF(AND(OR($B$5="",G11=$B$5,H11=$B$5),OR($D$5="",F11=$D$5),OR($E$5="",K11=$E$5),OR($G$5="",L11=$G$5),OR($H$5="",N(J11)&gt;=$H$5),OR($I$5="",ISNUMBER(SEARCH($I$5,C11&amp;" "&amp;D11&amp;" "&amp;E11&amp;" "&amp;I11)))),"✓",""))</f>
        <v/>
      </c>
      <c r="B11" s="39" t="n">
        <v>46235</v>
      </c>
      <c r="C11" s="40" t="n">
        <f aca="false">'Aug 1'!$D$11</f>
        <v>0</v>
      </c>
      <c r="D11" s="40" t="n">
        <f aca="false">'Aug 1'!$B$11</f>
        <v>0</v>
      </c>
      <c r="E11" s="41" t="n">
        <f aca="false">'Aug 1'!$E$11</f>
        <v>0</v>
      </c>
      <c r="F11" s="40" t="n">
        <f aca="false">'Aug 1'!$A$11</f>
        <v>0</v>
      </c>
      <c r="G11" s="41" t="n">
        <f aca="false">'Aug 1'!$F$11</f>
        <v>0</v>
      </c>
      <c r="H11" s="41" t="n">
        <f aca="false">'Aug 1'!$G$11</f>
        <v>0</v>
      </c>
      <c r="I11" s="41" t="str">
        <f aca="false">'Aug 1'!$M$11</f>
        <v/>
      </c>
      <c r="J11" s="42" t="str">
        <f aca="false">'Aug 1'!$S$11</f>
        <v/>
      </c>
      <c r="K11" s="40" t="n">
        <f aca="false">'Aug 1'!$AG$11</f>
        <v>0</v>
      </c>
      <c r="L11" s="40" t="n">
        <f aca="false">'Aug 1'!$N$11</f>
        <v>0</v>
      </c>
    </row>
    <row r="12" customFormat="false" ht="15" hidden="false" customHeight="false" outlineLevel="0" collapsed="false">
      <c r="A12" s="38" t="str">
        <f aca="false">IF(OR(C12="",C12=0),"",IF(AND(OR($B$5="",G12=$B$5,H12=$B$5),OR($D$5="",F12=$D$5),OR($E$5="",K12=$E$5),OR($G$5="",L12=$G$5),OR($H$5="",N(J12)&gt;=$H$5),OR($I$5="",ISNUMBER(SEARCH($I$5,C12&amp;" "&amp;D12&amp;" "&amp;E12&amp;" "&amp;I12)))),"✓",""))</f>
        <v/>
      </c>
      <c r="B12" s="39" t="n">
        <v>46235</v>
      </c>
      <c r="C12" s="40" t="n">
        <f aca="false">'Aug 1'!$D$12</f>
        <v>0</v>
      </c>
      <c r="D12" s="40" t="n">
        <f aca="false">'Aug 1'!$B$12</f>
        <v>0</v>
      </c>
      <c r="E12" s="41" t="n">
        <f aca="false">'Aug 1'!$E$12</f>
        <v>0</v>
      </c>
      <c r="F12" s="40" t="n">
        <f aca="false">'Aug 1'!$A$12</f>
        <v>0</v>
      </c>
      <c r="G12" s="41" t="n">
        <f aca="false">'Aug 1'!$F$12</f>
        <v>0</v>
      </c>
      <c r="H12" s="41" t="n">
        <f aca="false">'Aug 1'!$G$12</f>
        <v>0</v>
      </c>
      <c r="I12" s="41" t="str">
        <f aca="false">'Aug 1'!$M$12</f>
        <v/>
      </c>
      <c r="J12" s="42" t="str">
        <f aca="false">'Aug 1'!$S$12</f>
        <v/>
      </c>
      <c r="K12" s="40" t="n">
        <f aca="false">'Aug 1'!$AG$12</f>
        <v>0</v>
      </c>
      <c r="L12" s="40" t="n">
        <f aca="false">'Aug 1'!$N$12</f>
        <v>0</v>
      </c>
    </row>
    <row r="13" customFormat="false" ht="15" hidden="false" customHeight="false" outlineLevel="0" collapsed="false">
      <c r="A13" s="38" t="str">
        <f aca="false">IF(OR(C13="",C13=0),"",IF(AND(OR($B$5="",G13=$B$5,H13=$B$5),OR($D$5="",F13=$D$5),OR($E$5="",K13=$E$5),OR($G$5="",L13=$G$5),OR($H$5="",N(J13)&gt;=$H$5),OR($I$5="",ISNUMBER(SEARCH($I$5,C13&amp;" "&amp;D13&amp;" "&amp;E13&amp;" "&amp;I13)))),"✓",""))</f>
        <v/>
      </c>
      <c r="B13" s="39" t="n">
        <v>46235</v>
      </c>
      <c r="C13" s="40" t="n">
        <f aca="false">'Aug 1'!$D$13</f>
        <v>0</v>
      </c>
      <c r="D13" s="40" t="n">
        <f aca="false">'Aug 1'!$B$13</f>
        <v>0</v>
      </c>
      <c r="E13" s="41" t="n">
        <f aca="false">'Aug 1'!$E$13</f>
        <v>0</v>
      </c>
      <c r="F13" s="40" t="n">
        <f aca="false">'Aug 1'!$A$13</f>
        <v>0</v>
      </c>
      <c r="G13" s="41" t="n">
        <f aca="false">'Aug 1'!$F$13</f>
        <v>0</v>
      </c>
      <c r="H13" s="41" t="n">
        <f aca="false">'Aug 1'!$G$13</f>
        <v>0</v>
      </c>
      <c r="I13" s="41" t="str">
        <f aca="false">'Aug 1'!$M$13</f>
        <v/>
      </c>
      <c r="J13" s="42" t="str">
        <f aca="false">'Aug 1'!$S$13</f>
        <v/>
      </c>
      <c r="K13" s="40" t="n">
        <f aca="false">'Aug 1'!$AG$13</f>
        <v>0</v>
      </c>
      <c r="L13" s="40" t="n">
        <f aca="false">'Aug 1'!$N$13</f>
        <v>0</v>
      </c>
    </row>
    <row r="14" customFormat="false" ht="15" hidden="false" customHeight="false" outlineLevel="0" collapsed="false">
      <c r="A14" s="38" t="str">
        <f aca="false">IF(OR(C14="",C14=0),"",IF(AND(OR($B$5="",G14=$B$5,H14=$B$5),OR($D$5="",F14=$D$5),OR($E$5="",K14=$E$5),OR($G$5="",L14=$G$5),OR($H$5="",N(J14)&gt;=$H$5),OR($I$5="",ISNUMBER(SEARCH($I$5,C14&amp;" "&amp;D14&amp;" "&amp;E14&amp;" "&amp;I14)))),"✓",""))</f>
        <v/>
      </c>
      <c r="B14" s="39" t="n">
        <v>46235</v>
      </c>
      <c r="C14" s="40" t="n">
        <f aca="false">'Aug 1'!$D$14</f>
        <v>0</v>
      </c>
      <c r="D14" s="40" t="n">
        <f aca="false">'Aug 1'!$B$14</f>
        <v>0</v>
      </c>
      <c r="E14" s="41" t="n">
        <f aca="false">'Aug 1'!$E$14</f>
        <v>0</v>
      </c>
      <c r="F14" s="40" t="n">
        <f aca="false">'Aug 1'!$A$14</f>
        <v>0</v>
      </c>
      <c r="G14" s="41" t="n">
        <f aca="false">'Aug 1'!$F$14</f>
        <v>0</v>
      </c>
      <c r="H14" s="41" t="n">
        <f aca="false">'Aug 1'!$G$14</f>
        <v>0</v>
      </c>
      <c r="I14" s="41" t="str">
        <f aca="false">'Aug 1'!$M$14</f>
        <v/>
      </c>
      <c r="J14" s="42" t="str">
        <f aca="false">'Aug 1'!$S$14</f>
        <v/>
      </c>
      <c r="K14" s="40" t="n">
        <f aca="false">'Aug 1'!$AG$14</f>
        <v>0</v>
      </c>
      <c r="L14" s="40" t="n">
        <f aca="false">'Aug 1'!$N$14</f>
        <v>0</v>
      </c>
    </row>
    <row r="15" customFormat="false" ht="15" hidden="false" customHeight="false" outlineLevel="0" collapsed="false">
      <c r="A15" s="38" t="str">
        <f aca="false">IF(OR(C15="",C15=0),"",IF(AND(OR($B$5="",G15=$B$5,H15=$B$5),OR($D$5="",F15=$D$5),OR($E$5="",K15=$E$5),OR($G$5="",L15=$G$5),OR($H$5="",N(J15)&gt;=$H$5),OR($I$5="",ISNUMBER(SEARCH($I$5,C15&amp;" "&amp;D15&amp;" "&amp;E15&amp;" "&amp;I15)))),"✓",""))</f>
        <v/>
      </c>
      <c r="B15" s="39" t="n">
        <v>46235</v>
      </c>
      <c r="C15" s="40" t="n">
        <f aca="false">'Aug 1'!$D$15</f>
        <v>0</v>
      </c>
      <c r="D15" s="40" t="n">
        <f aca="false">'Aug 1'!$B$15</f>
        <v>0</v>
      </c>
      <c r="E15" s="41" t="n">
        <f aca="false">'Aug 1'!$E$15</f>
        <v>0</v>
      </c>
      <c r="F15" s="40" t="n">
        <f aca="false">'Aug 1'!$A$15</f>
        <v>0</v>
      </c>
      <c r="G15" s="41" t="n">
        <f aca="false">'Aug 1'!$F$15</f>
        <v>0</v>
      </c>
      <c r="H15" s="41" t="n">
        <f aca="false">'Aug 1'!$G$15</f>
        <v>0</v>
      </c>
      <c r="I15" s="41" t="str">
        <f aca="false">'Aug 1'!$M$15</f>
        <v/>
      </c>
      <c r="J15" s="42" t="str">
        <f aca="false">'Aug 1'!$S$15</f>
        <v/>
      </c>
      <c r="K15" s="40" t="n">
        <f aca="false">'Aug 1'!$AG$15</f>
        <v>0</v>
      </c>
      <c r="L15" s="40" t="n">
        <f aca="false">'Aug 1'!$N$15</f>
        <v>0</v>
      </c>
    </row>
    <row r="16" customFormat="false" ht="15" hidden="false" customHeight="false" outlineLevel="0" collapsed="false">
      <c r="A16" s="38" t="str">
        <f aca="false">IF(OR(C16="",C16=0),"",IF(AND(OR($B$5="",G16=$B$5,H16=$B$5),OR($D$5="",F16=$D$5),OR($E$5="",K16=$E$5),OR($G$5="",L16=$G$5),OR($H$5="",N(J16)&gt;=$H$5),OR($I$5="",ISNUMBER(SEARCH($I$5,C16&amp;" "&amp;D16&amp;" "&amp;E16&amp;" "&amp;I16)))),"✓",""))</f>
        <v/>
      </c>
      <c r="B16" s="39" t="n">
        <v>46235</v>
      </c>
      <c r="C16" s="40" t="n">
        <f aca="false">'Aug 1'!$D$16</f>
        <v>0</v>
      </c>
      <c r="D16" s="40" t="n">
        <f aca="false">'Aug 1'!$B$16</f>
        <v>0</v>
      </c>
      <c r="E16" s="41" t="n">
        <f aca="false">'Aug 1'!$E$16</f>
        <v>0</v>
      </c>
      <c r="F16" s="40" t="n">
        <f aca="false">'Aug 1'!$A$16</f>
        <v>0</v>
      </c>
      <c r="G16" s="41" t="n">
        <f aca="false">'Aug 1'!$F$16</f>
        <v>0</v>
      </c>
      <c r="H16" s="41" t="n">
        <f aca="false">'Aug 1'!$G$16</f>
        <v>0</v>
      </c>
      <c r="I16" s="41" t="str">
        <f aca="false">'Aug 1'!$M$16</f>
        <v/>
      </c>
      <c r="J16" s="42" t="str">
        <f aca="false">'Aug 1'!$S$16</f>
        <v/>
      </c>
      <c r="K16" s="40" t="n">
        <f aca="false">'Aug 1'!$AG$16</f>
        <v>0</v>
      </c>
      <c r="L16" s="40" t="n">
        <f aca="false">'Aug 1'!$N$16</f>
        <v>0</v>
      </c>
    </row>
    <row r="17" customFormat="false" ht="15" hidden="false" customHeight="false" outlineLevel="0" collapsed="false">
      <c r="A17" s="38" t="str">
        <f aca="false">IF(OR(C17="",C17=0),"",IF(AND(OR($B$5="",G17=$B$5,H17=$B$5),OR($D$5="",F17=$D$5),OR($E$5="",K17=$E$5),OR($G$5="",L17=$G$5),OR($H$5="",N(J17)&gt;=$H$5),OR($I$5="",ISNUMBER(SEARCH($I$5,C17&amp;" "&amp;D17&amp;" "&amp;E17&amp;" "&amp;I17)))),"✓",""))</f>
        <v/>
      </c>
      <c r="B17" s="39" t="n">
        <v>46235</v>
      </c>
      <c r="C17" s="40" t="n">
        <f aca="false">'Aug 1'!$D$17</f>
        <v>0</v>
      </c>
      <c r="D17" s="40" t="n">
        <f aca="false">'Aug 1'!$B$17</f>
        <v>0</v>
      </c>
      <c r="E17" s="41" t="n">
        <f aca="false">'Aug 1'!$E$17</f>
        <v>0</v>
      </c>
      <c r="F17" s="40" t="n">
        <f aca="false">'Aug 1'!$A$17</f>
        <v>0</v>
      </c>
      <c r="G17" s="41" t="n">
        <f aca="false">'Aug 1'!$F$17</f>
        <v>0</v>
      </c>
      <c r="H17" s="41" t="n">
        <f aca="false">'Aug 1'!$G$17</f>
        <v>0</v>
      </c>
      <c r="I17" s="41" t="str">
        <f aca="false">'Aug 1'!$M$17</f>
        <v/>
      </c>
      <c r="J17" s="42" t="str">
        <f aca="false">'Aug 1'!$S$17</f>
        <v/>
      </c>
      <c r="K17" s="40" t="n">
        <f aca="false">'Aug 1'!$AG$17</f>
        <v>0</v>
      </c>
      <c r="L17" s="40" t="n">
        <f aca="false">'Aug 1'!$N$17</f>
        <v>0</v>
      </c>
    </row>
    <row r="18" customFormat="false" ht="15" hidden="false" customHeight="false" outlineLevel="0" collapsed="false">
      <c r="A18" s="38" t="str">
        <f aca="false">IF(OR(C18="",C18=0),"",IF(AND(OR($B$5="",G18=$B$5,H18=$B$5),OR($D$5="",F18=$D$5),OR($E$5="",K18=$E$5),OR($G$5="",L18=$G$5),OR($H$5="",N(J18)&gt;=$H$5),OR($I$5="",ISNUMBER(SEARCH($I$5,C18&amp;" "&amp;D18&amp;" "&amp;E18&amp;" "&amp;I18)))),"✓",""))</f>
        <v/>
      </c>
      <c r="B18" s="39" t="n">
        <v>46235</v>
      </c>
      <c r="C18" s="40" t="n">
        <f aca="false">'Aug 1'!$D$18</f>
        <v>0</v>
      </c>
      <c r="D18" s="40" t="n">
        <f aca="false">'Aug 1'!$B$18</f>
        <v>0</v>
      </c>
      <c r="E18" s="41" t="n">
        <f aca="false">'Aug 1'!$E$18</f>
        <v>0</v>
      </c>
      <c r="F18" s="40" t="n">
        <f aca="false">'Aug 1'!$A$18</f>
        <v>0</v>
      </c>
      <c r="G18" s="41" t="n">
        <f aca="false">'Aug 1'!$F$18</f>
        <v>0</v>
      </c>
      <c r="H18" s="41" t="n">
        <f aca="false">'Aug 1'!$G$18</f>
        <v>0</v>
      </c>
      <c r="I18" s="41" t="str">
        <f aca="false">'Aug 1'!$M$18</f>
        <v/>
      </c>
      <c r="J18" s="42" t="str">
        <f aca="false">'Aug 1'!$S$18</f>
        <v/>
      </c>
      <c r="K18" s="40" t="n">
        <f aca="false">'Aug 1'!$AG$18</f>
        <v>0</v>
      </c>
      <c r="L18" s="40" t="n">
        <f aca="false">'Aug 1'!$N$18</f>
        <v>0</v>
      </c>
    </row>
    <row r="19" customFormat="false" ht="15" hidden="false" customHeight="false" outlineLevel="0" collapsed="false">
      <c r="A19" s="38" t="str">
        <f aca="false">IF(OR(C19="",C19=0),"",IF(AND(OR($B$5="",G19=$B$5,H19=$B$5),OR($D$5="",F19=$D$5),OR($E$5="",K19=$E$5),OR($G$5="",L19=$G$5),OR($H$5="",N(J19)&gt;=$H$5),OR($I$5="",ISNUMBER(SEARCH($I$5,C19&amp;" "&amp;D19&amp;" "&amp;E19&amp;" "&amp;I19)))),"✓",""))</f>
        <v/>
      </c>
      <c r="B19" s="39" t="n">
        <v>46235</v>
      </c>
      <c r="C19" s="40" t="n">
        <f aca="false">'Aug 1'!$D$19</f>
        <v>0</v>
      </c>
      <c r="D19" s="40" t="n">
        <f aca="false">'Aug 1'!$B$19</f>
        <v>0</v>
      </c>
      <c r="E19" s="41" t="n">
        <f aca="false">'Aug 1'!$E$19</f>
        <v>0</v>
      </c>
      <c r="F19" s="40" t="n">
        <f aca="false">'Aug 1'!$A$19</f>
        <v>0</v>
      </c>
      <c r="G19" s="41" t="n">
        <f aca="false">'Aug 1'!$F$19</f>
        <v>0</v>
      </c>
      <c r="H19" s="41" t="n">
        <f aca="false">'Aug 1'!$G$19</f>
        <v>0</v>
      </c>
      <c r="I19" s="41" t="str">
        <f aca="false">'Aug 1'!$M$19</f>
        <v/>
      </c>
      <c r="J19" s="42" t="str">
        <f aca="false">'Aug 1'!$S$19</f>
        <v/>
      </c>
      <c r="K19" s="40" t="n">
        <f aca="false">'Aug 1'!$AG$19</f>
        <v>0</v>
      </c>
      <c r="L19" s="40" t="n">
        <f aca="false">'Aug 1'!$N$19</f>
        <v>0</v>
      </c>
    </row>
    <row r="20" customFormat="false" ht="15" hidden="false" customHeight="false" outlineLevel="0" collapsed="false">
      <c r="A20" s="38" t="str">
        <f aca="false">IF(OR(C20="",C20=0),"",IF(AND(OR($B$5="",G20=$B$5,H20=$B$5),OR($D$5="",F20=$D$5),OR($E$5="",K20=$E$5),OR($G$5="",L20=$G$5),OR($H$5="",N(J20)&gt;=$H$5),OR($I$5="",ISNUMBER(SEARCH($I$5,C20&amp;" "&amp;D20&amp;" "&amp;E20&amp;" "&amp;I20)))),"✓",""))</f>
        <v/>
      </c>
      <c r="B20" s="39" t="n">
        <v>46235</v>
      </c>
      <c r="C20" s="40" t="n">
        <f aca="false">'Aug 1'!$D$20</f>
        <v>0</v>
      </c>
      <c r="D20" s="40" t="n">
        <f aca="false">'Aug 1'!$B$20</f>
        <v>0</v>
      </c>
      <c r="E20" s="41" t="n">
        <f aca="false">'Aug 1'!$E$20</f>
        <v>0</v>
      </c>
      <c r="F20" s="40" t="n">
        <f aca="false">'Aug 1'!$A$20</f>
        <v>0</v>
      </c>
      <c r="G20" s="41" t="n">
        <f aca="false">'Aug 1'!$F$20</f>
        <v>0</v>
      </c>
      <c r="H20" s="41" t="n">
        <f aca="false">'Aug 1'!$G$20</f>
        <v>0</v>
      </c>
      <c r="I20" s="41" t="str">
        <f aca="false">'Aug 1'!$M$20</f>
        <v/>
      </c>
      <c r="J20" s="42" t="str">
        <f aca="false">'Aug 1'!$S$20</f>
        <v/>
      </c>
      <c r="K20" s="40" t="n">
        <f aca="false">'Aug 1'!$AG$20</f>
        <v>0</v>
      </c>
      <c r="L20" s="40" t="n">
        <f aca="false">'Aug 1'!$N$20</f>
        <v>0</v>
      </c>
    </row>
    <row r="21" customFormat="false" ht="15" hidden="false" customHeight="false" outlineLevel="0" collapsed="false">
      <c r="A21" s="38" t="str">
        <f aca="false">IF(OR(C21="",C21=0),"",IF(AND(OR($B$5="",G21=$B$5,H21=$B$5),OR($D$5="",F21=$D$5),OR($E$5="",K21=$E$5),OR($G$5="",L21=$G$5),OR($H$5="",N(J21)&gt;=$H$5),OR($I$5="",ISNUMBER(SEARCH($I$5,C21&amp;" "&amp;D21&amp;" "&amp;E21&amp;" "&amp;I21)))),"✓",""))</f>
        <v/>
      </c>
      <c r="B21" s="39" t="n">
        <v>46235</v>
      </c>
      <c r="C21" s="40" t="n">
        <f aca="false">'Aug 1'!$D$21</f>
        <v>0</v>
      </c>
      <c r="D21" s="40" t="n">
        <f aca="false">'Aug 1'!$B$21</f>
        <v>0</v>
      </c>
      <c r="E21" s="41" t="n">
        <f aca="false">'Aug 1'!$E$21</f>
        <v>0</v>
      </c>
      <c r="F21" s="40" t="n">
        <f aca="false">'Aug 1'!$A$21</f>
        <v>0</v>
      </c>
      <c r="G21" s="41" t="n">
        <f aca="false">'Aug 1'!$F$21</f>
        <v>0</v>
      </c>
      <c r="H21" s="41" t="n">
        <f aca="false">'Aug 1'!$G$21</f>
        <v>0</v>
      </c>
      <c r="I21" s="41" t="str">
        <f aca="false">'Aug 1'!$M$21</f>
        <v/>
      </c>
      <c r="J21" s="42" t="str">
        <f aca="false">'Aug 1'!$S$21</f>
        <v/>
      </c>
      <c r="K21" s="40" t="n">
        <f aca="false">'Aug 1'!$AG$21</f>
        <v>0</v>
      </c>
      <c r="L21" s="40" t="n">
        <f aca="false">'Aug 1'!$N$21</f>
        <v>0</v>
      </c>
    </row>
    <row r="22" customFormat="false" ht="15" hidden="false" customHeight="false" outlineLevel="0" collapsed="false">
      <c r="A22" s="38" t="str">
        <f aca="false">IF(OR(C22="",C22=0),"",IF(AND(OR($B$5="",G22=$B$5,H22=$B$5),OR($D$5="",F22=$D$5),OR($E$5="",K22=$E$5),OR($G$5="",L22=$G$5),OR($H$5="",N(J22)&gt;=$H$5),OR($I$5="",ISNUMBER(SEARCH($I$5,C22&amp;" "&amp;D22&amp;" "&amp;E22&amp;" "&amp;I22)))),"✓",""))</f>
        <v/>
      </c>
      <c r="B22" s="39" t="n">
        <v>46235</v>
      </c>
      <c r="C22" s="40" t="n">
        <f aca="false">'Aug 1'!$D$22</f>
        <v>0</v>
      </c>
      <c r="D22" s="40" t="n">
        <f aca="false">'Aug 1'!$B$22</f>
        <v>0</v>
      </c>
      <c r="E22" s="41" t="n">
        <f aca="false">'Aug 1'!$E$22</f>
        <v>0</v>
      </c>
      <c r="F22" s="40" t="n">
        <f aca="false">'Aug 1'!$A$22</f>
        <v>0</v>
      </c>
      <c r="G22" s="41" t="n">
        <f aca="false">'Aug 1'!$F$22</f>
        <v>0</v>
      </c>
      <c r="H22" s="41" t="n">
        <f aca="false">'Aug 1'!$G$22</f>
        <v>0</v>
      </c>
      <c r="I22" s="41" t="str">
        <f aca="false">'Aug 1'!$M$22</f>
        <v/>
      </c>
      <c r="J22" s="42" t="str">
        <f aca="false">'Aug 1'!$S$22</f>
        <v/>
      </c>
      <c r="K22" s="40" t="n">
        <f aca="false">'Aug 1'!$AG$22</f>
        <v>0</v>
      </c>
      <c r="L22" s="40" t="n">
        <f aca="false">'Aug 1'!$N$22</f>
        <v>0</v>
      </c>
    </row>
    <row r="23" customFormat="false" ht="15" hidden="false" customHeight="false" outlineLevel="0" collapsed="false">
      <c r="A23" s="38" t="str">
        <f aca="false">IF(OR(C23="",C23=0),"",IF(AND(OR($B$5="",G23=$B$5,H23=$B$5),OR($D$5="",F23=$D$5),OR($E$5="",K23=$E$5),OR($G$5="",L23=$G$5),OR($H$5="",N(J23)&gt;=$H$5),OR($I$5="",ISNUMBER(SEARCH($I$5,C23&amp;" "&amp;D23&amp;" "&amp;E23&amp;" "&amp;I23)))),"✓",""))</f>
        <v/>
      </c>
      <c r="B23" s="39" t="n">
        <v>46235</v>
      </c>
      <c r="C23" s="40" t="n">
        <f aca="false">'Aug 1'!$D$23</f>
        <v>0</v>
      </c>
      <c r="D23" s="40" t="n">
        <f aca="false">'Aug 1'!$B$23</f>
        <v>0</v>
      </c>
      <c r="E23" s="41" t="n">
        <f aca="false">'Aug 1'!$E$23</f>
        <v>0</v>
      </c>
      <c r="F23" s="40" t="n">
        <f aca="false">'Aug 1'!$A$23</f>
        <v>0</v>
      </c>
      <c r="G23" s="41" t="n">
        <f aca="false">'Aug 1'!$F$23</f>
        <v>0</v>
      </c>
      <c r="H23" s="41" t="n">
        <f aca="false">'Aug 1'!$G$23</f>
        <v>0</v>
      </c>
      <c r="I23" s="41" t="str">
        <f aca="false">'Aug 1'!$M$23</f>
        <v/>
      </c>
      <c r="J23" s="42" t="str">
        <f aca="false">'Aug 1'!$S$23</f>
        <v/>
      </c>
      <c r="K23" s="40" t="n">
        <f aca="false">'Aug 1'!$AG$23</f>
        <v>0</v>
      </c>
      <c r="L23" s="40" t="n">
        <f aca="false">'Aug 1'!$N$23</f>
        <v>0</v>
      </c>
    </row>
    <row r="24" customFormat="false" ht="15" hidden="false" customHeight="false" outlineLevel="0" collapsed="false">
      <c r="A24" s="38" t="str">
        <f aca="false">IF(OR(C24="",C24=0),"",IF(AND(OR($B$5="",G24=$B$5,H24=$B$5),OR($D$5="",F24=$D$5),OR($E$5="",K24=$E$5),OR($G$5="",L24=$G$5),OR($H$5="",N(J24)&gt;=$H$5),OR($I$5="",ISNUMBER(SEARCH($I$5,C24&amp;" "&amp;D24&amp;" "&amp;E24&amp;" "&amp;I24)))),"✓",""))</f>
        <v/>
      </c>
      <c r="B24" s="39" t="n">
        <v>46235</v>
      </c>
      <c r="C24" s="40" t="n">
        <f aca="false">'Aug 1'!$D$24</f>
        <v>0</v>
      </c>
      <c r="D24" s="40" t="n">
        <f aca="false">'Aug 1'!$B$24</f>
        <v>0</v>
      </c>
      <c r="E24" s="41" t="n">
        <f aca="false">'Aug 1'!$E$24</f>
        <v>0</v>
      </c>
      <c r="F24" s="40" t="n">
        <f aca="false">'Aug 1'!$A$24</f>
        <v>0</v>
      </c>
      <c r="G24" s="41" t="n">
        <f aca="false">'Aug 1'!$F$24</f>
        <v>0</v>
      </c>
      <c r="H24" s="41" t="n">
        <f aca="false">'Aug 1'!$G$24</f>
        <v>0</v>
      </c>
      <c r="I24" s="41" t="str">
        <f aca="false">'Aug 1'!$M$24</f>
        <v/>
      </c>
      <c r="J24" s="42" t="str">
        <f aca="false">'Aug 1'!$S$24</f>
        <v/>
      </c>
      <c r="K24" s="40" t="n">
        <f aca="false">'Aug 1'!$AG$24</f>
        <v>0</v>
      </c>
      <c r="L24" s="40" t="n">
        <f aca="false">'Aug 1'!$N$24</f>
        <v>0</v>
      </c>
    </row>
    <row r="25" customFormat="false" ht="15" hidden="false" customHeight="false" outlineLevel="0" collapsed="false">
      <c r="A25" s="38" t="str">
        <f aca="false">IF(OR(C25="",C25=0),"",IF(AND(OR($B$5="",G25=$B$5,H25=$B$5),OR($D$5="",F25=$D$5),OR($E$5="",K25=$E$5),OR($G$5="",L25=$G$5),OR($H$5="",N(J25)&gt;=$H$5),OR($I$5="",ISNUMBER(SEARCH($I$5,C25&amp;" "&amp;D25&amp;" "&amp;E25&amp;" "&amp;I25)))),"✓",""))</f>
        <v/>
      </c>
      <c r="B25" s="39" t="n">
        <v>46235</v>
      </c>
      <c r="C25" s="40" t="n">
        <f aca="false">'Aug 1'!$D$25</f>
        <v>0</v>
      </c>
      <c r="D25" s="40" t="n">
        <f aca="false">'Aug 1'!$B$25</f>
        <v>0</v>
      </c>
      <c r="E25" s="41" t="n">
        <f aca="false">'Aug 1'!$E$25</f>
        <v>0</v>
      </c>
      <c r="F25" s="40" t="n">
        <f aca="false">'Aug 1'!$A$25</f>
        <v>0</v>
      </c>
      <c r="G25" s="41" t="n">
        <f aca="false">'Aug 1'!$F$25</f>
        <v>0</v>
      </c>
      <c r="H25" s="41" t="n">
        <f aca="false">'Aug 1'!$G$25</f>
        <v>0</v>
      </c>
      <c r="I25" s="41" t="str">
        <f aca="false">'Aug 1'!$M$25</f>
        <v/>
      </c>
      <c r="J25" s="42" t="str">
        <f aca="false">'Aug 1'!$S$25</f>
        <v/>
      </c>
      <c r="K25" s="40" t="n">
        <f aca="false">'Aug 1'!$AG$25</f>
        <v>0</v>
      </c>
      <c r="L25" s="40" t="n">
        <f aca="false">'Aug 1'!$N$25</f>
        <v>0</v>
      </c>
    </row>
    <row r="26" customFormat="false" ht="15" hidden="false" customHeight="false" outlineLevel="0" collapsed="false">
      <c r="A26" s="38" t="str">
        <f aca="false">IF(OR(C26="",C26=0),"",IF(AND(OR($B$5="",G26=$B$5,H26=$B$5),OR($D$5="",F26=$D$5),OR($E$5="",K26=$E$5),OR($G$5="",L26=$G$5),OR($H$5="",N(J26)&gt;=$H$5),OR($I$5="",ISNUMBER(SEARCH($I$5,C26&amp;" "&amp;D26&amp;" "&amp;E26&amp;" "&amp;I26)))),"✓",""))</f>
        <v/>
      </c>
      <c r="B26" s="39" t="n">
        <v>46235</v>
      </c>
      <c r="C26" s="40" t="n">
        <f aca="false">'Aug 1'!$D$26</f>
        <v>0</v>
      </c>
      <c r="D26" s="40" t="n">
        <f aca="false">'Aug 1'!$B$26</f>
        <v>0</v>
      </c>
      <c r="E26" s="41" t="n">
        <f aca="false">'Aug 1'!$E$26</f>
        <v>0</v>
      </c>
      <c r="F26" s="40" t="n">
        <f aca="false">'Aug 1'!$A$26</f>
        <v>0</v>
      </c>
      <c r="G26" s="41" t="n">
        <f aca="false">'Aug 1'!$F$26</f>
        <v>0</v>
      </c>
      <c r="H26" s="41" t="n">
        <f aca="false">'Aug 1'!$G$26</f>
        <v>0</v>
      </c>
      <c r="I26" s="41" t="str">
        <f aca="false">'Aug 1'!$M$26</f>
        <v/>
      </c>
      <c r="J26" s="42" t="str">
        <f aca="false">'Aug 1'!$S$26</f>
        <v/>
      </c>
      <c r="K26" s="40" t="n">
        <f aca="false">'Aug 1'!$AG$26</f>
        <v>0</v>
      </c>
      <c r="L26" s="40" t="n">
        <f aca="false">'Aug 1'!$N$26</f>
        <v>0</v>
      </c>
    </row>
    <row r="27" customFormat="false" ht="15" hidden="false" customHeight="false" outlineLevel="0" collapsed="false">
      <c r="A27" s="38" t="str">
        <f aca="false">IF(OR(C27="",C27=0),"",IF(AND(OR($B$5="",G27=$B$5,H27=$B$5),OR($D$5="",F27=$D$5),OR($E$5="",K27=$E$5),OR($G$5="",L27=$G$5),OR($H$5="",N(J27)&gt;=$H$5),OR($I$5="",ISNUMBER(SEARCH($I$5,C27&amp;" "&amp;D27&amp;" "&amp;E27&amp;" "&amp;I27)))),"✓",""))</f>
        <v/>
      </c>
      <c r="B27" s="39" t="n">
        <v>46235</v>
      </c>
      <c r="C27" s="40" t="n">
        <f aca="false">'Aug 1'!$D$27</f>
        <v>0</v>
      </c>
      <c r="D27" s="40" t="n">
        <f aca="false">'Aug 1'!$B$27</f>
        <v>0</v>
      </c>
      <c r="E27" s="41" t="n">
        <f aca="false">'Aug 1'!$E$27</f>
        <v>0</v>
      </c>
      <c r="F27" s="40" t="n">
        <f aca="false">'Aug 1'!$A$27</f>
        <v>0</v>
      </c>
      <c r="G27" s="41" t="n">
        <f aca="false">'Aug 1'!$F$27</f>
        <v>0</v>
      </c>
      <c r="H27" s="41" t="n">
        <f aca="false">'Aug 1'!$G$27</f>
        <v>0</v>
      </c>
      <c r="I27" s="41" t="str">
        <f aca="false">'Aug 1'!$M$27</f>
        <v/>
      </c>
      <c r="J27" s="42" t="str">
        <f aca="false">'Aug 1'!$S$27</f>
        <v/>
      </c>
      <c r="K27" s="40" t="n">
        <f aca="false">'Aug 1'!$AG$27</f>
        <v>0</v>
      </c>
      <c r="L27" s="40" t="n">
        <f aca="false">'Aug 1'!$N$27</f>
        <v>0</v>
      </c>
    </row>
    <row r="28" customFormat="false" ht="15" hidden="false" customHeight="false" outlineLevel="0" collapsed="false">
      <c r="A28" s="38" t="str">
        <f aca="false">IF(OR(C28="",C28=0),"",IF(AND(OR($B$5="",G28=$B$5,H28=$B$5),OR($D$5="",F28=$D$5),OR($E$5="",K28=$E$5),OR($G$5="",L28=$G$5),OR($H$5="",N(J28)&gt;=$H$5),OR($I$5="",ISNUMBER(SEARCH($I$5,C28&amp;" "&amp;D28&amp;" "&amp;E28&amp;" "&amp;I28)))),"✓",""))</f>
        <v/>
      </c>
      <c r="B28" s="39" t="n">
        <v>46235</v>
      </c>
      <c r="C28" s="40" t="n">
        <f aca="false">'Aug 1'!$D$28</f>
        <v>0</v>
      </c>
      <c r="D28" s="40" t="n">
        <f aca="false">'Aug 1'!$B$28</f>
        <v>0</v>
      </c>
      <c r="E28" s="41" t="n">
        <f aca="false">'Aug 1'!$E$28</f>
        <v>0</v>
      </c>
      <c r="F28" s="40" t="n">
        <f aca="false">'Aug 1'!$A$28</f>
        <v>0</v>
      </c>
      <c r="G28" s="41" t="n">
        <f aca="false">'Aug 1'!$F$28</f>
        <v>0</v>
      </c>
      <c r="H28" s="41" t="n">
        <f aca="false">'Aug 1'!$G$28</f>
        <v>0</v>
      </c>
      <c r="I28" s="41" t="str">
        <f aca="false">'Aug 1'!$M$28</f>
        <v/>
      </c>
      <c r="J28" s="42" t="str">
        <f aca="false">'Aug 1'!$S$28</f>
        <v/>
      </c>
      <c r="K28" s="40" t="n">
        <f aca="false">'Aug 1'!$AG$28</f>
        <v>0</v>
      </c>
      <c r="L28" s="40" t="n">
        <f aca="false">'Aug 1'!$N$28</f>
        <v>0</v>
      </c>
    </row>
    <row r="29" customFormat="false" ht="15" hidden="false" customHeight="false" outlineLevel="0" collapsed="false">
      <c r="A29" s="38" t="str">
        <f aca="false">IF(OR(C29="",C29=0),"",IF(AND(OR($B$5="",G29=$B$5,H29=$B$5),OR($D$5="",F29=$D$5),OR($E$5="",K29=$E$5),OR($G$5="",L29=$G$5),OR($H$5="",N(J29)&gt;=$H$5),OR($I$5="",ISNUMBER(SEARCH($I$5,C29&amp;" "&amp;D29&amp;" "&amp;E29&amp;" "&amp;I29)))),"✓",""))</f>
        <v/>
      </c>
      <c r="B29" s="39" t="n">
        <v>46235</v>
      </c>
      <c r="C29" s="40" t="n">
        <f aca="false">'Aug 1'!$D$29</f>
        <v>0</v>
      </c>
      <c r="D29" s="40" t="n">
        <f aca="false">'Aug 1'!$B$29</f>
        <v>0</v>
      </c>
      <c r="E29" s="41" t="n">
        <f aca="false">'Aug 1'!$E$29</f>
        <v>0</v>
      </c>
      <c r="F29" s="40" t="n">
        <f aca="false">'Aug 1'!$A$29</f>
        <v>0</v>
      </c>
      <c r="G29" s="41" t="n">
        <f aca="false">'Aug 1'!$F$29</f>
        <v>0</v>
      </c>
      <c r="H29" s="41" t="n">
        <f aca="false">'Aug 1'!$G$29</f>
        <v>0</v>
      </c>
      <c r="I29" s="41" t="str">
        <f aca="false">'Aug 1'!$M$29</f>
        <v/>
      </c>
      <c r="J29" s="42" t="str">
        <f aca="false">'Aug 1'!$S$29</f>
        <v/>
      </c>
      <c r="K29" s="40" t="n">
        <f aca="false">'Aug 1'!$AG$29</f>
        <v>0</v>
      </c>
      <c r="L29" s="40" t="n">
        <f aca="false">'Aug 1'!$N$29</f>
        <v>0</v>
      </c>
    </row>
    <row r="30" customFormat="false" ht="15" hidden="false" customHeight="false" outlineLevel="0" collapsed="false">
      <c r="A30" s="38" t="str">
        <f aca="false">IF(OR(C30="",C30=0),"",IF(AND(OR($B$5="",G30=$B$5,H30=$B$5),OR($D$5="",F30=$D$5),OR($E$5="",K30=$E$5),OR($G$5="",L30=$G$5),OR($H$5="",N(J30)&gt;=$H$5),OR($I$5="",ISNUMBER(SEARCH($I$5,C30&amp;" "&amp;D30&amp;" "&amp;E30&amp;" "&amp;I30)))),"✓",""))</f>
        <v/>
      </c>
      <c r="B30" s="39" t="n">
        <v>46235</v>
      </c>
      <c r="C30" s="40" t="n">
        <f aca="false">'Aug 1'!$D$30</f>
        <v>0</v>
      </c>
      <c r="D30" s="40" t="n">
        <f aca="false">'Aug 1'!$B$30</f>
        <v>0</v>
      </c>
      <c r="E30" s="41" t="n">
        <f aca="false">'Aug 1'!$E$30</f>
        <v>0</v>
      </c>
      <c r="F30" s="40" t="n">
        <f aca="false">'Aug 1'!$A$30</f>
        <v>0</v>
      </c>
      <c r="G30" s="41" t="n">
        <f aca="false">'Aug 1'!$F$30</f>
        <v>0</v>
      </c>
      <c r="H30" s="41" t="n">
        <f aca="false">'Aug 1'!$G$30</f>
        <v>0</v>
      </c>
      <c r="I30" s="41" t="str">
        <f aca="false">'Aug 1'!$M$30</f>
        <v/>
      </c>
      <c r="J30" s="42" t="str">
        <f aca="false">'Aug 1'!$S$30</f>
        <v/>
      </c>
      <c r="K30" s="40" t="n">
        <f aca="false">'Aug 1'!$AG$30</f>
        <v>0</v>
      </c>
      <c r="L30" s="40" t="n">
        <f aca="false">'Aug 1'!$N$30</f>
        <v>0</v>
      </c>
    </row>
    <row r="31" customFormat="false" ht="15" hidden="false" customHeight="false" outlineLevel="0" collapsed="false">
      <c r="A31" s="38" t="str">
        <f aca="false">IF(OR(C31="",C31=0),"",IF(AND(OR($B$5="",G31=$B$5,H31=$B$5),OR($D$5="",F31=$D$5),OR($E$5="",K31=$E$5),OR($G$5="",L31=$G$5),OR($H$5="",N(J31)&gt;=$H$5),OR($I$5="",ISNUMBER(SEARCH($I$5,C31&amp;" "&amp;D31&amp;" "&amp;E31&amp;" "&amp;I31)))),"✓",""))</f>
        <v/>
      </c>
      <c r="B31" s="39" t="n">
        <v>46235</v>
      </c>
      <c r="C31" s="40" t="n">
        <f aca="false">'Aug 1'!$D$31</f>
        <v>0</v>
      </c>
      <c r="D31" s="40" t="n">
        <f aca="false">'Aug 1'!$B$31</f>
        <v>0</v>
      </c>
      <c r="E31" s="41" t="n">
        <f aca="false">'Aug 1'!$E$31</f>
        <v>0</v>
      </c>
      <c r="F31" s="40" t="n">
        <f aca="false">'Aug 1'!$A$31</f>
        <v>0</v>
      </c>
      <c r="G31" s="41" t="n">
        <f aca="false">'Aug 1'!$F$31</f>
        <v>0</v>
      </c>
      <c r="H31" s="41" t="n">
        <f aca="false">'Aug 1'!$G$31</f>
        <v>0</v>
      </c>
      <c r="I31" s="41" t="str">
        <f aca="false">'Aug 1'!$M$31</f>
        <v/>
      </c>
      <c r="J31" s="42" t="str">
        <f aca="false">'Aug 1'!$S$31</f>
        <v/>
      </c>
      <c r="K31" s="40" t="n">
        <f aca="false">'Aug 1'!$AG$31</f>
        <v>0</v>
      </c>
      <c r="L31" s="40" t="n">
        <f aca="false">'Aug 1'!$N$31</f>
        <v>0</v>
      </c>
    </row>
    <row r="32" customFormat="false" ht="15" hidden="false" customHeight="false" outlineLevel="0" collapsed="false">
      <c r="A32" s="38" t="str">
        <f aca="false">IF(OR(C32="",C32=0),"",IF(AND(OR($B$5="",G32=$B$5,H32=$B$5),OR($D$5="",F32=$D$5),OR($E$5="",K32=$E$5),OR($G$5="",L32=$G$5),OR($H$5="",N(J32)&gt;=$H$5),OR($I$5="",ISNUMBER(SEARCH($I$5,C32&amp;" "&amp;D32&amp;" "&amp;E32&amp;" "&amp;I32)))),"✓",""))</f>
        <v/>
      </c>
      <c r="B32" s="39" t="n">
        <v>46235</v>
      </c>
      <c r="C32" s="40" t="n">
        <f aca="false">'Aug 1'!$D$32</f>
        <v>0</v>
      </c>
      <c r="D32" s="40" t="n">
        <f aca="false">'Aug 1'!$B$32</f>
        <v>0</v>
      </c>
      <c r="E32" s="41" t="n">
        <f aca="false">'Aug 1'!$E$32</f>
        <v>0</v>
      </c>
      <c r="F32" s="40" t="n">
        <f aca="false">'Aug 1'!$A$32</f>
        <v>0</v>
      </c>
      <c r="G32" s="41" t="n">
        <f aca="false">'Aug 1'!$F$32</f>
        <v>0</v>
      </c>
      <c r="H32" s="41" t="n">
        <f aca="false">'Aug 1'!$G$32</f>
        <v>0</v>
      </c>
      <c r="I32" s="41" t="str">
        <f aca="false">'Aug 1'!$M$32</f>
        <v/>
      </c>
      <c r="J32" s="42" t="str">
        <f aca="false">'Aug 1'!$S$32</f>
        <v/>
      </c>
      <c r="K32" s="40" t="n">
        <f aca="false">'Aug 1'!$AG$32</f>
        <v>0</v>
      </c>
      <c r="L32" s="40" t="n">
        <f aca="false">'Aug 1'!$N$32</f>
        <v>0</v>
      </c>
    </row>
    <row r="33" customFormat="false" ht="15" hidden="false" customHeight="false" outlineLevel="0" collapsed="false">
      <c r="A33" s="38" t="str">
        <f aca="false">IF(OR(C33="",C33=0),"",IF(AND(OR($B$5="",G33=$B$5,H33=$B$5),OR($D$5="",F33=$D$5),OR($E$5="",K33=$E$5),OR($G$5="",L33=$G$5),OR($H$5="",N(J33)&gt;=$H$5),OR($I$5="",ISNUMBER(SEARCH($I$5,C33&amp;" "&amp;D33&amp;" "&amp;E33&amp;" "&amp;I33)))),"✓",""))</f>
        <v/>
      </c>
      <c r="B33" s="39" t="n">
        <v>46235</v>
      </c>
      <c r="C33" s="40" t="n">
        <f aca="false">'Aug 1'!$D$33</f>
        <v>0</v>
      </c>
      <c r="D33" s="40" t="n">
        <f aca="false">'Aug 1'!$B$33</f>
        <v>0</v>
      </c>
      <c r="E33" s="41" t="n">
        <f aca="false">'Aug 1'!$E$33</f>
        <v>0</v>
      </c>
      <c r="F33" s="40" t="n">
        <f aca="false">'Aug 1'!$A$33</f>
        <v>0</v>
      </c>
      <c r="G33" s="41" t="n">
        <f aca="false">'Aug 1'!$F$33</f>
        <v>0</v>
      </c>
      <c r="H33" s="41" t="n">
        <f aca="false">'Aug 1'!$G$33</f>
        <v>0</v>
      </c>
      <c r="I33" s="41" t="str">
        <f aca="false">'Aug 1'!$M$33</f>
        <v/>
      </c>
      <c r="J33" s="42" t="str">
        <f aca="false">'Aug 1'!$S$33</f>
        <v/>
      </c>
      <c r="K33" s="40" t="n">
        <f aca="false">'Aug 1'!$AG$33</f>
        <v>0</v>
      </c>
      <c r="L33" s="40" t="n">
        <f aca="false">'Aug 1'!$N$33</f>
        <v>0</v>
      </c>
    </row>
    <row r="34" customFormat="false" ht="15" hidden="false" customHeight="false" outlineLevel="0" collapsed="false">
      <c r="A34" s="38" t="str">
        <f aca="false">IF(OR(C34="",C34=0),"",IF(AND(OR($B$5="",G34=$B$5,H34=$B$5),OR($D$5="",F34=$D$5),OR($E$5="",K34=$E$5),OR($G$5="",L34=$G$5),OR($H$5="",N(J34)&gt;=$H$5),OR($I$5="",ISNUMBER(SEARCH($I$5,C34&amp;" "&amp;D34&amp;" "&amp;E34&amp;" "&amp;I34)))),"✓",""))</f>
        <v/>
      </c>
      <c r="B34" s="39" t="n">
        <v>46235</v>
      </c>
      <c r="C34" s="40" t="n">
        <f aca="false">'Aug 1'!$D$34</f>
        <v>0</v>
      </c>
      <c r="D34" s="40" t="n">
        <f aca="false">'Aug 1'!$B$34</f>
        <v>0</v>
      </c>
      <c r="E34" s="41" t="n">
        <f aca="false">'Aug 1'!$E$34</f>
        <v>0</v>
      </c>
      <c r="F34" s="40" t="n">
        <f aca="false">'Aug 1'!$A$34</f>
        <v>0</v>
      </c>
      <c r="G34" s="41" t="n">
        <f aca="false">'Aug 1'!$F$34</f>
        <v>0</v>
      </c>
      <c r="H34" s="41" t="n">
        <f aca="false">'Aug 1'!$G$34</f>
        <v>0</v>
      </c>
      <c r="I34" s="41" t="str">
        <f aca="false">'Aug 1'!$M$34</f>
        <v/>
      </c>
      <c r="J34" s="42" t="str">
        <f aca="false">'Aug 1'!$S$34</f>
        <v/>
      </c>
      <c r="K34" s="40" t="n">
        <f aca="false">'Aug 1'!$AG$34</f>
        <v>0</v>
      </c>
      <c r="L34" s="40" t="n">
        <f aca="false">'Aug 1'!$N$34</f>
        <v>0</v>
      </c>
    </row>
    <row r="35" customFormat="false" ht="15" hidden="false" customHeight="false" outlineLevel="0" collapsed="false">
      <c r="A35" s="38" t="str">
        <f aca="false">IF(OR(C35="",C35=0),"",IF(AND(OR($B$5="",G35=$B$5,H35=$B$5),OR($D$5="",F35=$D$5),OR($E$5="",K35=$E$5),OR($G$5="",L35=$G$5),OR($H$5="",N(J35)&gt;=$H$5),OR($I$5="",ISNUMBER(SEARCH($I$5,C35&amp;" "&amp;D35&amp;" "&amp;E35&amp;" "&amp;I35)))),"✓",""))</f>
        <v/>
      </c>
      <c r="B35" s="39" t="n">
        <v>46235</v>
      </c>
      <c r="C35" s="40" t="n">
        <f aca="false">'Aug 1'!$D$35</f>
        <v>0</v>
      </c>
      <c r="D35" s="40" t="n">
        <f aca="false">'Aug 1'!$B$35</f>
        <v>0</v>
      </c>
      <c r="E35" s="41" t="n">
        <f aca="false">'Aug 1'!$E$35</f>
        <v>0</v>
      </c>
      <c r="F35" s="40" t="n">
        <f aca="false">'Aug 1'!$A$35</f>
        <v>0</v>
      </c>
      <c r="G35" s="41" t="n">
        <f aca="false">'Aug 1'!$F$35</f>
        <v>0</v>
      </c>
      <c r="H35" s="41" t="n">
        <f aca="false">'Aug 1'!$G$35</f>
        <v>0</v>
      </c>
      <c r="I35" s="41" t="str">
        <f aca="false">'Aug 1'!$M$35</f>
        <v/>
      </c>
      <c r="J35" s="42" t="str">
        <f aca="false">'Aug 1'!$S$35</f>
        <v/>
      </c>
      <c r="K35" s="40" t="n">
        <f aca="false">'Aug 1'!$AG$35</f>
        <v>0</v>
      </c>
      <c r="L35" s="40" t="n">
        <f aca="false">'Aug 1'!$N$35</f>
        <v>0</v>
      </c>
    </row>
    <row r="36" customFormat="false" ht="15" hidden="false" customHeight="false" outlineLevel="0" collapsed="false">
      <c r="A36" s="38" t="str">
        <f aca="false">IF(OR(C36="",C36=0),"",IF(AND(OR($B$5="",G36=$B$5,H36=$B$5),OR($D$5="",F36=$D$5),OR($E$5="",K36=$E$5),OR($G$5="",L36=$G$5),OR($H$5="",N(J36)&gt;=$H$5),OR($I$5="",ISNUMBER(SEARCH($I$5,C36&amp;" "&amp;D36&amp;" "&amp;E36&amp;" "&amp;I36)))),"✓",""))</f>
        <v/>
      </c>
      <c r="B36" s="39" t="n">
        <v>46235</v>
      </c>
      <c r="C36" s="40" t="n">
        <f aca="false">'Aug 1'!$D$36</f>
        <v>0</v>
      </c>
      <c r="D36" s="40" t="n">
        <f aca="false">'Aug 1'!$B$36</f>
        <v>0</v>
      </c>
      <c r="E36" s="41" t="n">
        <f aca="false">'Aug 1'!$E$36</f>
        <v>0</v>
      </c>
      <c r="F36" s="40" t="n">
        <f aca="false">'Aug 1'!$A$36</f>
        <v>0</v>
      </c>
      <c r="G36" s="41" t="n">
        <f aca="false">'Aug 1'!$F$36</f>
        <v>0</v>
      </c>
      <c r="H36" s="41" t="n">
        <f aca="false">'Aug 1'!$G$36</f>
        <v>0</v>
      </c>
      <c r="I36" s="41" t="str">
        <f aca="false">'Aug 1'!$M$36</f>
        <v/>
      </c>
      <c r="J36" s="42" t="str">
        <f aca="false">'Aug 1'!$S$36</f>
        <v/>
      </c>
      <c r="K36" s="40" t="n">
        <f aca="false">'Aug 1'!$AG$36</f>
        <v>0</v>
      </c>
      <c r="L36" s="40" t="n">
        <f aca="false">'Aug 1'!$N$36</f>
        <v>0</v>
      </c>
    </row>
    <row r="37" customFormat="false" ht="15" hidden="false" customHeight="false" outlineLevel="0" collapsed="false">
      <c r="A37" s="38" t="str">
        <f aca="false">IF(OR(C37="",C37=0),"",IF(AND(OR($B$5="",G37=$B$5,H37=$B$5),OR($D$5="",F37=$D$5),OR($E$5="",K37=$E$5),OR($G$5="",L37=$G$5),OR($H$5="",N(J37)&gt;=$H$5),OR($I$5="",ISNUMBER(SEARCH($I$5,C37&amp;" "&amp;D37&amp;" "&amp;E37&amp;" "&amp;I37)))),"✓",""))</f>
        <v/>
      </c>
      <c r="B37" s="39" t="n">
        <v>46235</v>
      </c>
      <c r="C37" s="40" t="n">
        <f aca="false">'Aug 1'!$D$37</f>
        <v>0</v>
      </c>
      <c r="D37" s="40" t="n">
        <f aca="false">'Aug 1'!$B$37</f>
        <v>0</v>
      </c>
      <c r="E37" s="41" t="n">
        <f aca="false">'Aug 1'!$E$37</f>
        <v>0</v>
      </c>
      <c r="F37" s="40" t="n">
        <f aca="false">'Aug 1'!$A$37</f>
        <v>0</v>
      </c>
      <c r="G37" s="41" t="n">
        <f aca="false">'Aug 1'!$F$37</f>
        <v>0</v>
      </c>
      <c r="H37" s="41" t="n">
        <f aca="false">'Aug 1'!$G$37</f>
        <v>0</v>
      </c>
      <c r="I37" s="41" t="str">
        <f aca="false">'Aug 1'!$M$37</f>
        <v/>
      </c>
      <c r="J37" s="42" t="str">
        <f aca="false">'Aug 1'!$S$37</f>
        <v/>
      </c>
      <c r="K37" s="40" t="n">
        <f aca="false">'Aug 1'!$AG$37</f>
        <v>0</v>
      </c>
      <c r="L37" s="40" t="n">
        <f aca="false">'Aug 1'!$N$37</f>
        <v>0</v>
      </c>
    </row>
    <row r="38" customFormat="false" ht="15" hidden="false" customHeight="false" outlineLevel="0" collapsed="false">
      <c r="A38" s="38" t="str">
        <f aca="false">IF(OR(C38="",C38=0),"",IF(AND(OR($B$5="",G38=$B$5,H38=$B$5),OR($D$5="",F38=$D$5),OR($E$5="",K38=$E$5),OR($G$5="",L38=$G$5),OR($H$5="",N(J38)&gt;=$H$5),OR($I$5="",ISNUMBER(SEARCH($I$5,C38&amp;" "&amp;D38&amp;" "&amp;E38&amp;" "&amp;I38)))),"✓",""))</f>
        <v/>
      </c>
      <c r="B38" s="39" t="n">
        <v>46235</v>
      </c>
      <c r="C38" s="40" t="n">
        <f aca="false">'Aug 1'!$D$38</f>
        <v>0</v>
      </c>
      <c r="D38" s="40" t="n">
        <f aca="false">'Aug 1'!$B$38</f>
        <v>0</v>
      </c>
      <c r="E38" s="41" t="n">
        <f aca="false">'Aug 1'!$E$38</f>
        <v>0</v>
      </c>
      <c r="F38" s="40" t="n">
        <f aca="false">'Aug 1'!$A$38</f>
        <v>0</v>
      </c>
      <c r="G38" s="41" t="n">
        <f aca="false">'Aug 1'!$F$38</f>
        <v>0</v>
      </c>
      <c r="H38" s="41" t="n">
        <f aca="false">'Aug 1'!$G$38</f>
        <v>0</v>
      </c>
      <c r="I38" s="41" t="str">
        <f aca="false">'Aug 1'!$M$38</f>
        <v/>
      </c>
      <c r="J38" s="42" t="str">
        <f aca="false">'Aug 1'!$S$38</f>
        <v/>
      </c>
      <c r="K38" s="40" t="n">
        <f aca="false">'Aug 1'!$AG$38</f>
        <v>0</v>
      </c>
      <c r="L38" s="40" t="n">
        <f aca="false">'Aug 1'!$N$38</f>
        <v>0</v>
      </c>
    </row>
    <row r="39" customFormat="false" ht="15" hidden="false" customHeight="false" outlineLevel="0" collapsed="false">
      <c r="A39" s="38" t="str">
        <f aca="false">IF(OR(C39="",C39=0),"",IF(AND(OR($B$5="",G39=$B$5,H39=$B$5),OR($D$5="",F39=$D$5),OR($E$5="",K39=$E$5),OR($G$5="",L39=$G$5),OR($H$5="",N(J39)&gt;=$H$5),OR($I$5="",ISNUMBER(SEARCH($I$5,C39&amp;" "&amp;D39&amp;" "&amp;E39&amp;" "&amp;I39)))),"✓",""))</f>
        <v/>
      </c>
      <c r="B39" s="39" t="n">
        <v>46235</v>
      </c>
      <c r="C39" s="40" t="n">
        <f aca="false">'Aug 1'!$D$39</f>
        <v>0</v>
      </c>
      <c r="D39" s="40" t="n">
        <f aca="false">'Aug 1'!$B$39</f>
        <v>0</v>
      </c>
      <c r="E39" s="41" t="n">
        <f aca="false">'Aug 1'!$E$39</f>
        <v>0</v>
      </c>
      <c r="F39" s="40" t="n">
        <f aca="false">'Aug 1'!$A$39</f>
        <v>0</v>
      </c>
      <c r="G39" s="41" t="n">
        <f aca="false">'Aug 1'!$F$39</f>
        <v>0</v>
      </c>
      <c r="H39" s="41" t="n">
        <f aca="false">'Aug 1'!$G$39</f>
        <v>0</v>
      </c>
      <c r="I39" s="41" t="str">
        <f aca="false">'Aug 1'!$M$39</f>
        <v/>
      </c>
      <c r="J39" s="42" t="str">
        <f aca="false">'Aug 1'!$S$39</f>
        <v/>
      </c>
      <c r="K39" s="40" t="n">
        <f aca="false">'Aug 1'!$AG$39</f>
        <v>0</v>
      </c>
      <c r="L39" s="40" t="n">
        <f aca="false">'Aug 1'!$N$39</f>
        <v>0</v>
      </c>
    </row>
    <row r="40" customFormat="false" ht="15" hidden="false" customHeight="false" outlineLevel="0" collapsed="false">
      <c r="A40" s="38" t="str">
        <f aca="false">IF(OR(C40="",C40=0),"",IF(AND(OR($B$5="",G40=$B$5,H40=$B$5),OR($D$5="",F40=$D$5),OR($E$5="",K40=$E$5),OR($G$5="",L40=$G$5),OR($H$5="",N(J40)&gt;=$H$5),OR($I$5="",ISNUMBER(SEARCH($I$5,C40&amp;" "&amp;D40&amp;" "&amp;E40&amp;" "&amp;I40)))),"✓",""))</f>
        <v/>
      </c>
      <c r="B40" s="39" t="n">
        <v>46235</v>
      </c>
      <c r="C40" s="40" t="n">
        <f aca="false">'Aug 1'!$D$40</f>
        <v>0</v>
      </c>
      <c r="D40" s="40" t="n">
        <f aca="false">'Aug 1'!$B$40</f>
        <v>0</v>
      </c>
      <c r="E40" s="41" t="n">
        <f aca="false">'Aug 1'!$E$40</f>
        <v>0</v>
      </c>
      <c r="F40" s="40" t="n">
        <f aca="false">'Aug 1'!$A$40</f>
        <v>0</v>
      </c>
      <c r="G40" s="41" t="n">
        <f aca="false">'Aug 1'!$F$40</f>
        <v>0</v>
      </c>
      <c r="H40" s="41" t="n">
        <f aca="false">'Aug 1'!$G$40</f>
        <v>0</v>
      </c>
      <c r="I40" s="41" t="str">
        <f aca="false">'Aug 1'!$M$40</f>
        <v/>
      </c>
      <c r="J40" s="42" t="str">
        <f aca="false">'Aug 1'!$S$40</f>
        <v/>
      </c>
      <c r="K40" s="40" t="n">
        <f aca="false">'Aug 1'!$AG$40</f>
        <v>0</v>
      </c>
      <c r="L40" s="40" t="n">
        <f aca="false">'Aug 1'!$N$40</f>
        <v>0</v>
      </c>
    </row>
    <row r="41" customFormat="false" ht="15" hidden="false" customHeight="false" outlineLevel="0" collapsed="false">
      <c r="A41" s="38" t="str">
        <f aca="false">IF(OR(C41="",C41=0),"",IF(AND(OR($B$5="",G41=$B$5,H41=$B$5),OR($D$5="",F41=$D$5),OR($E$5="",K41=$E$5),OR($G$5="",L41=$G$5),OR($H$5="",N(J41)&gt;=$H$5),OR($I$5="",ISNUMBER(SEARCH($I$5,C41&amp;" "&amp;D41&amp;" "&amp;E41&amp;" "&amp;I41)))),"✓",""))</f>
        <v/>
      </c>
      <c r="B41" s="39" t="n">
        <v>46235</v>
      </c>
      <c r="C41" s="40" t="n">
        <f aca="false">'Aug 1'!$D$41</f>
        <v>0</v>
      </c>
      <c r="D41" s="40" t="n">
        <f aca="false">'Aug 1'!$B$41</f>
        <v>0</v>
      </c>
      <c r="E41" s="41" t="n">
        <f aca="false">'Aug 1'!$E$41</f>
        <v>0</v>
      </c>
      <c r="F41" s="40" t="n">
        <f aca="false">'Aug 1'!$A$41</f>
        <v>0</v>
      </c>
      <c r="G41" s="41" t="n">
        <f aca="false">'Aug 1'!$F$41</f>
        <v>0</v>
      </c>
      <c r="H41" s="41" t="n">
        <f aca="false">'Aug 1'!$G$41</f>
        <v>0</v>
      </c>
      <c r="I41" s="41" t="str">
        <f aca="false">'Aug 1'!$M$41</f>
        <v/>
      </c>
      <c r="J41" s="42" t="str">
        <f aca="false">'Aug 1'!$S$41</f>
        <v/>
      </c>
      <c r="K41" s="40" t="n">
        <f aca="false">'Aug 1'!$AG$41</f>
        <v>0</v>
      </c>
      <c r="L41" s="40" t="n">
        <f aca="false">'Aug 1'!$N$41</f>
        <v>0</v>
      </c>
    </row>
    <row r="42" customFormat="false" ht="15" hidden="false" customHeight="false" outlineLevel="0" collapsed="false">
      <c r="A42" s="38" t="str">
        <f aca="false">IF(OR(C42="",C42=0),"",IF(AND(OR($B$5="",G42=$B$5,H42=$B$5),OR($D$5="",F42=$D$5),OR($E$5="",K42=$E$5),OR($G$5="",L42=$G$5),OR($H$5="",N(J42)&gt;=$H$5),OR($I$5="",ISNUMBER(SEARCH($I$5,C42&amp;" "&amp;D42&amp;" "&amp;E42&amp;" "&amp;I42)))),"✓",""))</f>
        <v/>
      </c>
      <c r="B42" s="39" t="n">
        <v>46235</v>
      </c>
      <c r="C42" s="40" t="n">
        <f aca="false">'Aug 1'!$D$42</f>
        <v>0</v>
      </c>
      <c r="D42" s="40" t="n">
        <f aca="false">'Aug 1'!$B$42</f>
        <v>0</v>
      </c>
      <c r="E42" s="41" t="n">
        <f aca="false">'Aug 1'!$E$42</f>
        <v>0</v>
      </c>
      <c r="F42" s="40" t="n">
        <f aca="false">'Aug 1'!$A$42</f>
        <v>0</v>
      </c>
      <c r="G42" s="41" t="n">
        <f aca="false">'Aug 1'!$F$42</f>
        <v>0</v>
      </c>
      <c r="H42" s="41" t="n">
        <f aca="false">'Aug 1'!$G$42</f>
        <v>0</v>
      </c>
      <c r="I42" s="41" t="str">
        <f aca="false">'Aug 1'!$M$42</f>
        <v/>
      </c>
      <c r="J42" s="42" t="str">
        <f aca="false">'Aug 1'!$S$42</f>
        <v/>
      </c>
      <c r="K42" s="40" t="n">
        <f aca="false">'Aug 1'!$AG$42</f>
        <v>0</v>
      </c>
      <c r="L42" s="40" t="n">
        <f aca="false">'Aug 1'!$N$42</f>
        <v>0</v>
      </c>
    </row>
    <row r="43" customFormat="false" ht="15" hidden="false" customHeight="false" outlineLevel="0" collapsed="false">
      <c r="A43" s="38" t="str">
        <f aca="false">IF(OR(C43="",C43=0),"",IF(AND(OR($B$5="",G43=$B$5,H43=$B$5),OR($D$5="",F43=$D$5),OR($E$5="",K43=$E$5),OR($G$5="",L43=$G$5),OR($H$5="",N(J43)&gt;=$H$5),OR($I$5="",ISNUMBER(SEARCH($I$5,C43&amp;" "&amp;D43&amp;" "&amp;E43&amp;" "&amp;I43)))),"✓",""))</f>
        <v/>
      </c>
      <c r="B43" s="39" t="n">
        <v>46236</v>
      </c>
      <c r="C43" s="40" t="n">
        <f aca="false">'Aug 2'!$D$8</f>
        <v>0</v>
      </c>
      <c r="D43" s="40" t="n">
        <f aca="false">'Aug 2'!$B$8</f>
        <v>0</v>
      </c>
      <c r="E43" s="41" t="n">
        <f aca="false">'Aug 2'!$E$8</f>
        <v>0</v>
      </c>
      <c r="F43" s="40" t="n">
        <f aca="false">'Aug 2'!$A$8</f>
        <v>0</v>
      </c>
      <c r="G43" s="41" t="n">
        <f aca="false">'Aug 2'!$F$8</f>
        <v>0</v>
      </c>
      <c r="H43" s="41" t="n">
        <f aca="false">'Aug 2'!$G$8</f>
        <v>0</v>
      </c>
      <c r="I43" s="41" t="str">
        <f aca="false">'Aug 2'!$M$8</f>
        <v/>
      </c>
      <c r="J43" s="42" t="str">
        <f aca="false">'Aug 2'!$S$8</f>
        <v/>
      </c>
      <c r="K43" s="40" t="n">
        <f aca="false">'Aug 2'!$AG$8</f>
        <v>0</v>
      </c>
      <c r="L43" s="40" t="n">
        <f aca="false">'Aug 2'!$N$8</f>
        <v>0</v>
      </c>
    </row>
    <row r="44" customFormat="false" ht="15" hidden="false" customHeight="false" outlineLevel="0" collapsed="false">
      <c r="A44" s="38" t="str">
        <f aca="false">IF(OR(C44="",C44=0),"",IF(AND(OR($B$5="",G44=$B$5,H44=$B$5),OR($D$5="",F44=$D$5),OR($E$5="",K44=$E$5),OR($G$5="",L44=$G$5),OR($H$5="",N(J44)&gt;=$H$5),OR($I$5="",ISNUMBER(SEARCH($I$5,C44&amp;" "&amp;D44&amp;" "&amp;E44&amp;" "&amp;I44)))),"✓",""))</f>
        <v/>
      </c>
      <c r="B44" s="39" t="n">
        <v>46236</v>
      </c>
      <c r="C44" s="40" t="n">
        <f aca="false">'Aug 2'!$D$9</f>
        <v>0</v>
      </c>
      <c r="D44" s="40" t="n">
        <f aca="false">'Aug 2'!$B$9</f>
        <v>0</v>
      </c>
      <c r="E44" s="41" t="n">
        <f aca="false">'Aug 2'!$E$9</f>
        <v>0</v>
      </c>
      <c r="F44" s="40" t="n">
        <f aca="false">'Aug 2'!$A$9</f>
        <v>0</v>
      </c>
      <c r="G44" s="41" t="n">
        <f aca="false">'Aug 2'!$F$9</f>
        <v>0</v>
      </c>
      <c r="H44" s="41" t="n">
        <f aca="false">'Aug 2'!$G$9</f>
        <v>0</v>
      </c>
      <c r="I44" s="41" t="str">
        <f aca="false">'Aug 2'!$M$9</f>
        <v/>
      </c>
      <c r="J44" s="42" t="str">
        <f aca="false">'Aug 2'!$S$9</f>
        <v/>
      </c>
      <c r="K44" s="40" t="n">
        <f aca="false">'Aug 2'!$AG$9</f>
        <v>0</v>
      </c>
      <c r="L44" s="40" t="n">
        <f aca="false">'Aug 2'!$N$9</f>
        <v>0</v>
      </c>
    </row>
    <row r="45" customFormat="false" ht="15" hidden="false" customHeight="false" outlineLevel="0" collapsed="false">
      <c r="A45" s="38" t="str">
        <f aca="false">IF(OR(C45="",C45=0),"",IF(AND(OR($B$5="",G45=$B$5,H45=$B$5),OR($D$5="",F45=$D$5),OR($E$5="",K45=$E$5),OR($G$5="",L45=$G$5),OR($H$5="",N(J45)&gt;=$H$5),OR($I$5="",ISNUMBER(SEARCH($I$5,C45&amp;" "&amp;D45&amp;" "&amp;E45&amp;" "&amp;I45)))),"✓",""))</f>
        <v/>
      </c>
      <c r="B45" s="39" t="n">
        <v>46236</v>
      </c>
      <c r="C45" s="40" t="n">
        <f aca="false">'Aug 2'!$D$10</f>
        <v>0</v>
      </c>
      <c r="D45" s="40" t="n">
        <f aca="false">'Aug 2'!$B$10</f>
        <v>0</v>
      </c>
      <c r="E45" s="41" t="n">
        <f aca="false">'Aug 2'!$E$10</f>
        <v>0</v>
      </c>
      <c r="F45" s="40" t="n">
        <f aca="false">'Aug 2'!$A$10</f>
        <v>0</v>
      </c>
      <c r="G45" s="41" t="n">
        <f aca="false">'Aug 2'!$F$10</f>
        <v>0</v>
      </c>
      <c r="H45" s="41" t="n">
        <f aca="false">'Aug 2'!$G$10</f>
        <v>0</v>
      </c>
      <c r="I45" s="41" t="str">
        <f aca="false">'Aug 2'!$M$10</f>
        <v/>
      </c>
      <c r="J45" s="42" t="str">
        <f aca="false">'Aug 2'!$S$10</f>
        <v/>
      </c>
      <c r="K45" s="40" t="n">
        <f aca="false">'Aug 2'!$AG$10</f>
        <v>0</v>
      </c>
      <c r="L45" s="40" t="n">
        <f aca="false">'Aug 2'!$N$10</f>
        <v>0</v>
      </c>
    </row>
    <row r="46" customFormat="false" ht="15" hidden="false" customHeight="false" outlineLevel="0" collapsed="false">
      <c r="A46" s="38" t="str">
        <f aca="false">IF(OR(C46="",C46=0),"",IF(AND(OR($B$5="",G46=$B$5,H46=$B$5),OR($D$5="",F46=$D$5),OR($E$5="",K46=$E$5),OR($G$5="",L46=$G$5),OR($H$5="",N(J46)&gt;=$H$5),OR($I$5="",ISNUMBER(SEARCH($I$5,C46&amp;" "&amp;D46&amp;" "&amp;E46&amp;" "&amp;I46)))),"✓",""))</f>
        <v/>
      </c>
      <c r="B46" s="39" t="n">
        <v>46236</v>
      </c>
      <c r="C46" s="40" t="n">
        <f aca="false">'Aug 2'!$D$11</f>
        <v>0</v>
      </c>
      <c r="D46" s="40" t="n">
        <f aca="false">'Aug 2'!$B$11</f>
        <v>0</v>
      </c>
      <c r="E46" s="41" t="n">
        <f aca="false">'Aug 2'!$E$11</f>
        <v>0</v>
      </c>
      <c r="F46" s="40" t="n">
        <f aca="false">'Aug 2'!$A$11</f>
        <v>0</v>
      </c>
      <c r="G46" s="41" t="n">
        <f aca="false">'Aug 2'!$F$11</f>
        <v>0</v>
      </c>
      <c r="H46" s="41" t="n">
        <f aca="false">'Aug 2'!$G$11</f>
        <v>0</v>
      </c>
      <c r="I46" s="41" t="str">
        <f aca="false">'Aug 2'!$M$11</f>
        <v/>
      </c>
      <c r="J46" s="42" t="str">
        <f aca="false">'Aug 2'!$S$11</f>
        <v/>
      </c>
      <c r="K46" s="40" t="n">
        <f aca="false">'Aug 2'!$AG$11</f>
        <v>0</v>
      </c>
      <c r="L46" s="40" t="n">
        <f aca="false">'Aug 2'!$N$11</f>
        <v>0</v>
      </c>
    </row>
    <row r="47" customFormat="false" ht="15" hidden="false" customHeight="false" outlineLevel="0" collapsed="false">
      <c r="A47" s="38" t="str">
        <f aca="false">IF(OR(C47="",C47=0),"",IF(AND(OR($B$5="",G47=$B$5,H47=$B$5),OR($D$5="",F47=$D$5),OR($E$5="",K47=$E$5),OR($G$5="",L47=$G$5),OR($H$5="",N(J47)&gt;=$H$5),OR($I$5="",ISNUMBER(SEARCH($I$5,C47&amp;" "&amp;D47&amp;" "&amp;E47&amp;" "&amp;I47)))),"✓",""))</f>
        <v/>
      </c>
      <c r="B47" s="39" t="n">
        <v>46236</v>
      </c>
      <c r="C47" s="40" t="n">
        <f aca="false">'Aug 2'!$D$12</f>
        <v>0</v>
      </c>
      <c r="D47" s="40" t="n">
        <f aca="false">'Aug 2'!$B$12</f>
        <v>0</v>
      </c>
      <c r="E47" s="41" t="n">
        <f aca="false">'Aug 2'!$E$12</f>
        <v>0</v>
      </c>
      <c r="F47" s="40" t="n">
        <f aca="false">'Aug 2'!$A$12</f>
        <v>0</v>
      </c>
      <c r="G47" s="41" t="n">
        <f aca="false">'Aug 2'!$F$12</f>
        <v>0</v>
      </c>
      <c r="H47" s="41" t="n">
        <f aca="false">'Aug 2'!$G$12</f>
        <v>0</v>
      </c>
      <c r="I47" s="41" t="str">
        <f aca="false">'Aug 2'!$M$12</f>
        <v/>
      </c>
      <c r="J47" s="42" t="str">
        <f aca="false">'Aug 2'!$S$12</f>
        <v/>
      </c>
      <c r="K47" s="40" t="n">
        <f aca="false">'Aug 2'!$AG$12</f>
        <v>0</v>
      </c>
      <c r="L47" s="40" t="n">
        <f aca="false">'Aug 2'!$N$12</f>
        <v>0</v>
      </c>
    </row>
    <row r="48" customFormat="false" ht="15" hidden="false" customHeight="false" outlineLevel="0" collapsed="false">
      <c r="A48" s="38" t="str">
        <f aca="false">IF(OR(C48="",C48=0),"",IF(AND(OR($B$5="",G48=$B$5,H48=$B$5),OR($D$5="",F48=$D$5),OR($E$5="",K48=$E$5),OR($G$5="",L48=$G$5),OR($H$5="",N(J48)&gt;=$H$5),OR($I$5="",ISNUMBER(SEARCH($I$5,C48&amp;" "&amp;D48&amp;" "&amp;E48&amp;" "&amp;I48)))),"✓",""))</f>
        <v/>
      </c>
      <c r="B48" s="39" t="n">
        <v>46236</v>
      </c>
      <c r="C48" s="40" t="n">
        <f aca="false">'Aug 2'!$D$13</f>
        <v>0</v>
      </c>
      <c r="D48" s="40" t="n">
        <f aca="false">'Aug 2'!$B$13</f>
        <v>0</v>
      </c>
      <c r="E48" s="41" t="n">
        <f aca="false">'Aug 2'!$E$13</f>
        <v>0</v>
      </c>
      <c r="F48" s="40" t="n">
        <f aca="false">'Aug 2'!$A$13</f>
        <v>0</v>
      </c>
      <c r="G48" s="41" t="n">
        <f aca="false">'Aug 2'!$F$13</f>
        <v>0</v>
      </c>
      <c r="H48" s="41" t="n">
        <f aca="false">'Aug 2'!$G$13</f>
        <v>0</v>
      </c>
      <c r="I48" s="41" t="str">
        <f aca="false">'Aug 2'!$M$13</f>
        <v/>
      </c>
      <c r="J48" s="42" t="str">
        <f aca="false">'Aug 2'!$S$13</f>
        <v/>
      </c>
      <c r="K48" s="40" t="n">
        <f aca="false">'Aug 2'!$AG$13</f>
        <v>0</v>
      </c>
      <c r="L48" s="40" t="n">
        <f aca="false">'Aug 2'!$N$13</f>
        <v>0</v>
      </c>
    </row>
    <row r="49" customFormat="false" ht="15" hidden="false" customHeight="false" outlineLevel="0" collapsed="false">
      <c r="A49" s="38" t="str">
        <f aca="false">IF(OR(C49="",C49=0),"",IF(AND(OR($B$5="",G49=$B$5,H49=$B$5),OR($D$5="",F49=$D$5),OR($E$5="",K49=$E$5),OR($G$5="",L49=$G$5),OR($H$5="",N(J49)&gt;=$H$5),OR($I$5="",ISNUMBER(SEARCH($I$5,C49&amp;" "&amp;D49&amp;" "&amp;E49&amp;" "&amp;I49)))),"✓",""))</f>
        <v/>
      </c>
      <c r="B49" s="39" t="n">
        <v>46236</v>
      </c>
      <c r="C49" s="40" t="n">
        <f aca="false">'Aug 2'!$D$14</f>
        <v>0</v>
      </c>
      <c r="D49" s="40" t="n">
        <f aca="false">'Aug 2'!$B$14</f>
        <v>0</v>
      </c>
      <c r="E49" s="41" t="n">
        <f aca="false">'Aug 2'!$E$14</f>
        <v>0</v>
      </c>
      <c r="F49" s="40" t="n">
        <f aca="false">'Aug 2'!$A$14</f>
        <v>0</v>
      </c>
      <c r="G49" s="41" t="n">
        <f aca="false">'Aug 2'!$F$14</f>
        <v>0</v>
      </c>
      <c r="H49" s="41" t="n">
        <f aca="false">'Aug 2'!$G$14</f>
        <v>0</v>
      </c>
      <c r="I49" s="41" t="str">
        <f aca="false">'Aug 2'!$M$14</f>
        <v/>
      </c>
      <c r="J49" s="42" t="str">
        <f aca="false">'Aug 2'!$S$14</f>
        <v/>
      </c>
      <c r="K49" s="40" t="n">
        <f aca="false">'Aug 2'!$AG$14</f>
        <v>0</v>
      </c>
      <c r="L49" s="40" t="n">
        <f aca="false">'Aug 2'!$N$14</f>
        <v>0</v>
      </c>
    </row>
    <row r="50" customFormat="false" ht="15" hidden="false" customHeight="false" outlineLevel="0" collapsed="false">
      <c r="A50" s="38" t="str">
        <f aca="false">IF(OR(C50="",C50=0),"",IF(AND(OR($B$5="",G50=$B$5,H50=$B$5),OR($D$5="",F50=$D$5),OR($E$5="",K50=$E$5),OR($G$5="",L50=$G$5),OR($H$5="",N(J50)&gt;=$H$5),OR($I$5="",ISNUMBER(SEARCH($I$5,C50&amp;" "&amp;D50&amp;" "&amp;E50&amp;" "&amp;I50)))),"✓",""))</f>
        <v/>
      </c>
      <c r="B50" s="39" t="n">
        <v>46236</v>
      </c>
      <c r="C50" s="40" t="n">
        <f aca="false">'Aug 2'!$D$15</f>
        <v>0</v>
      </c>
      <c r="D50" s="40" t="n">
        <f aca="false">'Aug 2'!$B$15</f>
        <v>0</v>
      </c>
      <c r="E50" s="41" t="n">
        <f aca="false">'Aug 2'!$E$15</f>
        <v>0</v>
      </c>
      <c r="F50" s="40" t="n">
        <f aca="false">'Aug 2'!$A$15</f>
        <v>0</v>
      </c>
      <c r="G50" s="41" t="n">
        <f aca="false">'Aug 2'!$F$15</f>
        <v>0</v>
      </c>
      <c r="H50" s="41" t="n">
        <f aca="false">'Aug 2'!$G$15</f>
        <v>0</v>
      </c>
      <c r="I50" s="41" t="str">
        <f aca="false">'Aug 2'!$M$15</f>
        <v/>
      </c>
      <c r="J50" s="42" t="str">
        <f aca="false">'Aug 2'!$S$15</f>
        <v/>
      </c>
      <c r="K50" s="40" t="n">
        <f aca="false">'Aug 2'!$AG$15</f>
        <v>0</v>
      </c>
      <c r="L50" s="40" t="n">
        <f aca="false">'Aug 2'!$N$15</f>
        <v>0</v>
      </c>
    </row>
    <row r="51" customFormat="false" ht="15" hidden="false" customHeight="false" outlineLevel="0" collapsed="false">
      <c r="A51" s="38" t="str">
        <f aca="false">IF(OR(C51="",C51=0),"",IF(AND(OR($B$5="",G51=$B$5,H51=$B$5),OR($D$5="",F51=$D$5),OR($E$5="",K51=$E$5),OR($G$5="",L51=$G$5),OR($H$5="",N(J51)&gt;=$H$5),OR($I$5="",ISNUMBER(SEARCH($I$5,C51&amp;" "&amp;D51&amp;" "&amp;E51&amp;" "&amp;I51)))),"✓",""))</f>
        <v/>
      </c>
      <c r="B51" s="39" t="n">
        <v>46236</v>
      </c>
      <c r="C51" s="40" t="n">
        <f aca="false">'Aug 2'!$D$16</f>
        <v>0</v>
      </c>
      <c r="D51" s="40" t="n">
        <f aca="false">'Aug 2'!$B$16</f>
        <v>0</v>
      </c>
      <c r="E51" s="41" t="n">
        <f aca="false">'Aug 2'!$E$16</f>
        <v>0</v>
      </c>
      <c r="F51" s="40" t="n">
        <f aca="false">'Aug 2'!$A$16</f>
        <v>0</v>
      </c>
      <c r="G51" s="41" t="n">
        <f aca="false">'Aug 2'!$F$16</f>
        <v>0</v>
      </c>
      <c r="H51" s="41" t="n">
        <f aca="false">'Aug 2'!$G$16</f>
        <v>0</v>
      </c>
      <c r="I51" s="41" t="str">
        <f aca="false">'Aug 2'!$M$16</f>
        <v/>
      </c>
      <c r="J51" s="42" t="str">
        <f aca="false">'Aug 2'!$S$16</f>
        <v/>
      </c>
      <c r="K51" s="40" t="n">
        <f aca="false">'Aug 2'!$AG$16</f>
        <v>0</v>
      </c>
      <c r="L51" s="40" t="n">
        <f aca="false">'Aug 2'!$N$16</f>
        <v>0</v>
      </c>
    </row>
    <row r="52" customFormat="false" ht="15" hidden="false" customHeight="false" outlineLevel="0" collapsed="false">
      <c r="A52" s="38" t="str">
        <f aca="false">IF(OR(C52="",C52=0),"",IF(AND(OR($B$5="",G52=$B$5,H52=$B$5),OR($D$5="",F52=$D$5),OR($E$5="",K52=$E$5),OR($G$5="",L52=$G$5),OR($H$5="",N(J52)&gt;=$H$5),OR($I$5="",ISNUMBER(SEARCH($I$5,C52&amp;" "&amp;D52&amp;" "&amp;E52&amp;" "&amp;I52)))),"✓",""))</f>
        <v/>
      </c>
      <c r="B52" s="39" t="n">
        <v>46236</v>
      </c>
      <c r="C52" s="40" t="n">
        <f aca="false">'Aug 2'!$D$17</f>
        <v>0</v>
      </c>
      <c r="D52" s="40" t="n">
        <f aca="false">'Aug 2'!$B$17</f>
        <v>0</v>
      </c>
      <c r="E52" s="41" t="n">
        <f aca="false">'Aug 2'!$E$17</f>
        <v>0</v>
      </c>
      <c r="F52" s="40" t="n">
        <f aca="false">'Aug 2'!$A$17</f>
        <v>0</v>
      </c>
      <c r="G52" s="41" t="n">
        <f aca="false">'Aug 2'!$F$17</f>
        <v>0</v>
      </c>
      <c r="H52" s="41" t="n">
        <f aca="false">'Aug 2'!$G$17</f>
        <v>0</v>
      </c>
      <c r="I52" s="41" t="str">
        <f aca="false">'Aug 2'!$M$17</f>
        <v/>
      </c>
      <c r="J52" s="42" t="str">
        <f aca="false">'Aug 2'!$S$17</f>
        <v/>
      </c>
      <c r="K52" s="40" t="n">
        <f aca="false">'Aug 2'!$AG$17</f>
        <v>0</v>
      </c>
      <c r="L52" s="40" t="n">
        <f aca="false">'Aug 2'!$N$17</f>
        <v>0</v>
      </c>
    </row>
    <row r="53" customFormat="false" ht="15" hidden="false" customHeight="false" outlineLevel="0" collapsed="false">
      <c r="A53" s="38" t="str">
        <f aca="false">IF(OR(C53="",C53=0),"",IF(AND(OR($B$5="",G53=$B$5,H53=$B$5),OR($D$5="",F53=$D$5),OR($E$5="",K53=$E$5),OR($G$5="",L53=$G$5),OR($H$5="",N(J53)&gt;=$H$5),OR($I$5="",ISNUMBER(SEARCH($I$5,C53&amp;" "&amp;D53&amp;" "&amp;E53&amp;" "&amp;I53)))),"✓",""))</f>
        <v/>
      </c>
      <c r="B53" s="39" t="n">
        <v>46236</v>
      </c>
      <c r="C53" s="40" t="n">
        <f aca="false">'Aug 2'!$D$18</f>
        <v>0</v>
      </c>
      <c r="D53" s="40" t="n">
        <f aca="false">'Aug 2'!$B$18</f>
        <v>0</v>
      </c>
      <c r="E53" s="41" t="n">
        <f aca="false">'Aug 2'!$E$18</f>
        <v>0</v>
      </c>
      <c r="F53" s="40" t="n">
        <f aca="false">'Aug 2'!$A$18</f>
        <v>0</v>
      </c>
      <c r="G53" s="41" t="n">
        <f aca="false">'Aug 2'!$F$18</f>
        <v>0</v>
      </c>
      <c r="H53" s="41" t="n">
        <f aca="false">'Aug 2'!$G$18</f>
        <v>0</v>
      </c>
      <c r="I53" s="41" t="str">
        <f aca="false">'Aug 2'!$M$18</f>
        <v/>
      </c>
      <c r="J53" s="42" t="str">
        <f aca="false">'Aug 2'!$S$18</f>
        <v/>
      </c>
      <c r="K53" s="40" t="n">
        <f aca="false">'Aug 2'!$AG$18</f>
        <v>0</v>
      </c>
      <c r="L53" s="40" t="n">
        <f aca="false">'Aug 2'!$N$18</f>
        <v>0</v>
      </c>
    </row>
    <row r="54" customFormat="false" ht="15" hidden="false" customHeight="false" outlineLevel="0" collapsed="false">
      <c r="A54" s="38" t="str">
        <f aca="false">IF(OR(C54="",C54=0),"",IF(AND(OR($B$5="",G54=$B$5,H54=$B$5),OR($D$5="",F54=$D$5),OR($E$5="",K54=$E$5),OR($G$5="",L54=$G$5),OR($H$5="",N(J54)&gt;=$H$5),OR($I$5="",ISNUMBER(SEARCH($I$5,C54&amp;" "&amp;D54&amp;" "&amp;E54&amp;" "&amp;I54)))),"✓",""))</f>
        <v/>
      </c>
      <c r="B54" s="39" t="n">
        <v>46236</v>
      </c>
      <c r="C54" s="40" t="n">
        <f aca="false">'Aug 2'!$D$19</f>
        <v>0</v>
      </c>
      <c r="D54" s="40" t="n">
        <f aca="false">'Aug 2'!$B$19</f>
        <v>0</v>
      </c>
      <c r="E54" s="41" t="n">
        <f aca="false">'Aug 2'!$E$19</f>
        <v>0</v>
      </c>
      <c r="F54" s="40" t="n">
        <f aca="false">'Aug 2'!$A$19</f>
        <v>0</v>
      </c>
      <c r="G54" s="41" t="n">
        <f aca="false">'Aug 2'!$F$19</f>
        <v>0</v>
      </c>
      <c r="H54" s="41" t="n">
        <f aca="false">'Aug 2'!$G$19</f>
        <v>0</v>
      </c>
      <c r="I54" s="41" t="str">
        <f aca="false">'Aug 2'!$M$19</f>
        <v/>
      </c>
      <c r="J54" s="42" t="str">
        <f aca="false">'Aug 2'!$S$19</f>
        <v/>
      </c>
      <c r="K54" s="40" t="n">
        <f aca="false">'Aug 2'!$AG$19</f>
        <v>0</v>
      </c>
      <c r="L54" s="40" t="n">
        <f aca="false">'Aug 2'!$N$19</f>
        <v>0</v>
      </c>
    </row>
    <row r="55" customFormat="false" ht="15" hidden="false" customHeight="false" outlineLevel="0" collapsed="false">
      <c r="A55" s="38" t="str">
        <f aca="false">IF(OR(C55="",C55=0),"",IF(AND(OR($B$5="",G55=$B$5,H55=$B$5),OR($D$5="",F55=$D$5),OR($E$5="",K55=$E$5),OR($G$5="",L55=$G$5),OR($H$5="",N(J55)&gt;=$H$5),OR($I$5="",ISNUMBER(SEARCH($I$5,C55&amp;" "&amp;D55&amp;" "&amp;E55&amp;" "&amp;I55)))),"✓",""))</f>
        <v/>
      </c>
      <c r="B55" s="39" t="n">
        <v>46236</v>
      </c>
      <c r="C55" s="40" t="n">
        <f aca="false">'Aug 2'!$D$20</f>
        <v>0</v>
      </c>
      <c r="D55" s="40" t="n">
        <f aca="false">'Aug 2'!$B$20</f>
        <v>0</v>
      </c>
      <c r="E55" s="41" t="n">
        <f aca="false">'Aug 2'!$E$20</f>
        <v>0</v>
      </c>
      <c r="F55" s="40" t="n">
        <f aca="false">'Aug 2'!$A$20</f>
        <v>0</v>
      </c>
      <c r="G55" s="41" t="n">
        <f aca="false">'Aug 2'!$F$20</f>
        <v>0</v>
      </c>
      <c r="H55" s="41" t="n">
        <f aca="false">'Aug 2'!$G$20</f>
        <v>0</v>
      </c>
      <c r="I55" s="41" t="str">
        <f aca="false">'Aug 2'!$M$20</f>
        <v/>
      </c>
      <c r="J55" s="42" t="str">
        <f aca="false">'Aug 2'!$S$20</f>
        <v/>
      </c>
      <c r="K55" s="40" t="n">
        <f aca="false">'Aug 2'!$AG$20</f>
        <v>0</v>
      </c>
      <c r="L55" s="40" t="n">
        <f aca="false">'Aug 2'!$N$20</f>
        <v>0</v>
      </c>
    </row>
    <row r="56" customFormat="false" ht="15" hidden="false" customHeight="false" outlineLevel="0" collapsed="false">
      <c r="A56" s="38" t="str">
        <f aca="false">IF(OR(C56="",C56=0),"",IF(AND(OR($B$5="",G56=$B$5,H56=$B$5),OR($D$5="",F56=$D$5),OR($E$5="",K56=$E$5),OR($G$5="",L56=$G$5),OR($H$5="",N(J56)&gt;=$H$5),OR($I$5="",ISNUMBER(SEARCH($I$5,C56&amp;" "&amp;D56&amp;" "&amp;E56&amp;" "&amp;I56)))),"✓",""))</f>
        <v/>
      </c>
      <c r="B56" s="39" t="n">
        <v>46236</v>
      </c>
      <c r="C56" s="40" t="n">
        <f aca="false">'Aug 2'!$D$21</f>
        <v>0</v>
      </c>
      <c r="D56" s="40" t="n">
        <f aca="false">'Aug 2'!$B$21</f>
        <v>0</v>
      </c>
      <c r="E56" s="41" t="n">
        <f aca="false">'Aug 2'!$E$21</f>
        <v>0</v>
      </c>
      <c r="F56" s="40" t="n">
        <f aca="false">'Aug 2'!$A$21</f>
        <v>0</v>
      </c>
      <c r="G56" s="41" t="n">
        <f aca="false">'Aug 2'!$F$21</f>
        <v>0</v>
      </c>
      <c r="H56" s="41" t="n">
        <f aca="false">'Aug 2'!$G$21</f>
        <v>0</v>
      </c>
      <c r="I56" s="41" t="str">
        <f aca="false">'Aug 2'!$M$21</f>
        <v/>
      </c>
      <c r="J56" s="42" t="str">
        <f aca="false">'Aug 2'!$S$21</f>
        <v/>
      </c>
      <c r="K56" s="40" t="n">
        <f aca="false">'Aug 2'!$AG$21</f>
        <v>0</v>
      </c>
      <c r="L56" s="40" t="n">
        <f aca="false">'Aug 2'!$N$21</f>
        <v>0</v>
      </c>
    </row>
    <row r="57" customFormat="false" ht="15" hidden="false" customHeight="false" outlineLevel="0" collapsed="false">
      <c r="A57" s="38" t="str">
        <f aca="false">IF(OR(C57="",C57=0),"",IF(AND(OR($B$5="",G57=$B$5,H57=$B$5),OR($D$5="",F57=$D$5),OR($E$5="",K57=$E$5),OR($G$5="",L57=$G$5),OR($H$5="",N(J57)&gt;=$H$5),OR($I$5="",ISNUMBER(SEARCH($I$5,C57&amp;" "&amp;D57&amp;" "&amp;E57&amp;" "&amp;I57)))),"✓",""))</f>
        <v/>
      </c>
      <c r="B57" s="39" t="n">
        <v>46236</v>
      </c>
      <c r="C57" s="40" t="n">
        <f aca="false">'Aug 2'!$D$22</f>
        <v>0</v>
      </c>
      <c r="D57" s="40" t="n">
        <f aca="false">'Aug 2'!$B$22</f>
        <v>0</v>
      </c>
      <c r="E57" s="41" t="n">
        <f aca="false">'Aug 2'!$E$22</f>
        <v>0</v>
      </c>
      <c r="F57" s="40" t="n">
        <f aca="false">'Aug 2'!$A$22</f>
        <v>0</v>
      </c>
      <c r="G57" s="41" t="n">
        <f aca="false">'Aug 2'!$F$22</f>
        <v>0</v>
      </c>
      <c r="H57" s="41" t="n">
        <f aca="false">'Aug 2'!$G$22</f>
        <v>0</v>
      </c>
      <c r="I57" s="41" t="str">
        <f aca="false">'Aug 2'!$M$22</f>
        <v/>
      </c>
      <c r="J57" s="42" t="str">
        <f aca="false">'Aug 2'!$S$22</f>
        <v/>
      </c>
      <c r="K57" s="40" t="n">
        <f aca="false">'Aug 2'!$AG$22</f>
        <v>0</v>
      </c>
      <c r="L57" s="40" t="n">
        <f aca="false">'Aug 2'!$N$22</f>
        <v>0</v>
      </c>
    </row>
    <row r="58" customFormat="false" ht="15" hidden="false" customHeight="false" outlineLevel="0" collapsed="false">
      <c r="A58" s="38" t="str">
        <f aca="false">IF(OR(C58="",C58=0),"",IF(AND(OR($B$5="",G58=$B$5,H58=$B$5),OR($D$5="",F58=$D$5),OR($E$5="",K58=$E$5),OR($G$5="",L58=$G$5),OR($H$5="",N(J58)&gt;=$H$5),OR($I$5="",ISNUMBER(SEARCH($I$5,C58&amp;" "&amp;D58&amp;" "&amp;E58&amp;" "&amp;I58)))),"✓",""))</f>
        <v/>
      </c>
      <c r="B58" s="39" t="n">
        <v>46236</v>
      </c>
      <c r="C58" s="40" t="n">
        <f aca="false">'Aug 2'!$D$23</f>
        <v>0</v>
      </c>
      <c r="D58" s="40" t="n">
        <f aca="false">'Aug 2'!$B$23</f>
        <v>0</v>
      </c>
      <c r="E58" s="41" t="n">
        <f aca="false">'Aug 2'!$E$23</f>
        <v>0</v>
      </c>
      <c r="F58" s="40" t="n">
        <f aca="false">'Aug 2'!$A$23</f>
        <v>0</v>
      </c>
      <c r="G58" s="41" t="n">
        <f aca="false">'Aug 2'!$F$23</f>
        <v>0</v>
      </c>
      <c r="H58" s="41" t="n">
        <f aca="false">'Aug 2'!$G$23</f>
        <v>0</v>
      </c>
      <c r="I58" s="41" t="str">
        <f aca="false">'Aug 2'!$M$23</f>
        <v/>
      </c>
      <c r="J58" s="42" t="str">
        <f aca="false">'Aug 2'!$S$23</f>
        <v/>
      </c>
      <c r="K58" s="40" t="n">
        <f aca="false">'Aug 2'!$AG$23</f>
        <v>0</v>
      </c>
      <c r="L58" s="40" t="n">
        <f aca="false">'Aug 2'!$N$23</f>
        <v>0</v>
      </c>
    </row>
    <row r="59" customFormat="false" ht="15" hidden="false" customHeight="false" outlineLevel="0" collapsed="false">
      <c r="A59" s="38" t="str">
        <f aca="false">IF(OR(C59="",C59=0),"",IF(AND(OR($B$5="",G59=$B$5,H59=$B$5),OR($D$5="",F59=$D$5),OR($E$5="",K59=$E$5),OR($G$5="",L59=$G$5),OR($H$5="",N(J59)&gt;=$H$5),OR($I$5="",ISNUMBER(SEARCH($I$5,C59&amp;" "&amp;D59&amp;" "&amp;E59&amp;" "&amp;I59)))),"✓",""))</f>
        <v/>
      </c>
      <c r="B59" s="39" t="n">
        <v>46236</v>
      </c>
      <c r="C59" s="40" t="n">
        <f aca="false">'Aug 2'!$D$24</f>
        <v>0</v>
      </c>
      <c r="D59" s="40" t="n">
        <f aca="false">'Aug 2'!$B$24</f>
        <v>0</v>
      </c>
      <c r="E59" s="41" t="n">
        <f aca="false">'Aug 2'!$E$24</f>
        <v>0</v>
      </c>
      <c r="F59" s="40" t="n">
        <f aca="false">'Aug 2'!$A$24</f>
        <v>0</v>
      </c>
      <c r="G59" s="41" t="n">
        <f aca="false">'Aug 2'!$F$24</f>
        <v>0</v>
      </c>
      <c r="H59" s="41" t="n">
        <f aca="false">'Aug 2'!$G$24</f>
        <v>0</v>
      </c>
      <c r="I59" s="41" t="str">
        <f aca="false">'Aug 2'!$M$24</f>
        <v/>
      </c>
      <c r="J59" s="42" t="str">
        <f aca="false">'Aug 2'!$S$24</f>
        <v/>
      </c>
      <c r="K59" s="40" t="n">
        <f aca="false">'Aug 2'!$AG$24</f>
        <v>0</v>
      </c>
      <c r="L59" s="40" t="n">
        <f aca="false">'Aug 2'!$N$24</f>
        <v>0</v>
      </c>
    </row>
    <row r="60" customFormat="false" ht="15" hidden="false" customHeight="false" outlineLevel="0" collapsed="false">
      <c r="A60" s="38" t="str">
        <f aca="false">IF(OR(C60="",C60=0),"",IF(AND(OR($B$5="",G60=$B$5,H60=$B$5),OR($D$5="",F60=$D$5),OR($E$5="",K60=$E$5),OR($G$5="",L60=$G$5),OR($H$5="",N(J60)&gt;=$H$5),OR($I$5="",ISNUMBER(SEARCH($I$5,C60&amp;" "&amp;D60&amp;" "&amp;E60&amp;" "&amp;I60)))),"✓",""))</f>
        <v/>
      </c>
      <c r="B60" s="39" t="n">
        <v>46236</v>
      </c>
      <c r="C60" s="40" t="n">
        <f aca="false">'Aug 2'!$D$25</f>
        <v>0</v>
      </c>
      <c r="D60" s="40" t="n">
        <f aca="false">'Aug 2'!$B$25</f>
        <v>0</v>
      </c>
      <c r="E60" s="41" t="n">
        <f aca="false">'Aug 2'!$E$25</f>
        <v>0</v>
      </c>
      <c r="F60" s="40" t="n">
        <f aca="false">'Aug 2'!$A$25</f>
        <v>0</v>
      </c>
      <c r="G60" s="41" t="n">
        <f aca="false">'Aug 2'!$F$25</f>
        <v>0</v>
      </c>
      <c r="H60" s="41" t="n">
        <f aca="false">'Aug 2'!$G$25</f>
        <v>0</v>
      </c>
      <c r="I60" s="41" t="str">
        <f aca="false">'Aug 2'!$M$25</f>
        <v/>
      </c>
      <c r="J60" s="42" t="str">
        <f aca="false">'Aug 2'!$S$25</f>
        <v/>
      </c>
      <c r="K60" s="40" t="n">
        <f aca="false">'Aug 2'!$AG$25</f>
        <v>0</v>
      </c>
      <c r="L60" s="40" t="n">
        <f aca="false">'Aug 2'!$N$25</f>
        <v>0</v>
      </c>
    </row>
    <row r="61" customFormat="false" ht="15" hidden="false" customHeight="false" outlineLevel="0" collapsed="false">
      <c r="A61" s="38" t="str">
        <f aca="false">IF(OR(C61="",C61=0),"",IF(AND(OR($B$5="",G61=$B$5,H61=$B$5),OR($D$5="",F61=$D$5),OR($E$5="",K61=$E$5),OR($G$5="",L61=$G$5),OR($H$5="",N(J61)&gt;=$H$5),OR($I$5="",ISNUMBER(SEARCH($I$5,C61&amp;" "&amp;D61&amp;" "&amp;E61&amp;" "&amp;I61)))),"✓",""))</f>
        <v/>
      </c>
      <c r="B61" s="39" t="n">
        <v>46236</v>
      </c>
      <c r="C61" s="40" t="n">
        <f aca="false">'Aug 2'!$D$26</f>
        <v>0</v>
      </c>
      <c r="D61" s="40" t="n">
        <f aca="false">'Aug 2'!$B$26</f>
        <v>0</v>
      </c>
      <c r="E61" s="41" t="n">
        <f aca="false">'Aug 2'!$E$26</f>
        <v>0</v>
      </c>
      <c r="F61" s="40" t="n">
        <f aca="false">'Aug 2'!$A$26</f>
        <v>0</v>
      </c>
      <c r="G61" s="41" t="n">
        <f aca="false">'Aug 2'!$F$26</f>
        <v>0</v>
      </c>
      <c r="H61" s="41" t="n">
        <f aca="false">'Aug 2'!$G$26</f>
        <v>0</v>
      </c>
      <c r="I61" s="41" t="str">
        <f aca="false">'Aug 2'!$M$26</f>
        <v/>
      </c>
      <c r="J61" s="42" t="str">
        <f aca="false">'Aug 2'!$S$26</f>
        <v/>
      </c>
      <c r="K61" s="40" t="n">
        <f aca="false">'Aug 2'!$AG$26</f>
        <v>0</v>
      </c>
      <c r="L61" s="40" t="n">
        <f aca="false">'Aug 2'!$N$26</f>
        <v>0</v>
      </c>
    </row>
    <row r="62" customFormat="false" ht="15" hidden="false" customHeight="false" outlineLevel="0" collapsed="false">
      <c r="A62" s="38" t="str">
        <f aca="false">IF(OR(C62="",C62=0),"",IF(AND(OR($B$5="",G62=$B$5,H62=$B$5),OR($D$5="",F62=$D$5),OR($E$5="",K62=$E$5),OR($G$5="",L62=$G$5),OR($H$5="",N(J62)&gt;=$H$5),OR($I$5="",ISNUMBER(SEARCH($I$5,C62&amp;" "&amp;D62&amp;" "&amp;E62&amp;" "&amp;I62)))),"✓",""))</f>
        <v/>
      </c>
      <c r="B62" s="39" t="n">
        <v>46236</v>
      </c>
      <c r="C62" s="40" t="n">
        <f aca="false">'Aug 2'!$D$27</f>
        <v>0</v>
      </c>
      <c r="D62" s="40" t="n">
        <f aca="false">'Aug 2'!$B$27</f>
        <v>0</v>
      </c>
      <c r="E62" s="41" t="n">
        <f aca="false">'Aug 2'!$E$27</f>
        <v>0</v>
      </c>
      <c r="F62" s="40" t="n">
        <f aca="false">'Aug 2'!$A$27</f>
        <v>0</v>
      </c>
      <c r="G62" s="41" t="n">
        <f aca="false">'Aug 2'!$F$27</f>
        <v>0</v>
      </c>
      <c r="H62" s="41" t="n">
        <f aca="false">'Aug 2'!$G$27</f>
        <v>0</v>
      </c>
      <c r="I62" s="41" t="str">
        <f aca="false">'Aug 2'!$M$27</f>
        <v/>
      </c>
      <c r="J62" s="42" t="str">
        <f aca="false">'Aug 2'!$S$27</f>
        <v/>
      </c>
      <c r="K62" s="40" t="n">
        <f aca="false">'Aug 2'!$AG$27</f>
        <v>0</v>
      </c>
      <c r="L62" s="40" t="n">
        <f aca="false">'Aug 2'!$N$27</f>
        <v>0</v>
      </c>
    </row>
    <row r="63" customFormat="false" ht="15" hidden="false" customHeight="false" outlineLevel="0" collapsed="false">
      <c r="A63" s="38" t="str">
        <f aca="false">IF(OR(C63="",C63=0),"",IF(AND(OR($B$5="",G63=$B$5,H63=$B$5),OR($D$5="",F63=$D$5),OR($E$5="",K63=$E$5),OR($G$5="",L63=$G$5),OR($H$5="",N(J63)&gt;=$H$5),OR($I$5="",ISNUMBER(SEARCH($I$5,C63&amp;" "&amp;D63&amp;" "&amp;E63&amp;" "&amp;I63)))),"✓",""))</f>
        <v/>
      </c>
      <c r="B63" s="39" t="n">
        <v>46236</v>
      </c>
      <c r="C63" s="40" t="n">
        <f aca="false">'Aug 2'!$D$28</f>
        <v>0</v>
      </c>
      <c r="D63" s="40" t="n">
        <f aca="false">'Aug 2'!$B$28</f>
        <v>0</v>
      </c>
      <c r="E63" s="41" t="n">
        <f aca="false">'Aug 2'!$E$28</f>
        <v>0</v>
      </c>
      <c r="F63" s="40" t="n">
        <f aca="false">'Aug 2'!$A$28</f>
        <v>0</v>
      </c>
      <c r="G63" s="41" t="n">
        <f aca="false">'Aug 2'!$F$28</f>
        <v>0</v>
      </c>
      <c r="H63" s="41" t="n">
        <f aca="false">'Aug 2'!$G$28</f>
        <v>0</v>
      </c>
      <c r="I63" s="41" t="str">
        <f aca="false">'Aug 2'!$M$28</f>
        <v/>
      </c>
      <c r="J63" s="42" t="str">
        <f aca="false">'Aug 2'!$S$28</f>
        <v/>
      </c>
      <c r="K63" s="40" t="n">
        <f aca="false">'Aug 2'!$AG$28</f>
        <v>0</v>
      </c>
      <c r="L63" s="40" t="n">
        <f aca="false">'Aug 2'!$N$28</f>
        <v>0</v>
      </c>
    </row>
    <row r="64" customFormat="false" ht="15" hidden="false" customHeight="false" outlineLevel="0" collapsed="false">
      <c r="A64" s="38" t="str">
        <f aca="false">IF(OR(C64="",C64=0),"",IF(AND(OR($B$5="",G64=$B$5,H64=$B$5),OR($D$5="",F64=$D$5),OR($E$5="",K64=$E$5),OR($G$5="",L64=$G$5),OR($H$5="",N(J64)&gt;=$H$5),OR($I$5="",ISNUMBER(SEARCH($I$5,C64&amp;" "&amp;D64&amp;" "&amp;E64&amp;" "&amp;I64)))),"✓",""))</f>
        <v/>
      </c>
      <c r="B64" s="39" t="n">
        <v>46236</v>
      </c>
      <c r="C64" s="40" t="n">
        <f aca="false">'Aug 2'!$D$29</f>
        <v>0</v>
      </c>
      <c r="D64" s="40" t="n">
        <f aca="false">'Aug 2'!$B$29</f>
        <v>0</v>
      </c>
      <c r="E64" s="41" t="n">
        <f aca="false">'Aug 2'!$E$29</f>
        <v>0</v>
      </c>
      <c r="F64" s="40" t="n">
        <f aca="false">'Aug 2'!$A$29</f>
        <v>0</v>
      </c>
      <c r="G64" s="41" t="n">
        <f aca="false">'Aug 2'!$F$29</f>
        <v>0</v>
      </c>
      <c r="H64" s="41" t="n">
        <f aca="false">'Aug 2'!$G$29</f>
        <v>0</v>
      </c>
      <c r="I64" s="41" t="str">
        <f aca="false">'Aug 2'!$M$29</f>
        <v/>
      </c>
      <c r="J64" s="42" t="str">
        <f aca="false">'Aug 2'!$S$29</f>
        <v/>
      </c>
      <c r="K64" s="40" t="n">
        <f aca="false">'Aug 2'!$AG$29</f>
        <v>0</v>
      </c>
      <c r="L64" s="40" t="n">
        <f aca="false">'Aug 2'!$N$29</f>
        <v>0</v>
      </c>
    </row>
    <row r="65" customFormat="false" ht="15" hidden="false" customHeight="false" outlineLevel="0" collapsed="false">
      <c r="A65" s="38" t="str">
        <f aca="false">IF(OR(C65="",C65=0),"",IF(AND(OR($B$5="",G65=$B$5,H65=$B$5),OR($D$5="",F65=$D$5),OR($E$5="",K65=$E$5),OR($G$5="",L65=$G$5),OR($H$5="",N(J65)&gt;=$H$5),OR($I$5="",ISNUMBER(SEARCH($I$5,C65&amp;" "&amp;D65&amp;" "&amp;E65&amp;" "&amp;I65)))),"✓",""))</f>
        <v/>
      </c>
      <c r="B65" s="39" t="n">
        <v>46236</v>
      </c>
      <c r="C65" s="40" t="n">
        <f aca="false">'Aug 2'!$D$30</f>
        <v>0</v>
      </c>
      <c r="D65" s="40" t="n">
        <f aca="false">'Aug 2'!$B$30</f>
        <v>0</v>
      </c>
      <c r="E65" s="41" t="n">
        <f aca="false">'Aug 2'!$E$30</f>
        <v>0</v>
      </c>
      <c r="F65" s="40" t="n">
        <f aca="false">'Aug 2'!$A$30</f>
        <v>0</v>
      </c>
      <c r="G65" s="41" t="n">
        <f aca="false">'Aug 2'!$F$30</f>
        <v>0</v>
      </c>
      <c r="H65" s="41" t="n">
        <f aca="false">'Aug 2'!$G$30</f>
        <v>0</v>
      </c>
      <c r="I65" s="41" t="str">
        <f aca="false">'Aug 2'!$M$30</f>
        <v/>
      </c>
      <c r="J65" s="42" t="str">
        <f aca="false">'Aug 2'!$S$30</f>
        <v/>
      </c>
      <c r="K65" s="40" t="n">
        <f aca="false">'Aug 2'!$AG$30</f>
        <v>0</v>
      </c>
      <c r="L65" s="40" t="n">
        <f aca="false">'Aug 2'!$N$30</f>
        <v>0</v>
      </c>
    </row>
    <row r="66" customFormat="false" ht="15" hidden="false" customHeight="false" outlineLevel="0" collapsed="false">
      <c r="A66" s="38" t="str">
        <f aca="false">IF(OR(C66="",C66=0),"",IF(AND(OR($B$5="",G66=$B$5,H66=$B$5),OR($D$5="",F66=$D$5),OR($E$5="",K66=$E$5),OR($G$5="",L66=$G$5),OR($H$5="",N(J66)&gt;=$H$5),OR($I$5="",ISNUMBER(SEARCH($I$5,C66&amp;" "&amp;D66&amp;" "&amp;E66&amp;" "&amp;I66)))),"✓",""))</f>
        <v/>
      </c>
      <c r="B66" s="39" t="n">
        <v>46236</v>
      </c>
      <c r="C66" s="40" t="n">
        <f aca="false">'Aug 2'!$D$31</f>
        <v>0</v>
      </c>
      <c r="D66" s="40" t="n">
        <f aca="false">'Aug 2'!$B$31</f>
        <v>0</v>
      </c>
      <c r="E66" s="41" t="n">
        <f aca="false">'Aug 2'!$E$31</f>
        <v>0</v>
      </c>
      <c r="F66" s="40" t="n">
        <f aca="false">'Aug 2'!$A$31</f>
        <v>0</v>
      </c>
      <c r="G66" s="41" t="n">
        <f aca="false">'Aug 2'!$F$31</f>
        <v>0</v>
      </c>
      <c r="H66" s="41" t="n">
        <f aca="false">'Aug 2'!$G$31</f>
        <v>0</v>
      </c>
      <c r="I66" s="41" t="str">
        <f aca="false">'Aug 2'!$M$31</f>
        <v/>
      </c>
      <c r="J66" s="42" t="str">
        <f aca="false">'Aug 2'!$S$31</f>
        <v/>
      </c>
      <c r="K66" s="40" t="n">
        <f aca="false">'Aug 2'!$AG$31</f>
        <v>0</v>
      </c>
      <c r="L66" s="40" t="n">
        <f aca="false">'Aug 2'!$N$31</f>
        <v>0</v>
      </c>
    </row>
    <row r="67" customFormat="false" ht="15" hidden="false" customHeight="false" outlineLevel="0" collapsed="false">
      <c r="A67" s="38" t="str">
        <f aca="false">IF(OR(C67="",C67=0),"",IF(AND(OR($B$5="",G67=$B$5,H67=$B$5),OR($D$5="",F67=$D$5),OR($E$5="",K67=$E$5),OR($G$5="",L67=$G$5),OR($H$5="",N(J67)&gt;=$H$5),OR($I$5="",ISNUMBER(SEARCH($I$5,C67&amp;" "&amp;D67&amp;" "&amp;E67&amp;" "&amp;I67)))),"✓",""))</f>
        <v/>
      </c>
      <c r="B67" s="39" t="n">
        <v>46236</v>
      </c>
      <c r="C67" s="40" t="n">
        <f aca="false">'Aug 2'!$D$32</f>
        <v>0</v>
      </c>
      <c r="D67" s="40" t="n">
        <f aca="false">'Aug 2'!$B$32</f>
        <v>0</v>
      </c>
      <c r="E67" s="41" t="n">
        <f aca="false">'Aug 2'!$E$32</f>
        <v>0</v>
      </c>
      <c r="F67" s="40" t="n">
        <f aca="false">'Aug 2'!$A$32</f>
        <v>0</v>
      </c>
      <c r="G67" s="41" t="n">
        <f aca="false">'Aug 2'!$F$32</f>
        <v>0</v>
      </c>
      <c r="H67" s="41" t="n">
        <f aca="false">'Aug 2'!$G$32</f>
        <v>0</v>
      </c>
      <c r="I67" s="41" t="str">
        <f aca="false">'Aug 2'!$M$32</f>
        <v/>
      </c>
      <c r="J67" s="42" t="str">
        <f aca="false">'Aug 2'!$S$32</f>
        <v/>
      </c>
      <c r="K67" s="40" t="n">
        <f aca="false">'Aug 2'!$AG$32</f>
        <v>0</v>
      </c>
      <c r="L67" s="40" t="n">
        <f aca="false">'Aug 2'!$N$32</f>
        <v>0</v>
      </c>
    </row>
    <row r="68" customFormat="false" ht="15" hidden="false" customHeight="false" outlineLevel="0" collapsed="false">
      <c r="A68" s="38" t="str">
        <f aca="false">IF(OR(C68="",C68=0),"",IF(AND(OR($B$5="",G68=$B$5,H68=$B$5),OR($D$5="",F68=$D$5),OR($E$5="",K68=$E$5),OR($G$5="",L68=$G$5),OR($H$5="",N(J68)&gt;=$H$5),OR($I$5="",ISNUMBER(SEARCH($I$5,C68&amp;" "&amp;D68&amp;" "&amp;E68&amp;" "&amp;I68)))),"✓",""))</f>
        <v/>
      </c>
      <c r="B68" s="39" t="n">
        <v>46236</v>
      </c>
      <c r="C68" s="40" t="n">
        <f aca="false">'Aug 2'!$D$33</f>
        <v>0</v>
      </c>
      <c r="D68" s="40" t="n">
        <f aca="false">'Aug 2'!$B$33</f>
        <v>0</v>
      </c>
      <c r="E68" s="41" t="n">
        <f aca="false">'Aug 2'!$E$33</f>
        <v>0</v>
      </c>
      <c r="F68" s="40" t="n">
        <f aca="false">'Aug 2'!$A$33</f>
        <v>0</v>
      </c>
      <c r="G68" s="41" t="n">
        <f aca="false">'Aug 2'!$F$33</f>
        <v>0</v>
      </c>
      <c r="H68" s="41" t="n">
        <f aca="false">'Aug 2'!$G$33</f>
        <v>0</v>
      </c>
      <c r="I68" s="41" t="str">
        <f aca="false">'Aug 2'!$M$33</f>
        <v/>
      </c>
      <c r="J68" s="42" t="str">
        <f aca="false">'Aug 2'!$S$33</f>
        <v/>
      </c>
      <c r="K68" s="40" t="n">
        <f aca="false">'Aug 2'!$AG$33</f>
        <v>0</v>
      </c>
      <c r="L68" s="40" t="n">
        <f aca="false">'Aug 2'!$N$33</f>
        <v>0</v>
      </c>
    </row>
    <row r="69" customFormat="false" ht="15" hidden="false" customHeight="false" outlineLevel="0" collapsed="false">
      <c r="A69" s="38" t="str">
        <f aca="false">IF(OR(C69="",C69=0),"",IF(AND(OR($B$5="",G69=$B$5,H69=$B$5),OR($D$5="",F69=$D$5),OR($E$5="",K69=$E$5),OR($G$5="",L69=$G$5),OR($H$5="",N(J69)&gt;=$H$5),OR($I$5="",ISNUMBER(SEARCH($I$5,C69&amp;" "&amp;D69&amp;" "&amp;E69&amp;" "&amp;I69)))),"✓",""))</f>
        <v/>
      </c>
      <c r="B69" s="39" t="n">
        <v>46236</v>
      </c>
      <c r="C69" s="40" t="n">
        <f aca="false">'Aug 2'!$D$34</f>
        <v>0</v>
      </c>
      <c r="D69" s="40" t="n">
        <f aca="false">'Aug 2'!$B$34</f>
        <v>0</v>
      </c>
      <c r="E69" s="41" t="n">
        <f aca="false">'Aug 2'!$E$34</f>
        <v>0</v>
      </c>
      <c r="F69" s="40" t="n">
        <f aca="false">'Aug 2'!$A$34</f>
        <v>0</v>
      </c>
      <c r="G69" s="41" t="n">
        <f aca="false">'Aug 2'!$F$34</f>
        <v>0</v>
      </c>
      <c r="H69" s="41" t="n">
        <f aca="false">'Aug 2'!$G$34</f>
        <v>0</v>
      </c>
      <c r="I69" s="41" t="str">
        <f aca="false">'Aug 2'!$M$34</f>
        <v/>
      </c>
      <c r="J69" s="42" t="str">
        <f aca="false">'Aug 2'!$S$34</f>
        <v/>
      </c>
      <c r="K69" s="40" t="n">
        <f aca="false">'Aug 2'!$AG$34</f>
        <v>0</v>
      </c>
      <c r="L69" s="40" t="n">
        <f aca="false">'Aug 2'!$N$34</f>
        <v>0</v>
      </c>
    </row>
    <row r="70" customFormat="false" ht="15" hidden="false" customHeight="false" outlineLevel="0" collapsed="false">
      <c r="A70" s="38" t="str">
        <f aca="false">IF(OR(C70="",C70=0),"",IF(AND(OR($B$5="",G70=$B$5,H70=$B$5),OR($D$5="",F70=$D$5),OR($E$5="",K70=$E$5),OR($G$5="",L70=$G$5),OR($H$5="",N(J70)&gt;=$H$5),OR($I$5="",ISNUMBER(SEARCH($I$5,C70&amp;" "&amp;D70&amp;" "&amp;E70&amp;" "&amp;I70)))),"✓",""))</f>
        <v/>
      </c>
      <c r="B70" s="39" t="n">
        <v>46236</v>
      </c>
      <c r="C70" s="40" t="n">
        <f aca="false">'Aug 2'!$D$35</f>
        <v>0</v>
      </c>
      <c r="D70" s="40" t="n">
        <f aca="false">'Aug 2'!$B$35</f>
        <v>0</v>
      </c>
      <c r="E70" s="41" t="n">
        <f aca="false">'Aug 2'!$E$35</f>
        <v>0</v>
      </c>
      <c r="F70" s="40" t="n">
        <f aca="false">'Aug 2'!$A$35</f>
        <v>0</v>
      </c>
      <c r="G70" s="41" t="n">
        <f aca="false">'Aug 2'!$F$35</f>
        <v>0</v>
      </c>
      <c r="H70" s="41" t="n">
        <f aca="false">'Aug 2'!$G$35</f>
        <v>0</v>
      </c>
      <c r="I70" s="41" t="str">
        <f aca="false">'Aug 2'!$M$35</f>
        <v/>
      </c>
      <c r="J70" s="42" t="str">
        <f aca="false">'Aug 2'!$S$35</f>
        <v/>
      </c>
      <c r="K70" s="40" t="n">
        <f aca="false">'Aug 2'!$AG$35</f>
        <v>0</v>
      </c>
      <c r="L70" s="40" t="n">
        <f aca="false">'Aug 2'!$N$35</f>
        <v>0</v>
      </c>
    </row>
    <row r="71" customFormat="false" ht="15" hidden="false" customHeight="false" outlineLevel="0" collapsed="false">
      <c r="A71" s="38" t="str">
        <f aca="false">IF(OR(C71="",C71=0),"",IF(AND(OR($B$5="",G71=$B$5,H71=$B$5),OR($D$5="",F71=$D$5),OR($E$5="",K71=$E$5),OR($G$5="",L71=$G$5),OR($H$5="",N(J71)&gt;=$H$5),OR($I$5="",ISNUMBER(SEARCH($I$5,C71&amp;" "&amp;D71&amp;" "&amp;E71&amp;" "&amp;I71)))),"✓",""))</f>
        <v/>
      </c>
      <c r="B71" s="39" t="n">
        <v>46236</v>
      </c>
      <c r="C71" s="40" t="n">
        <f aca="false">'Aug 2'!$D$36</f>
        <v>0</v>
      </c>
      <c r="D71" s="40" t="n">
        <f aca="false">'Aug 2'!$B$36</f>
        <v>0</v>
      </c>
      <c r="E71" s="41" t="n">
        <f aca="false">'Aug 2'!$E$36</f>
        <v>0</v>
      </c>
      <c r="F71" s="40" t="n">
        <f aca="false">'Aug 2'!$A$36</f>
        <v>0</v>
      </c>
      <c r="G71" s="41" t="n">
        <f aca="false">'Aug 2'!$F$36</f>
        <v>0</v>
      </c>
      <c r="H71" s="41" t="n">
        <f aca="false">'Aug 2'!$G$36</f>
        <v>0</v>
      </c>
      <c r="I71" s="41" t="str">
        <f aca="false">'Aug 2'!$M$36</f>
        <v/>
      </c>
      <c r="J71" s="42" t="str">
        <f aca="false">'Aug 2'!$S$36</f>
        <v/>
      </c>
      <c r="K71" s="40" t="n">
        <f aca="false">'Aug 2'!$AG$36</f>
        <v>0</v>
      </c>
      <c r="L71" s="40" t="n">
        <f aca="false">'Aug 2'!$N$36</f>
        <v>0</v>
      </c>
    </row>
    <row r="72" customFormat="false" ht="15" hidden="false" customHeight="false" outlineLevel="0" collapsed="false">
      <c r="A72" s="38" t="str">
        <f aca="false">IF(OR(C72="",C72=0),"",IF(AND(OR($B$5="",G72=$B$5,H72=$B$5),OR($D$5="",F72=$D$5),OR($E$5="",K72=$E$5),OR($G$5="",L72=$G$5),OR($H$5="",N(J72)&gt;=$H$5),OR($I$5="",ISNUMBER(SEARCH($I$5,C72&amp;" "&amp;D72&amp;" "&amp;E72&amp;" "&amp;I72)))),"✓",""))</f>
        <v/>
      </c>
      <c r="B72" s="39" t="n">
        <v>46236</v>
      </c>
      <c r="C72" s="40" t="n">
        <f aca="false">'Aug 2'!$D$37</f>
        <v>0</v>
      </c>
      <c r="D72" s="40" t="n">
        <f aca="false">'Aug 2'!$B$37</f>
        <v>0</v>
      </c>
      <c r="E72" s="41" t="n">
        <f aca="false">'Aug 2'!$E$37</f>
        <v>0</v>
      </c>
      <c r="F72" s="40" t="n">
        <f aca="false">'Aug 2'!$A$37</f>
        <v>0</v>
      </c>
      <c r="G72" s="41" t="n">
        <f aca="false">'Aug 2'!$F$37</f>
        <v>0</v>
      </c>
      <c r="H72" s="41" t="n">
        <f aca="false">'Aug 2'!$G$37</f>
        <v>0</v>
      </c>
      <c r="I72" s="41" t="str">
        <f aca="false">'Aug 2'!$M$37</f>
        <v/>
      </c>
      <c r="J72" s="42" t="str">
        <f aca="false">'Aug 2'!$S$37</f>
        <v/>
      </c>
      <c r="K72" s="40" t="n">
        <f aca="false">'Aug 2'!$AG$37</f>
        <v>0</v>
      </c>
      <c r="L72" s="40" t="n">
        <f aca="false">'Aug 2'!$N$37</f>
        <v>0</v>
      </c>
    </row>
    <row r="73" customFormat="false" ht="15" hidden="false" customHeight="false" outlineLevel="0" collapsed="false">
      <c r="A73" s="38" t="str">
        <f aca="false">IF(OR(C73="",C73=0),"",IF(AND(OR($B$5="",G73=$B$5,H73=$B$5),OR($D$5="",F73=$D$5),OR($E$5="",K73=$E$5),OR($G$5="",L73=$G$5),OR($H$5="",N(J73)&gt;=$H$5),OR($I$5="",ISNUMBER(SEARCH($I$5,C73&amp;" "&amp;D73&amp;" "&amp;E73&amp;" "&amp;I73)))),"✓",""))</f>
        <v/>
      </c>
      <c r="B73" s="39" t="n">
        <v>46236</v>
      </c>
      <c r="C73" s="40" t="n">
        <f aca="false">'Aug 2'!$D$38</f>
        <v>0</v>
      </c>
      <c r="D73" s="40" t="n">
        <f aca="false">'Aug 2'!$B$38</f>
        <v>0</v>
      </c>
      <c r="E73" s="41" t="n">
        <f aca="false">'Aug 2'!$E$38</f>
        <v>0</v>
      </c>
      <c r="F73" s="40" t="n">
        <f aca="false">'Aug 2'!$A$38</f>
        <v>0</v>
      </c>
      <c r="G73" s="41" t="n">
        <f aca="false">'Aug 2'!$F$38</f>
        <v>0</v>
      </c>
      <c r="H73" s="41" t="n">
        <f aca="false">'Aug 2'!$G$38</f>
        <v>0</v>
      </c>
      <c r="I73" s="41" t="str">
        <f aca="false">'Aug 2'!$M$38</f>
        <v/>
      </c>
      <c r="J73" s="42" t="str">
        <f aca="false">'Aug 2'!$S$38</f>
        <v/>
      </c>
      <c r="K73" s="40" t="n">
        <f aca="false">'Aug 2'!$AG$38</f>
        <v>0</v>
      </c>
      <c r="L73" s="40" t="n">
        <f aca="false">'Aug 2'!$N$38</f>
        <v>0</v>
      </c>
    </row>
    <row r="74" customFormat="false" ht="15" hidden="false" customHeight="false" outlineLevel="0" collapsed="false">
      <c r="A74" s="38" t="str">
        <f aca="false">IF(OR(C74="",C74=0),"",IF(AND(OR($B$5="",G74=$B$5,H74=$B$5),OR($D$5="",F74=$D$5),OR($E$5="",K74=$E$5),OR($G$5="",L74=$G$5),OR($H$5="",N(J74)&gt;=$H$5),OR($I$5="",ISNUMBER(SEARCH($I$5,C74&amp;" "&amp;D74&amp;" "&amp;E74&amp;" "&amp;I74)))),"✓",""))</f>
        <v/>
      </c>
      <c r="B74" s="39" t="n">
        <v>46236</v>
      </c>
      <c r="C74" s="40" t="n">
        <f aca="false">'Aug 2'!$D$39</f>
        <v>0</v>
      </c>
      <c r="D74" s="40" t="n">
        <f aca="false">'Aug 2'!$B$39</f>
        <v>0</v>
      </c>
      <c r="E74" s="41" t="n">
        <f aca="false">'Aug 2'!$E$39</f>
        <v>0</v>
      </c>
      <c r="F74" s="40" t="n">
        <f aca="false">'Aug 2'!$A$39</f>
        <v>0</v>
      </c>
      <c r="G74" s="41" t="n">
        <f aca="false">'Aug 2'!$F$39</f>
        <v>0</v>
      </c>
      <c r="H74" s="41" t="n">
        <f aca="false">'Aug 2'!$G$39</f>
        <v>0</v>
      </c>
      <c r="I74" s="41" t="str">
        <f aca="false">'Aug 2'!$M$39</f>
        <v/>
      </c>
      <c r="J74" s="42" t="str">
        <f aca="false">'Aug 2'!$S$39</f>
        <v/>
      </c>
      <c r="K74" s="40" t="n">
        <f aca="false">'Aug 2'!$AG$39</f>
        <v>0</v>
      </c>
      <c r="L74" s="40" t="n">
        <f aca="false">'Aug 2'!$N$39</f>
        <v>0</v>
      </c>
    </row>
    <row r="75" customFormat="false" ht="15" hidden="false" customHeight="false" outlineLevel="0" collapsed="false">
      <c r="A75" s="38" t="str">
        <f aca="false">IF(OR(C75="",C75=0),"",IF(AND(OR($B$5="",G75=$B$5,H75=$B$5),OR($D$5="",F75=$D$5),OR($E$5="",K75=$E$5),OR($G$5="",L75=$G$5),OR($H$5="",N(J75)&gt;=$H$5),OR($I$5="",ISNUMBER(SEARCH($I$5,C75&amp;" "&amp;D75&amp;" "&amp;E75&amp;" "&amp;I75)))),"✓",""))</f>
        <v/>
      </c>
      <c r="B75" s="39" t="n">
        <v>46236</v>
      </c>
      <c r="C75" s="40" t="n">
        <f aca="false">'Aug 2'!$D$40</f>
        <v>0</v>
      </c>
      <c r="D75" s="40" t="n">
        <f aca="false">'Aug 2'!$B$40</f>
        <v>0</v>
      </c>
      <c r="E75" s="41" t="n">
        <f aca="false">'Aug 2'!$E$40</f>
        <v>0</v>
      </c>
      <c r="F75" s="40" t="n">
        <f aca="false">'Aug 2'!$A$40</f>
        <v>0</v>
      </c>
      <c r="G75" s="41" t="n">
        <f aca="false">'Aug 2'!$F$40</f>
        <v>0</v>
      </c>
      <c r="H75" s="41" t="n">
        <f aca="false">'Aug 2'!$G$40</f>
        <v>0</v>
      </c>
      <c r="I75" s="41" t="str">
        <f aca="false">'Aug 2'!$M$40</f>
        <v/>
      </c>
      <c r="J75" s="42" t="str">
        <f aca="false">'Aug 2'!$S$40</f>
        <v/>
      </c>
      <c r="K75" s="40" t="n">
        <f aca="false">'Aug 2'!$AG$40</f>
        <v>0</v>
      </c>
      <c r="L75" s="40" t="n">
        <f aca="false">'Aug 2'!$N$40</f>
        <v>0</v>
      </c>
    </row>
    <row r="76" customFormat="false" ht="15" hidden="false" customHeight="false" outlineLevel="0" collapsed="false">
      <c r="A76" s="38" t="str">
        <f aca="false">IF(OR(C76="",C76=0),"",IF(AND(OR($B$5="",G76=$B$5,H76=$B$5),OR($D$5="",F76=$D$5),OR($E$5="",K76=$E$5),OR($G$5="",L76=$G$5),OR($H$5="",N(J76)&gt;=$H$5),OR($I$5="",ISNUMBER(SEARCH($I$5,C76&amp;" "&amp;D76&amp;" "&amp;E76&amp;" "&amp;I76)))),"✓",""))</f>
        <v/>
      </c>
      <c r="B76" s="39" t="n">
        <v>46236</v>
      </c>
      <c r="C76" s="40" t="n">
        <f aca="false">'Aug 2'!$D$41</f>
        <v>0</v>
      </c>
      <c r="D76" s="40" t="n">
        <f aca="false">'Aug 2'!$B$41</f>
        <v>0</v>
      </c>
      <c r="E76" s="41" t="n">
        <f aca="false">'Aug 2'!$E$41</f>
        <v>0</v>
      </c>
      <c r="F76" s="40" t="n">
        <f aca="false">'Aug 2'!$A$41</f>
        <v>0</v>
      </c>
      <c r="G76" s="41" t="n">
        <f aca="false">'Aug 2'!$F$41</f>
        <v>0</v>
      </c>
      <c r="H76" s="41" t="n">
        <f aca="false">'Aug 2'!$G$41</f>
        <v>0</v>
      </c>
      <c r="I76" s="41" t="str">
        <f aca="false">'Aug 2'!$M$41</f>
        <v/>
      </c>
      <c r="J76" s="42" t="str">
        <f aca="false">'Aug 2'!$S$41</f>
        <v/>
      </c>
      <c r="K76" s="40" t="n">
        <f aca="false">'Aug 2'!$AG$41</f>
        <v>0</v>
      </c>
      <c r="L76" s="40" t="n">
        <f aca="false">'Aug 2'!$N$41</f>
        <v>0</v>
      </c>
    </row>
    <row r="77" customFormat="false" ht="15" hidden="false" customHeight="false" outlineLevel="0" collapsed="false">
      <c r="A77" s="38" t="str">
        <f aca="false">IF(OR(C77="",C77=0),"",IF(AND(OR($B$5="",G77=$B$5,H77=$B$5),OR($D$5="",F77=$D$5),OR($E$5="",K77=$E$5),OR($G$5="",L77=$G$5),OR($H$5="",N(J77)&gt;=$H$5),OR($I$5="",ISNUMBER(SEARCH($I$5,C77&amp;" "&amp;D77&amp;" "&amp;E77&amp;" "&amp;I77)))),"✓",""))</f>
        <v/>
      </c>
      <c r="B77" s="39" t="n">
        <v>46236</v>
      </c>
      <c r="C77" s="40" t="n">
        <f aca="false">'Aug 2'!$D$42</f>
        <v>0</v>
      </c>
      <c r="D77" s="40" t="n">
        <f aca="false">'Aug 2'!$B$42</f>
        <v>0</v>
      </c>
      <c r="E77" s="41" t="n">
        <f aca="false">'Aug 2'!$E$42</f>
        <v>0</v>
      </c>
      <c r="F77" s="40" t="n">
        <f aca="false">'Aug 2'!$A$42</f>
        <v>0</v>
      </c>
      <c r="G77" s="41" t="n">
        <f aca="false">'Aug 2'!$F$42</f>
        <v>0</v>
      </c>
      <c r="H77" s="41" t="n">
        <f aca="false">'Aug 2'!$G$42</f>
        <v>0</v>
      </c>
      <c r="I77" s="41" t="str">
        <f aca="false">'Aug 2'!$M$42</f>
        <v/>
      </c>
      <c r="J77" s="42" t="str">
        <f aca="false">'Aug 2'!$S$42</f>
        <v/>
      </c>
      <c r="K77" s="40" t="n">
        <f aca="false">'Aug 2'!$AG$42</f>
        <v>0</v>
      </c>
      <c r="L77" s="40" t="n">
        <f aca="false">'Aug 2'!$N$42</f>
        <v>0</v>
      </c>
    </row>
    <row r="78" customFormat="false" ht="15" hidden="false" customHeight="false" outlineLevel="0" collapsed="false">
      <c r="A78" s="38" t="str">
        <f aca="false">IF(OR(C78="",C78=0),"",IF(AND(OR($B$5="",G78=$B$5,H78=$B$5),OR($D$5="",F78=$D$5),OR($E$5="",K78=$E$5),OR($G$5="",L78=$G$5),OR($H$5="",N(J78)&gt;=$H$5),OR($I$5="",ISNUMBER(SEARCH($I$5,C78&amp;" "&amp;D78&amp;" "&amp;E78&amp;" "&amp;I78)))),"✓",""))</f>
        <v/>
      </c>
      <c r="B78" s="39" t="n">
        <v>46237</v>
      </c>
      <c r="C78" s="40" t="n">
        <f aca="false">'Aug 3'!$D$8</f>
        <v>0</v>
      </c>
      <c r="D78" s="40" t="n">
        <f aca="false">'Aug 3'!$B$8</f>
        <v>0</v>
      </c>
      <c r="E78" s="41" t="n">
        <f aca="false">'Aug 3'!$E$8</f>
        <v>0</v>
      </c>
      <c r="F78" s="40" t="n">
        <f aca="false">'Aug 3'!$A$8</f>
        <v>0</v>
      </c>
      <c r="G78" s="41" t="n">
        <f aca="false">'Aug 3'!$F$8</f>
        <v>0</v>
      </c>
      <c r="H78" s="41" t="n">
        <f aca="false">'Aug 3'!$G$8</f>
        <v>0</v>
      </c>
      <c r="I78" s="41" t="str">
        <f aca="false">'Aug 3'!$M$8</f>
        <v/>
      </c>
      <c r="J78" s="42" t="str">
        <f aca="false">'Aug 3'!$S$8</f>
        <v/>
      </c>
      <c r="K78" s="40" t="n">
        <f aca="false">'Aug 3'!$AG$8</f>
        <v>0</v>
      </c>
      <c r="L78" s="40" t="n">
        <f aca="false">'Aug 3'!$N$8</f>
        <v>0</v>
      </c>
    </row>
    <row r="79" customFormat="false" ht="15" hidden="false" customHeight="false" outlineLevel="0" collapsed="false">
      <c r="A79" s="38" t="str">
        <f aca="false">IF(OR(C79="",C79=0),"",IF(AND(OR($B$5="",G79=$B$5,H79=$B$5),OR($D$5="",F79=$D$5),OR($E$5="",K79=$E$5),OR($G$5="",L79=$G$5),OR($H$5="",N(J79)&gt;=$H$5),OR($I$5="",ISNUMBER(SEARCH($I$5,C79&amp;" "&amp;D79&amp;" "&amp;E79&amp;" "&amp;I79)))),"✓",""))</f>
        <v/>
      </c>
      <c r="B79" s="39" t="n">
        <v>46237</v>
      </c>
      <c r="C79" s="40" t="n">
        <f aca="false">'Aug 3'!$D$9</f>
        <v>0</v>
      </c>
      <c r="D79" s="40" t="n">
        <f aca="false">'Aug 3'!$B$9</f>
        <v>0</v>
      </c>
      <c r="E79" s="41" t="n">
        <f aca="false">'Aug 3'!$E$9</f>
        <v>0</v>
      </c>
      <c r="F79" s="40" t="n">
        <f aca="false">'Aug 3'!$A$9</f>
        <v>0</v>
      </c>
      <c r="G79" s="41" t="n">
        <f aca="false">'Aug 3'!$F$9</f>
        <v>0</v>
      </c>
      <c r="H79" s="41" t="n">
        <f aca="false">'Aug 3'!$G$9</f>
        <v>0</v>
      </c>
      <c r="I79" s="41" t="str">
        <f aca="false">'Aug 3'!$M$9</f>
        <v/>
      </c>
      <c r="J79" s="42" t="str">
        <f aca="false">'Aug 3'!$S$9</f>
        <v/>
      </c>
      <c r="K79" s="40" t="n">
        <f aca="false">'Aug 3'!$AG$9</f>
        <v>0</v>
      </c>
      <c r="L79" s="40" t="n">
        <f aca="false">'Aug 3'!$N$9</f>
        <v>0</v>
      </c>
    </row>
    <row r="80" customFormat="false" ht="15" hidden="false" customHeight="false" outlineLevel="0" collapsed="false">
      <c r="A80" s="38" t="str">
        <f aca="false">IF(OR(C80="",C80=0),"",IF(AND(OR($B$5="",G80=$B$5,H80=$B$5),OR($D$5="",F80=$D$5),OR($E$5="",K80=$E$5),OR($G$5="",L80=$G$5),OR($H$5="",N(J80)&gt;=$H$5),OR($I$5="",ISNUMBER(SEARCH($I$5,C80&amp;" "&amp;D80&amp;" "&amp;E80&amp;" "&amp;I80)))),"✓",""))</f>
        <v/>
      </c>
      <c r="B80" s="39" t="n">
        <v>46237</v>
      </c>
      <c r="C80" s="40" t="n">
        <f aca="false">'Aug 3'!$D$10</f>
        <v>0</v>
      </c>
      <c r="D80" s="40" t="n">
        <f aca="false">'Aug 3'!$B$10</f>
        <v>0</v>
      </c>
      <c r="E80" s="41" t="n">
        <f aca="false">'Aug 3'!$E$10</f>
        <v>0</v>
      </c>
      <c r="F80" s="40" t="n">
        <f aca="false">'Aug 3'!$A$10</f>
        <v>0</v>
      </c>
      <c r="G80" s="41" t="n">
        <f aca="false">'Aug 3'!$F$10</f>
        <v>0</v>
      </c>
      <c r="H80" s="41" t="n">
        <f aca="false">'Aug 3'!$G$10</f>
        <v>0</v>
      </c>
      <c r="I80" s="41" t="str">
        <f aca="false">'Aug 3'!$M$10</f>
        <v/>
      </c>
      <c r="J80" s="42" t="str">
        <f aca="false">'Aug 3'!$S$10</f>
        <v/>
      </c>
      <c r="K80" s="40" t="n">
        <f aca="false">'Aug 3'!$AG$10</f>
        <v>0</v>
      </c>
      <c r="L80" s="40" t="n">
        <f aca="false">'Aug 3'!$N$10</f>
        <v>0</v>
      </c>
    </row>
    <row r="81" customFormat="false" ht="15" hidden="false" customHeight="false" outlineLevel="0" collapsed="false">
      <c r="A81" s="38" t="str">
        <f aca="false">IF(OR(C81="",C81=0),"",IF(AND(OR($B$5="",G81=$B$5,H81=$B$5),OR($D$5="",F81=$D$5),OR($E$5="",K81=$E$5),OR($G$5="",L81=$G$5),OR($H$5="",N(J81)&gt;=$H$5),OR($I$5="",ISNUMBER(SEARCH($I$5,C81&amp;" "&amp;D81&amp;" "&amp;E81&amp;" "&amp;I81)))),"✓",""))</f>
        <v/>
      </c>
      <c r="B81" s="39" t="n">
        <v>46237</v>
      </c>
      <c r="C81" s="40" t="n">
        <f aca="false">'Aug 3'!$D$11</f>
        <v>0</v>
      </c>
      <c r="D81" s="40" t="n">
        <f aca="false">'Aug 3'!$B$11</f>
        <v>0</v>
      </c>
      <c r="E81" s="41" t="n">
        <f aca="false">'Aug 3'!$E$11</f>
        <v>0</v>
      </c>
      <c r="F81" s="40" t="n">
        <f aca="false">'Aug 3'!$A$11</f>
        <v>0</v>
      </c>
      <c r="G81" s="41" t="n">
        <f aca="false">'Aug 3'!$F$11</f>
        <v>0</v>
      </c>
      <c r="H81" s="41" t="n">
        <f aca="false">'Aug 3'!$G$11</f>
        <v>0</v>
      </c>
      <c r="I81" s="41" t="str">
        <f aca="false">'Aug 3'!$M$11</f>
        <v/>
      </c>
      <c r="J81" s="42" t="str">
        <f aca="false">'Aug 3'!$S$11</f>
        <v/>
      </c>
      <c r="K81" s="40" t="n">
        <f aca="false">'Aug 3'!$AG$11</f>
        <v>0</v>
      </c>
      <c r="L81" s="40" t="n">
        <f aca="false">'Aug 3'!$N$11</f>
        <v>0</v>
      </c>
    </row>
    <row r="82" customFormat="false" ht="15" hidden="false" customHeight="false" outlineLevel="0" collapsed="false">
      <c r="A82" s="38" t="str">
        <f aca="false">IF(OR(C82="",C82=0),"",IF(AND(OR($B$5="",G82=$B$5,H82=$B$5),OR($D$5="",F82=$D$5),OR($E$5="",K82=$E$5),OR($G$5="",L82=$G$5),OR($H$5="",N(J82)&gt;=$H$5),OR($I$5="",ISNUMBER(SEARCH($I$5,C82&amp;" "&amp;D82&amp;" "&amp;E82&amp;" "&amp;I82)))),"✓",""))</f>
        <v/>
      </c>
      <c r="B82" s="39" t="n">
        <v>46237</v>
      </c>
      <c r="C82" s="40" t="n">
        <f aca="false">'Aug 3'!$D$12</f>
        <v>0</v>
      </c>
      <c r="D82" s="40" t="n">
        <f aca="false">'Aug 3'!$B$12</f>
        <v>0</v>
      </c>
      <c r="E82" s="41" t="n">
        <f aca="false">'Aug 3'!$E$12</f>
        <v>0</v>
      </c>
      <c r="F82" s="40" t="n">
        <f aca="false">'Aug 3'!$A$12</f>
        <v>0</v>
      </c>
      <c r="G82" s="41" t="n">
        <f aca="false">'Aug 3'!$F$12</f>
        <v>0</v>
      </c>
      <c r="H82" s="41" t="n">
        <f aca="false">'Aug 3'!$G$12</f>
        <v>0</v>
      </c>
      <c r="I82" s="41" t="str">
        <f aca="false">'Aug 3'!$M$12</f>
        <v/>
      </c>
      <c r="J82" s="42" t="str">
        <f aca="false">'Aug 3'!$S$12</f>
        <v/>
      </c>
      <c r="K82" s="40" t="n">
        <f aca="false">'Aug 3'!$AG$12</f>
        <v>0</v>
      </c>
      <c r="L82" s="40" t="n">
        <f aca="false">'Aug 3'!$N$12</f>
        <v>0</v>
      </c>
    </row>
    <row r="83" customFormat="false" ht="15" hidden="false" customHeight="false" outlineLevel="0" collapsed="false">
      <c r="A83" s="38" t="str">
        <f aca="false">IF(OR(C83="",C83=0),"",IF(AND(OR($B$5="",G83=$B$5,H83=$B$5),OR($D$5="",F83=$D$5),OR($E$5="",K83=$E$5),OR($G$5="",L83=$G$5),OR($H$5="",N(J83)&gt;=$H$5),OR($I$5="",ISNUMBER(SEARCH($I$5,C83&amp;" "&amp;D83&amp;" "&amp;E83&amp;" "&amp;I83)))),"✓",""))</f>
        <v/>
      </c>
      <c r="B83" s="39" t="n">
        <v>46237</v>
      </c>
      <c r="C83" s="40" t="n">
        <f aca="false">'Aug 3'!$D$13</f>
        <v>0</v>
      </c>
      <c r="D83" s="40" t="n">
        <f aca="false">'Aug 3'!$B$13</f>
        <v>0</v>
      </c>
      <c r="E83" s="41" t="n">
        <f aca="false">'Aug 3'!$E$13</f>
        <v>0</v>
      </c>
      <c r="F83" s="40" t="n">
        <f aca="false">'Aug 3'!$A$13</f>
        <v>0</v>
      </c>
      <c r="G83" s="41" t="n">
        <f aca="false">'Aug 3'!$F$13</f>
        <v>0</v>
      </c>
      <c r="H83" s="41" t="n">
        <f aca="false">'Aug 3'!$G$13</f>
        <v>0</v>
      </c>
      <c r="I83" s="41" t="str">
        <f aca="false">'Aug 3'!$M$13</f>
        <v/>
      </c>
      <c r="J83" s="42" t="str">
        <f aca="false">'Aug 3'!$S$13</f>
        <v/>
      </c>
      <c r="K83" s="40" t="n">
        <f aca="false">'Aug 3'!$AG$13</f>
        <v>0</v>
      </c>
      <c r="L83" s="40" t="n">
        <f aca="false">'Aug 3'!$N$13</f>
        <v>0</v>
      </c>
    </row>
    <row r="84" customFormat="false" ht="15" hidden="false" customHeight="false" outlineLevel="0" collapsed="false">
      <c r="A84" s="38" t="str">
        <f aca="false">IF(OR(C84="",C84=0),"",IF(AND(OR($B$5="",G84=$B$5,H84=$B$5),OR($D$5="",F84=$D$5),OR($E$5="",K84=$E$5),OR($G$5="",L84=$G$5),OR($H$5="",N(J84)&gt;=$H$5),OR($I$5="",ISNUMBER(SEARCH($I$5,C84&amp;" "&amp;D84&amp;" "&amp;E84&amp;" "&amp;I84)))),"✓",""))</f>
        <v/>
      </c>
      <c r="B84" s="39" t="n">
        <v>46237</v>
      </c>
      <c r="C84" s="40" t="n">
        <f aca="false">'Aug 3'!$D$14</f>
        <v>0</v>
      </c>
      <c r="D84" s="40" t="n">
        <f aca="false">'Aug 3'!$B$14</f>
        <v>0</v>
      </c>
      <c r="E84" s="41" t="n">
        <f aca="false">'Aug 3'!$E$14</f>
        <v>0</v>
      </c>
      <c r="F84" s="40" t="n">
        <f aca="false">'Aug 3'!$A$14</f>
        <v>0</v>
      </c>
      <c r="G84" s="41" t="n">
        <f aca="false">'Aug 3'!$F$14</f>
        <v>0</v>
      </c>
      <c r="H84" s="41" t="n">
        <f aca="false">'Aug 3'!$G$14</f>
        <v>0</v>
      </c>
      <c r="I84" s="41" t="str">
        <f aca="false">'Aug 3'!$M$14</f>
        <v/>
      </c>
      <c r="J84" s="42" t="str">
        <f aca="false">'Aug 3'!$S$14</f>
        <v/>
      </c>
      <c r="K84" s="40" t="n">
        <f aca="false">'Aug 3'!$AG$14</f>
        <v>0</v>
      </c>
      <c r="L84" s="40" t="n">
        <f aca="false">'Aug 3'!$N$14</f>
        <v>0</v>
      </c>
    </row>
    <row r="85" customFormat="false" ht="15" hidden="false" customHeight="false" outlineLevel="0" collapsed="false">
      <c r="A85" s="38" t="str">
        <f aca="false">IF(OR(C85="",C85=0),"",IF(AND(OR($B$5="",G85=$B$5,H85=$B$5),OR($D$5="",F85=$D$5),OR($E$5="",K85=$E$5),OR($G$5="",L85=$G$5),OR($H$5="",N(J85)&gt;=$H$5),OR($I$5="",ISNUMBER(SEARCH($I$5,C85&amp;" "&amp;D85&amp;" "&amp;E85&amp;" "&amp;I85)))),"✓",""))</f>
        <v/>
      </c>
      <c r="B85" s="39" t="n">
        <v>46237</v>
      </c>
      <c r="C85" s="40" t="n">
        <f aca="false">'Aug 3'!$D$15</f>
        <v>0</v>
      </c>
      <c r="D85" s="40" t="n">
        <f aca="false">'Aug 3'!$B$15</f>
        <v>0</v>
      </c>
      <c r="E85" s="41" t="n">
        <f aca="false">'Aug 3'!$E$15</f>
        <v>0</v>
      </c>
      <c r="F85" s="40" t="n">
        <f aca="false">'Aug 3'!$A$15</f>
        <v>0</v>
      </c>
      <c r="G85" s="41" t="n">
        <f aca="false">'Aug 3'!$F$15</f>
        <v>0</v>
      </c>
      <c r="H85" s="41" t="n">
        <f aca="false">'Aug 3'!$G$15</f>
        <v>0</v>
      </c>
      <c r="I85" s="41" t="str">
        <f aca="false">'Aug 3'!$M$15</f>
        <v/>
      </c>
      <c r="J85" s="42" t="str">
        <f aca="false">'Aug 3'!$S$15</f>
        <v/>
      </c>
      <c r="K85" s="40" t="n">
        <f aca="false">'Aug 3'!$AG$15</f>
        <v>0</v>
      </c>
      <c r="L85" s="40" t="n">
        <f aca="false">'Aug 3'!$N$15</f>
        <v>0</v>
      </c>
    </row>
    <row r="86" customFormat="false" ht="15" hidden="false" customHeight="false" outlineLevel="0" collapsed="false">
      <c r="A86" s="38" t="str">
        <f aca="false">IF(OR(C86="",C86=0),"",IF(AND(OR($B$5="",G86=$B$5,H86=$B$5),OR($D$5="",F86=$D$5),OR($E$5="",K86=$E$5),OR($G$5="",L86=$G$5),OR($H$5="",N(J86)&gt;=$H$5),OR($I$5="",ISNUMBER(SEARCH($I$5,C86&amp;" "&amp;D86&amp;" "&amp;E86&amp;" "&amp;I86)))),"✓",""))</f>
        <v/>
      </c>
      <c r="B86" s="39" t="n">
        <v>46237</v>
      </c>
      <c r="C86" s="40" t="n">
        <f aca="false">'Aug 3'!$D$16</f>
        <v>0</v>
      </c>
      <c r="D86" s="40" t="n">
        <f aca="false">'Aug 3'!$B$16</f>
        <v>0</v>
      </c>
      <c r="E86" s="41" t="n">
        <f aca="false">'Aug 3'!$E$16</f>
        <v>0</v>
      </c>
      <c r="F86" s="40" t="n">
        <f aca="false">'Aug 3'!$A$16</f>
        <v>0</v>
      </c>
      <c r="G86" s="41" t="n">
        <f aca="false">'Aug 3'!$F$16</f>
        <v>0</v>
      </c>
      <c r="H86" s="41" t="n">
        <f aca="false">'Aug 3'!$G$16</f>
        <v>0</v>
      </c>
      <c r="I86" s="41" t="str">
        <f aca="false">'Aug 3'!$M$16</f>
        <v/>
      </c>
      <c r="J86" s="42" t="str">
        <f aca="false">'Aug 3'!$S$16</f>
        <v/>
      </c>
      <c r="K86" s="40" t="n">
        <f aca="false">'Aug 3'!$AG$16</f>
        <v>0</v>
      </c>
      <c r="L86" s="40" t="n">
        <f aca="false">'Aug 3'!$N$16</f>
        <v>0</v>
      </c>
    </row>
    <row r="87" customFormat="false" ht="15" hidden="false" customHeight="false" outlineLevel="0" collapsed="false">
      <c r="A87" s="38" t="str">
        <f aca="false">IF(OR(C87="",C87=0),"",IF(AND(OR($B$5="",G87=$B$5,H87=$B$5),OR($D$5="",F87=$D$5),OR($E$5="",K87=$E$5),OR($G$5="",L87=$G$5),OR($H$5="",N(J87)&gt;=$H$5),OR($I$5="",ISNUMBER(SEARCH($I$5,C87&amp;" "&amp;D87&amp;" "&amp;E87&amp;" "&amp;I87)))),"✓",""))</f>
        <v/>
      </c>
      <c r="B87" s="39" t="n">
        <v>46237</v>
      </c>
      <c r="C87" s="40" t="n">
        <f aca="false">'Aug 3'!$D$17</f>
        <v>0</v>
      </c>
      <c r="D87" s="40" t="n">
        <f aca="false">'Aug 3'!$B$17</f>
        <v>0</v>
      </c>
      <c r="E87" s="41" t="n">
        <f aca="false">'Aug 3'!$E$17</f>
        <v>0</v>
      </c>
      <c r="F87" s="40" t="n">
        <f aca="false">'Aug 3'!$A$17</f>
        <v>0</v>
      </c>
      <c r="G87" s="41" t="n">
        <f aca="false">'Aug 3'!$F$17</f>
        <v>0</v>
      </c>
      <c r="H87" s="41" t="n">
        <f aca="false">'Aug 3'!$G$17</f>
        <v>0</v>
      </c>
      <c r="I87" s="41" t="str">
        <f aca="false">'Aug 3'!$M$17</f>
        <v/>
      </c>
      <c r="J87" s="42" t="str">
        <f aca="false">'Aug 3'!$S$17</f>
        <v/>
      </c>
      <c r="K87" s="40" t="n">
        <f aca="false">'Aug 3'!$AG$17</f>
        <v>0</v>
      </c>
      <c r="L87" s="40" t="n">
        <f aca="false">'Aug 3'!$N$17</f>
        <v>0</v>
      </c>
    </row>
    <row r="88" customFormat="false" ht="15" hidden="false" customHeight="false" outlineLevel="0" collapsed="false">
      <c r="A88" s="38" t="str">
        <f aca="false">IF(OR(C88="",C88=0),"",IF(AND(OR($B$5="",G88=$B$5,H88=$B$5),OR($D$5="",F88=$D$5),OR($E$5="",K88=$E$5),OR($G$5="",L88=$G$5),OR($H$5="",N(J88)&gt;=$H$5),OR($I$5="",ISNUMBER(SEARCH($I$5,C88&amp;" "&amp;D88&amp;" "&amp;E88&amp;" "&amp;I88)))),"✓",""))</f>
        <v/>
      </c>
      <c r="B88" s="39" t="n">
        <v>46237</v>
      </c>
      <c r="C88" s="40" t="n">
        <f aca="false">'Aug 3'!$D$18</f>
        <v>0</v>
      </c>
      <c r="D88" s="40" t="n">
        <f aca="false">'Aug 3'!$B$18</f>
        <v>0</v>
      </c>
      <c r="E88" s="41" t="n">
        <f aca="false">'Aug 3'!$E$18</f>
        <v>0</v>
      </c>
      <c r="F88" s="40" t="n">
        <f aca="false">'Aug 3'!$A$18</f>
        <v>0</v>
      </c>
      <c r="G88" s="41" t="n">
        <f aca="false">'Aug 3'!$F$18</f>
        <v>0</v>
      </c>
      <c r="H88" s="41" t="n">
        <f aca="false">'Aug 3'!$G$18</f>
        <v>0</v>
      </c>
      <c r="I88" s="41" t="str">
        <f aca="false">'Aug 3'!$M$18</f>
        <v/>
      </c>
      <c r="J88" s="42" t="str">
        <f aca="false">'Aug 3'!$S$18</f>
        <v/>
      </c>
      <c r="K88" s="40" t="n">
        <f aca="false">'Aug 3'!$AG$18</f>
        <v>0</v>
      </c>
      <c r="L88" s="40" t="n">
        <f aca="false">'Aug 3'!$N$18</f>
        <v>0</v>
      </c>
    </row>
    <row r="89" customFormat="false" ht="15" hidden="false" customHeight="false" outlineLevel="0" collapsed="false">
      <c r="A89" s="38" t="str">
        <f aca="false">IF(OR(C89="",C89=0),"",IF(AND(OR($B$5="",G89=$B$5,H89=$B$5),OR($D$5="",F89=$D$5),OR($E$5="",K89=$E$5),OR($G$5="",L89=$G$5),OR($H$5="",N(J89)&gt;=$H$5),OR($I$5="",ISNUMBER(SEARCH($I$5,C89&amp;" "&amp;D89&amp;" "&amp;E89&amp;" "&amp;I89)))),"✓",""))</f>
        <v/>
      </c>
      <c r="B89" s="39" t="n">
        <v>46237</v>
      </c>
      <c r="C89" s="40" t="n">
        <f aca="false">'Aug 3'!$D$19</f>
        <v>0</v>
      </c>
      <c r="D89" s="40" t="n">
        <f aca="false">'Aug 3'!$B$19</f>
        <v>0</v>
      </c>
      <c r="E89" s="41" t="n">
        <f aca="false">'Aug 3'!$E$19</f>
        <v>0</v>
      </c>
      <c r="F89" s="40" t="n">
        <f aca="false">'Aug 3'!$A$19</f>
        <v>0</v>
      </c>
      <c r="G89" s="41" t="n">
        <f aca="false">'Aug 3'!$F$19</f>
        <v>0</v>
      </c>
      <c r="H89" s="41" t="n">
        <f aca="false">'Aug 3'!$G$19</f>
        <v>0</v>
      </c>
      <c r="I89" s="41" t="str">
        <f aca="false">'Aug 3'!$M$19</f>
        <v/>
      </c>
      <c r="J89" s="42" t="str">
        <f aca="false">'Aug 3'!$S$19</f>
        <v/>
      </c>
      <c r="K89" s="40" t="n">
        <f aca="false">'Aug 3'!$AG$19</f>
        <v>0</v>
      </c>
      <c r="L89" s="40" t="n">
        <f aca="false">'Aug 3'!$N$19</f>
        <v>0</v>
      </c>
    </row>
    <row r="90" customFormat="false" ht="15" hidden="false" customHeight="false" outlineLevel="0" collapsed="false">
      <c r="A90" s="38" t="str">
        <f aca="false">IF(OR(C90="",C90=0),"",IF(AND(OR($B$5="",G90=$B$5,H90=$B$5),OR($D$5="",F90=$D$5),OR($E$5="",K90=$E$5),OR($G$5="",L90=$G$5),OR($H$5="",N(J90)&gt;=$H$5),OR($I$5="",ISNUMBER(SEARCH($I$5,C90&amp;" "&amp;D90&amp;" "&amp;E90&amp;" "&amp;I90)))),"✓",""))</f>
        <v/>
      </c>
      <c r="B90" s="39" t="n">
        <v>46237</v>
      </c>
      <c r="C90" s="40" t="n">
        <f aca="false">'Aug 3'!$D$20</f>
        <v>0</v>
      </c>
      <c r="D90" s="40" t="n">
        <f aca="false">'Aug 3'!$B$20</f>
        <v>0</v>
      </c>
      <c r="E90" s="41" t="n">
        <f aca="false">'Aug 3'!$E$20</f>
        <v>0</v>
      </c>
      <c r="F90" s="40" t="n">
        <f aca="false">'Aug 3'!$A$20</f>
        <v>0</v>
      </c>
      <c r="G90" s="41" t="n">
        <f aca="false">'Aug 3'!$F$20</f>
        <v>0</v>
      </c>
      <c r="H90" s="41" t="n">
        <f aca="false">'Aug 3'!$G$20</f>
        <v>0</v>
      </c>
      <c r="I90" s="41" t="str">
        <f aca="false">'Aug 3'!$M$20</f>
        <v/>
      </c>
      <c r="J90" s="42" t="str">
        <f aca="false">'Aug 3'!$S$20</f>
        <v/>
      </c>
      <c r="K90" s="40" t="n">
        <f aca="false">'Aug 3'!$AG$20</f>
        <v>0</v>
      </c>
      <c r="L90" s="40" t="n">
        <f aca="false">'Aug 3'!$N$20</f>
        <v>0</v>
      </c>
    </row>
    <row r="91" customFormat="false" ht="15" hidden="false" customHeight="false" outlineLevel="0" collapsed="false">
      <c r="A91" s="38" t="str">
        <f aca="false">IF(OR(C91="",C91=0),"",IF(AND(OR($B$5="",G91=$B$5,H91=$B$5),OR($D$5="",F91=$D$5),OR($E$5="",K91=$E$5),OR($G$5="",L91=$G$5),OR($H$5="",N(J91)&gt;=$H$5),OR($I$5="",ISNUMBER(SEARCH($I$5,C91&amp;" "&amp;D91&amp;" "&amp;E91&amp;" "&amp;I91)))),"✓",""))</f>
        <v/>
      </c>
      <c r="B91" s="39" t="n">
        <v>46237</v>
      </c>
      <c r="C91" s="40" t="n">
        <f aca="false">'Aug 3'!$D$21</f>
        <v>0</v>
      </c>
      <c r="D91" s="40" t="n">
        <f aca="false">'Aug 3'!$B$21</f>
        <v>0</v>
      </c>
      <c r="E91" s="41" t="n">
        <f aca="false">'Aug 3'!$E$21</f>
        <v>0</v>
      </c>
      <c r="F91" s="40" t="n">
        <f aca="false">'Aug 3'!$A$21</f>
        <v>0</v>
      </c>
      <c r="G91" s="41" t="n">
        <f aca="false">'Aug 3'!$F$21</f>
        <v>0</v>
      </c>
      <c r="H91" s="41" t="n">
        <f aca="false">'Aug 3'!$G$21</f>
        <v>0</v>
      </c>
      <c r="I91" s="41" t="str">
        <f aca="false">'Aug 3'!$M$21</f>
        <v/>
      </c>
      <c r="J91" s="42" t="str">
        <f aca="false">'Aug 3'!$S$21</f>
        <v/>
      </c>
      <c r="K91" s="40" t="n">
        <f aca="false">'Aug 3'!$AG$21</f>
        <v>0</v>
      </c>
      <c r="L91" s="40" t="n">
        <f aca="false">'Aug 3'!$N$21</f>
        <v>0</v>
      </c>
    </row>
    <row r="92" customFormat="false" ht="15" hidden="false" customHeight="false" outlineLevel="0" collapsed="false">
      <c r="A92" s="38" t="str">
        <f aca="false">IF(OR(C92="",C92=0),"",IF(AND(OR($B$5="",G92=$B$5,H92=$B$5),OR($D$5="",F92=$D$5),OR($E$5="",K92=$E$5),OR($G$5="",L92=$G$5),OR($H$5="",N(J92)&gt;=$H$5),OR($I$5="",ISNUMBER(SEARCH($I$5,C92&amp;" "&amp;D92&amp;" "&amp;E92&amp;" "&amp;I92)))),"✓",""))</f>
        <v/>
      </c>
      <c r="B92" s="39" t="n">
        <v>46237</v>
      </c>
      <c r="C92" s="40" t="n">
        <f aca="false">'Aug 3'!$D$22</f>
        <v>0</v>
      </c>
      <c r="D92" s="40" t="n">
        <f aca="false">'Aug 3'!$B$22</f>
        <v>0</v>
      </c>
      <c r="E92" s="41" t="n">
        <f aca="false">'Aug 3'!$E$22</f>
        <v>0</v>
      </c>
      <c r="F92" s="40" t="n">
        <f aca="false">'Aug 3'!$A$22</f>
        <v>0</v>
      </c>
      <c r="G92" s="41" t="n">
        <f aca="false">'Aug 3'!$F$22</f>
        <v>0</v>
      </c>
      <c r="H92" s="41" t="n">
        <f aca="false">'Aug 3'!$G$22</f>
        <v>0</v>
      </c>
      <c r="I92" s="41" t="str">
        <f aca="false">'Aug 3'!$M$22</f>
        <v/>
      </c>
      <c r="J92" s="42" t="str">
        <f aca="false">'Aug 3'!$S$22</f>
        <v/>
      </c>
      <c r="K92" s="40" t="n">
        <f aca="false">'Aug 3'!$AG$22</f>
        <v>0</v>
      </c>
      <c r="L92" s="40" t="n">
        <f aca="false">'Aug 3'!$N$22</f>
        <v>0</v>
      </c>
    </row>
    <row r="93" customFormat="false" ht="15" hidden="false" customHeight="false" outlineLevel="0" collapsed="false">
      <c r="A93" s="38" t="str">
        <f aca="false">IF(OR(C93="",C93=0),"",IF(AND(OR($B$5="",G93=$B$5,H93=$B$5),OR($D$5="",F93=$D$5),OR($E$5="",K93=$E$5),OR($G$5="",L93=$G$5),OR($H$5="",N(J93)&gt;=$H$5),OR($I$5="",ISNUMBER(SEARCH($I$5,C93&amp;" "&amp;D93&amp;" "&amp;E93&amp;" "&amp;I93)))),"✓",""))</f>
        <v/>
      </c>
      <c r="B93" s="39" t="n">
        <v>46237</v>
      </c>
      <c r="C93" s="40" t="n">
        <f aca="false">'Aug 3'!$D$23</f>
        <v>0</v>
      </c>
      <c r="D93" s="40" t="n">
        <f aca="false">'Aug 3'!$B$23</f>
        <v>0</v>
      </c>
      <c r="E93" s="41" t="n">
        <f aca="false">'Aug 3'!$E$23</f>
        <v>0</v>
      </c>
      <c r="F93" s="40" t="n">
        <f aca="false">'Aug 3'!$A$23</f>
        <v>0</v>
      </c>
      <c r="G93" s="41" t="n">
        <f aca="false">'Aug 3'!$F$23</f>
        <v>0</v>
      </c>
      <c r="H93" s="41" t="n">
        <f aca="false">'Aug 3'!$G$23</f>
        <v>0</v>
      </c>
      <c r="I93" s="41" t="str">
        <f aca="false">'Aug 3'!$M$23</f>
        <v/>
      </c>
      <c r="J93" s="42" t="str">
        <f aca="false">'Aug 3'!$S$23</f>
        <v/>
      </c>
      <c r="K93" s="40" t="n">
        <f aca="false">'Aug 3'!$AG$23</f>
        <v>0</v>
      </c>
      <c r="L93" s="40" t="n">
        <f aca="false">'Aug 3'!$N$23</f>
        <v>0</v>
      </c>
    </row>
    <row r="94" customFormat="false" ht="15" hidden="false" customHeight="false" outlineLevel="0" collapsed="false">
      <c r="A94" s="38" t="str">
        <f aca="false">IF(OR(C94="",C94=0),"",IF(AND(OR($B$5="",G94=$B$5,H94=$B$5),OR($D$5="",F94=$D$5),OR($E$5="",K94=$E$5),OR($G$5="",L94=$G$5),OR($H$5="",N(J94)&gt;=$H$5),OR($I$5="",ISNUMBER(SEARCH($I$5,C94&amp;" "&amp;D94&amp;" "&amp;E94&amp;" "&amp;I94)))),"✓",""))</f>
        <v/>
      </c>
      <c r="B94" s="39" t="n">
        <v>46237</v>
      </c>
      <c r="C94" s="40" t="n">
        <f aca="false">'Aug 3'!$D$24</f>
        <v>0</v>
      </c>
      <c r="D94" s="40" t="n">
        <f aca="false">'Aug 3'!$B$24</f>
        <v>0</v>
      </c>
      <c r="E94" s="41" t="n">
        <f aca="false">'Aug 3'!$E$24</f>
        <v>0</v>
      </c>
      <c r="F94" s="40" t="n">
        <f aca="false">'Aug 3'!$A$24</f>
        <v>0</v>
      </c>
      <c r="G94" s="41" t="n">
        <f aca="false">'Aug 3'!$F$24</f>
        <v>0</v>
      </c>
      <c r="H94" s="41" t="n">
        <f aca="false">'Aug 3'!$G$24</f>
        <v>0</v>
      </c>
      <c r="I94" s="41" t="str">
        <f aca="false">'Aug 3'!$M$24</f>
        <v/>
      </c>
      <c r="J94" s="42" t="str">
        <f aca="false">'Aug 3'!$S$24</f>
        <v/>
      </c>
      <c r="K94" s="40" t="n">
        <f aca="false">'Aug 3'!$AG$24</f>
        <v>0</v>
      </c>
      <c r="L94" s="40" t="n">
        <f aca="false">'Aug 3'!$N$24</f>
        <v>0</v>
      </c>
    </row>
    <row r="95" customFormat="false" ht="15" hidden="false" customHeight="false" outlineLevel="0" collapsed="false">
      <c r="A95" s="38" t="str">
        <f aca="false">IF(OR(C95="",C95=0),"",IF(AND(OR($B$5="",G95=$B$5,H95=$B$5),OR($D$5="",F95=$D$5),OR($E$5="",K95=$E$5),OR($G$5="",L95=$G$5),OR($H$5="",N(J95)&gt;=$H$5),OR($I$5="",ISNUMBER(SEARCH($I$5,C95&amp;" "&amp;D95&amp;" "&amp;E95&amp;" "&amp;I95)))),"✓",""))</f>
        <v/>
      </c>
      <c r="B95" s="39" t="n">
        <v>46237</v>
      </c>
      <c r="C95" s="40" t="n">
        <f aca="false">'Aug 3'!$D$25</f>
        <v>0</v>
      </c>
      <c r="D95" s="40" t="n">
        <f aca="false">'Aug 3'!$B$25</f>
        <v>0</v>
      </c>
      <c r="E95" s="41" t="n">
        <f aca="false">'Aug 3'!$E$25</f>
        <v>0</v>
      </c>
      <c r="F95" s="40" t="n">
        <f aca="false">'Aug 3'!$A$25</f>
        <v>0</v>
      </c>
      <c r="G95" s="41" t="n">
        <f aca="false">'Aug 3'!$F$25</f>
        <v>0</v>
      </c>
      <c r="H95" s="41" t="n">
        <f aca="false">'Aug 3'!$G$25</f>
        <v>0</v>
      </c>
      <c r="I95" s="41" t="str">
        <f aca="false">'Aug 3'!$M$25</f>
        <v/>
      </c>
      <c r="J95" s="42" t="str">
        <f aca="false">'Aug 3'!$S$25</f>
        <v/>
      </c>
      <c r="K95" s="40" t="n">
        <f aca="false">'Aug 3'!$AG$25</f>
        <v>0</v>
      </c>
      <c r="L95" s="40" t="n">
        <f aca="false">'Aug 3'!$N$25</f>
        <v>0</v>
      </c>
    </row>
    <row r="96" customFormat="false" ht="15" hidden="false" customHeight="false" outlineLevel="0" collapsed="false">
      <c r="A96" s="38" t="str">
        <f aca="false">IF(OR(C96="",C96=0),"",IF(AND(OR($B$5="",G96=$B$5,H96=$B$5),OR($D$5="",F96=$D$5),OR($E$5="",K96=$E$5),OR($G$5="",L96=$G$5),OR($H$5="",N(J96)&gt;=$H$5),OR($I$5="",ISNUMBER(SEARCH($I$5,C96&amp;" "&amp;D96&amp;" "&amp;E96&amp;" "&amp;I96)))),"✓",""))</f>
        <v/>
      </c>
      <c r="B96" s="39" t="n">
        <v>46237</v>
      </c>
      <c r="C96" s="40" t="n">
        <f aca="false">'Aug 3'!$D$26</f>
        <v>0</v>
      </c>
      <c r="D96" s="40" t="n">
        <f aca="false">'Aug 3'!$B$26</f>
        <v>0</v>
      </c>
      <c r="E96" s="41" t="n">
        <f aca="false">'Aug 3'!$E$26</f>
        <v>0</v>
      </c>
      <c r="F96" s="40" t="n">
        <f aca="false">'Aug 3'!$A$26</f>
        <v>0</v>
      </c>
      <c r="G96" s="41" t="n">
        <f aca="false">'Aug 3'!$F$26</f>
        <v>0</v>
      </c>
      <c r="H96" s="41" t="n">
        <f aca="false">'Aug 3'!$G$26</f>
        <v>0</v>
      </c>
      <c r="I96" s="41" t="str">
        <f aca="false">'Aug 3'!$M$26</f>
        <v/>
      </c>
      <c r="J96" s="42" t="str">
        <f aca="false">'Aug 3'!$S$26</f>
        <v/>
      </c>
      <c r="K96" s="40" t="n">
        <f aca="false">'Aug 3'!$AG$26</f>
        <v>0</v>
      </c>
      <c r="L96" s="40" t="n">
        <f aca="false">'Aug 3'!$N$26</f>
        <v>0</v>
      </c>
    </row>
    <row r="97" customFormat="false" ht="15" hidden="false" customHeight="false" outlineLevel="0" collapsed="false">
      <c r="A97" s="38" t="str">
        <f aca="false">IF(OR(C97="",C97=0),"",IF(AND(OR($B$5="",G97=$B$5,H97=$B$5),OR($D$5="",F97=$D$5),OR($E$5="",K97=$E$5),OR($G$5="",L97=$G$5),OR($H$5="",N(J97)&gt;=$H$5),OR($I$5="",ISNUMBER(SEARCH($I$5,C97&amp;" "&amp;D97&amp;" "&amp;E97&amp;" "&amp;I97)))),"✓",""))</f>
        <v/>
      </c>
      <c r="B97" s="39" t="n">
        <v>46237</v>
      </c>
      <c r="C97" s="40" t="n">
        <f aca="false">'Aug 3'!$D$27</f>
        <v>0</v>
      </c>
      <c r="D97" s="40" t="n">
        <f aca="false">'Aug 3'!$B$27</f>
        <v>0</v>
      </c>
      <c r="E97" s="41" t="n">
        <f aca="false">'Aug 3'!$E$27</f>
        <v>0</v>
      </c>
      <c r="F97" s="40" t="n">
        <f aca="false">'Aug 3'!$A$27</f>
        <v>0</v>
      </c>
      <c r="G97" s="41" t="n">
        <f aca="false">'Aug 3'!$F$27</f>
        <v>0</v>
      </c>
      <c r="H97" s="41" t="n">
        <f aca="false">'Aug 3'!$G$27</f>
        <v>0</v>
      </c>
      <c r="I97" s="41" t="str">
        <f aca="false">'Aug 3'!$M$27</f>
        <v/>
      </c>
      <c r="J97" s="42" t="str">
        <f aca="false">'Aug 3'!$S$27</f>
        <v/>
      </c>
      <c r="K97" s="40" t="n">
        <f aca="false">'Aug 3'!$AG$27</f>
        <v>0</v>
      </c>
      <c r="L97" s="40" t="n">
        <f aca="false">'Aug 3'!$N$27</f>
        <v>0</v>
      </c>
    </row>
    <row r="98" customFormat="false" ht="15" hidden="false" customHeight="false" outlineLevel="0" collapsed="false">
      <c r="A98" s="38" t="str">
        <f aca="false">IF(OR(C98="",C98=0),"",IF(AND(OR($B$5="",G98=$B$5,H98=$B$5),OR($D$5="",F98=$D$5),OR($E$5="",K98=$E$5),OR($G$5="",L98=$G$5),OR($H$5="",N(J98)&gt;=$H$5),OR($I$5="",ISNUMBER(SEARCH($I$5,C98&amp;" "&amp;D98&amp;" "&amp;E98&amp;" "&amp;I98)))),"✓",""))</f>
        <v/>
      </c>
      <c r="B98" s="39" t="n">
        <v>46237</v>
      </c>
      <c r="C98" s="40" t="n">
        <f aca="false">'Aug 3'!$D$28</f>
        <v>0</v>
      </c>
      <c r="D98" s="40" t="n">
        <f aca="false">'Aug 3'!$B$28</f>
        <v>0</v>
      </c>
      <c r="E98" s="41" t="n">
        <f aca="false">'Aug 3'!$E$28</f>
        <v>0</v>
      </c>
      <c r="F98" s="40" t="n">
        <f aca="false">'Aug 3'!$A$28</f>
        <v>0</v>
      </c>
      <c r="G98" s="41" t="n">
        <f aca="false">'Aug 3'!$F$28</f>
        <v>0</v>
      </c>
      <c r="H98" s="41" t="n">
        <f aca="false">'Aug 3'!$G$28</f>
        <v>0</v>
      </c>
      <c r="I98" s="41" t="str">
        <f aca="false">'Aug 3'!$M$28</f>
        <v/>
      </c>
      <c r="J98" s="42" t="str">
        <f aca="false">'Aug 3'!$S$28</f>
        <v/>
      </c>
      <c r="K98" s="40" t="n">
        <f aca="false">'Aug 3'!$AG$28</f>
        <v>0</v>
      </c>
      <c r="L98" s="40" t="n">
        <f aca="false">'Aug 3'!$N$28</f>
        <v>0</v>
      </c>
    </row>
    <row r="99" customFormat="false" ht="15" hidden="false" customHeight="false" outlineLevel="0" collapsed="false">
      <c r="A99" s="38" t="str">
        <f aca="false">IF(OR(C99="",C99=0),"",IF(AND(OR($B$5="",G99=$B$5,H99=$B$5),OR($D$5="",F99=$D$5),OR($E$5="",K99=$E$5),OR($G$5="",L99=$G$5),OR($H$5="",N(J99)&gt;=$H$5),OR($I$5="",ISNUMBER(SEARCH($I$5,C99&amp;" "&amp;D99&amp;" "&amp;E99&amp;" "&amp;I99)))),"✓",""))</f>
        <v/>
      </c>
      <c r="B99" s="39" t="n">
        <v>46237</v>
      </c>
      <c r="C99" s="40" t="n">
        <f aca="false">'Aug 3'!$D$29</f>
        <v>0</v>
      </c>
      <c r="D99" s="40" t="n">
        <f aca="false">'Aug 3'!$B$29</f>
        <v>0</v>
      </c>
      <c r="E99" s="41" t="n">
        <f aca="false">'Aug 3'!$E$29</f>
        <v>0</v>
      </c>
      <c r="F99" s="40" t="n">
        <f aca="false">'Aug 3'!$A$29</f>
        <v>0</v>
      </c>
      <c r="G99" s="41" t="n">
        <f aca="false">'Aug 3'!$F$29</f>
        <v>0</v>
      </c>
      <c r="H99" s="41" t="n">
        <f aca="false">'Aug 3'!$G$29</f>
        <v>0</v>
      </c>
      <c r="I99" s="41" t="str">
        <f aca="false">'Aug 3'!$M$29</f>
        <v/>
      </c>
      <c r="J99" s="42" t="str">
        <f aca="false">'Aug 3'!$S$29</f>
        <v/>
      </c>
      <c r="K99" s="40" t="n">
        <f aca="false">'Aug 3'!$AG$29</f>
        <v>0</v>
      </c>
      <c r="L99" s="40" t="n">
        <f aca="false">'Aug 3'!$N$29</f>
        <v>0</v>
      </c>
    </row>
    <row r="100" customFormat="false" ht="15" hidden="false" customHeight="false" outlineLevel="0" collapsed="false">
      <c r="A100" s="38" t="str">
        <f aca="false">IF(OR(C100="",C100=0),"",IF(AND(OR($B$5="",G100=$B$5,H100=$B$5),OR($D$5="",F100=$D$5),OR($E$5="",K100=$E$5),OR($G$5="",L100=$G$5),OR($H$5="",N(J100)&gt;=$H$5),OR($I$5="",ISNUMBER(SEARCH($I$5,C100&amp;" "&amp;D100&amp;" "&amp;E100&amp;" "&amp;I100)))),"✓",""))</f>
        <v/>
      </c>
      <c r="B100" s="39" t="n">
        <v>46237</v>
      </c>
      <c r="C100" s="40" t="n">
        <f aca="false">'Aug 3'!$D$30</f>
        <v>0</v>
      </c>
      <c r="D100" s="40" t="n">
        <f aca="false">'Aug 3'!$B$30</f>
        <v>0</v>
      </c>
      <c r="E100" s="41" t="n">
        <f aca="false">'Aug 3'!$E$30</f>
        <v>0</v>
      </c>
      <c r="F100" s="40" t="n">
        <f aca="false">'Aug 3'!$A$30</f>
        <v>0</v>
      </c>
      <c r="G100" s="41" t="n">
        <f aca="false">'Aug 3'!$F$30</f>
        <v>0</v>
      </c>
      <c r="H100" s="41" t="n">
        <f aca="false">'Aug 3'!$G$30</f>
        <v>0</v>
      </c>
      <c r="I100" s="41" t="str">
        <f aca="false">'Aug 3'!$M$30</f>
        <v/>
      </c>
      <c r="J100" s="42" t="str">
        <f aca="false">'Aug 3'!$S$30</f>
        <v/>
      </c>
      <c r="K100" s="40" t="n">
        <f aca="false">'Aug 3'!$AG$30</f>
        <v>0</v>
      </c>
      <c r="L100" s="40" t="n">
        <f aca="false">'Aug 3'!$N$30</f>
        <v>0</v>
      </c>
    </row>
    <row r="101" customFormat="false" ht="15" hidden="false" customHeight="false" outlineLevel="0" collapsed="false">
      <c r="A101" s="38" t="str">
        <f aca="false">IF(OR(C101="",C101=0),"",IF(AND(OR($B$5="",G101=$B$5,H101=$B$5),OR($D$5="",F101=$D$5),OR($E$5="",K101=$E$5),OR($G$5="",L101=$G$5),OR($H$5="",N(J101)&gt;=$H$5),OR($I$5="",ISNUMBER(SEARCH($I$5,C101&amp;" "&amp;D101&amp;" "&amp;E101&amp;" "&amp;I101)))),"✓",""))</f>
        <v/>
      </c>
      <c r="B101" s="39" t="n">
        <v>46237</v>
      </c>
      <c r="C101" s="40" t="n">
        <f aca="false">'Aug 3'!$D$31</f>
        <v>0</v>
      </c>
      <c r="D101" s="40" t="n">
        <f aca="false">'Aug 3'!$B$31</f>
        <v>0</v>
      </c>
      <c r="E101" s="41" t="n">
        <f aca="false">'Aug 3'!$E$31</f>
        <v>0</v>
      </c>
      <c r="F101" s="40" t="n">
        <f aca="false">'Aug 3'!$A$31</f>
        <v>0</v>
      </c>
      <c r="G101" s="41" t="n">
        <f aca="false">'Aug 3'!$F$31</f>
        <v>0</v>
      </c>
      <c r="H101" s="41" t="n">
        <f aca="false">'Aug 3'!$G$31</f>
        <v>0</v>
      </c>
      <c r="I101" s="41" t="str">
        <f aca="false">'Aug 3'!$M$31</f>
        <v/>
      </c>
      <c r="J101" s="42" t="str">
        <f aca="false">'Aug 3'!$S$31</f>
        <v/>
      </c>
      <c r="K101" s="40" t="n">
        <f aca="false">'Aug 3'!$AG$31</f>
        <v>0</v>
      </c>
      <c r="L101" s="40" t="n">
        <f aca="false">'Aug 3'!$N$31</f>
        <v>0</v>
      </c>
    </row>
    <row r="102" customFormat="false" ht="15" hidden="false" customHeight="false" outlineLevel="0" collapsed="false">
      <c r="A102" s="38" t="str">
        <f aca="false">IF(OR(C102="",C102=0),"",IF(AND(OR($B$5="",G102=$B$5,H102=$B$5),OR($D$5="",F102=$D$5),OR($E$5="",K102=$E$5),OR($G$5="",L102=$G$5),OR($H$5="",N(J102)&gt;=$H$5),OR($I$5="",ISNUMBER(SEARCH($I$5,C102&amp;" "&amp;D102&amp;" "&amp;E102&amp;" "&amp;I102)))),"✓",""))</f>
        <v/>
      </c>
      <c r="B102" s="39" t="n">
        <v>46237</v>
      </c>
      <c r="C102" s="40" t="n">
        <f aca="false">'Aug 3'!$D$32</f>
        <v>0</v>
      </c>
      <c r="D102" s="40" t="n">
        <f aca="false">'Aug 3'!$B$32</f>
        <v>0</v>
      </c>
      <c r="E102" s="41" t="n">
        <f aca="false">'Aug 3'!$E$32</f>
        <v>0</v>
      </c>
      <c r="F102" s="40" t="n">
        <f aca="false">'Aug 3'!$A$32</f>
        <v>0</v>
      </c>
      <c r="G102" s="41" t="n">
        <f aca="false">'Aug 3'!$F$32</f>
        <v>0</v>
      </c>
      <c r="H102" s="41" t="n">
        <f aca="false">'Aug 3'!$G$32</f>
        <v>0</v>
      </c>
      <c r="I102" s="41" t="str">
        <f aca="false">'Aug 3'!$M$32</f>
        <v/>
      </c>
      <c r="J102" s="42" t="str">
        <f aca="false">'Aug 3'!$S$32</f>
        <v/>
      </c>
      <c r="K102" s="40" t="n">
        <f aca="false">'Aug 3'!$AG$32</f>
        <v>0</v>
      </c>
      <c r="L102" s="40" t="n">
        <f aca="false">'Aug 3'!$N$32</f>
        <v>0</v>
      </c>
    </row>
    <row r="103" customFormat="false" ht="15" hidden="false" customHeight="false" outlineLevel="0" collapsed="false">
      <c r="A103" s="38" t="str">
        <f aca="false">IF(OR(C103="",C103=0),"",IF(AND(OR($B$5="",G103=$B$5,H103=$B$5),OR($D$5="",F103=$D$5),OR($E$5="",K103=$E$5),OR($G$5="",L103=$G$5),OR($H$5="",N(J103)&gt;=$H$5),OR($I$5="",ISNUMBER(SEARCH($I$5,C103&amp;" "&amp;D103&amp;" "&amp;E103&amp;" "&amp;I103)))),"✓",""))</f>
        <v/>
      </c>
      <c r="B103" s="39" t="n">
        <v>46237</v>
      </c>
      <c r="C103" s="40" t="n">
        <f aca="false">'Aug 3'!$D$33</f>
        <v>0</v>
      </c>
      <c r="D103" s="40" t="n">
        <f aca="false">'Aug 3'!$B$33</f>
        <v>0</v>
      </c>
      <c r="E103" s="41" t="n">
        <f aca="false">'Aug 3'!$E$33</f>
        <v>0</v>
      </c>
      <c r="F103" s="40" t="n">
        <f aca="false">'Aug 3'!$A$33</f>
        <v>0</v>
      </c>
      <c r="G103" s="41" t="n">
        <f aca="false">'Aug 3'!$F$33</f>
        <v>0</v>
      </c>
      <c r="H103" s="41" t="n">
        <f aca="false">'Aug 3'!$G$33</f>
        <v>0</v>
      </c>
      <c r="I103" s="41" t="str">
        <f aca="false">'Aug 3'!$M$33</f>
        <v/>
      </c>
      <c r="J103" s="42" t="str">
        <f aca="false">'Aug 3'!$S$33</f>
        <v/>
      </c>
      <c r="K103" s="40" t="n">
        <f aca="false">'Aug 3'!$AG$33</f>
        <v>0</v>
      </c>
      <c r="L103" s="40" t="n">
        <f aca="false">'Aug 3'!$N$33</f>
        <v>0</v>
      </c>
    </row>
    <row r="104" customFormat="false" ht="15" hidden="false" customHeight="false" outlineLevel="0" collapsed="false">
      <c r="A104" s="38" t="str">
        <f aca="false">IF(OR(C104="",C104=0),"",IF(AND(OR($B$5="",G104=$B$5,H104=$B$5),OR($D$5="",F104=$D$5),OR($E$5="",K104=$E$5),OR($G$5="",L104=$G$5),OR($H$5="",N(J104)&gt;=$H$5),OR($I$5="",ISNUMBER(SEARCH($I$5,C104&amp;" "&amp;D104&amp;" "&amp;E104&amp;" "&amp;I104)))),"✓",""))</f>
        <v/>
      </c>
      <c r="B104" s="39" t="n">
        <v>46237</v>
      </c>
      <c r="C104" s="40" t="n">
        <f aca="false">'Aug 3'!$D$34</f>
        <v>0</v>
      </c>
      <c r="D104" s="40" t="n">
        <f aca="false">'Aug 3'!$B$34</f>
        <v>0</v>
      </c>
      <c r="E104" s="41" t="n">
        <f aca="false">'Aug 3'!$E$34</f>
        <v>0</v>
      </c>
      <c r="F104" s="40" t="n">
        <f aca="false">'Aug 3'!$A$34</f>
        <v>0</v>
      </c>
      <c r="G104" s="41" t="n">
        <f aca="false">'Aug 3'!$F$34</f>
        <v>0</v>
      </c>
      <c r="H104" s="41" t="n">
        <f aca="false">'Aug 3'!$G$34</f>
        <v>0</v>
      </c>
      <c r="I104" s="41" t="str">
        <f aca="false">'Aug 3'!$M$34</f>
        <v/>
      </c>
      <c r="J104" s="42" t="str">
        <f aca="false">'Aug 3'!$S$34</f>
        <v/>
      </c>
      <c r="K104" s="40" t="n">
        <f aca="false">'Aug 3'!$AG$34</f>
        <v>0</v>
      </c>
      <c r="L104" s="40" t="n">
        <f aca="false">'Aug 3'!$N$34</f>
        <v>0</v>
      </c>
    </row>
    <row r="105" customFormat="false" ht="15" hidden="false" customHeight="false" outlineLevel="0" collapsed="false">
      <c r="A105" s="38" t="str">
        <f aca="false">IF(OR(C105="",C105=0),"",IF(AND(OR($B$5="",G105=$B$5,H105=$B$5),OR($D$5="",F105=$D$5),OR($E$5="",K105=$E$5),OR($G$5="",L105=$G$5),OR($H$5="",N(J105)&gt;=$H$5),OR($I$5="",ISNUMBER(SEARCH($I$5,C105&amp;" "&amp;D105&amp;" "&amp;E105&amp;" "&amp;I105)))),"✓",""))</f>
        <v/>
      </c>
      <c r="B105" s="39" t="n">
        <v>46237</v>
      </c>
      <c r="C105" s="40" t="n">
        <f aca="false">'Aug 3'!$D$35</f>
        <v>0</v>
      </c>
      <c r="D105" s="40" t="n">
        <f aca="false">'Aug 3'!$B$35</f>
        <v>0</v>
      </c>
      <c r="E105" s="41" t="n">
        <f aca="false">'Aug 3'!$E$35</f>
        <v>0</v>
      </c>
      <c r="F105" s="40" t="n">
        <f aca="false">'Aug 3'!$A$35</f>
        <v>0</v>
      </c>
      <c r="G105" s="41" t="n">
        <f aca="false">'Aug 3'!$F$35</f>
        <v>0</v>
      </c>
      <c r="H105" s="41" t="n">
        <f aca="false">'Aug 3'!$G$35</f>
        <v>0</v>
      </c>
      <c r="I105" s="41" t="str">
        <f aca="false">'Aug 3'!$M$35</f>
        <v/>
      </c>
      <c r="J105" s="42" t="str">
        <f aca="false">'Aug 3'!$S$35</f>
        <v/>
      </c>
      <c r="K105" s="40" t="n">
        <f aca="false">'Aug 3'!$AG$35</f>
        <v>0</v>
      </c>
      <c r="L105" s="40" t="n">
        <f aca="false">'Aug 3'!$N$35</f>
        <v>0</v>
      </c>
    </row>
    <row r="106" customFormat="false" ht="15" hidden="false" customHeight="false" outlineLevel="0" collapsed="false">
      <c r="A106" s="38" t="str">
        <f aca="false">IF(OR(C106="",C106=0),"",IF(AND(OR($B$5="",G106=$B$5,H106=$B$5),OR($D$5="",F106=$D$5),OR($E$5="",K106=$E$5),OR($G$5="",L106=$G$5),OR($H$5="",N(J106)&gt;=$H$5),OR($I$5="",ISNUMBER(SEARCH($I$5,C106&amp;" "&amp;D106&amp;" "&amp;E106&amp;" "&amp;I106)))),"✓",""))</f>
        <v/>
      </c>
      <c r="B106" s="39" t="n">
        <v>46237</v>
      </c>
      <c r="C106" s="40" t="n">
        <f aca="false">'Aug 3'!$D$36</f>
        <v>0</v>
      </c>
      <c r="D106" s="40" t="n">
        <f aca="false">'Aug 3'!$B$36</f>
        <v>0</v>
      </c>
      <c r="E106" s="41" t="n">
        <f aca="false">'Aug 3'!$E$36</f>
        <v>0</v>
      </c>
      <c r="F106" s="40" t="n">
        <f aca="false">'Aug 3'!$A$36</f>
        <v>0</v>
      </c>
      <c r="G106" s="41" t="n">
        <f aca="false">'Aug 3'!$F$36</f>
        <v>0</v>
      </c>
      <c r="H106" s="41" t="n">
        <f aca="false">'Aug 3'!$G$36</f>
        <v>0</v>
      </c>
      <c r="I106" s="41" t="str">
        <f aca="false">'Aug 3'!$M$36</f>
        <v/>
      </c>
      <c r="J106" s="42" t="str">
        <f aca="false">'Aug 3'!$S$36</f>
        <v/>
      </c>
      <c r="K106" s="40" t="n">
        <f aca="false">'Aug 3'!$AG$36</f>
        <v>0</v>
      </c>
      <c r="L106" s="40" t="n">
        <f aca="false">'Aug 3'!$N$36</f>
        <v>0</v>
      </c>
    </row>
    <row r="107" customFormat="false" ht="15" hidden="false" customHeight="false" outlineLevel="0" collapsed="false">
      <c r="A107" s="38" t="str">
        <f aca="false">IF(OR(C107="",C107=0),"",IF(AND(OR($B$5="",G107=$B$5,H107=$B$5),OR($D$5="",F107=$D$5),OR($E$5="",K107=$E$5),OR($G$5="",L107=$G$5),OR($H$5="",N(J107)&gt;=$H$5),OR($I$5="",ISNUMBER(SEARCH($I$5,C107&amp;" "&amp;D107&amp;" "&amp;E107&amp;" "&amp;I107)))),"✓",""))</f>
        <v/>
      </c>
      <c r="B107" s="39" t="n">
        <v>46237</v>
      </c>
      <c r="C107" s="40" t="n">
        <f aca="false">'Aug 3'!$D$37</f>
        <v>0</v>
      </c>
      <c r="D107" s="40" t="n">
        <f aca="false">'Aug 3'!$B$37</f>
        <v>0</v>
      </c>
      <c r="E107" s="41" t="n">
        <f aca="false">'Aug 3'!$E$37</f>
        <v>0</v>
      </c>
      <c r="F107" s="40" t="n">
        <f aca="false">'Aug 3'!$A$37</f>
        <v>0</v>
      </c>
      <c r="G107" s="41" t="n">
        <f aca="false">'Aug 3'!$F$37</f>
        <v>0</v>
      </c>
      <c r="H107" s="41" t="n">
        <f aca="false">'Aug 3'!$G$37</f>
        <v>0</v>
      </c>
      <c r="I107" s="41" t="str">
        <f aca="false">'Aug 3'!$M$37</f>
        <v/>
      </c>
      <c r="J107" s="42" t="str">
        <f aca="false">'Aug 3'!$S$37</f>
        <v/>
      </c>
      <c r="K107" s="40" t="n">
        <f aca="false">'Aug 3'!$AG$37</f>
        <v>0</v>
      </c>
      <c r="L107" s="40" t="n">
        <f aca="false">'Aug 3'!$N$37</f>
        <v>0</v>
      </c>
    </row>
    <row r="108" customFormat="false" ht="15" hidden="false" customHeight="false" outlineLevel="0" collapsed="false">
      <c r="A108" s="38" t="str">
        <f aca="false">IF(OR(C108="",C108=0),"",IF(AND(OR($B$5="",G108=$B$5,H108=$B$5),OR($D$5="",F108=$D$5),OR($E$5="",K108=$E$5),OR($G$5="",L108=$G$5),OR($H$5="",N(J108)&gt;=$H$5),OR($I$5="",ISNUMBER(SEARCH($I$5,C108&amp;" "&amp;D108&amp;" "&amp;E108&amp;" "&amp;I108)))),"✓",""))</f>
        <v/>
      </c>
      <c r="B108" s="39" t="n">
        <v>46237</v>
      </c>
      <c r="C108" s="40" t="n">
        <f aca="false">'Aug 3'!$D$38</f>
        <v>0</v>
      </c>
      <c r="D108" s="40" t="n">
        <f aca="false">'Aug 3'!$B$38</f>
        <v>0</v>
      </c>
      <c r="E108" s="41" t="n">
        <f aca="false">'Aug 3'!$E$38</f>
        <v>0</v>
      </c>
      <c r="F108" s="40" t="n">
        <f aca="false">'Aug 3'!$A$38</f>
        <v>0</v>
      </c>
      <c r="G108" s="41" t="n">
        <f aca="false">'Aug 3'!$F$38</f>
        <v>0</v>
      </c>
      <c r="H108" s="41" t="n">
        <f aca="false">'Aug 3'!$G$38</f>
        <v>0</v>
      </c>
      <c r="I108" s="41" t="str">
        <f aca="false">'Aug 3'!$M$38</f>
        <v/>
      </c>
      <c r="J108" s="42" t="str">
        <f aca="false">'Aug 3'!$S$38</f>
        <v/>
      </c>
      <c r="K108" s="40" t="n">
        <f aca="false">'Aug 3'!$AG$38</f>
        <v>0</v>
      </c>
      <c r="L108" s="40" t="n">
        <f aca="false">'Aug 3'!$N$38</f>
        <v>0</v>
      </c>
    </row>
    <row r="109" customFormat="false" ht="15" hidden="false" customHeight="false" outlineLevel="0" collapsed="false">
      <c r="A109" s="38" t="str">
        <f aca="false">IF(OR(C109="",C109=0),"",IF(AND(OR($B$5="",G109=$B$5,H109=$B$5),OR($D$5="",F109=$D$5),OR($E$5="",K109=$E$5),OR($G$5="",L109=$G$5),OR($H$5="",N(J109)&gt;=$H$5),OR($I$5="",ISNUMBER(SEARCH($I$5,C109&amp;" "&amp;D109&amp;" "&amp;E109&amp;" "&amp;I109)))),"✓",""))</f>
        <v/>
      </c>
      <c r="B109" s="39" t="n">
        <v>46237</v>
      </c>
      <c r="C109" s="40" t="n">
        <f aca="false">'Aug 3'!$D$39</f>
        <v>0</v>
      </c>
      <c r="D109" s="40" t="n">
        <f aca="false">'Aug 3'!$B$39</f>
        <v>0</v>
      </c>
      <c r="E109" s="41" t="n">
        <f aca="false">'Aug 3'!$E$39</f>
        <v>0</v>
      </c>
      <c r="F109" s="40" t="n">
        <f aca="false">'Aug 3'!$A$39</f>
        <v>0</v>
      </c>
      <c r="G109" s="41" t="n">
        <f aca="false">'Aug 3'!$F$39</f>
        <v>0</v>
      </c>
      <c r="H109" s="41" t="n">
        <f aca="false">'Aug 3'!$G$39</f>
        <v>0</v>
      </c>
      <c r="I109" s="41" t="str">
        <f aca="false">'Aug 3'!$M$39</f>
        <v/>
      </c>
      <c r="J109" s="42" t="str">
        <f aca="false">'Aug 3'!$S$39</f>
        <v/>
      </c>
      <c r="K109" s="40" t="n">
        <f aca="false">'Aug 3'!$AG$39</f>
        <v>0</v>
      </c>
      <c r="L109" s="40" t="n">
        <f aca="false">'Aug 3'!$N$39</f>
        <v>0</v>
      </c>
    </row>
    <row r="110" customFormat="false" ht="15" hidden="false" customHeight="false" outlineLevel="0" collapsed="false">
      <c r="A110" s="38" t="str">
        <f aca="false">IF(OR(C110="",C110=0),"",IF(AND(OR($B$5="",G110=$B$5,H110=$B$5),OR($D$5="",F110=$D$5),OR($E$5="",K110=$E$5),OR($G$5="",L110=$G$5),OR($H$5="",N(J110)&gt;=$H$5),OR($I$5="",ISNUMBER(SEARCH($I$5,C110&amp;" "&amp;D110&amp;" "&amp;E110&amp;" "&amp;I110)))),"✓",""))</f>
        <v/>
      </c>
      <c r="B110" s="39" t="n">
        <v>46237</v>
      </c>
      <c r="C110" s="40" t="n">
        <f aca="false">'Aug 3'!$D$40</f>
        <v>0</v>
      </c>
      <c r="D110" s="40" t="n">
        <f aca="false">'Aug 3'!$B$40</f>
        <v>0</v>
      </c>
      <c r="E110" s="41" t="n">
        <f aca="false">'Aug 3'!$E$40</f>
        <v>0</v>
      </c>
      <c r="F110" s="40" t="n">
        <f aca="false">'Aug 3'!$A$40</f>
        <v>0</v>
      </c>
      <c r="G110" s="41" t="n">
        <f aca="false">'Aug 3'!$F$40</f>
        <v>0</v>
      </c>
      <c r="H110" s="41" t="n">
        <f aca="false">'Aug 3'!$G$40</f>
        <v>0</v>
      </c>
      <c r="I110" s="41" t="str">
        <f aca="false">'Aug 3'!$M$40</f>
        <v/>
      </c>
      <c r="J110" s="42" t="str">
        <f aca="false">'Aug 3'!$S$40</f>
        <v/>
      </c>
      <c r="K110" s="40" t="n">
        <f aca="false">'Aug 3'!$AG$40</f>
        <v>0</v>
      </c>
      <c r="L110" s="40" t="n">
        <f aca="false">'Aug 3'!$N$40</f>
        <v>0</v>
      </c>
    </row>
    <row r="111" customFormat="false" ht="15" hidden="false" customHeight="false" outlineLevel="0" collapsed="false">
      <c r="A111" s="38" t="str">
        <f aca="false">IF(OR(C111="",C111=0),"",IF(AND(OR($B$5="",G111=$B$5,H111=$B$5),OR($D$5="",F111=$D$5),OR($E$5="",K111=$E$5),OR($G$5="",L111=$G$5),OR($H$5="",N(J111)&gt;=$H$5),OR($I$5="",ISNUMBER(SEARCH($I$5,C111&amp;" "&amp;D111&amp;" "&amp;E111&amp;" "&amp;I111)))),"✓",""))</f>
        <v/>
      </c>
      <c r="B111" s="39" t="n">
        <v>46237</v>
      </c>
      <c r="C111" s="40" t="n">
        <f aca="false">'Aug 3'!$D$41</f>
        <v>0</v>
      </c>
      <c r="D111" s="40" t="n">
        <f aca="false">'Aug 3'!$B$41</f>
        <v>0</v>
      </c>
      <c r="E111" s="41" t="n">
        <f aca="false">'Aug 3'!$E$41</f>
        <v>0</v>
      </c>
      <c r="F111" s="40" t="n">
        <f aca="false">'Aug 3'!$A$41</f>
        <v>0</v>
      </c>
      <c r="G111" s="41" t="n">
        <f aca="false">'Aug 3'!$F$41</f>
        <v>0</v>
      </c>
      <c r="H111" s="41" t="n">
        <f aca="false">'Aug 3'!$G$41</f>
        <v>0</v>
      </c>
      <c r="I111" s="41" t="str">
        <f aca="false">'Aug 3'!$M$41</f>
        <v/>
      </c>
      <c r="J111" s="42" t="str">
        <f aca="false">'Aug 3'!$S$41</f>
        <v/>
      </c>
      <c r="K111" s="40" t="n">
        <f aca="false">'Aug 3'!$AG$41</f>
        <v>0</v>
      </c>
      <c r="L111" s="40" t="n">
        <f aca="false">'Aug 3'!$N$41</f>
        <v>0</v>
      </c>
    </row>
    <row r="112" customFormat="false" ht="15" hidden="false" customHeight="false" outlineLevel="0" collapsed="false">
      <c r="A112" s="38" t="str">
        <f aca="false">IF(OR(C112="",C112=0),"",IF(AND(OR($B$5="",G112=$B$5,H112=$B$5),OR($D$5="",F112=$D$5),OR($E$5="",K112=$E$5),OR($G$5="",L112=$G$5),OR($H$5="",N(J112)&gt;=$H$5),OR($I$5="",ISNUMBER(SEARCH($I$5,C112&amp;" "&amp;D112&amp;" "&amp;E112&amp;" "&amp;I112)))),"✓",""))</f>
        <v/>
      </c>
      <c r="B112" s="39" t="n">
        <v>46237</v>
      </c>
      <c r="C112" s="40" t="n">
        <f aca="false">'Aug 3'!$D$42</f>
        <v>0</v>
      </c>
      <c r="D112" s="40" t="n">
        <f aca="false">'Aug 3'!$B$42</f>
        <v>0</v>
      </c>
      <c r="E112" s="41" t="n">
        <f aca="false">'Aug 3'!$E$42</f>
        <v>0</v>
      </c>
      <c r="F112" s="40" t="n">
        <f aca="false">'Aug 3'!$A$42</f>
        <v>0</v>
      </c>
      <c r="G112" s="41" t="n">
        <f aca="false">'Aug 3'!$F$42</f>
        <v>0</v>
      </c>
      <c r="H112" s="41" t="n">
        <f aca="false">'Aug 3'!$G$42</f>
        <v>0</v>
      </c>
      <c r="I112" s="41" t="str">
        <f aca="false">'Aug 3'!$M$42</f>
        <v/>
      </c>
      <c r="J112" s="42" t="str">
        <f aca="false">'Aug 3'!$S$42</f>
        <v/>
      </c>
      <c r="K112" s="40" t="n">
        <f aca="false">'Aug 3'!$AG$42</f>
        <v>0</v>
      </c>
      <c r="L112" s="40" t="n">
        <f aca="false">'Aug 3'!$N$42</f>
        <v>0</v>
      </c>
    </row>
    <row r="113" customFormat="false" ht="15" hidden="false" customHeight="false" outlineLevel="0" collapsed="false">
      <c r="A113" s="38" t="str">
        <f aca="false">IF(OR(C113="",C113=0),"",IF(AND(OR($B$5="",G113=$B$5,H113=$B$5),OR($D$5="",F113=$D$5),OR($E$5="",K113=$E$5),OR($G$5="",L113=$G$5),OR($H$5="",N(J113)&gt;=$H$5),OR($I$5="",ISNUMBER(SEARCH($I$5,C113&amp;" "&amp;D113&amp;" "&amp;E113&amp;" "&amp;I113)))),"✓",""))</f>
        <v/>
      </c>
      <c r="B113" s="39" t="n">
        <v>46238</v>
      </c>
      <c r="C113" s="40" t="n">
        <f aca="false">'Aug 4'!$D$8</f>
        <v>0</v>
      </c>
      <c r="D113" s="40" t="n">
        <f aca="false">'Aug 4'!$B$8</f>
        <v>0</v>
      </c>
      <c r="E113" s="41" t="n">
        <f aca="false">'Aug 4'!$E$8</f>
        <v>0</v>
      </c>
      <c r="F113" s="40" t="n">
        <f aca="false">'Aug 4'!$A$8</f>
        <v>0</v>
      </c>
      <c r="G113" s="41" t="n">
        <f aca="false">'Aug 4'!$F$8</f>
        <v>0</v>
      </c>
      <c r="H113" s="41" t="n">
        <f aca="false">'Aug 4'!$G$8</f>
        <v>0</v>
      </c>
      <c r="I113" s="41" t="str">
        <f aca="false">'Aug 4'!$M$8</f>
        <v/>
      </c>
      <c r="J113" s="42" t="str">
        <f aca="false">'Aug 4'!$S$8</f>
        <v/>
      </c>
      <c r="K113" s="40" t="n">
        <f aca="false">'Aug 4'!$AG$8</f>
        <v>0</v>
      </c>
      <c r="L113" s="40" t="n">
        <f aca="false">'Aug 4'!$N$8</f>
        <v>0</v>
      </c>
    </row>
    <row r="114" customFormat="false" ht="15" hidden="false" customHeight="false" outlineLevel="0" collapsed="false">
      <c r="A114" s="38" t="str">
        <f aca="false">IF(OR(C114="",C114=0),"",IF(AND(OR($B$5="",G114=$B$5,H114=$B$5),OR($D$5="",F114=$D$5),OR($E$5="",K114=$E$5),OR($G$5="",L114=$G$5),OR($H$5="",N(J114)&gt;=$H$5),OR($I$5="",ISNUMBER(SEARCH($I$5,C114&amp;" "&amp;D114&amp;" "&amp;E114&amp;" "&amp;I114)))),"✓",""))</f>
        <v/>
      </c>
      <c r="B114" s="39" t="n">
        <v>46238</v>
      </c>
      <c r="C114" s="40" t="n">
        <f aca="false">'Aug 4'!$D$9</f>
        <v>0</v>
      </c>
      <c r="D114" s="40" t="n">
        <f aca="false">'Aug 4'!$B$9</f>
        <v>0</v>
      </c>
      <c r="E114" s="41" t="n">
        <f aca="false">'Aug 4'!$E$9</f>
        <v>0</v>
      </c>
      <c r="F114" s="40" t="n">
        <f aca="false">'Aug 4'!$A$9</f>
        <v>0</v>
      </c>
      <c r="G114" s="41" t="n">
        <f aca="false">'Aug 4'!$F$9</f>
        <v>0</v>
      </c>
      <c r="H114" s="41" t="n">
        <f aca="false">'Aug 4'!$G$9</f>
        <v>0</v>
      </c>
      <c r="I114" s="41" t="str">
        <f aca="false">'Aug 4'!$M$9</f>
        <v/>
      </c>
      <c r="J114" s="42" t="str">
        <f aca="false">'Aug 4'!$S$9</f>
        <v/>
      </c>
      <c r="K114" s="40" t="n">
        <f aca="false">'Aug 4'!$AG$9</f>
        <v>0</v>
      </c>
      <c r="L114" s="40" t="n">
        <f aca="false">'Aug 4'!$N$9</f>
        <v>0</v>
      </c>
    </row>
    <row r="115" customFormat="false" ht="15" hidden="false" customHeight="false" outlineLevel="0" collapsed="false">
      <c r="A115" s="38" t="str">
        <f aca="false">IF(OR(C115="",C115=0),"",IF(AND(OR($B$5="",G115=$B$5,H115=$B$5),OR($D$5="",F115=$D$5),OR($E$5="",K115=$E$5),OR($G$5="",L115=$G$5),OR($H$5="",N(J115)&gt;=$H$5),OR($I$5="",ISNUMBER(SEARCH($I$5,C115&amp;" "&amp;D115&amp;" "&amp;E115&amp;" "&amp;I115)))),"✓",""))</f>
        <v/>
      </c>
      <c r="B115" s="39" t="n">
        <v>46238</v>
      </c>
      <c r="C115" s="40" t="n">
        <f aca="false">'Aug 4'!$D$10</f>
        <v>0</v>
      </c>
      <c r="D115" s="40" t="n">
        <f aca="false">'Aug 4'!$B$10</f>
        <v>0</v>
      </c>
      <c r="E115" s="41" t="n">
        <f aca="false">'Aug 4'!$E$10</f>
        <v>0</v>
      </c>
      <c r="F115" s="40" t="n">
        <f aca="false">'Aug 4'!$A$10</f>
        <v>0</v>
      </c>
      <c r="G115" s="41" t="n">
        <f aca="false">'Aug 4'!$F$10</f>
        <v>0</v>
      </c>
      <c r="H115" s="41" t="n">
        <f aca="false">'Aug 4'!$G$10</f>
        <v>0</v>
      </c>
      <c r="I115" s="41" t="str">
        <f aca="false">'Aug 4'!$M$10</f>
        <v/>
      </c>
      <c r="J115" s="42" t="str">
        <f aca="false">'Aug 4'!$S$10</f>
        <v/>
      </c>
      <c r="K115" s="40" t="n">
        <f aca="false">'Aug 4'!$AG$10</f>
        <v>0</v>
      </c>
      <c r="L115" s="40" t="n">
        <f aca="false">'Aug 4'!$N$10</f>
        <v>0</v>
      </c>
    </row>
    <row r="116" customFormat="false" ht="15" hidden="false" customHeight="false" outlineLevel="0" collapsed="false">
      <c r="A116" s="38" t="str">
        <f aca="false">IF(OR(C116="",C116=0),"",IF(AND(OR($B$5="",G116=$B$5,H116=$B$5),OR($D$5="",F116=$D$5),OR($E$5="",K116=$E$5),OR($G$5="",L116=$G$5),OR($H$5="",N(J116)&gt;=$H$5),OR($I$5="",ISNUMBER(SEARCH($I$5,C116&amp;" "&amp;D116&amp;" "&amp;E116&amp;" "&amp;I116)))),"✓",""))</f>
        <v/>
      </c>
      <c r="B116" s="39" t="n">
        <v>46238</v>
      </c>
      <c r="C116" s="40" t="n">
        <f aca="false">'Aug 4'!$D$11</f>
        <v>0</v>
      </c>
      <c r="D116" s="40" t="n">
        <f aca="false">'Aug 4'!$B$11</f>
        <v>0</v>
      </c>
      <c r="E116" s="41" t="n">
        <f aca="false">'Aug 4'!$E$11</f>
        <v>0</v>
      </c>
      <c r="F116" s="40" t="n">
        <f aca="false">'Aug 4'!$A$11</f>
        <v>0</v>
      </c>
      <c r="G116" s="41" t="n">
        <f aca="false">'Aug 4'!$F$11</f>
        <v>0</v>
      </c>
      <c r="H116" s="41" t="n">
        <f aca="false">'Aug 4'!$G$11</f>
        <v>0</v>
      </c>
      <c r="I116" s="41" t="str">
        <f aca="false">'Aug 4'!$M$11</f>
        <v/>
      </c>
      <c r="J116" s="42" t="str">
        <f aca="false">'Aug 4'!$S$11</f>
        <v/>
      </c>
      <c r="K116" s="40" t="n">
        <f aca="false">'Aug 4'!$AG$11</f>
        <v>0</v>
      </c>
      <c r="L116" s="40" t="n">
        <f aca="false">'Aug 4'!$N$11</f>
        <v>0</v>
      </c>
    </row>
    <row r="117" customFormat="false" ht="15" hidden="false" customHeight="false" outlineLevel="0" collapsed="false">
      <c r="A117" s="38" t="str">
        <f aca="false">IF(OR(C117="",C117=0),"",IF(AND(OR($B$5="",G117=$B$5,H117=$B$5),OR($D$5="",F117=$D$5),OR($E$5="",K117=$E$5),OR($G$5="",L117=$G$5),OR($H$5="",N(J117)&gt;=$H$5),OR($I$5="",ISNUMBER(SEARCH($I$5,C117&amp;" "&amp;D117&amp;" "&amp;E117&amp;" "&amp;I117)))),"✓",""))</f>
        <v/>
      </c>
      <c r="B117" s="39" t="n">
        <v>46238</v>
      </c>
      <c r="C117" s="40" t="n">
        <f aca="false">'Aug 4'!$D$12</f>
        <v>0</v>
      </c>
      <c r="D117" s="40" t="n">
        <f aca="false">'Aug 4'!$B$12</f>
        <v>0</v>
      </c>
      <c r="E117" s="41" t="n">
        <f aca="false">'Aug 4'!$E$12</f>
        <v>0</v>
      </c>
      <c r="F117" s="40" t="n">
        <f aca="false">'Aug 4'!$A$12</f>
        <v>0</v>
      </c>
      <c r="G117" s="41" t="n">
        <f aca="false">'Aug 4'!$F$12</f>
        <v>0</v>
      </c>
      <c r="H117" s="41" t="n">
        <f aca="false">'Aug 4'!$G$12</f>
        <v>0</v>
      </c>
      <c r="I117" s="41" t="str">
        <f aca="false">'Aug 4'!$M$12</f>
        <v/>
      </c>
      <c r="J117" s="42" t="str">
        <f aca="false">'Aug 4'!$S$12</f>
        <v/>
      </c>
      <c r="K117" s="40" t="n">
        <f aca="false">'Aug 4'!$AG$12</f>
        <v>0</v>
      </c>
      <c r="L117" s="40" t="n">
        <f aca="false">'Aug 4'!$N$12</f>
        <v>0</v>
      </c>
    </row>
    <row r="118" customFormat="false" ht="15" hidden="false" customHeight="false" outlineLevel="0" collapsed="false">
      <c r="A118" s="38" t="str">
        <f aca="false">IF(OR(C118="",C118=0),"",IF(AND(OR($B$5="",G118=$B$5,H118=$B$5),OR($D$5="",F118=$D$5),OR($E$5="",K118=$E$5),OR($G$5="",L118=$G$5),OR($H$5="",N(J118)&gt;=$H$5),OR($I$5="",ISNUMBER(SEARCH($I$5,C118&amp;" "&amp;D118&amp;" "&amp;E118&amp;" "&amp;I118)))),"✓",""))</f>
        <v/>
      </c>
      <c r="B118" s="39" t="n">
        <v>46238</v>
      </c>
      <c r="C118" s="40" t="n">
        <f aca="false">'Aug 4'!$D$13</f>
        <v>0</v>
      </c>
      <c r="D118" s="40" t="n">
        <f aca="false">'Aug 4'!$B$13</f>
        <v>0</v>
      </c>
      <c r="E118" s="41" t="n">
        <f aca="false">'Aug 4'!$E$13</f>
        <v>0</v>
      </c>
      <c r="F118" s="40" t="n">
        <f aca="false">'Aug 4'!$A$13</f>
        <v>0</v>
      </c>
      <c r="G118" s="41" t="n">
        <f aca="false">'Aug 4'!$F$13</f>
        <v>0</v>
      </c>
      <c r="H118" s="41" t="n">
        <f aca="false">'Aug 4'!$G$13</f>
        <v>0</v>
      </c>
      <c r="I118" s="41" t="str">
        <f aca="false">'Aug 4'!$M$13</f>
        <v/>
      </c>
      <c r="J118" s="42" t="str">
        <f aca="false">'Aug 4'!$S$13</f>
        <v/>
      </c>
      <c r="K118" s="40" t="n">
        <f aca="false">'Aug 4'!$AG$13</f>
        <v>0</v>
      </c>
      <c r="L118" s="40" t="n">
        <f aca="false">'Aug 4'!$N$13</f>
        <v>0</v>
      </c>
    </row>
    <row r="119" customFormat="false" ht="15" hidden="false" customHeight="false" outlineLevel="0" collapsed="false">
      <c r="A119" s="38" t="str">
        <f aca="false">IF(OR(C119="",C119=0),"",IF(AND(OR($B$5="",G119=$B$5,H119=$B$5),OR($D$5="",F119=$D$5),OR($E$5="",K119=$E$5),OR($G$5="",L119=$G$5),OR($H$5="",N(J119)&gt;=$H$5),OR($I$5="",ISNUMBER(SEARCH($I$5,C119&amp;" "&amp;D119&amp;" "&amp;E119&amp;" "&amp;I119)))),"✓",""))</f>
        <v/>
      </c>
      <c r="B119" s="39" t="n">
        <v>46238</v>
      </c>
      <c r="C119" s="40" t="n">
        <f aca="false">'Aug 4'!$D$14</f>
        <v>0</v>
      </c>
      <c r="D119" s="40" t="n">
        <f aca="false">'Aug 4'!$B$14</f>
        <v>0</v>
      </c>
      <c r="E119" s="41" t="n">
        <f aca="false">'Aug 4'!$E$14</f>
        <v>0</v>
      </c>
      <c r="F119" s="40" t="n">
        <f aca="false">'Aug 4'!$A$14</f>
        <v>0</v>
      </c>
      <c r="G119" s="41" t="n">
        <f aca="false">'Aug 4'!$F$14</f>
        <v>0</v>
      </c>
      <c r="H119" s="41" t="n">
        <f aca="false">'Aug 4'!$G$14</f>
        <v>0</v>
      </c>
      <c r="I119" s="41" t="str">
        <f aca="false">'Aug 4'!$M$14</f>
        <v/>
      </c>
      <c r="J119" s="42" t="str">
        <f aca="false">'Aug 4'!$S$14</f>
        <v/>
      </c>
      <c r="K119" s="40" t="n">
        <f aca="false">'Aug 4'!$AG$14</f>
        <v>0</v>
      </c>
      <c r="L119" s="40" t="n">
        <f aca="false">'Aug 4'!$N$14</f>
        <v>0</v>
      </c>
    </row>
    <row r="120" customFormat="false" ht="15" hidden="false" customHeight="false" outlineLevel="0" collapsed="false">
      <c r="A120" s="38" t="str">
        <f aca="false">IF(OR(C120="",C120=0),"",IF(AND(OR($B$5="",G120=$B$5,H120=$B$5),OR($D$5="",F120=$D$5),OR($E$5="",K120=$E$5),OR($G$5="",L120=$G$5),OR($H$5="",N(J120)&gt;=$H$5),OR($I$5="",ISNUMBER(SEARCH($I$5,C120&amp;" "&amp;D120&amp;" "&amp;E120&amp;" "&amp;I120)))),"✓",""))</f>
        <v/>
      </c>
      <c r="B120" s="39" t="n">
        <v>46238</v>
      </c>
      <c r="C120" s="40" t="n">
        <f aca="false">'Aug 4'!$D$15</f>
        <v>0</v>
      </c>
      <c r="D120" s="40" t="n">
        <f aca="false">'Aug 4'!$B$15</f>
        <v>0</v>
      </c>
      <c r="E120" s="41" t="n">
        <f aca="false">'Aug 4'!$E$15</f>
        <v>0</v>
      </c>
      <c r="F120" s="40" t="n">
        <f aca="false">'Aug 4'!$A$15</f>
        <v>0</v>
      </c>
      <c r="G120" s="41" t="n">
        <f aca="false">'Aug 4'!$F$15</f>
        <v>0</v>
      </c>
      <c r="H120" s="41" t="n">
        <f aca="false">'Aug 4'!$G$15</f>
        <v>0</v>
      </c>
      <c r="I120" s="41" t="str">
        <f aca="false">'Aug 4'!$M$15</f>
        <v/>
      </c>
      <c r="J120" s="42" t="str">
        <f aca="false">'Aug 4'!$S$15</f>
        <v/>
      </c>
      <c r="K120" s="40" t="n">
        <f aca="false">'Aug 4'!$AG$15</f>
        <v>0</v>
      </c>
      <c r="L120" s="40" t="n">
        <f aca="false">'Aug 4'!$N$15</f>
        <v>0</v>
      </c>
    </row>
    <row r="121" customFormat="false" ht="15" hidden="false" customHeight="false" outlineLevel="0" collapsed="false">
      <c r="A121" s="38" t="str">
        <f aca="false">IF(OR(C121="",C121=0),"",IF(AND(OR($B$5="",G121=$B$5,H121=$B$5),OR($D$5="",F121=$D$5),OR($E$5="",K121=$E$5),OR($G$5="",L121=$G$5),OR($H$5="",N(J121)&gt;=$H$5),OR($I$5="",ISNUMBER(SEARCH($I$5,C121&amp;" "&amp;D121&amp;" "&amp;E121&amp;" "&amp;I121)))),"✓",""))</f>
        <v/>
      </c>
      <c r="B121" s="39" t="n">
        <v>46238</v>
      </c>
      <c r="C121" s="40" t="n">
        <f aca="false">'Aug 4'!$D$16</f>
        <v>0</v>
      </c>
      <c r="D121" s="40" t="n">
        <f aca="false">'Aug 4'!$B$16</f>
        <v>0</v>
      </c>
      <c r="E121" s="41" t="n">
        <f aca="false">'Aug 4'!$E$16</f>
        <v>0</v>
      </c>
      <c r="F121" s="40" t="n">
        <f aca="false">'Aug 4'!$A$16</f>
        <v>0</v>
      </c>
      <c r="G121" s="41" t="n">
        <f aca="false">'Aug 4'!$F$16</f>
        <v>0</v>
      </c>
      <c r="H121" s="41" t="n">
        <f aca="false">'Aug 4'!$G$16</f>
        <v>0</v>
      </c>
      <c r="I121" s="41" t="str">
        <f aca="false">'Aug 4'!$M$16</f>
        <v/>
      </c>
      <c r="J121" s="42" t="str">
        <f aca="false">'Aug 4'!$S$16</f>
        <v/>
      </c>
      <c r="K121" s="40" t="n">
        <f aca="false">'Aug 4'!$AG$16</f>
        <v>0</v>
      </c>
      <c r="L121" s="40" t="n">
        <f aca="false">'Aug 4'!$N$16</f>
        <v>0</v>
      </c>
    </row>
    <row r="122" customFormat="false" ht="15" hidden="false" customHeight="false" outlineLevel="0" collapsed="false">
      <c r="A122" s="38" t="str">
        <f aca="false">IF(OR(C122="",C122=0),"",IF(AND(OR($B$5="",G122=$B$5,H122=$B$5),OR($D$5="",F122=$D$5),OR($E$5="",K122=$E$5),OR($G$5="",L122=$G$5),OR($H$5="",N(J122)&gt;=$H$5),OR($I$5="",ISNUMBER(SEARCH($I$5,C122&amp;" "&amp;D122&amp;" "&amp;E122&amp;" "&amp;I122)))),"✓",""))</f>
        <v/>
      </c>
      <c r="B122" s="39" t="n">
        <v>46238</v>
      </c>
      <c r="C122" s="40" t="n">
        <f aca="false">'Aug 4'!$D$17</f>
        <v>0</v>
      </c>
      <c r="D122" s="40" t="n">
        <f aca="false">'Aug 4'!$B$17</f>
        <v>0</v>
      </c>
      <c r="E122" s="41" t="n">
        <f aca="false">'Aug 4'!$E$17</f>
        <v>0</v>
      </c>
      <c r="F122" s="40" t="n">
        <f aca="false">'Aug 4'!$A$17</f>
        <v>0</v>
      </c>
      <c r="G122" s="41" t="n">
        <f aca="false">'Aug 4'!$F$17</f>
        <v>0</v>
      </c>
      <c r="H122" s="41" t="n">
        <f aca="false">'Aug 4'!$G$17</f>
        <v>0</v>
      </c>
      <c r="I122" s="41" t="str">
        <f aca="false">'Aug 4'!$M$17</f>
        <v/>
      </c>
      <c r="J122" s="42" t="str">
        <f aca="false">'Aug 4'!$S$17</f>
        <v/>
      </c>
      <c r="K122" s="40" t="n">
        <f aca="false">'Aug 4'!$AG$17</f>
        <v>0</v>
      </c>
      <c r="L122" s="40" t="n">
        <f aca="false">'Aug 4'!$N$17</f>
        <v>0</v>
      </c>
    </row>
    <row r="123" customFormat="false" ht="15" hidden="false" customHeight="false" outlineLevel="0" collapsed="false">
      <c r="A123" s="38" t="str">
        <f aca="false">IF(OR(C123="",C123=0),"",IF(AND(OR($B$5="",G123=$B$5,H123=$B$5),OR($D$5="",F123=$D$5),OR($E$5="",K123=$E$5),OR($G$5="",L123=$G$5),OR($H$5="",N(J123)&gt;=$H$5),OR($I$5="",ISNUMBER(SEARCH($I$5,C123&amp;" "&amp;D123&amp;" "&amp;E123&amp;" "&amp;I123)))),"✓",""))</f>
        <v/>
      </c>
      <c r="B123" s="39" t="n">
        <v>46238</v>
      </c>
      <c r="C123" s="40" t="n">
        <f aca="false">'Aug 4'!$D$18</f>
        <v>0</v>
      </c>
      <c r="D123" s="40" t="n">
        <f aca="false">'Aug 4'!$B$18</f>
        <v>0</v>
      </c>
      <c r="E123" s="41" t="n">
        <f aca="false">'Aug 4'!$E$18</f>
        <v>0</v>
      </c>
      <c r="F123" s="40" t="n">
        <f aca="false">'Aug 4'!$A$18</f>
        <v>0</v>
      </c>
      <c r="G123" s="41" t="n">
        <f aca="false">'Aug 4'!$F$18</f>
        <v>0</v>
      </c>
      <c r="H123" s="41" t="n">
        <f aca="false">'Aug 4'!$G$18</f>
        <v>0</v>
      </c>
      <c r="I123" s="41" t="str">
        <f aca="false">'Aug 4'!$M$18</f>
        <v/>
      </c>
      <c r="J123" s="42" t="str">
        <f aca="false">'Aug 4'!$S$18</f>
        <v/>
      </c>
      <c r="K123" s="40" t="n">
        <f aca="false">'Aug 4'!$AG$18</f>
        <v>0</v>
      </c>
      <c r="L123" s="40" t="n">
        <f aca="false">'Aug 4'!$N$18</f>
        <v>0</v>
      </c>
    </row>
    <row r="124" customFormat="false" ht="15" hidden="false" customHeight="false" outlineLevel="0" collapsed="false">
      <c r="A124" s="38" t="str">
        <f aca="false">IF(OR(C124="",C124=0),"",IF(AND(OR($B$5="",G124=$B$5,H124=$B$5),OR($D$5="",F124=$D$5),OR($E$5="",K124=$E$5),OR($G$5="",L124=$G$5),OR($H$5="",N(J124)&gt;=$H$5),OR($I$5="",ISNUMBER(SEARCH($I$5,C124&amp;" "&amp;D124&amp;" "&amp;E124&amp;" "&amp;I124)))),"✓",""))</f>
        <v/>
      </c>
      <c r="B124" s="39" t="n">
        <v>46238</v>
      </c>
      <c r="C124" s="40" t="n">
        <f aca="false">'Aug 4'!$D$19</f>
        <v>0</v>
      </c>
      <c r="D124" s="40" t="n">
        <f aca="false">'Aug 4'!$B$19</f>
        <v>0</v>
      </c>
      <c r="E124" s="41" t="n">
        <f aca="false">'Aug 4'!$E$19</f>
        <v>0</v>
      </c>
      <c r="F124" s="40" t="n">
        <f aca="false">'Aug 4'!$A$19</f>
        <v>0</v>
      </c>
      <c r="G124" s="41" t="n">
        <f aca="false">'Aug 4'!$F$19</f>
        <v>0</v>
      </c>
      <c r="H124" s="41" t="n">
        <f aca="false">'Aug 4'!$G$19</f>
        <v>0</v>
      </c>
      <c r="I124" s="41" t="str">
        <f aca="false">'Aug 4'!$M$19</f>
        <v/>
      </c>
      <c r="J124" s="42" t="str">
        <f aca="false">'Aug 4'!$S$19</f>
        <v/>
      </c>
      <c r="K124" s="40" t="n">
        <f aca="false">'Aug 4'!$AG$19</f>
        <v>0</v>
      </c>
      <c r="L124" s="40" t="n">
        <f aca="false">'Aug 4'!$N$19</f>
        <v>0</v>
      </c>
    </row>
    <row r="125" customFormat="false" ht="15" hidden="false" customHeight="false" outlineLevel="0" collapsed="false">
      <c r="A125" s="38" t="str">
        <f aca="false">IF(OR(C125="",C125=0),"",IF(AND(OR($B$5="",G125=$B$5,H125=$B$5),OR($D$5="",F125=$D$5),OR($E$5="",K125=$E$5),OR($G$5="",L125=$G$5),OR($H$5="",N(J125)&gt;=$H$5),OR($I$5="",ISNUMBER(SEARCH($I$5,C125&amp;" "&amp;D125&amp;" "&amp;E125&amp;" "&amp;I125)))),"✓",""))</f>
        <v/>
      </c>
      <c r="B125" s="39" t="n">
        <v>46238</v>
      </c>
      <c r="C125" s="40" t="n">
        <f aca="false">'Aug 4'!$D$20</f>
        <v>0</v>
      </c>
      <c r="D125" s="40" t="n">
        <f aca="false">'Aug 4'!$B$20</f>
        <v>0</v>
      </c>
      <c r="E125" s="41" t="n">
        <f aca="false">'Aug 4'!$E$20</f>
        <v>0</v>
      </c>
      <c r="F125" s="40" t="n">
        <f aca="false">'Aug 4'!$A$20</f>
        <v>0</v>
      </c>
      <c r="G125" s="41" t="n">
        <f aca="false">'Aug 4'!$F$20</f>
        <v>0</v>
      </c>
      <c r="H125" s="41" t="n">
        <f aca="false">'Aug 4'!$G$20</f>
        <v>0</v>
      </c>
      <c r="I125" s="41" t="str">
        <f aca="false">'Aug 4'!$M$20</f>
        <v/>
      </c>
      <c r="J125" s="42" t="str">
        <f aca="false">'Aug 4'!$S$20</f>
        <v/>
      </c>
      <c r="K125" s="40" t="n">
        <f aca="false">'Aug 4'!$AG$20</f>
        <v>0</v>
      </c>
      <c r="L125" s="40" t="n">
        <f aca="false">'Aug 4'!$N$20</f>
        <v>0</v>
      </c>
    </row>
    <row r="126" customFormat="false" ht="15" hidden="false" customHeight="false" outlineLevel="0" collapsed="false">
      <c r="A126" s="38" t="str">
        <f aca="false">IF(OR(C126="",C126=0),"",IF(AND(OR($B$5="",G126=$B$5,H126=$B$5),OR($D$5="",F126=$D$5),OR($E$5="",K126=$E$5),OR($G$5="",L126=$G$5),OR($H$5="",N(J126)&gt;=$H$5),OR($I$5="",ISNUMBER(SEARCH($I$5,C126&amp;" "&amp;D126&amp;" "&amp;E126&amp;" "&amp;I126)))),"✓",""))</f>
        <v/>
      </c>
      <c r="B126" s="39" t="n">
        <v>46238</v>
      </c>
      <c r="C126" s="40" t="n">
        <f aca="false">'Aug 4'!$D$21</f>
        <v>0</v>
      </c>
      <c r="D126" s="40" t="n">
        <f aca="false">'Aug 4'!$B$21</f>
        <v>0</v>
      </c>
      <c r="E126" s="41" t="n">
        <f aca="false">'Aug 4'!$E$21</f>
        <v>0</v>
      </c>
      <c r="F126" s="40" t="n">
        <f aca="false">'Aug 4'!$A$21</f>
        <v>0</v>
      </c>
      <c r="G126" s="41" t="n">
        <f aca="false">'Aug 4'!$F$21</f>
        <v>0</v>
      </c>
      <c r="H126" s="41" t="n">
        <f aca="false">'Aug 4'!$G$21</f>
        <v>0</v>
      </c>
      <c r="I126" s="41" t="str">
        <f aca="false">'Aug 4'!$M$21</f>
        <v/>
      </c>
      <c r="J126" s="42" t="str">
        <f aca="false">'Aug 4'!$S$21</f>
        <v/>
      </c>
      <c r="K126" s="40" t="n">
        <f aca="false">'Aug 4'!$AG$21</f>
        <v>0</v>
      </c>
      <c r="L126" s="40" t="n">
        <f aca="false">'Aug 4'!$N$21</f>
        <v>0</v>
      </c>
    </row>
    <row r="127" customFormat="false" ht="15" hidden="false" customHeight="false" outlineLevel="0" collapsed="false">
      <c r="A127" s="38" t="str">
        <f aca="false">IF(OR(C127="",C127=0),"",IF(AND(OR($B$5="",G127=$B$5,H127=$B$5),OR($D$5="",F127=$D$5),OR($E$5="",K127=$E$5),OR($G$5="",L127=$G$5),OR($H$5="",N(J127)&gt;=$H$5),OR($I$5="",ISNUMBER(SEARCH($I$5,C127&amp;" "&amp;D127&amp;" "&amp;E127&amp;" "&amp;I127)))),"✓",""))</f>
        <v/>
      </c>
      <c r="B127" s="39" t="n">
        <v>46238</v>
      </c>
      <c r="C127" s="40" t="n">
        <f aca="false">'Aug 4'!$D$22</f>
        <v>0</v>
      </c>
      <c r="D127" s="40" t="n">
        <f aca="false">'Aug 4'!$B$22</f>
        <v>0</v>
      </c>
      <c r="E127" s="41" t="n">
        <f aca="false">'Aug 4'!$E$22</f>
        <v>0</v>
      </c>
      <c r="F127" s="40" t="n">
        <f aca="false">'Aug 4'!$A$22</f>
        <v>0</v>
      </c>
      <c r="G127" s="41" t="n">
        <f aca="false">'Aug 4'!$F$22</f>
        <v>0</v>
      </c>
      <c r="H127" s="41" t="n">
        <f aca="false">'Aug 4'!$G$22</f>
        <v>0</v>
      </c>
      <c r="I127" s="41" t="str">
        <f aca="false">'Aug 4'!$M$22</f>
        <v/>
      </c>
      <c r="J127" s="42" t="str">
        <f aca="false">'Aug 4'!$S$22</f>
        <v/>
      </c>
      <c r="K127" s="40" t="n">
        <f aca="false">'Aug 4'!$AG$22</f>
        <v>0</v>
      </c>
      <c r="L127" s="40" t="n">
        <f aca="false">'Aug 4'!$N$22</f>
        <v>0</v>
      </c>
    </row>
    <row r="128" customFormat="false" ht="15" hidden="false" customHeight="false" outlineLevel="0" collapsed="false">
      <c r="A128" s="38" t="str">
        <f aca="false">IF(OR(C128="",C128=0),"",IF(AND(OR($B$5="",G128=$B$5,H128=$B$5),OR($D$5="",F128=$D$5),OR($E$5="",K128=$E$5),OR($G$5="",L128=$G$5),OR($H$5="",N(J128)&gt;=$H$5),OR($I$5="",ISNUMBER(SEARCH($I$5,C128&amp;" "&amp;D128&amp;" "&amp;E128&amp;" "&amp;I128)))),"✓",""))</f>
        <v/>
      </c>
      <c r="B128" s="39" t="n">
        <v>46238</v>
      </c>
      <c r="C128" s="40" t="n">
        <f aca="false">'Aug 4'!$D$23</f>
        <v>0</v>
      </c>
      <c r="D128" s="40" t="n">
        <f aca="false">'Aug 4'!$B$23</f>
        <v>0</v>
      </c>
      <c r="E128" s="41" t="n">
        <f aca="false">'Aug 4'!$E$23</f>
        <v>0</v>
      </c>
      <c r="F128" s="40" t="n">
        <f aca="false">'Aug 4'!$A$23</f>
        <v>0</v>
      </c>
      <c r="G128" s="41" t="n">
        <f aca="false">'Aug 4'!$F$23</f>
        <v>0</v>
      </c>
      <c r="H128" s="41" t="n">
        <f aca="false">'Aug 4'!$G$23</f>
        <v>0</v>
      </c>
      <c r="I128" s="41" t="str">
        <f aca="false">'Aug 4'!$M$23</f>
        <v/>
      </c>
      <c r="J128" s="42" t="str">
        <f aca="false">'Aug 4'!$S$23</f>
        <v/>
      </c>
      <c r="K128" s="40" t="n">
        <f aca="false">'Aug 4'!$AG$23</f>
        <v>0</v>
      </c>
      <c r="L128" s="40" t="n">
        <f aca="false">'Aug 4'!$N$23</f>
        <v>0</v>
      </c>
    </row>
    <row r="129" customFormat="false" ht="15" hidden="false" customHeight="false" outlineLevel="0" collapsed="false">
      <c r="A129" s="38" t="str">
        <f aca="false">IF(OR(C129="",C129=0),"",IF(AND(OR($B$5="",G129=$B$5,H129=$B$5),OR($D$5="",F129=$D$5),OR($E$5="",K129=$E$5),OR($G$5="",L129=$G$5),OR($H$5="",N(J129)&gt;=$H$5),OR($I$5="",ISNUMBER(SEARCH($I$5,C129&amp;" "&amp;D129&amp;" "&amp;E129&amp;" "&amp;I129)))),"✓",""))</f>
        <v/>
      </c>
      <c r="B129" s="39" t="n">
        <v>46238</v>
      </c>
      <c r="C129" s="40" t="n">
        <f aca="false">'Aug 4'!$D$24</f>
        <v>0</v>
      </c>
      <c r="D129" s="40" t="n">
        <f aca="false">'Aug 4'!$B$24</f>
        <v>0</v>
      </c>
      <c r="E129" s="41" t="n">
        <f aca="false">'Aug 4'!$E$24</f>
        <v>0</v>
      </c>
      <c r="F129" s="40" t="n">
        <f aca="false">'Aug 4'!$A$24</f>
        <v>0</v>
      </c>
      <c r="G129" s="41" t="n">
        <f aca="false">'Aug 4'!$F$24</f>
        <v>0</v>
      </c>
      <c r="H129" s="41" t="n">
        <f aca="false">'Aug 4'!$G$24</f>
        <v>0</v>
      </c>
      <c r="I129" s="41" t="str">
        <f aca="false">'Aug 4'!$M$24</f>
        <v/>
      </c>
      <c r="J129" s="42" t="str">
        <f aca="false">'Aug 4'!$S$24</f>
        <v/>
      </c>
      <c r="K129" s="40" t="n">
        <f aca="false">'Aug 4'!$AG$24</f>
        <v>0</v>
      </c>
      <c r="L129" s="40" t="n">
        <f aca="false">'Aug 4'!$N$24</f>
        <v>0</v>
      </c>
    </row>
    <row r="130" customFormat="false" ht="15" hidden="false" customHeight="false" outlineLevel="0" collapsed="false">
      <c r="A130" s="38" t="str">
        <f aca="false">IF(OR(C130="",C130=0),"",IF(AND(OR($B$5="",G130=$B$5,H130=$B$5),OR($D$5="",F130=$D$5),OR($E$5="",K130=$E$5),OR($G$5="",L130=$G$5),OR($H$5="",N(J130)&gt;=$H$5),OR($I$5="",ISNUMBER(SEARCH($I$5,C130&amp;" "&amp;D130&amp;" "&amp;E130&amp;" "&amp;I130)))),"✓",""))</f>
        <v/>
      </c>
      <c r="B130" s="39" t="n">
        <v>46238</v>
      </c>
      <c r="C130" s="40" t="n">
        <f aca="false">'Aug 4'!$D$25</f>
        <v>0</v>
      </c>
      <c r="D130" s="40" t="n">
        <f aca="false">'Aug 4'!$B$25</f>
        <v>0</v>
      </c>
      <c r="E130" s="41" t="n">
        <f aca="false">'Aug 4'!$E$25</f>
        <v>0</v>
      </c>
      <c r="F130" s="40" t="n">
        <f aca="false">'Aug 4'!$A$25</f>
        <v>0</v>
      </c>
      <c r="G130" s="41" t="n">
        <f aca="false">'Aug 4'!$F$25</f>
        <v>0</v>
      </c>
      <c r="H130" s="41" t="n">
        <f aca="false">'Aug 4'!$G$25</f>
        <v>0</v>
      </c>
      <c r="I130" s="41" t="str">
        <f aca="false">'Aug 4'!$M$25</f>
        <v/>
      </c>
      <c r="J130" s="42" t="str">
        <f aca="false">'Aug 4'!$S$25</f>
        <v/>
      </c>
      <c r="K130" s="40" t="n">
        <f aca="false">'Aug 4'!$AG$25</f>
        <v>0</v>
      </c>
      <c r="L130" s="40" t="n">
        <f aca="false">'Aug 4'!$N$25</f>
        <v>0</v>
      </c>
    </row>
    <row r="131" customFormat="false" ht="15" hidden="false" customHeight="false" outlineLevel="0" collapsed="false">
      <c r="A131" s="38" t="str">
        <f aca="false">IF(OR(C131="",C131=0),"",IF(AND(OR($B$5="",G131=$B$5,H131=$B$5),OR($D$5="",F131=$D$5),OR($E$5="",K131=$E$5),OR($G$5="",L131=$G$5),OR($H$5="",N(J131)&gt;=$H$5),OR($I$5="",ISNUMBER(SEARCH($I$5,C131&amp;" "&amp;D131&amp;" "&amp;E131&amp;" "&amp;I131)))),"✓",""))</f>
        <v/>
      </c>
      <c r="B131" s="39" t="n">
        <v>46238</v>
      </c>
      <c r="C131" s="40" t="n">
        <f aca="false">'Aug 4'!$D$26</f>
        <v>0</v>
      </c>
      <c r="D131" s="40" t="n">
        <f aca="false">'Aug 4'!$B$26</f>
        <v>0</v>
      </c>
      <c r="E131" s="41" t="n">
        <f aca="false">'Aug 4'!$E$26</f>
        <v>0</v>
      </c>
      <c r="F131" s="40" t="n">
        <f aca="false">'Aug 4'!$A$26</f>
        <v>0</v>
      </c>
      <c r="G131" s="41" t="n">
        <f aca="false">'Aug 4'!$F$26</f>
        <v>0</v>
      </c>
      <c r="H131" s="41" t="n">
        <f aca="false">'Aug 4'!$G$26</f>
        <v>0</v>
      </c>
      <c r="I131" s="41" t="str">
        <f aca="false">'Aug 4'!$M$26</f>
        <v/>
      </c>
      <c r="J131" s="42" t="str">
        <f aca="false">'Aug 4'!$S$26</f>
        <v/>
      </c>
      <c r="K131" s="40" t="n">
        <f aca="false">'Aug 4'!$AG$26</f>
        <v>0</v>
      </c>
      <c r="L131" s="40" t="n">
        <f aca="false">'Aug 4'!$N$26</f>
        <v>0</v>
      </c>
    </row>
    <row r="132" customFormat="false" ht="15" hidden="false" customHeight="false" outlineLevel="0" collapsed="false">
      <c r="A132" s="38" t="str">
        <f aca="false">IF(OR(C132="",C132=0),"",IF(AND(OR($B$5="",G132=$B$5,H132=$B$5),OR($D$5="",F132=$D$5),OR($E$5="",K132=$E$5),OR($G$5="",L132=$G$5),OR($H$5="",N(J132)&gt;=$H$5),OR($I$5="",ISNUMBER(SEARCH($I$5,C132&amp;" "&amp;D132&amp;" "&amp;E132&amp;" "&amp;I132)))),"✓",""))</f>
        <v/>
      </c>
      <c r="B132" s="39" t="n">
        <v>46238</v>
      </c>
      <c r="C132" s="40" t="n">
        <f aca="false">'Aug 4'!$D$27</f>
        <v>0</v>
      </c>
      <c r="D132" s="40" t="n">
        <f aca="false">'Aug 4'!$B$27</f>
        <v>0</v>
      </c>
      <c r="E132" s="41" t="n">
        <f aca="false">'Aug 4'!$E$27</f>
        <v>0</v>
      </c>
      <c r="F132" s="40" t="n">
        <f aca="false">'Aug 4'!$A$27</f>
        <v>0</v>
      </c>
      <c r="G132" s="41" t="n">
        <f aca="false">'Aug 4'!$F$27</f>
        <v>0</v>
      </c>
      <c r="H132" s="41" t="n">
        <f aca="false">'Aug 4'!$G$27</f>
        <v>0</v>
      </c>
      <c r="I132" s="41" t="str">
        <f aca="false">'Aug 4'!$M$27</f>
        <v/>
      </c>
      <c r="J132" s="42" t="str">
        <f aca="false">'Aug 4'!$S$27</f>
        <v/>
      </c>
      <c r="K132" s="40" t="n">
        <f aca="false">'Aug 4'!$AG$27</f>
        <v>0</v>
      </c>
      <c r="L132" s="40" t="n">
        <f aca="false">'Aug 4'!$N$27</f>
        <v>0</v>
      </c>
    </row>
    <row r="133" customFormat="false" ht="15" hidden="false" customHeight="false" outlineLevel="0" collapsed="false">
      <c r="A133" s="38" t="str">
        <f aca="false">IF(OR(C133="",C133=0),"",IF(AND(OR($B$5="",G133=$B$5,H133=$B$5),OR($D$5="",F133=$D$5),OR($E$5="",K133=$E$5),OR($G$5="",L133=$G$5),OR($H$5="",N(J133)&gt;=$H$5),OR($I$5="",ISNUMBER(SEARCH($I$5,C133&amp;" "&amp;D133&amp;" "&amp;E133&amp;" "&amp;I133)))),"✓",""))</f>
        <v/>
      </c>
      <c r="B133" s="39" t="n">
        <v>46238</v>
      </c>
      <c r="C133" s="40" t="n">
        <f aca="false">'Aug 4'!$D$28</f>
        <v>0</v>
      </c>
      <c r="D133" s="40" t="n">
        <f aca="false">'Aug 4'!$B$28</f>
        <v>0</v>
      </c>
      <c r="E133" s="41" t="n">
        <f aca="false">'Aug 4'!$E$28</f>
        <v>0</v>
      </c>
      <c r="F133" s="40" t="n">
        <f aca="false">'Aug 4'!$A$28</f>
        <v>0</v>
      </c>
      <c r="G133" s="41" t="n">
        <f aca="false">'Aug 4'!$F$28</f>
        <v>0</v>
      </c>
      <c r="H133" s="41" t="n">
        <f aca="false">'Aug 4'!$G$28</f>
        <v>0</v>
      </c>
      <c r="I133" s="41" t="str">
        <f aca="false">'Aug 4'!$M$28</f>
        <v/>
      </c>
      <c r="J133" s="42" t="str">
        <f aca="false">'Aug 4'!$S$28</f>
        <v/>
      </c>
      <c r="K133" s="40" t="n">
        <f aca="false">'Aug 4'!$AG$28</f>
        <v>0</v>
      </c>
      <c r="L133" s="40" t="n">
        <f aca="false">'Aug 4'!$N$28</f>
        <v>0</v>
      </c>
    </row>
    <row r="134" customFormat="false" ht="15" hidden="false" customHeight="false" outlineLevel="0" collapsed="false">
      <c r="A134" s="38" t="str">
        <f aca="false">IF(OR(C134="",C134=0),"",IF(AND(OR($B$5="",G134=$B$5,H134=$B$5),OR($D$5="",F134=$D$5),OR($E$5="",K134=$E$5),OR($G$5="",L134=$G$5),OR($H$5="",N(J134)&gt;=$H$5),OR($I$5="",ISNUMBER(SEARCH($I$5,C134&amp;" "&amp;D134&amp;" "&amp;E134&amp;" "&amp;I134)))),"✓",""))</f>
        <v/>
      </c>
      <c r="B134" s="39" t="n">
        <v>46238</v>
      </c>
      <c r="C134" s="40" t="n">
        <f aca="false">'Aug 4'!$D$29</f>
        <v>0</v>
      </c>
      <c r="D134" s="40" t="n">
        <f aca="false">'Aug 4'!$B$29</f>
        <v>0</v>
      </c>
      <c r="E134" s="41" t="n">
        <f aca="false">'Aug 4'!$E$29</f>
        <v>0</v>
      </c>
      <c r="F134" s="40" t="n">
        <f aca="false">'Aug 4'!$A$29</f>
        <v>0</v>
      </c>
      <c r="G134" s="41" t="n">
        <f aca="false">'Aug 4'!$F$29</f>
        <v>0</v>
      </c>
      <c r="H134" s="41" t="n">
        <f aca="false">'Aug 4'!$G$29</f>
        <v>0</v>
      </c>
      <c r="I134" s="41" t="str">
        <f aca="false">'Aug 4'!$M$29</f>
        <v/>
      </c>
      <c r="J134" s="42" t="str">
        <f aca="false">'Aug 4'!$S$29</f>
        <v/>
      </c>
      <c r="K134" s="40" t="n">
        <f aca="false">'Aug 4'!$AG$29</f>
        <v>0</v>
      </c>
      <c r="L134" s="40" t="n">
        <f aca="false">'Aug 4'!$N$29</f>
        <v>0</v>
      </c>
    </row>
    <row r="135" customFormat="false" ht="15" hidden="false" customHeight="false" outlineLevel="0" collapsed="false">
      <c r="A135" s="38" t="str">
        <f aca="false">IF(OR(C135="",C135=0),"",IF(AND(OR($B$5="",G135=$B$5,H135=$B$5),OR($D$5="",F135=$D$5),OR($E$5="",K135=$E$5),OR($G$5="",L135=$G$5),OR($H$5="",N(J135)&gt;=$H$5),OR($I$5="",ISNUMBER(SEARCH($I$5,C135&amp;" "&amp;D135&amp;" "&amp;E135&amp;" "&amp;I135)))),"✓",""))</f>
        <v/>
      </c>
      <c r="B135" s="39" t="n">
        <v>46238</v>
      </c>
      <c r="C135" s="40" t="n">
        <f aca="false">'Aug 4'!$D$30</f>
        <v>0</v>
      </c>
      <c r="D135" s="40" t="n">
        <f aca="false">'Aug 4'!$B$30</f>
        <v>0</v>
      </c>
      <c r="E135" s="41" t="n">
        <f aca="false">'Aug 4'!$E$30</f>
        <v>0</v>
      </c>
      <c r="F135" s="40" t="n">
        <f aca="false">'Aug 4'!$A$30</f>
        <v>0</v>
      </c>
      <c r="G135" s="41" t="n">
        <f aca="false">'Aug 4'!$F$30</f>
        <v>0</v>
      </c>
      <c r="H135" s="41" t="n">
        <f aca="false">'Aug 4'!$G$30</f>
        <v>0</v>
      </c>
      <c r="I135" s="41" t="str">
        <f aca="false">'Aug 4'!$M$30</f>
        <v/>
      </c>
      <c r="J135" s="42" t="str">
        <f aca="false">'Aug 4'!$S$30</f>
        <v/>
      </c>
      <c r="K135" s="40" t="n">
        <f aca="false">'Aug 4'!$AG$30</f>
        <v>0</v>
      </c>
      <c r="L135" s="40" t="n">
        <f aca="false">'Aug 4'!$N$30</f>
        <v>0</v>
      </c>
    </row>
    <row r="136" customFormat="false" ht="15" hidden="false" customHeight="false" outlineLevel="0" collapsed="false">
      <c r="A136" s="38" t="str">
        <f aca="false">IF(OR(C136="",C136=0),"",IF(AND(OR($B$5="",G136=$B$5,H136=$B$5),OR($D$5="",F136=$D$5),OR($E$5="",K136=$E$5),OR($G$5="",L136=$G$5),OR($H$5="",N(J136)&gt;=$H$5),OR($I$5="",ISNUMBER(SEARCH($I$5,C136&amp;" "&amp;D136&amp;" "&amp;E136&amp;" "&amp;I136)))),"✓",""))</f>
        <v/>
      </c>
      <c r="B136" s="39" t="n">
        <v>46238</v>
      </c>
      <c r="C136" s="40" t="n">
        <f aca="false">'Aug 4'!$D$31</f>
        <v>0</v>
      </c>
      <c r="D136" s="40" t="n">
        <f aca="false">'Aug 4'!$B$31</f>
        <v>0</v>
      </c>
      <c r="E136" s="41" t="n">
        <f aca="false">'Aug 4'!$E$31</f>
        <v>0</v>
      </c>
      <c r="F136" s="40" t="n">
        <f aca="false">'Aug 4'!$A$31</f>
        <v>0</v>
      </c>
      <c r="G136" s="41" t="n">
        <f aca="false">'Aug 4'!$F$31</f>
        <v>0</v>
      </c>
      <c r="H136" s="41" t="n">
        <f aca="false">'Aug 4'!$G$31</f>
        <v>0</v>
      </c>
      <c r="I136" s="41" t="str">
        <f aca="false">'Aug 4'!$M$31</f>
        <v/>
      </c>
      <c r="J136" s="42" t="str">
        <f aca="false">'Aug 4'!$S$31</f>
        <v/>
      </c>
      <c r="K136" s="40" t="n">
        <f aca="false">'Aug 4'!$AG$31</f>
        <v>0</v>
      </c>
      <c r="L136" s="40" t="n">
        <f aca="false">'Aug 4'!$N$31</f>
        <v>0</v>
      </c>
    </row>
    <row r="137" customFormat="false" ht="15" hidden="false" customHeight="false" outlineLevel="0" collapsed="false">
      <c r="A137" s="38" t="str">
        <f aca="false">IF(OR(C137="",C137=0),"",IF(AND(OR($B$5="",G137=$B$5,H137=$B$5),OR($D$5="",F137=$D$5),OR($E$5="",K137=$E$5),OR($G$5="",L137=$G$5),OR($H$5="",N(J137)&gt;=$H$5),OR($I$5="",ISNUMBER(SEARCH($I$5,C137&amp;" "&amp;D137&amp;" "&amp;E137&amp;" "&amp;I137)))),"✓",""))</f>
        <v/>
      </c>
      <c r="B137" s="39" t="n">
        <v>46238</v>
      </c>
      <c r="C137" s="40" t="n">
        <f aca="false">'Aug 4'!$D$32</f>
        <v>0</v>
      </c>
      <c r="D137" s="40" t="n">
        <f aca="false">'Aug 4'!$B$32</f>
        <v>0</v>
      </c>
      <c r="E137" s="41" t="n">
        <f aca="false">'Aug 4'!$E$32</f>
        <v>0</v>
      </c>
      <c r="F137" s="40" t="n">
        <f aca="false">'Aug 4'!$A$32</f>
        <v>0</v>
      </c>
      <c r="G137" s="41" t="n">
        <f aca="false">'Aug 4'!$F$32</f>
        <v>0</v>
      </c>
      <c r="H137" s="41" t="n">
        <f aca="false">'Aug 4'!$G$32</f>
        <v>0</v>
      </c>
      <c r="I137" s="41" t="str">
        <f aca="false">'Aug 4'!$M$32</f>
        <v/>
      </c>
      <c r="J137" s="42" t="str">
        <f aca="false">'Aug 4'!$S$32</f>
        <v/>
      </c>
      <c r="K137" s="40" t="n">
        <f aca="false">'Aug 4'!$AG$32</f>
        <v>0</v>
      </c>
      <c r="L137" s="40" t="n">
        <f aca="false">'Aug 4'!$N$32</f>
        <v>0</v>
      </c>
    </row>
    <row r="138" customFormat="false" ht="15" hidden="false" customHeight="false" outlineLevel="0" collapsed="false">
      <c r="A138" s="38" t="str">
        <f aca="false">IF(OR(C138="",C138=0),"",IF(AND(OR($B$5="",G138=$B$5,H138=$B$5),OR($D$5="",F138=$D$5),OR($E$5="",K138=$E$5),OR($G$5="",L138=$G$5),OR($H$5="",N(J138)&gt;=$H$5),OR($I$5="",ISNUMBER(SEARCH($I$5,C138&amp;" "&amp;D138&amp;" "&amp;E138&amp;" "&amp;I138)))),"✓",""))</f>
        <v/>
      </c>
      <c r="B138" s="39" t="n">
        <v>46238</v>
      </c>
      <c r="C138" s="40" t="n">
        <f aca="false">'Aug 4'!$D$33</f>
        <v>0</v>
      </c>
      <c r="D138" s="40" t="n">
        <f aca="false">'Aug 4'!$B$33</f>
        <v>0</v>
      </c>
      <c r="E138" s="41" t="n">
        <f aca="false">'Aug 4'!$E$33</f>
        <v>0</v>
      </c>
      <c r="F138" s="40" t="n">
        <f aca="false">'Aug 4'!$A$33</f>
        <v>0</v>
      </c>
      <c r="G138" s="41" t="n">
        <f aca="false">'Aug 4'!$F$33</f>
        <v>0</v>
      </c>
      <c r="H138" s="41" t="n">
        <f aca="false">'Aug 4'!$G$33</f>
        <v>0</v>
      </c>
      <c r="I138" s="41" t="str">
        <f aca="false">'Aug 4'!$M$33</f>
        <v/>
      </c>
      <c r="J138" s="42" t="str">
        <f aca="false">'Aug 4'!$S$33</f>
        <v/>
      </c>
      <c r="K138" s="40" t="n">
        <f aca="false">'Aug 4'!$AG$33</f>
        <v>0</v>
      </c>
      <c r="L138" s="40" t="n">
        <f aca="false">'Aug 4'!$N$33</f>
        <v>0</v>
      </c>
    </row>
    <row r="139" customFormat="false" ht="15" hidden="false" customHeight="false" outlineLevel="0" collapsed="false">
      <c r="A139" s="38" t="str">
        <f aca="false">IF(OR(C139="",C139=0),"",IF(AND(OR($B$5="",G139=$B$5,H139=$B$5),OR($D$5="",F139=$D$5),OR($E$5="",K139=$E$5),OR($G$5="",L139=$G$5),OR($H$5="",N(J139)&gt;=$H$5),OR($I$5="",ISNUMBER(SEARCH($I$5,C139&amp;" "&amp;D139&amp;" "&amp;E139&amp;" "&amp;I139)))),"✓",""))</f>
        <v/>
      </c>
      <c r="B139" s="39" t="n">
        <v>46238</v>
      </c>
      <c r="C139" s="40" t="n">
        <f aca="false">'Aug 4'!$D$34</f>
        <v>0</v>
      </c>
      <c r="D139" s="40" t="n">
        <f aca="false">'Aug 4'!$B$34</f>
        <v>0</v>
      </c>
      <c r="E139" s="41" t="n">
        <f aca="false">'Aug 4'!$E$34</f>
        <v>0</v>
      </c>
      <c r="F139" s="40" t="n">
        <f aca="false">'Aug 4'!$A$34</f>
        <v>0</v>
      </c>
      <c r="G139" s="41" t="n">
        <f aca="false">'Aug 4'!$F$34</f>
        <v>0</v>
      </c>
      <c r="H139" s="41" t="n">
        <f aca="false">'Aug 4'!$G$34</f>
        <v>0</v>
      </c>
      <c r="I139" s="41" t="str">
        <f aca="false">'Aug 4'!$M$34</f>
        <v/>
      </c>
      <c r="J139" s="42" t="str">
        <f aca="false">'Aug 4'!$S$34</f>
        <v/>
      </c>
      <c r="K139" s="40" t="n">
        <f aca="false">'Aug 4'!$AG$34</f>
        <v>0</v>
      </c>
      <c r="L139" s="40" t="n">
        <f aca="false">'Aug 4'!$N$34</f>
        <v>0</v>
      </c>
    </row>
    <row r="140" customFormat="false" ht="15" hidden="false" customHeight="false" outlineLevel="0" collapsed="false">
      <c r="A140" s="38" t="str">
        <f aca="false">IF(OR(C140="",C140=0),"",IF(AND(OR($B$5="",G140=$B$5,H140=$B$5),OR($D$5="",F140=$D$5),OR($E$5="",K140=$E$5),OR($G$5="",L140=$G$5),OR($H$5="",N(J140)&gt;=$H$5),OR($I$5="",ISNUMBER(SEARCH($I$5,C140&amp;" "&amp;D140&amp;" "&amp;E140&amp;" "&amp;I140)))),"✓",""))</f>
        <v/>
      </c>
      <c r="B140" s="39" t="n">
        <v>46238</v>
      </c>
      <c r="C140" s="40" t="n">
        <f aca="false">'Aug 4'!$D$35</f>
        <v>0</v>
      </c>
      <c r="D140" s="40" t="n">
        <f aca="false">'Aug 4'!$B$35</f>
        <v>0</v>
      </c>
      <c r="E140" s="41" t="n">
        <f aca="false">'Aug 4'!$E$35</f>
        <v>0</v>
      </c>
      <c r="F140" s="40" t="n">
        <f aca="false">'Aug 4'!$A$35</f>
        <v>0</v>
      </c>
      <c r="G140" s="41" t="n">
        <f aca="false">'Aug 4'!$F$35</f>
        <v>0</v>
      </c>
      <c r="H140" s="41" t="n">
        <f aca="false">'Aug 4'!$G$35</f>
        <v>0</v>
      </c>
      <c r="I140" s="41" t="str">
        <f aca="false">'Aug 4'!$M$35</f>
        <v/>
      </c>
      <c r="J140" s="42" t="str">
        <f aca="false">'Aug 4'!$S$35</f>
        <v/>
      </c>
      <c r="K140" s="40" t="n">
        <f aca="false">'Aug 4'!$AG$35</f>
        <v>0</v>
      </c>
      <c r="L140" s="40" t="n">
        <f aca="false">'Aug 4'!$N$35</f>
        <v>0</v>
      </c>
    </row>
    <row r="141" customFormat="false" ht="15" hidden="false" customHeight="false" outlineLevel="0" collapsed="false">
      <c r="A141" s="38" t="str">
        <f aca="false">IF(OR(C141="",C141=0),"",IF(AND(OR($B$5="",G141=$B$5,H141=$B$5),OR($D$5="",F141=$D$5),OR($E$5="",K141=$E$5),OR($G$5="",L141=$G$5),OR($H$5="",N(J141)&gt;=$H$5),OR($I$5="",ISNUMBER(SEARCH($I$5,C141&amp;" "&amp;D141&amp;" "&amp;E141&amp;" "&amp;I141)))),"✓",""))</f>
        <v/>
      </c>
      <c r="B141" s="39" t="n">
        <v>46238</v>
      </c>
      <c r="C141" s="40" t="n">
        <f aca="false">'Aug 4'!$D$36</f>
        <v>0</v>
      </c>
      <c r="D141" s="40" t="n">
        <f aca="false">'Aug 4'!$B$36</f>
        <v>0</v>
      </c>
      <c r="E141" s="41" t="n">
        <f aca="false">'Aug 4'!$E$36</f>
        <v>0</v>
      </c>
      <c r="F141" s="40" t="n">
        <f aca="false">'Aug 4'!$A$36</f>
        <v>0</v>
      </c>
      <c r="G141" s="41" t="n">
        <f aca="false">'Aug 4'!$F$36</f>
        <v>0</v>
      </c>
      <c r="H141" s="41" t="n">
        <f aca="false">'Aug 4'!$G$36</f>
        <v>0</v>
      </c>
      <c r="I141" s="41" t="str">
        <f aca="false">'Aug 4'!$M$36</f>
        <v/>
      </c>
      <c r="J141" s="42" t="str">
        <f aca="false">'Aug 4'!$S$36</f>
        <v/>
      </c>
      <c r="K141" s="40" t="n">
        <f aca="false">'Aug 4'!$AG$36</f>
        <v>0</v>
      </c>
      <c r="L141" s="40" t="n">
        <f aca="false">'Aug 4'!$N$36</f>
        <v>0</v>
      </c>
    </row>
    <row r="142" customFormat="false" ht="15" hidden="false" customHeight="false" outlineLevel="0" collapsed="false">
      <c r="A142" s="38" t="str">
        <f aca="false">IF(OR(C142="",C142=0),"",IF(AND(OR($B$5="",G142=$B$5,H142=$B$5),OR($D$5="",F142=$D$5),OR($E$5="",K142=$E$5),OR($G$5="",L142=$G$5),OR($H$5="",N(J142)&gt;=$H$5),OR($I$5="",ISNUMBER(SEARCH($I$5,C142&amp;" "&amp;D142&amp;" "&amp;E142&amp;" "&amp;I142)))),"✓",""))</f>
        <v/>
      </c>
      <c r="B142" s="39" t="n">
        <v>46238</v>
      </c>
      <c r="C142" s="40" t="n">
        <f aca="false">'Aug 4'!$D$37</f>
        <v>0</v>
      </c>
      <c r="D142" s="40" t="n">
        <f aca="false">'Aug 4'!$B$37</f>
        <v>0</v>
      </c>
      <c r="E142" s="41" t="n">
        <f aca="false">'Aug 4'!$E$37</f>
        <v>0</v>
      </c>
      <c r="F142" s="40" t="n">
        <f aca="false">'Aug 4'!$A$37</f>
        <v>0</v>
      </c>
      <c r="G142" s="41" t="n">
        <f aca="false">'Aug 4'!$F$37</f>
        <v>0</v>
      </c>
      <c r="H142" s="41" t="n">
        <f aca="false">'Aug 4'!$G$37</f>
        <v>0</v>
      </c>
      <c r="I142" s="41" t="str">
        <f aca="false">'Aug 4'!$M$37</f>
        <v/>
      </c>
      <c r="J142" s="42" t="str">
        <f aca="false">'Aug 4'!$S$37</f>
        <v/>
      </c>
      <c r="K142" s="40" t="n">
        <f aca="false">'Aug 4'!$AG$37</f>
        <v>0</v>
      </c>
      <c r="L142" s="40" t="n">
        <f aca="false">'Aug 4'!$N$37</f>
        <v>0</v>
      </c>
    </row>
    <row r="143" customFormat="false" ht="15" hidden="false" customHeight="false" outlineLevel="0" collapsed="false">
      <c r="A143" s="38" t="str">
        <f aca="false">IF(OR(C143="",C143=0),"",IF(AND(OR($B$5="",G143=$B$5,H143=$B$5),OR($D$5="",F143=$D$5),OR($E$5="",K143=$E$5),OR($G$5="",L143=$G$5),OR($H$5="",N(J143)&gt;=$H$5),OR($I$5="",ISNUMBER(SEARCH($I$5,C143&amp;" "&amp;D143&amp;" "&amp;E143&amp;" "&amp;I143)))),"✓",""))</f>
        <v/>
      </c>
      <c r="B143" s="39" t="n">
        <v>46238</v>
      </c>
      <c r="C143" s="40" t="n">
        <f aca="false">'Aug 4'!$D$38</f>
        <v>0</v>
      </c>
      <c r="D143" s="40" t="n">
        <f aca="false">'Aug 4'!$B$38</f>
        <v>0</v>
      </c>
      <c r="E143" s="41" t="n">
        <f aca="false">'Aug 4'!$E$38</f>
        <v>0</v>
      </c>
      <c r="F143" s="40" t="n">
        <f aca="false">'Aug 4'!$A$38</f>
        <v>0</v>
      </c>
      <c r="G143" s="41" t="n">
        <f aca="false">'Aug 4'!$F$38</f>
        <v>0</v>
      </c>
      <c r="H143" s="41" t="n">
        <f aca="false">'Aug 4'!$G$38</f>
        <v>0</v>
      </c>
      <c r="I143" s="41" t="str">
        <f aca="false">'Aug 4'!$M$38</f>
        <v/>
      </c>
      <c r="J143" s="42" t="str">
        <f aca="false">'Aug 4'!$S$38</f>
        <v/>
      </c>
      <c r="K143" s="40" t="n">
        <f aca="false">'Aug 4'!$AG$38</f>
        <v>0</v>
      </c>
      <c r="L143" s="40" t="n">
        <f aca="false">'Aug 4'!$N$38</f>
        <v>0</v>
      </c>
    </row>
    <row r="144" customFormat="false" ht="15" hidden="false" customHeight="false" outlineLevel="0" collapsed="false">
      <c r="A144" s="38" t="str">
        <f aca="false">IF(OR(C144="",C144=0),"",IF(AND(OR($B$5="",G144=$B$5,H144=$B$5),OR($D$5="",F144=$D$5),OR($E$5="",K144=$E$5),OR($G$5="",L144=$G$5),OR($H$5="",N(J144)&gt;=$H$5),OR($I$5="",ISNUMBER(SEARCH($I$5,C144&amp;" "&amp;D144&amp;" "&amp;E144&amp;" "&amp;I144)))),"✓",""))</f>
        <v/>
      </c>
      <c r="B144" s="39" t="n">
        <v>46238</v>
      </c>
      <c r="C144" s="40" t="n">
        <f aca="false">'Aug 4'!$D$39</f>
        <v>0</v>
      </c>
      <c r="D144" s="40" t="n">
        <f aca="false">'Aug 4'!$B$39</f>
        <v>0</v>
      </c>
      <c r="E144" s="41" t="n">
        <f aca="false">'Aug 4'!$E$39</f>
        <v>0</v>
      </c>
      <c r="F144" s="40" t="n">
        <f aca="false">'Aug 4'!$A$39</f>
        <v>0</v>
      </c>
      <c r="G144" s="41" t="n">
        <f aca="false">'Aug 4'!$F$39</f>
        <v>0</v>
      </c>
      <c r="H144" s="41" t="n">
        <f aca="false">'Aug 4'!$G$39</f>
        <v>0</v>
      </c>
      <c r="I144" s="41" t="str">
        <f aca="false">'Aug 4'!$M$39</f>
        <v/>
      </c>
      <c r="J144" s="42" t="str">
        <f aca="false">'Aug 4'!$S$39</f>
        <v/>
      </c>
      <c r="K144" s="40" t="n">
        <f aca="false">'Aug 4'!$AG$39</f>
        <v>0</v>
      </c>
      <c r="L144" s="40" t="n">
        <f aca="false">'Aug 4'!$N$39</f>
        <v>0</v>
      </c>
    </row>
    <row r="145" customFormat="false" ht="15" hidden="false" customHeight="false" outlineLevel="0" collapsed="false">
      <c r="A145" s="38" t="str">
        <f aca="false">IF(OR(C145="",C145=0),"",IF(AND(OR($B$5="",G145=$B$5,H145=$B$5),OR($D$5="",F145=$D$5),OR($E$5="",K145=$E$5),OR($G$5="",L145=$G$5),OR($H$5="",N(J145)&gt;=$H$5),OR($I$5="",ISNUMBER(SEARCH($I$5,C145&amp;" "&amp;D145&amp;" "&amp;E145&amp;" "&amp;I145)))),"✓",""))</f>
        <v/>
      </c>
      <c r="B145" s="39" t="n">
        <v>46238</v>
      </c>
      <c r="C145" s="40" t="n">
        <f aca="false">'Aug 4'!$D$40</f>
        <v>0</v>
      </c>
      <c r="D145" s="40" t="n">
        <f aca="false">'Aug 4'!$B$40</f>
        <v>0</v>
      </c>
      <c r="E145" s="41" t="n">
        <f aca="false">'Aug 4'!$E$40</f>
        <v>0</v>
      </c>
      <c r="F145" s="40" t="n">
        <f aca="false">'Aug 4'!$A$40</f>
        <v>0</v>
      </c>
      <c r="G145" s="41" t="n">
        <f aca="false">'Aug 4'!$F$40</f>
        <v>0</v>
      </c>
      <c r="H145" s="41" t="n">
        <f aca="false">'Aug 4'!$G$40</f>
        <v>0</v>
      </c>
      <c r="I145" s="41" t="str">
        <f aca="false">'Aug 4'!$M$40</f>
        <v/>
      </c>
      <c r="J145" s="42" t="str">
        <f aca="false">'Aug 4'!$S$40</f>
        <v/>
      </c>
      <c r="K145" s="40" t="n">
        <f aca="false">'Aug 4'!$AG$40</f>
        <v>0</v>
      </c>
      <c r="L145" s="40" t="n">
        <f aca="false">'Aug 4'!$N$40</f>
        <v>0</v>
      </c>
    </row>
    <row r="146" customFormat="false" ht="15" hidden="false" customHeight="false" outlineLevel="0" collapsed="false">
      <c r="A146" s="38" t="str">
        <f aca="false">IF(OR(C146="",C146=0),"",IF(AND(OR($B$5="",G146=$B$5,H146=$B$5),OR($D$5="",F146=$D$5),OR($E$5="",K146=$E$5),OR($G$5="",L146=$G$5),OR($H$5="",N(J146)&gt;=$H$5),OR($I$5="",ISNUMBER(SEARCH($I$5,C146&amp;" "&amp;D146&amp;" "&amp;E146&amp;" "&amp;I146)))),"✓",""))</f>
        <v/>
      </c>
      <c r="B146" s="39" t="n">
        <v>46238</v>
      </c>
      <c r="C146" s="40" t="n">
        <f aca="false">'Aug 4'!$D$41</f>
        <v>0</v>
      </c>
      <c r="D146" s="40" t="n">
        <f aca="false">'Aug 4'!$B$41</f>
        <v>0</v>
      </c>
      <c r="E146" s="41" t="n">
        <f aca="false">'Aug 4'!$E$41</f>
        <v>0</v>
      </c>
      <c r="F146" s="40" t="n">
        <f aca="false">'Aug 4'!$A$41</f>
        <v>0</v>
      </c>
      <c r="G146" s="41" t="n">
        <f aca="false">'Aug 4'!$F$41</f>
        <v>0</v>
      </c>
      <c r="H146" s="41" t="n">
        <f aca="false">'Aug 4'!$G$41</f>
        <v>0</v>
      </c>
      <c r="I146" s="41" t="str">
        <f aca="false">'Aug 4'!$M$41</f>
        <v/>
      </c>
      <c r="J146" s="42" t="str">
        <f aca="false">'Aug 4'!$S$41</f>
        <v/>
      </c>
      <c r="K146" s="40" t="n">
        <f aca="false">'Aug 4'!$AG$41</f>
        <v>0</v>
      </c>
      <c r="L146" s="40" t="n">
        <f aca="false">'Aug 4'!$N$41</f>
        <v>0</v>
      </c>
    </row>
    <row r="147" customFormat="false" ht="15" hidden="false" customHeight="false" outlineLevel="0" collapsed="false">
      <c r="A147" s="38" t="str">
        <f aca="false">IF(OR(C147="",C147=0),"",IF(AND(OR($B$5="",G147=$B$5,H147=$B$5),OR($D$5="",F147=$D$5),OR($E$5="",K147=$E$5),OR($G$5="",L147=$G$5),OR($H$5="",N(J147)&gt;=$H$5),OR($I$5="",ISNUMBER(SEARCH($I$5,C147&amp;" "&amp;D147&amp;" "&amp;E147&amp;" "&amp;I147)))),"✓",""))</f>
        <v/>
      </c>
      <c r="B147" s="39" t="n">
        <v>46238</v>
      </c>
      <c r="C147" s="40" t="n">
        <f aca="false">'Aug 4'!$D$42</f>
        <v>0</v>
      </c>
      <c r="D147" s="40" t="n">
        <f aca="false">'Aug 4'!$B$42</f>
        <v>0</v>
      </c>
      <c r="E147" s="41" t="n">
        <f aca="false">'Aug 4'!$E$42</f>
        <v>0</v>
      </c>
      <c r="F147" s="40" t="n">
        <f aca="false">'Aug 4'!$A$42</f>
        <v>0</v>
      </c>
      <c r="G147" s="41" t="n">
        <f aca="false">'Aug 4'!$F$42</f>
        <v>0</v>
      </c>
      <c r="H147" s="41" t="n">
        <f aca="false">'Aug 4'!$G$42</f>
        <v>0</v>
      </c>
      <c r="I147" s="41" t="str">
        <f aca="false">'Aug 4'!$M$42</f>
        <v/>
      </c>
      <c r="J147" s="42" t="str">
        <f aca="false">'Aug 4'!$S$42</f>
        <v/>
      </c>
      <c r="K147" s="40" t="n">
        <f aca="false">'Aug 4'!$AG$42</f>
        <v>0</v>
      </c>
      <c r="L147" s="40" t="n">
        <f aca="false">'Aug 4'!$N$42</f>
        <v>0</v>
      </c>
    </row>
    <row r="148" customFormat="false" ht="15" hidden="false" customHeight="false" outlineLevel="0" collapsed="false">
      <c r="A148" s="38" t="str">
        <f aca="false">IF(OR(C148="",C148=0),"",IF(AND(OR($B$5="",G148=$B$5,H148=$B$5),OR($D$5="",F148=$D$5),OR($E$5="",K148=$E$5),OR($G$5="",L148=$G$5),OR($H$5="",N(J148)&gt;=$H$5),OR($I$5="",ISNUMBER(SEARCH($I$5,C148&amp;" "&amp;D148&amp;" "&amp;E148&amp;" "&amp;I148)))),"✓",""))</f>
        <v/>
      </c>
      <c r="B148" s="39" t="n">
        <v>46239</v>
      </c>
      <c r="C148" s="40" t="n">
        <f aca="false">'Aug 5'!$D$8</f>
        <v>0</v>
      </c>
      <c r="D148" s="40" t="n">
        <f aca="false">'Aug 5'!$B$8</f>
        <v>0</v>
      </c>
      <c r="E148" s="41" t="n">
        <f aca="false">'Aug 5'!$E$8</f>
        <v>0</v>
      </c>
      <c r="F148" s="40" t="n">
        <f aca="false">'Aug 5'!$A$8</f>
        <v>0</v>
      </c>
      <c r="G148" s="41" t="n">
        <f aca="false">'Aug 5'!$F$8</f>
        <v>0</v>
      </c>
      <c r="H148" s="41" t="n">
        <f aca="false">'Aug 5'!$G$8</f>
        <v>0</v>
      </c>
      <c r="I148" s="41" t="str">
        <f aca="false">'Aug 5'!$M$8</f>
        <v/>
      </c>
      <c r="J148" s="42" t="str">
        <f aca="false">'Aug 5'!$S$8</f>
        <v/>
      </c>
      <c r="K148" s="40" t="n">
        <f aca="false">'Aug 5'!$AG$8</f>
        <v>0</v>
      </c>
      <c r="L148" s="40" t="n">
        <f aca="false">'Aug 5'!$N$8</f>
        <v>0</v>
      </c>
    </row>
    <row r="149" customFormat="false" ht="15" hidden="false" customHeight="false" outlineLevel="0" collapsed="false">
      <c r="A149" s="38" t="str">
        <f aca="false">IF(OR(C149="",C149=0),"",IF(AND(OR($B$5="",G149=$B$5,H149=$B$5),OR($D$5="",F149=$D$5),OR($E$5="",K149=$E$5),OR($G$5="",L149=$G$5),OR($H$5="",N(J149)&gt;=$H$5),OR($I$5="",ISNUMBER(SEARCH($I$5,C149&amp;" "&amp;D149&amp;" "&amp;E149&amp;" "&amp;I149)))),"✓",""))</f>
        <v/>
      </c>
      <c r="B149" s="39" t="n">
        <v>46239</v>
      </c>
      <c r="C149" s="40" t="n">
        <f aca="false">'Aug 5'!$D$9</f>
        <v>0</v>
      </c>
      <c r="D149" s="40" t="n">
        <f aca="false">'Aug 5'!$B$9</f>
        <v>0</v>
      </c>
      <c r="E149" s="41" t="n">
        <f aca="false">'Aug 5'!$E$9</f>
        <v>0</v>
      </c>
      <c r="F149" s="40" t="n">
        <f aca="false">'Aug 5'!$A$9</f>
        <v>0</v>
      </c>
      <c r="G149" s="41" t="n">
        <f aca="false">'Aug 5'!$F$9</f>
        <v>0</v>
      </c>
      <c r="H149" s="41" t="n">
        <f aca="false">'Aug 5'!$G$9</f>
        <v>0</v>
      </c>
      <c r="I149" s="41" t="str">
        <f aca="false">'Aug 5'!$M$9</f>
        <v/>
      </c>
      <c r="J149" s="42" t="str">
        <f aca="false">'Aug 5'!$S$9</f>
        <v/>
      </c>
      <c r="K149" s="40" t="n">
        <f aca="false">'Aug 5'!$AG$9</f>
        <v>0</v>
      </c>
      <c r="L149" s="40" t="n">
        <f aca="false">'Aug 5'!$N$9</f>
        <v>0</v>
      </c>
    </row>
    <row r="150" customFormat="false" ht="15" hidden="false" customHeight="false" outlineLevel="0" collapsed="false">
      <c r="A150" s="38" t="str">
        <f aca="false">IF(OR(C150="",C150=0),"",IF(AND(OR($B$5="",G150=$B$5,H150=$B$5),OR($D$5="",F150=$D$5),OR($E$5="",K150=$E$5),OR($G$5="",L150=$G$5),OR($H$5="",N(J150)&gt;=$H$5),OR($I$5="",ISNUMBER(SEARCH($I$5,C150&amp;" "&amp;D150&amp;" "&amp;E150&amp;" "&amp;I150)))),"✓",""))</f>
        <v/>
      </c>
      <c r="B150" s="39" t="n">
        <v>46239</v>
      </c>
      <c r="C150" s="40" t="n">
        <f aca="false">'Aug 5'!$D$10</f>
        <v>0</v>
      </c>
      <c r="D150" s="40" t="n">
        <f aca="false">'Aug 5'!$B$10</f>
        <v>0</v>
      </c>
      <c r="E150" s="41" t="n">
        <f aca="false">'Aug 5'!$E$10</f>
        <v>0</v>
      </c>
      <c r="F150" s="40" t="n">
        <f aca="false">'Aug 5'!$A$10</f>
        <v>0</v>
      </c>
      <c r="G150" s="41" t="n">
        <f aca="false">'Aug 5'!$F$10</f>
        <v>0</v>
      </c>
      <c r="H150" s="41" t="n">
        <f aca="false">'Aug 5'!$G$10</f>
        <v>0</v>
      </c>
      <c r="I150" s="41" t="str">
        <f aca="false">'Aug 5'!$M$10</f>
        <v/>
      </c>
      <c r="J150" s="42" t="str">
        <f aca="false">'Aug 5'!$S$10</f>
        <v/>
      </c>
      <c r="K150" s="40" t="n">
        <f aca="false">'Aug 5'!$AG$10</f>
        <v>0</v>
      </c>
      <c r="L150" s="40" t="n">
        <f aca="false">'Aug 5'!$N$10</f>
        <v>0</v>
      </c>
    </row>
    <row r="151" customFormat="false" ht="15" hidden="false" customHeight="false" outlineLevel="0" collapsed="false">
      <c r="A151" s="38" t="str">
        <f aca="false">IF(OR(C151="",C151=0),"",IF(AND(OR($B$5="",G151=$B$5,H151=$B$5),OR($D$5="",F151=$D$5),OR($E$5="",K151=$E$5),OR($G$5="",L151=$G$5),OR($H$5="",N(J151)&gt;=$H$5),OR($I$5="",ISNUMBER(SEARCH($I$5,C151&amp;" "&amp;D151&amp;" "&amp;E151&amp;" "&amp;I151)))),"✓",""))</f>
        <v/>
      </c>
      <c r="B151" s="39" t="n">
        <v>46239</v>
      </c>
      <c r="C151" s="40" t="n">
        <f aca="false">'Aug 5'!$D$11</f>
        <v>0</v>
      </c>
      <c r="D151" s="40" t="n">
        <f aca="false">'Aug 5'!$B$11</f>
        <v>0</v>
      </c>
      <c r="E151" s="41" t="n">
        <f aca="false">'Aug 5'!$E$11</f>
        <v>0</v>
      </c>
      <c r="F151" s="40" t="n">
        <f aca="false">'Aug 5'!$A$11</f>
        <v>0</v>
      </c>
      <c r="G151" s="41" t="n">
        <f aca="false">'Aug 5'!$F$11</f>
        <v>0</v>
      </c>
      <c r="H151" s="41" t="n">
        <f aca="false">'Aug 5'!$G$11</f>
        <v>0</v>
      </c>
      <c r="I151" s="41" t="str">
        <f aca="false">'Aug 5'!$M$11</f>
        <v/>
      </c>
      <c r="J151" s="42" t="str">
        <f aca="false">'Aug 5'!$S$11</f>
        <v/>
      </c>
      <c r="K151" s="40" t="n">
        <f aca="false">'Aug 5'!$AG$11</f>
        <v>0</v>
      </c>
      <c r="L151" s="40" t="n">
        <f aca="false">'Aug 5'!$N$11</f>
        <v>0</v>
      </c>
    </row>
    <row r="152" customFormat="false" ht="15" hidden="false" customHeight="false" outlineLevel="0" collapsed="false">
      <c r="A152" s="38" t="str">
        <f aca="false">IF(OR(C152="",C152=0),"",IF(AND(OR($B$5="",G152=$B$5,H152=$B$5),OR($D$5="",F152=$D$5),OR($E$5="",K152=$E$5),OR($G$5="",L152=$G$5),OR($H$5="",N(J152)&gt;=$H$5),OR($I$5="",ISNUMBER(SEARCH($I$5,C152&amp;" "&amp;D152&amp;" "&amp;E152&amp;" "&amp;I152)))),"✓",""))</f>
        <v/>
      </c>
      <c r="B152" s="39" t="n">
        <v>46239</v>
      </c>
      <c r="C152" s="40" t="n">
        <f aca="false">'Aug 5'!$D$12</f>
        <v>0</v>
      </c>
      <c r="D152" s="40" t="n">
        <f aca="false">'Aug 5'!$B$12</f>
        <v>0</v>
      </c>
      <c r="E152" s="41" t="n">
        <f aca="false">'Aug 5'!$E$12</f>
        <v>0</v>
      </c>
      <c r="F152" s="40" t="n">
        <f aca="false">'Aug 5'!$A$12</f>
        <v>0</v>
      </c>
      <c r="G152" s="41" t="n">
        <f aca="false">'Aug 5'!$F$12</f>
        <v>0</v>
      </c>
      <c r="H152" s="41" t="n">
        <f aca="false">'Aug 5'!$G$12</f>
        <v>0</v>
      </c>
      <c r="I152" s="41" t="str">
        <f aca="false">'Aug 5'!$M$12</f>
        <v/>
      </c>
      <c r="J152" s="42" t="str">
        <f aca="false">'Aug 5'!$S$12</f>
        <v/>
      </c>
      <c r="K152" s="40" t="n">
        <f aca="false">'Aug 5'!$AG$12</f>
        <v>0</v>
      </c>
      <c r="L152" s="40" t="n">
        <f aca="false">'Aug 5'!$N$12</f>
        <v>0</v>
      </c>
    </row>
    <row r="153" customFormat="false" ht="15" hidden="false" customHeight="false" outlineLevel="0" collapsed="false">
      <c r="A153" s="38" t="str">
        <f aca="false">IF(OR(C153="",C153=0),"",IF(AND(OR($B$5="",G153=$B$5,H153=$B$5),OR($D$5="",F153=$D$5),OR($E$5="",K153=$E$5),OR($G$5="",L153=$G$5),OR($H$5="",N(J153)&gt;=$H$5),OR($I$5="",ISNUMBER(SEARCH($I$5,C153&amp;" "&amp;D153&amp;" "&amp;E153&amp;" "&amp;I153)))),"✓",""))</f>
        <v/>
      </c>
      <c r="B153" s="39" t="n">
        <v>46239</v>
      </c>
      <c r="C153" s="40" t="n">
        <f aca="false">'Aug 5'!$D$13</f>
        <v>0</v>
      </c>
      <c r="D153" s="40" t="n">
        <f aca="false">'Aug 5'!$B$13</f>
        <v>0</v>
      </c>
      <c r="E153" s="41" t="n">
        <f aca="false">'Aug 5'!$E$13</f>
        <v>0</v>
      </c>
      <c r="F153" s="40" t="n">
        <f aca="false">'Aug 5'!$A$13</f>
        <v>0</v>
      </c>
      <c r="G153" s="41" t="n">
        <f aca="false">'Aug 5'!$F$13</f>
        <v>0</v>
      </c>
      <c r="H153" s="41" t="n">
        <f aca="false">'Aug 5'!$G$13</f>
        <v>0</v>
      </c>
      <c r="I153" s="41" t="str">
        <f aca="false">'Aug 5'!$M$13</f>
        <v/>
      </c>
      <c r="J153" s="42" t="str">
        <f aca="false">'Aug 5'!$S$13</f>
        <v/>
      </c>
      <c r="K153" s="40" t="n">
        <f aca="false">'Aug 5'!$AG$13</f>
        <v>0</v>
      </c>
      <c r="L153" s="40" t="n">
        <f aca="false">'Aug 5'!$N$13</f>
        <v>0</v>
      </c>
    </row>
    <row r="154" customFormat="false" ht="15" hidden="false" customHeight="false" outlineLevel="0" collapsed="false">
      <c r="A154" s="38" t="str">
        <f aca="false">IF(OR(C154="",C154=0),"",IF(AND(OR($B$5="",G154=$B$5,H154=$B$5),OR($D$5="",F154=$D$5),OR($E$5="",K154=$E$5),OR($G$5="",L154=$G$5),OR($H$5="",N(J154)&gt;=$H$5),OR($I$5="",ISNUMBER(SEARCH($I$5,C154&amp;" "&amp;D154&amp;" "&amp;E154&amp;" "&amp;I154)))),"✓",""))</f>
        <v/>
      </c>
      <c r="B154" s="39" t="n">
        <v>46239</v>
      </c>
      <c r="C154" s="40" t="n">
        <f aca="false">'Aug 5'!$D$14</f>
        <v>0</v>
      </c>
      <c r="D154" s="40" t="n">
        <f aca="false">'Aug 5'!$B$14</f>
        <v>0</v>
      </c>
      <c r="E154" s="41" t="n">
        <f aca="false">'Aug 5'!$E$14</f>
        <v>0</v>
      </c>
      <c r="F154" s="40" t="n">
        <f aca="false">'Aug 5'!$A$14</f>
        <v>0</v>
      </c>
      <c r="G154" s="41" t="n">
        <f aca="false">'Aug 5'!$F$14</f>
        <v>0</v>
      </c>
      <c r="H154" s="41" t="n">
        <f aca="false">'Aug 5'!$G$14</f>
        <v>0</v>
      </c>
      <c r="I154" s="41" t="str">
        <f aca="false">'Aug 5'!$M$14</f>
        <v/>
      </c>
      <c r="J154" s="42" t="str">
        <f aca="false">'Aug 5'!$S$14</f>
        <v/>
      </c>
      <c r="K154" s="40" t="n">
        <f aca="false">'Aug 5'!$AG$14</f>
        <v>0</v>
      </c>
      <c r="L154" s="40" t="n">
        <f aca="false">'Aug 5'!$N$14</f>
        <v>0</v>
      </c>
    </row>
    <row r="155" customFormat="false" ht="15" hidden="false" customHeight="false" outlineLevel="0" collapsed="false">
      <c r="A155" s="38" t="str">
        <f aca="false">IF(OR(C155="",C155=0),"",IF(AND(OR($B$5="",G155=$B$5,H155=$B$5),OR($D$5="",F155=$D$5),OR($E$5="",K155=$E$5),OR($G$5="",L155=$G$5),OR($H$5="",N(J155)&gt;=$H$5),OR($I$5="",ISNUMBER(SEARCH($I$5,C155&amp;" "&amp;D155&amp;" "&amp;E155&amp;" "&amp;I155)))),"✓",""))</f>
        <v/>
      </c>
      <c r="B155" s="39" t="n">
        <v>46239</v>
      </c>
      <c r="C155" s="40" t="n">
        <f aca="false">'Aug 5'!$D$15</f>
        <v>0</v>
      </c>
      <c r="D155" s="40" t="n">
        <f aca="false">'Aug 5'!$B$15</f>
        <v>0</v>
      </c>
      <c r="E155" s="41" t="n">
        <f aca="false">'Aug 5'!$E$15</f>
        <v>0</v>
      </c>
      <c r="F155" s="40" t="n">
        <f aca="false">'Aug 5'!$A$15</f>
        <v>0</v>
      </c>
      <c r="G155" s="41" t="n">
        <f aca="false">'Aug 5'!$F$15</f>
        <v>0</v>
      </c>
      <c r="H155" s="41" t="n">
        <f aca="false">'Aug 5'!$G$15</f>
        <v>0</v>
      </c>
      <c r="I155" s="41" t="str">
        <f aca="false">'Aug 5'!$M$15</f>
        <v/>
      </c>
      <c r="J155" s="42" t="str">
        <f aca="false">'Aug 5'!$S$15</f>
        <v/>
      </c>
      <c r="K155" s="40" t="n">
        <f aca="false">'Aug 5'!$AG$15</f>
        <v>0</v>
      </c>
      <c r="L155" s="40" t="n">
        <f aca="false">'Aug 5'!$N$15</f>
        <v>0</v>
      </c>
    </row>
    <row r="156" customFormat="false" ht="15" hidden="false" customHeight="false" outlineLevel="0" collapsed="false">
      <c r="A156" s="38" t="str">
        <f aca="false">IF(OR(C156="",C156=0),"",IF(AND(OR($B$5="",G156=$B$5,H156=$B$5),OR($D$5="",F156=$D$5),OR($E$5="",K156=$E$5),OR($G$5="",L156=$G$5),OR($H$5="",N(J156)&gt;=$H$5),OR($I$5="",ISNUMBER(SEARCH($I$5,C156&amp;" "&amp;D156&amp;" "&amp;E156&amp;" "&amp;I156)))),"✓",""))</f>
        <v/>
      </c>
      <c r="B156" s="39" t="n">
        <v>46239</v>
      </c>
      <c r="C156" s="40" t="n">
        <f aca="false">'Aug 5'!$D$16</f>
        <v>0</v>
      </c>
      <c r="D156" s="40" t="n">
        <f aca="false">'Aug 5'!$B$16</f>
        <v>0</v>
      </c>
      <c r="E156" s="41" t="n">
        <f aca="false">'Aug 5'!$E$16</f>
        <v>0</v>
      </c>
      <c r="F156" s="40" t="n">
        <f aca="false">'Aug 5'!$A$16</f>
        <v>0</v>
      </c>
      <c r="G156" s="41" t="n">
        <f aca="false">'Aug 5'!$F$16</f>
        <v>0</v>
      </c>
      <c r="H156" s="41" t="n">
        <f aca="false">'Aug 5'!$G$16</f>
        <v>0</v>
      </c>
      <c r="I156" s="41" t="str">
        <f aca="false">'Aug 5'!$M$16</f>
        <v/>
      </c>
      <c r="J156" s="42" t="str">
        <f aca="false">'Aug 5'!$S$16</f>
        <v/>
      </c>
      <c r="K156" s="40" t="n">
        <f aca="false">'Aug 5'!$AG$16</f>
        <v>0</v>
      </c>
      <c r="L156" s="40" t="n">
        <f aca="false">'Aug 5'!$N$16</f>
        <v>0</v>
      </c>
    </row>
    <row r="157" customFormat="false" ht="15" hidden="false" customHeight="false" outlineLevel="0" collapsed="false">
      <c r="A157" s="38" t="str">
        <f aca="false">IF(OR(C157="",C157=0),"",IF(AND(OR($B$5="",G157=$B$5,H157=$B$5),OR($D$5="",F157=$D$5),OR($E$5="",K157=$E$5),OR($G$5="",L157=$G$5),OR($H$5="",N(J157)&gt;=$H$5),OR($I$5="",ISNUMBER(SEARCH($I$5,C157&amp;" "&amp;D157&amp;" "&amp;E157&amp;" "&amp;I157)))),"✓",""))</f>
        <v/>
      </c>
      <c r="B157" s="39" t="n">
        <v>46239</v>
      </c>
      <c r="C157" s="40" t="n">
        <f aca="false">'Aug 5'!$D$17</f>
        <v>0</v>
      </c>
      <c r="D157" s="40" t="n">
        <f aca="false">'Aug 5'!$B$17</f>
        <v>0</v>
      </c>
      <c r="E157" s="41" t="n">
        <f aca="false">'Aug 5'!$E$17</f>
        <v>0</v>
      </c>
      <c r="F157" s="40" t="n">
        <f aca="false">'Aug 5'!$A$17</f>
        <v>0</v>
      </c>
      <c r="G157" s="41" t="n">
        <f aca="false">'Aug 5'!$F$17</f>
        <v>0</v>
      </c>
      <c r="H157" s="41" t="n">
        <f aca="false">'Aug 5'!$G$17</f>
        <v>0</v>
      </c>
      <c r="I157" s="41" t="str">
        <f aca="false">'Aug 5'!$M$17</f>
        <v/>
      </c>
      <c r="J157" s="42" t="str">
        <f aca="false">'Aug 5'!$S$17</f>
        <v/>
      </c>
      <c r="K157" s="40" t="n">
        <f aca="false">'Aug 5'!$AG$17</f>
        <v>0</v>
      </c>
      <c r="L157" s="40" t="n">
        <f aca="false">'Aug 5'!$N$17</f>
        <v>0</v>
      </c>
    </row>
    <row r="158" customFormat="false" ht="15" hidden="false" customHeight="false" outlineLevel="0" collapsed="false">
      <c r="A158" s="38" t="str">
        <f aca="false">IF(OR(C158="",C158=0),"",IF(AND(OR($B$5="",G158=$B$5,H158=$B$5),OR($D$5="",F158=$D$5),OR($E$5="",K158=$E$5),OR($G$5="",L158=$G$5),OR($H$5="",N(J158)&gt;=$H$5),OR($I$5="",ISNUMBER(SEARCH($I$5,C158&amp;" "&amp;D158&amp;" "&amp;E158&amp;" "&amp;I158)))),"✓",""))</f>
        <v/>
      </c>
      <c r="B158" s="39" t="n">
        <v>46239</v>
      </c>
      <c r="C158" s="40" t="n">
        <f aca="false">'Aug 5'!$D$18</f>
        <v>0</v>
      </c>
      <c r="D158" s="40" t="n">
        <f aca="false">'Aug 5'!$B$18</f>
        <v>0</v>
      </c>
      <c r="E158" s="41" t="n">
        <f aca="false">'Aug 5'!$E$18</f>
        <v>0</v>
      </c>
      <c r="F158" s="40" t="n">
        <f aca="false">'Aug 5'!$A$18</f>
        <v>0</v>
      </c>
      <c r="G158" s="41" t="n">
        <f aca="false">'Aug 5'!$F$18</f>
        <v>0</v>
      </c>
      <c r="H158" s="41" t="n">
        <f aca="false">'Aug 5'!$G$18</f>
        <v>0</v>
      </c>
      <c r="I158" s="41" t="str">
        <f aca="false">'Aug 5'!$M$18</f>
        <v/>
      </c>
      <c r="J158" s="42" t="str">
        <f aca="false">'Aug 5'!$S$18</f>
        <v/>
      </c>
      <c r="K158" s="40" t="n">
        <f aca="false">'Aug 5'!$AG$18</f>
        <v>0</v>
      </c>
      <c r="L158" s="40" t="n">
        <f aca="false">'Aug 5'!$N$18</f>
        <v>0</v>
      </c>
    </row>
    <row r="159" customFormat="false" ht="15" hidden="false" customHeight="false" outlineLevel="0" collapsed="false">
      <c r="A159" s="38" t="str">
        <f aca="false">IF(OR(C159="",C159=0),"",IF(AND(OR($B$5="",G159=$B$5,H159=$B$5),OR($D$5="",F159=$D$5),OR($E$5="",K159=$E$5),OR($G$5="",L159=$G$5),OR($H$5="",N(J159)&gt;=$H$5),OR($I$5="",ISNUMBER(SEARCH($I$5,C159&amp;" "&amp;D159&amp;" "&amp;E159&amp;" "&amp;I159)))),"✓",""))</f>
        <v/>
      </c>
      <c r="B159" s="39" t="n">
        <v>46239</v>
      </c>
      <c r="C159" s="40" t="n">
        <f aca="false">'Aug 5'!$D$19</f>
        <v>0</v>
      </c>
      <c r="D159" s="40" t="n">
        <f aca="false">'Aug 5'!$B$19</f>
        <v>0</v>
      </c>
      <c r="E159" s="41" t="n">
        <f aca="false">'Aug 5'!$E$19</f>
        <v>0</v>
      </c>
      <c r="F159" s="40" t="n">
        <f aca="false">'Aug 5'!$A$19</f>
        <v>0</v>
      </c>
      <c r="G159" s="41" t="n">
        <f aca="false">'Aug 5'!$F$19</f>
        <v>0</v>
      </c>
      <c r="H159" s="41" t="n">
        <f aca="false">'Aug 5'!$G$19</f>
        <v>0</v>
      </c>
      <c r="I159" s="41" t="str">
        <f aca="false">'Aug 5'!$M$19</f>
        <v/>
      </c>
      <c r="J159" s="42" t="str">
        <f aca="false">'Aug 5'!$S$19</f>
        <v/>
      </c>
      <c r="K159" s="40" t="n">
        <f aca="false">'Aug 5'!$AG$19</f>
        <v>0</v>
      </c>
      <c r="L159" s="40" t="n">
        <f aca="false">'Aug 5'!$N$19</f>
        <v>0</v>
      </c>
    </row>
    <row r="160" customFormat="false" ht="15" hidden="false" customHeight="false" outlineLevel="0" collapsed="false">
      <c r="A160" s="38" t="str">
        <f aca="false">IF(OR(C160="",C160=0),"",IF(AND(OR($B$5="",G160=$B$5,H160=$B$5),OR($D$5="",F160=$D$5),OR($E$5="",K160=$E$5),OR($G$5="",L160=$G$5),OR($H$5="",N(J160)&gt;=$H$5),OR($I$5="",ISNUMBER(SEARCH($I$5,C160&amp;" "&amp;D160&amp;" "&amp;E160&amp;" "&amp;I160)))),"✓",""))</f>
        <v/>
      </c>
      <c r="B160" s="39" t="n">
        <v>46239</v>
      </c>
      <c r="C160" s="40" t="n">
        <f aca="false">'Aug 5'!$D$20</f>
        <v>0</v>
      </c>
      <c r="D160" s="40" t="n">
        <f aca="false">'Aug 5'!$B$20</f>
        <v>0</v>
      </c>
      <c r="E160" s="41" t="n">
        <f aca="false">'Aug 5'!$E$20</f>
        <v>0</v>
      </c>
      <c r="F160" s="40" t="n">
        <f aca="false">'Aug 5'!$A$20</f>
        <v>0</v>
      </c>
      <c r="G160" s="41" t="n">
        <f aca="false">'Aug 5'!$F$20</f>
        <v>0</v>
      </c>
      <c r="H160" s="41" t="n">
        <f aca="false">'Aug 5'!$G$20</f>
        <v>0</v>
      </c>
      <c r="I160" s="41" t="str">
        <f aca="false">'Aug 5'!$M$20</f>
        <v/>
      </c>
      <c r="J160" s="42" t="str">
        <f aca="false">'Aug 5'!$S$20</f>
        <v/>
      </c>
      <c r="K160" s="40" t="n">
        <f aca="false">'Aug 5'!$AG$20</f>
        <v>0</v>
      </c>
      <c r="L160" s="40" t="n">
        <f aca="false">'Aug 5'!$N$20</f>
        <v>0</v>
      </c>
    </row>
    <row r="161" customFormat="false" ht="15" hidden="false" customHeight="false" outlineLevel="0" collapsed="false">
      <c r="A161" s="38" t="str">
        <f aca="false">IF(OR(C161="",C161=0),"",IF(AND(OR($B$5="",G161=$B$5,H161=$B$5),OR($D$5="",F161=$D$5),OR($E$5="",K161=$E$5),OR($G$5="",L161=$G$5),OR($H$5="",N(J161)&gt;=$H$5),OR($I$5="",ISNUMBER(SEARCH($I$5,C161&amp;" "&amp;D161&amp;" "&amp;E161&amp;" "&amp;I161)))),"✓",""))</f>
        <v/>
      </c>
      <c r="B161" s="39" t="n">
        <v>46239</v>
      </c>
      <c r="C161" s="40" t="n">
        <f aca="false">'Aug 5'!$D$21</f>
        <v>0</v>
      </c>
      <c r="D161" s="40" t="n">
        <f aca="false">'Aug 5'!$B$21</f>
        <v>0</v>
      </c>
      <c r="E161" s="41" t="n">
        <f aca="false">'Aug 5'!$E$21</f>
        <v>0</v>
      </c>
      <c r="F161" s="40" t="n">
        <f aca="false">'Aug 5'!$A$21</f>
        <v>0</v>
      </c>
      <c r="G161" s="41" t="n">
        <f aca="false">'Aug 5'!$F$21</f>
        <v>0</v>
      </c>
      <c r="H161" s="41" t="n">
        <f aca="false">'Aug 5'!$G$21</f>
        <v>0</v>
      </c>
      <c r="I161" s="41" t="str">
        <f aca="false">'Aug 5'!$M$21</f>
        <v/>
      </c>
      <c r="J161" s="42" t="str">
        <f aca="false">'Aug 5'!$S$21</f>
        <v/>
      </c>
      <c r="K161" s="40" t="n">
        <f aca="false">'Aug 5'!$AG$21</f>
        <v>0</v>
      </c>
      <c r="L161" s="40" t="n">
        <f aca="false">'Aug 5'!$N$21</f>
        <v>0</v>
      </c>
    </row>
    <row r="162" customFormat="false" ht="15" hidden="false" customHeight="false" outlineLevel="0" collapsed="false">
      <c r="A162" s="38" t="str">
        <f aca="false">IF(OR(C162="",C162=0),"",IF(AND(OR($B$5="",G162=$B$5,H162=$B$5),OR($D$5="",F162=$D$5),OR($E$5="",K162=$E$5),OR($G$5="",L162=$G$5),OR($H$5="",N(J162)&gt;=$H$5),OR($I$5="",ISNUMBER(SEARCH($I$5,C162&amp;" "&amp;D162&amp;" "&amp;E162&amp;" "&amp;I162)))),"✓",""))</f>
        <v/>
      </c>
      <c r="B162" s="39" t="n">
        <v>46239</v>
      </c>
      <c r="C162" s="40" t="n">
        <f aca="false">'Aug 5'!$D$22</f>
        <v>0</v>
      </c>
      <c r="D162" s="40" t="n">
        <f aca="false">'Aug 5'!$B$22</f>
        <v>0</v>
      </c>
      <c r="E162" s="41" t="n">
        <f aca="false">'Aug 5'!$E$22</f>
        <v>0</v>
      </c>
      <c r="F162" s="40" t="n">
        <f aca="false">'Aug 5'!$A$22</f>
        <v>0</v>
      </c>
      <c r="G162" s="41" t="n">
        <f aca="false">'Aug 5'!$F$22</f>
        <v>0</v>
      </c>
      <c r="H162" s="41" t="n">
        <f aca="false">'Aug 5'!$G$22</f>
        <v>0</v>
      </c>
      <c r="I162" s="41" t="str">
        <f aca="false">'Aug 5'!$M$22</f>
        <v/>
      </c>
      <c r="J162" s="42" t="str">
        <f aca="false">'Aug 5'!$S$22</f>
        <v/>
      </c>
      <c r="K162" s="40" t="n">
        <f aca="false">'Aug 5'!$AG$22</f>
        <v>0</v>
      </c>
      <c r="L162" s="40" t="n">
        <f aca="false">'Aug 5'!$N$22</f>
        <v>0</v>
      </c>
    </row>
    <row r="163" customFormat="false" ht="15" hidden="false" customHeight="false" outlineLevel="0" collapsed="false">
      <c r="A163" s="38" t="str">
        <f aca="false">IF(OR(C163="",C163=0),"",IF(AND(OR($B$5="",G163=$B$5,H163=$B$5),OR($D$5="",F163=$D$5),OR($E$5="",K163=$E$5),OR($G$5="",L163=$G$5),OR($H$5="",N(J163)&gt;=$H$5),OR($I$5="",ISNUMBER(SEARCH($I$5,C163&amp;" "&amp;D163&amp;" "&amp;E163&amp;" "&amp;I163)))),"✓",""))</f>
        <v/>
      </c>
      <c r="B163" s="39" t="n">
        <v>46239</v>
      </c>
      <c r="C163" s="40" t="n">
        <f aca="false">'Aug 5'!$D$23</f>
        <v>0</v>
      </c>
      <c r="D163" s="40" t="n">
        <f aca="false">'Aug 5'!$B$23</f>
        <v>0</v>
      </c>
      <c r="E163" s="41" t="n">
        <f aca="false">'Aug 5'!$E$23</f>
        <v>0</v>
      </c>
      <c r="F163" s="40" t="n">
        <f aca="false">'Aug 5'!$A$23</f>
        <v>0</v>
      </c>
      <c r="G163" s="41" t="n">
        <f aca="false">'Aug 5'!$F$23</f>
        <v>0</v>
      </c>
      <c r="H163" s="41" t="n">
        <f aca="false">'Aug 5'!$G$23</f>
        <v>0</v>
      </c>
      <c r="I163" s="41" t="str">
        <f aca="false">'Aug 5'!$M$23</f>
        <v/>
      </c>
      <c r="J163" s="42" t="str">
        <f aca="false">'Aug 5'!$S$23</f>
        <v/>
      </c>
      <c r="K163" s="40" t="n">
        <f aca="false">'Aug 5'!$AG$23</f>
        <v>0</v>
      </c>
      <c r="L163" s="40" t="n">
        <f aca="false">'Aug 5'!$N$23</f>
        <v>0</v>
      </c>
    </row>
    <row r="164" customFormat="false" ht="15" hidden="false" customHeight="false" outlineLevel="0" collapsed="false">
      <c r="A164" s="38" t="str">
        <f aca="false">IF(OR(C164="",C164=0),"",IF(AND(OR($B$5="",G164=$B$5,H164=$B$5),OR($D$5="",F164=$D$5),OR($E$5="",K164=$E$5),OR($G$5="",L164=$G$5),OR($H$5="",N(J164)&gt;=$H$5),OR($I$5="",ISNUMBER(SEARCH($I$5,C164&amp;" "&amp;D164&amp;" "&amp;E164&amp;" "&amp;I164)))),"✓",""))</f>
        <v/>
      </c>
      <c r="B164" s="39" t="n">
        <v>46239</v>
      </c>
      <c r="C164" s="40" t="n">
        <f aca="false">'Aug 5'!$D$24</f>
        <v>0</v>
      </c>
      <c r="D164" s="40" t="n">
        <f aca="false">'Aug 5'!$B$24</f>
        <v>0</v>
      </c>
      <c r="E164" s="41" t="n">
        <f aca="false">'Aug 5'!$E$24</f>
        <v>0</v>
      </c>
      <c r="F164" s="40" t="n">
        <f aca="false">'Aug 5'!$A$24</f>
        <v>0</v>
      </c>
      <c r="G164" s="41" t="n">
        <f aca="false">'Aug 5'!$F$24</f>
        <v>0</v>
      </c>
      <c r="H164" s="41" t="n">
        <f aca="false">'Aug 5'!$G$24</f>
        <v>0</v>
      </c>
      <c r="I164" s="41" t="str">
        <f aca="false">'Aug 5'!$M$24</f>
        <v/>
      </c>
      <c r="J164" s="42" t="str">
        <f aca="false">'Aug 5'!$S$24</f>
        <v/>
      </c>
      <c r="K164" s="40" t="n">
        <f aca="false">'Aug 5'!$AG$24</f>
        <v>0</v>
      </c>
      <c r="L164" s="40" t="n">
        <f aca="false">'Aug 5'!$N$24</f>
        <v>0</v>
      </c>
    </row>
    <row r="165" customFormat="false" ht="15" hidden="false" customHeight="false" outlineLevel="0" collapsed="false">
      <c r="A165" s="38" t="str">
        <f aca="false">IF(OR(C165="",C165=0),"",IF(AND(OR($B$5="",G165=$B$5,H165=$B$5),OR($D$5="",F165=$D$5),OR($E$5="",K165=$E$5),OR($G$5="",L165=$G$5),OR($H$5="",N(J165)&gt;=$H$5),OR($I$5="",ISNUMBER(SEARCH($I$5,C165&amp;" "&amp;D165&amp;" "&amp;E165&amp;" "&amp;I165)))),"✓",""))</f>
        <v/>
      </c>
      <c r="B165" s="39" t="n">
        <v>46239</v>
      </c>
      <c r="C165" s="40" t="n">
        <f aca="false">'Aug 5'!$D$25</f>
        <v>0</v>
      </c>
      <c r="D165" s="40" t="n">
        <f aca="false">'Aug 5'!$B$25</f>
        <v>0</v>
      </c>
      <c r="E165" s="41" t="n">
        <f aca="false">'Aug 5'!$E$25</f>
        <v>0</v>
      </c>
      <c r="F165" s="40" t="n">
        <f aca="false">'Aug 5'!$A$25</f>
        <v>0</v>
      </c>
      <c r="G165" s="41" t="n">
        <f aca="false">'Aug 5'!$F$25</f>
        <v>0</v>
      </c>
      <c r="H165" s="41" t="n">
        <f aca="false">'Aug 5'!$G$25</f>
        <v>0</v>
      </c>
      <c r="I165" s="41" t="str">
        <f aca="false">'Aug 5'!$M$25</f>
        <v/>
      </c>
      <c r="J165" s="42" t="str">
        <f aca="false">'Aug 5'!$S$25</f>
        <v/>
      </c>
      <c r="K165" s="40" t="n">
        <f aca="false">'Aug 5'!$AG$25</f>
        <v>0</v>
      </c>
      <c r="L165" s="40" t="n">
        <f aca="false">'Aug 5'!$N$25</f>
        <v>0</v>
      </c>
    </row>
    <row r="166" customFormat="false" ht="15" hidden="false" customHeight="false" outlineLevel="0" collapsed="false">
      <c r="A166" s="38" t="str">
        <f aca="false">IF(OR(C166="",C166=0),"",IF(AND(OR($B$5="",G166=$B$5,H166=$B$5),OR($D$5="",F166=$D$5),OR($E$5="",K166=$E$5),OR($G$5="",L166=$G$5),OR($H$5="",N(J166)&gt;=$H$5),OR($I$5="",ISNUMBER(SEARCH($I$5,C166&amp;" "&amp;D166&amp;" "&amp;E166&amp;" "&amp;I166)))),"✓",""))</f>
        <v/>
      </c>
      <c r="B166" s="39" t="n">
        <v>46239</v>
      </c>
      <c r="C166" s="40" t="n">
        <f aca="false">'Aug 5'!$D$26</f>
        <v>0</v>
      </c>
      <c r="D166" s="40" t="n">
        <f aca="false">'Aug 5'!$B$26</f>
        <v>0</v>
      </c>
      <c r="E166" s="41" t="n">
        <f aca="false">'Aug 5'!$E$26</f>
        <v>0</v>
      </c>
      <c r="F166" s="40" t="n">
        <f aca="false">'Aug 5'!$A$26</f>
        <v>0</v>
      </c>
      <c r="G166" s="41" t="n">
        <f aca="false">'Aug 5'!$F$26</f>
        <v>0</v>
      </c>
      <c r="H166" s="41" t="n">
        <f aca="false">'Aug 5'!$G$26</f>
        <v>0</v>
      </c>
      <c r="I166" s="41" t="str">
        <f aca="false">'Aug 5'!$M$26</f>
        <v/>
      </c>
      <c r="J166" s="42" t="str">
        <f aca="false">'Aug 5'!$S$26</f>
        <v/>
      </c>
      <c r="K166" s="40" t="n">
        <f aca="false">'Aug 5'!$AG$26</f>
        <v>0</v>
      </c>
      <c r="L166" s="40" t="n">
        <f aca="false">'Aug 5'!$N$26</f>
        <v>0</v>
      </c>
    </row>
    <row r="167" customFormat="false" ht="15" hidden="false" customHeight="false" outlineLevel="0" collapsed="false">
      <c r="A167" s="38" t="str">
        <f aca="false">IF(OR(C167="",C167=0),"",IF(AND(OR($B$5="",G167=$B$5,H167=$B$5),OR($D$5="",F167=$D$5),OR($E$5="",K167=$E$5),OR($G$5="",L167=$G$5),OR($H$5="",N(J167)&gt;=$H$5),OR($I$5="",ISNUMBER(SEARCH($I$5,C167&amp;" "&amp;D167&amp;" "&amp;E167&amp;" "&amp;I167)))),"✓",""))</f>
        <v/>
      </c>
      <c r="B167" s="39" t="n">
        <v>46239</v>
      </c>
      <c r="C167" s="40" t="n">
        <f aca="false">'Aug 5'!$D$27</f>
        <v>0</v>
      </c>
      <c r="D167" s="40" t="n">
        <f aca="false">'Aug 5'!$B$27</f>
        <v>0</v>
      </c>
      <c r="E167" s="41" t="n">
        <f aca="false">'Aug 5'!$E$27</f>
        <v>0</v>
      </c>
      <c r="F167" s="40" t="n">
        <f aca="false">'Aug 5'!$A$27</f>
        <v>0</v>
      </c>
      <c r="G167" s="41" t="n">
        <f aca="false">'Aug 5'!$F$27</f>
        <v>0</v>
      </c>
      <c r="H167" s="41" t="n">
        <f aca="false">'Aug 5'!$G$27</f>
        <v>0</v>
      </c>
      <c r="I167" s="41" t="str">
        <f aca="false">'Aug 5'!$M$27</f>
        <v/>
      </c>
      <c r="J167" s="42" t="str">
        <f aca="false">'Aug 5'!$S$27</f>
        <v/>
      </c>
      <c r="K167" s="40" t="n">
        <f aca="false">'Aug 5'!$AG$27</f>
        <v>0</v>
      </c>
      <c r="L167" s="40" t="n">
        <f aca="false">'Aug 5'!$N$27</f>
        <v>0</v>
      </c>
    </row>
    <row r="168" customFormat="false" ht="15" hidden="false" customHeight="false" outlineLevel="0" collapsed="false">
      <c r="A168" s="38" t="str">
        <f aca="false">IF(OR(C168="",C168=0),"",IF(AND(OR($B$5="",G168=$B$5,H168=$B$5),OR($D$5="",F168=$D$5),OR($E$5="",K168=$E$5),OR($G$5="",L168=$G$5),OR($H$5="",N(J168)&gt;=$H$5),OR($I$5="",ISNUMBER(SEARCH($I$5,C168&amp;" "&amp;D168&amp;" "&amp;E168&amp;" "&amp;I168)))),"✓",""))</f>
        <v/>
      </c>
      <c r="B168" s="39" t="n">
        <v>46239</v>
      </c>
      <c r="C168" s="40" t="n">
        <f aca="false">'Aug 5'!$D$28</f>
        <v>0</v>
      </c>
      <c r="D168" s="40" t="n">
        <f aca="false">'Aug 5'!$B$28</f>
        <v>0</v>
      </c>
      <c r="E168" s="41" t="n">
        <f aca="false">'Aug 5'!$E$28</f>
        <v>0</v>
      </c>
      <c r="F168" s="40" t="n">
        <f aca="false">'Aug 5'!$A$28</f>
        <v>0</v>
      </c>
      <c r="G168" s="41" t="n">
        <f aca="false">'Aug 5'!$F$28</f>
        <v>0</v>
      </c>
      <c r="H168" s="41" t="n">
        <f aca="false">'Aug 5'!$G$28</f>
        <v>0</v>
      </c>
      <c r="I168" s="41" t="str">
        <f aca="false">'Aug 5'!$M$28</f>
        <v/>
      </c>
      <c r="J168" s="42" t="str">
        <f aca="false">'Aug 5'!$S$28</f>
        <v/>
      </c>
      <c r="K168" s="40" t="n">
        <f aca="false">'Aug 5'!$AG$28</f>
        <v>0</v>
      </c>
      <c r="L168" s="40" t="n">
        <f aca="false">'Aug 5'!$N$28</f>
        <v>0</v>
      </c>
    </row>
    <row r="169" customFormat="false" ht="15" hidden="false" customHeight="false" outlineLevel="0" collapsed="false">
      <c r="A169" s="38" t="str">
        <f aca="false">IF(OR(C169="",C169=0),"",IF(AND(OR($B$5="",G169=$B$5,H169=$B$5),OR($D$5="",F169=$D$5),OR($E$5="",K169=$E$5),OR($G$5="",L169=$G$5),OR($H$5="",N(J169)&gt;=$H$5),OR($I$5="",ISNUMBER(SEARCH($I$5,C169&amp;" "&amp;D169&amp;" "&amp;E169&amp;" "&amp;I169)))),"✓",""))</f>
        <v/>
      </c>
      <c r="B169" s="39" t="n">
        <v>46239</v>
      </c>
      <c r="C169" s="40" t="n">
        <f aca="false">'Aug 5'!$D$29</f>
        <v>0</v>
      </c>
      <c r="D169" s="40" t="n">
        <f aca="false">'Aug 5'!$B$29</f>
        <v>0</v>
      </c>
      <c r="E169" s="41" t="n">
        <f aca="false">'Aug 5'!$E$29</f>
        <v>0</v>
      </c>
      <c r="F169" s="40" t="n">
        <f aca="false">'Aug 5'!$A$29</f>
        <v>0</v>
      </c>
      <c r="G169" s="41" t="n">
        <f aca="false">'Aug 5'!$F$29</f>
        <v>0</v>
      </c>
      <c r="H169" s="41" t="n">
        <f aca="false">'Aug 5'!$G$29</f>
        <v>0</v>
      </c>
      <c r="I169" s="41" t="str">
        <f aca="false">'Aug 5'!$M$29</f>
        <v/>
      </c>
      <c r="J169" s="42" t="str">
        <f aca="false">'Aug 5'!$S$29</f>
        <v/>
      </c>
      <c r="K169" s="40" t="n">
        <f aca="false">'Aug 5'!$AG$29</f>
        <v>0</v>
      </c>
      <c r="L169" s="40" t="n">
        <f aca="false">'Aug 5'!$N$29</f>
        <v>0</v>
      </c>
    </row>
    <row r="170" customFormat="false" ht="15" hidden="false" customHeight="false" outlineLevel="0" collapsed="false">
      <c r="A170" s="38" t="str">
        <f aca="false">IF(OR(C170="",C170=0),"",IF(AND(OR($B$5="",G170=$B$5,H170=$B$5),OR($D$5="",F170=$D$5),OR($E$5="",K170=$E$5),OR($G$5="",L170=$G$5),OR($H$5="",N(J170)&gt;=$H$5),OR($I$5="",ISNUMBER(SEARCH($I$5,C170&amp;" "&amp;D170&amp;" "&amp;E170&amp;" "&amp;I170)))),"✓",""))</f>
        <v/>
      </c>
      <c r="B170" s="39" t="n">
        <v>46239</v>
      </c>
      <c r="C170" s="40" t="n">
        <f aca="false">'Aug 5'!$D$30</f>
        <v>0</v>
      </c>
      <c r="D170" s="40" t="n">
        <f aca="false">'Aug 5'!$B$30</f>
        <v>0</v>
      </c>
      <c r="E170" s="41" t="n">
        <f aca="false">'Aug 5'!$E$30</f>
        <v>0</v>
      </c>
      <c r="F170" s="40" t="n">
        <f aca="false">'Aug 5'!$A$30</f>
        <v>0</v>
      </c>
      <c r="G170" s="41" t="n">
        <f aca="false">'Aug 5'!$F$30</f>
        <v>0</v>
      </c>
      <c r="H170" s="41" t="n">
        <f aca="false">'Aug 5'!$G$30</f>
        <v>0</v>
      </c>
      <c r="I170" s="41" t="str">
        <f aca="false">'Aug 5'!$M$30</f>
        <v/>
      </c>
      <c r="J170" s="42" t="str">
        <f aca="false">'Aug 5'!$S$30</f>
        <v/>
      </c>
      <c r="K170" s="40" t="n">
        <f aca="false">'Aug 5'!$AG$30</f>
        <v>0</v>
      </c>
      <c r="L170" s="40" t="n">
        <f aca="false">'Aug 5'!$N$30</f>
        <v>0</v>
      </c>
    </row>
    <row r="171" customFormat="false" ht="15" hidden="false" customHeight="false" outlineLevel="0" collapsed="false">
      <c r="A171" s="38" t="str">
        <f aca="false">IF(OR(C171="",C171=0),"",IF(AND(OR($B$5="",G171=$B$5,H171=$B$5),OR($D$5="",F171=$D$5),OR($E$5="",K171=$E$5),OR($G$5="",L171=$G$5),OR($H$5="",N(J171)&gt;=$H$5),OR($I$5="",ISNUMBER(SEARCH($I$5,C171&amp;" "&amp;D171&amp;" "&amp;E171&amp;" "&amp;I171)))),"✓",""))</f>
        <v/>
      </c>
      <c r="B171" s="39" t="n">
        <v>46239</v>
      </c>
      <c r="C171" s="40" t="n">
        <f aca="false">'Aug 5'!$D$31</f>
        <v>0</v>
      </c>
      <c r="D171" s="40" t="n">
        <f aca="false">'Aug 5'!$B$31</f>
        <v>0</v>
      </c>
      <c r="E171" s="41" t="n">
        <f aca="false">'Aug 5'!$E$31</f>
        <v>0</v>
      </c>
      <c r="F171" s="40" t="n">
        <f aca="false">'Aug 5'!$A$31</f>
        <v>0</v>
      </c>
      <c r="G171" s="41" t="n">
        <f aca="false">'Aug 5'!$F$31</f>
        <v>0</v>
      </c>
      <c r="H171" s="41" t="n">
        <f aca="false">'Aug 5'!$G$31</f>
        <v>0</v>
      </c>
      <c r="I171" s="41" t="str">
        <f aca="false">'Aug 5'!$M$31</f>
        <v/>
      </c>
      <c r="J171" s="42" t="str">
        <f aca="false">'Aug 5'!$S$31</f>
        <v/>
      </c>
      <c r="K171" s="40" t="n">
        <f aca="false">'Aug 5'!$AG$31</f>
        <v>0</v>
      </c>
      <c r="L171" s="40" t="n">
        <f aca="false">'Aug 5'!$N$31</f>
        <v>0</v>
      </c>
    </row>
    <row r="172" customFormat="false" ht="15" hidden="false" customHeight="false" outlineLevel="0" collapsed="false">
      <c r="A172" s="38" t="str">
        <f aca="false">IF(OR(C172="",C172=0),"",IF(AND(OR($B$5="",G172=$B$5,H172=$B$5),OR($D$5="",F172=$D$5),OR($E$5="",K172=$E$5),OR($G$5="",L172=$G$5),OR($H$5="",N(J172)&gt;=$H$5),OR($I$5="",ISNUMBER(SEARCH($I$5,C172&amp;" "&amp;D172&amp;" "&amp;E172&amp;" "&amp;I172)))),"✓",""))</f>
        <v/>
      </c>
      <c r="B172" s="39" t="n">
        <v>46239</v>
      </c>
      <c r="C172" s="40" t="n">
        <f aca="false">'Aug 5'!$D$32</f>
        <v>0</v>
      </c>
      <c r="D172" s="40" t="n">
        <f aca="false">'Aug 5'!$B$32</f>
        <v>0</v>
      </c>
      <c r="E172" s="41" t="n">
        <f aca="false">'Aug 5'!$E$32</f>
        <v>0</v>
      </c>
      <c r="F172" s="40" t="n">
        <f aca="false">'Aug 5'!$A$32</f>
        <v>0</v>
      </c>
      <c r="G172" s="41" t="n">
        <f aca="false">'Aug 5'!$F$32</f>
        <v>0</v>
      </c>
      <c r="H172" s="41" t="n">
        <f aca="false">'Aug 5'!$G$32</f>
        <v>0</v>
      </c>
      <c r="I172" s="41" t="str">
        <f aca="false">'Aug 5'!$M$32</f>
        <v/>
      </c>
      <c r="J172" s="42" t="str">
        <f aca="false">'Aug 5'!$S$32</f>
        <v/>
      </c>
      <c r="K172" s="40" t="n">
        <f aca="false">'Aug 5'!$AG$32</f>
        <v>0</v>
      </c>
      <c r="L172" s="40" t="n">
        <f aca="false">'Aug 5'!$N$32</f>
        <v>0</v>
      </c>
    </row>
    <row r="173" customFormat="false" ht="15" hidden="false" customHeight="false" outlineLevel="0" collapsed="false">
      <c r="A173" s="38" t="str">
        <f aca="false">IF(OR(C173="",C173=0),"",IF(AND(OR($B$5="",G173=$B$5,H173=$B$5),OR($D$5="",F173=$D$5),OR($E$5="",K173=$E$5),OR($G$5="",L173=$G$5),OR($H$5="",N(J173)&gt;=$H$5),OR($I$5="",ISNUMBER(SEARCH($I$5,C173&amp;" "&amp;D173&amp;" "&amp;E173&amp;" "&amp;I173)))),"✓",""))</f>
        <v/>
      </c>
      <c r="B173" s="39" t="n">
        <v>46239</v>
      </c>
      <c r="C173" s="40" t="n">
        <f aca="false">'Aug 5'!$D$33</f>
        <v>0</v>
      </c>
      <c r="D173" s="40" t="n">
        <f aca="false">'Aug 5'!$B$33</f>
        <v>0</v>
      </c>
      <c r="E173" s="41" t="n">
        <f aca="false">'Aug 5'!$E$33</f>
        <v>0</v>
      </c>
      <c r="F173" s="40" t="n">
        <f aca="false">'Aug 5'!$A$33</f>
        <v>0</v>
      </c>
      <c r="G173" s="41" t="n">
        <f aca="false">'Aug 5'!$F$33</f>
        <v>0</v>
      </c>
      <c r="H173" s="41" t="n">
        <f aca="false">'Aug 5'!$G$33</f>
        <v>0</v>
      </c>
      <c r="I173" s="41" t="str">
        <f aca="false">'Aug 5'!$M$33</f>
        <v/>
      </c>
      <c r="J173" s="42" t="str">
        <f aca="false">'Aug 5'!$S$33</f>
        <v/>
      </c>
      <c r="K173" s="40" t="n">
        <f aca="false">'Aug 5'!$AG$33</f>
        <v>0</v>
      </c>
      <c r="L173" s="40" t="n">
        <f aca="false">'Aug 5'!$N$33</f>
        <v>0</v>
      </c>
    </row>
    <row r="174" customFormat="false" ht="15" hidden="false" customHeight="false" outlineLevel="0" collapsed="false">
      <c r="A174" s="38" t="str">
        <f aca="false">IF(OR(C174="",C174=0),"",IF(AND(OR($B$5="",G174=$B$5,H174=$B$5),OR($D$5="",F174=$D$5),OR($E$5="",K174=$E$5),OR($G$5="",L174=$G$5),OR($H$5="",N(J174)&gt;=$H$5),OR($I$5="",ISNUMBER(SEARCH($I$5,C174&amp;" "&amp;D174&amp;" "&amp;E174&amp;" "&amp;I174)))),"✓",""))</f>
        <v/>
      </c>
      <c r="B174" s="39" t="n">
        <v>46239</v>
      </c>
      <c r="C174" s="40" t="n">
        <f aca="false">'Aug 5'!$D$34</f>
        <v>0</v>
      </c>
      <c r="D174" s="40" t="n">
        <f aca="false">'Aug 5'!$B$34</f>
        <v>0</v>
      </c>
      <c r="E174" s="41" t="n">
        <f aca="false">'Aug 5'!$E$34</f>
        <v>0</v>
      </c>
      <c r="F174" s="40" t="n">
        <f aca="false">'Aug 5'!$A$34</f>
        <v>0</v>
      </c>
      <c r="G174" s="41" t="n">
        <f aca="false">'Aug 5'!$F$34</f>
        <v>0</v>
      </c>
      <c r="H174" s="41" t="n">
        <f aca="false">'Aug 5'!$G$34</f>
        <v>0</v>
      </c>
      <c r="I174" s="41" t="str">
        <f aca="false">'Aug 5'!$M$34</f>
        <v/>
      </c>
      <c r="J174" s="42" t="str">
        <f aca="false">'Aug 5'!$S$34</f>
        <v/>
      </c>
      <c r="K174" s="40" t="n">
        <f aca="false">'Aug 5'!$AG$34</f>
        <v>0</v>
      </c>
      <c r="L174" s="40" t="n">
        <f aca="false">'Aug 5'!$N$34</f>
        <v>0</v>
      </c>
    </row>
    <row r="175" customFormat="false" ht="15" hidden="false" customHeight="false" outlineLevel="0" collapsed="false">
      <c r="A175" s="38" t="str">
        <f aca="false">IF(OR(C175="",C175=0),"",IF(AND(OR($B$5="",G175=$B$5,H175=$B$5),OR($D$5="",F175=$D$5),OR($E$5="",K175=$E$5),OR($G$5="",L175=$G$5),OR($H$5="",N(J175)&gt;=$H$5),OR($I$5="",ISNUMBER(SEARCH($I$5,C175&amp;" "&amp;D175&amp;" "&amp;E175&amp;" "&amp;I175)))),"✓",""))</f>
        <v/>
      </c>
      <c r="B175" s="39" t="n">
        <v>46239</v>
      </c>
      <c r="C175" s="40" t="n">
        <f aca="false">'Aug 5'!$D$35</f>
        <v>0</v>
      </c>
      <c r="D175" s="40" t="n">
        <f aca="false">'Aug 5'!$B$35</f>
        <v>0</v>
      </c>
      <c r="E175" s="41" t="n">
        <f aca="false">'Aug 5'!$E$35</f>
        <v>0</v>
      </c>
      <c r="F175" s="40" t="n">
        <f aca="false">'Aug 5'!$A$35</f>
        <v>0</v>
      </c>
      <c r="G175" s="41" t="n">
        <f aca="false">'Aug 5'!$F$35</f>
        <v>0</v>
      </c>
      <c r="H175" s="41" t="n">
        <f aca="false">'Aug 5'!$G$35</f>
        <v>0</v>
      </c>
      <c r="I175" s="41" t="str">
        <f aca="false">'Aug 5'!$M$35</f>
        <v/>
      </c>
      <c r="J175" s="42" t="str">
        <f aca="false">'Aug 5'!$S$35</f>
        <v/>
      </c>
      <c r="K175" s="40" t="n">
        <f aca="false">'Aug 5'!$AG$35</f>
        <v>0</v>
      </c>
      <c r="L175" s="40" t="n">
        <f aca="false">'Aug 5'!$N$35</f>
        <v>0</v>
      </c>
    </row>
    <row r="176" customFormat="false" ht="15" hidden="false" customHeight="false" outlineLevel="0" collapsed="false">
      <c r="A176" s="38" t="str">
        <f aca="false">IF(OR(C176="",C176=0),"",IF(AND(OR($B$5="",G176=$B$5,H176=$B$5),OR($D$5="",F176=$D$5),OR($E$5="",K176=$E$5),OR($G$5="",L176=$G$5),OR($H$5="",N(J176)&gt;=$H$5),OR($I$5="",ISNUMBER(SEARCH($I$5,C176&amp;" "&amp;D176&amp;" "&amp;E176&amp;" "&amp;I176)))),"✓",""))</f>
        <v/>
      </c>
      <c r="B176" s="39" t="n">
        <v>46239</v>
      </c>
      <c r="C176" s="40" t="n">
        <f aca="false">'Aug 5'!$D$36</f>
        <v>0</v>
      </c>
      <c r="D176" s="40" t="n">
        <f aca="false">'Aug 5'!$B$36</f>
        <v>0</v>
      </c>
      <c r="E176" s="41" t="n">
        <f aca="false">'Aug 5'!$E$36</f>
        <v>0</v>
      </c>
      <c r="F176" s="40" t="n">
        <f aca="false">'Aug 5'!$A$36</f>
        <v>0</v>
      </c>
      <c r="G176" s="41" t="n">
        <f aca="false">'Aug 5'!$F$36</f>
        <v>0</v>
      </c>
      <c r="H176" s="41" t="n">
        <f aca="false">'Aug 5'!$G$36</f>
        <v>0</v>
      </c>
      <c r="I176" s="41" t="str">
        <f aca="false">'Aug 5'!$M$36</f>
        <v/>
      </c>
      <c r="J176" s="42" t="str">
        <f aca="false">'Aug 5'!$S$36</f>
        <v/>
      </c>
      <c r="K176" s="40" t="n">
        <f aca="false">'Aug 5'!$AG$36</f>
        <v>0</v>
      </c>
      <c r="L176" s="40" t="n">
        <f aca="false">'Aug 5'!$N$36</f>
        <v>0</v>
      </c>
    </row>
    <row r="177" customFormat="false" ht="15" hidden="false" customHeight="false" outlineLevel="0" collapsed="false">
      <c r="A177" s="38" t="str">
        <f aca="false">IF(OR(C177="",C177=0),"",IF(AND(OR($B$5="",G177=$B$5,H177=$B$5),OR($D$5="",F177=$D$5),OR($E$5="",K177=$E$5),OR($G$5="",L177=$G$5),OR($H$5="",N(J177)&gt;=$H$5),OR($I$5="",ISNUMBER(SEARCH($I$5,C177&amp;" "&amp;D177&amp;" "&amp;E177&amp;" "&amp;I177)))),"✓",""))</f>
        <v/>
      </c>
      <c r="B177" s="39" t="n">
        <v>46239</v>
      </c>
      <c r="C177" s="40" t="n">
        <f aca="false">'Aug 5'!$D$37</f>
        <v>0</v>
      </c>
      <c r="D177" s="40" t="n">
        <f aca="false">'Aug 5'!$B$37</f>
        <v>0</v>
      </c>
      <c r="E177" s="41" t="n">
        <f aca="false">'Aug 5'!$E$37</f>
        <v>0</v>
      </c>
      <c r="F177" s="40" t="n">
        <f aca="false">'Aug 5'!$A$37</f>
        <v>0</v>
      </c>
      <c r="G177" s="41" t="n">
        <f aca="false">'Aug 5'!$F$37</f>
        <v>0</v>
      </c>
      <c r="H177" s="41" t="n">
        <f aca="false">'Aug 5'!$G$37</f>
        <v>0</v>
      </c>
      <c r="I177" s="41" t="str">
        <f aca="false">'Aug 5'!$M$37</f>
        <v/>
      </c>
      <c r="J177" s="42" t="str">
        <f aca="false">'Aug 5'!$S$37</f>
        <v/>
      </c>
      <c r="K177" s="40" t="n">
        <f aca="false">'Aug 5'!$AG$37</f>
        <v>0</v>
      </c>
      <c r="L177" s="40" t="n">
        <f aca="false">'Aug 5'!$N$37</f>
        <v>0</v>
      </c>
    </row>
    <row r="178" customFormat="false" ht="15" hidden="false" customHeight="false" outlineLevel="0" collapsed="false">
      <c r="A178" s="38" t="str">
        <f aca="false">IF(OR(C178="",C178=0),"",IF(AND(OR($B$5="",G178=$B$5,H178=$B$5),OR($D$5="",F178=$D$5),OR($E$5="",K178=$E$5),OR($G$5="",L178=$G$5),OR($H$5="",N(J178)&gt;=$H$5),OR($I$5="",ISNUMBER(SEARCH($I$5,C178&amp;" "&amp;D178&amp;" "&amp;E178&amp;" "&amp;I178)))),"✓",""))</f>
        <v/>
      </c>
      <c r="B178" s="39" t="n">
        <v>46239</v>
      </c>
      <c r="C178" s="40" t="n">
        <f aca="false">'Aug 5'!$D$38</f>
        <v>0</v>
      </c>
      <c r="D178" s="40" t="n">
        <f aca="false">'Aug 5'!$B$38</f>
        <v>0</v>
      </c>
      <c r="E178" s="41" t="n">
        <f aca="false">'Aug 5'!$E$38</f>
        <v>0</v>
      </c>
      <c r="F178" s="40" t="n">
        <f aca="false">'Aug 5'!$A$38</f>
        <v>0</v>
      </c>
      <c r="G178" s="41" t="n">
        <f aca="false">'Aug 5'!$F$38</f>
        <v>0</v>
      </c>
      <c r="H178" s="41" t="n">
        <f aca="false">'Aug 5'!$G$38</f>
        <v>0</v>
      </c>
      <c r="I178" s="41" t="str">
        <f aca="false">'Aug 5'!$M$38</f>
        <v/>
      </c>
      <c r="J178" s="42" t="str">
        <f aca="false">'Aug 5'!$S$38</f>
        <v/>
      </c>
      <c r="K178" s="40" t="n">
        <f aca="false">'Aug 5'!$AG$38</f>
        <v>0</v>
      </c>
      <c r="L178" s="40" t="n">
        <f aca="false">'Aug 5'!$N$38</f>
        <v>0</v>
      </c>
    </row>
    <row r="179" customFormat="false" ht="15" hidden="false" customHeight="false" outlineLevel="0" collapsed="false">
      <c r="A179" s="38" t="str">
        <f aca="false">IF(OR(C179="",C179=0),"",IF(AND(OR($B$5="",G179=$B$5,H179=$B$5),OR($D$5="",F179=$D$5),OR($E$5="",K179=$E$5),OR($G$5="",L179=$G$5),OR($H$5="",N(J179)&gt;=$H$5),OR($I$5="",ISNUMBER(SEARCH($I$5,C179&amp;" "&amp;D179&amp;" "&amp;E179&amp;" "&amp;I179)))),"✓",""))</f>
        <v/>
      </c>
      <c r="B179" s="39" t="n">
        <v>46239</v>
      </c>
      <c r="C179" s="40" t="n">
        <f aca="false">'Aug 5'!$D$39</f>
        <v>0</v>
      </c>
      <c r="D179" s="40" t="n">
        <f aca="false">'Aug 5'!$B$39</f>
        <v>0</v>
      </c>
      <c r="E179" s="41" t="n">
        <f aca="false">'Aug 5'!$E$39</f>
        <v>0</v>
      </c>
      <c r="F179" s="40" t="n">
        <f aca="false">'Aug 5'!$A$39</f>
        <v>0</v>
      </c>
      <c r="G179" s="41" t="n">
        <f aca="false">'Aug 5'!$F$39</f>
        <v>0</v>
      </c>
      <c r="H179" s="41" t="n">
        <f aca="false">'Aug 5'!$G$39</f>
        <v>0</v>
      </c>
      <c r="I179" s="41" t="str">
        <f aca="false">'Aug 5'!$M$39</f>
        <v/>
      </c>
      <c r="J179" s="42" t="str">
        <f aca="false">'Aug 5'!$S$39</f>
        <v/>
      </c>
      <c r="K179" s="40" t="n">
        <f aca="false">'Aug 5'!$AG$39</f>
        <v>0</v>
      </c>
      <c r="L179" s="40" t="n">
        <f aca="false">'Aug 5'!$N$39</f>
        <v>0</v>
      </c>
    </row>
    <row r="180" customFormat="false" ht="15" hidden="false" customHeight="false" outlineLevel="0" collapsed="false">
      <c r="A180" s="38" t="str">
        <f aca="false">IF(OR(C180="",C180=0),"",IF(AND(OR($B$5="",G180=$B$5,H180=$B$5),OR($D$5="",F180=$D$5),OR($E$5="",K180=$E$5),OR($G$5="",L180=$G$5),OR($H$5="",N(J180)&gt;=$H$5),OR($I$5="",ISNUMBER(SEARCH($I$5,C180&amp;" "&amp;D180&amp;" "&amp;E180&amp;" "&amp;I180)))),"✓",""))</f>
        <v/>
      </c>
      <c r="B180" s="39" t="n">
        <v>46239</v>
      </c>
      <c r="C180" s="40" t="n">
        <f aca="false">'Aug 5'!$D$40</f>
        <v>0</v>
      </c>
      <c r="D180" s="40" t="n">
        <f aca="false">'Aug 5'!$B$40</f>
        <v>0</v>
      </c>
      <c r="E180" s="41" t="n">
        <f aca="false">'Aug 5'!$E$40</f>
        <v>0</v>
      </c>
      <c r="F180" s="40" t="n">
        <f aca="false">'Aug 5'!$A$40</f>
        <v>0</v>
      </c>
      <c r="G180" s="41" t="n">
        <f aca="false">'Aug 5'!$F$40</f>
        <v>0</v>
      </c>
      <c r="H180" s="41" t="n">
        <f aca="false">'Aug 5'!$G$40</f>
        <v>0</v>
      </c>
      <c r="I180" s="41" t="str">
        <f aca="false">'Aug 5'!$M$40</f>
        <v/>
      </c>
      <c r="J180" s="42" t="str">
        <f aca="false">'Aug 5'!$S$40</f>
        <v/>
      </c>
      <c r="K180" s="40" t="n">
        <f aca="false">'Aug 5'!$AG$40</f>
        <v>0</v>
      </c>
      <c r="L180" s="40" t="n">
        <f aca="false">'Aug 5'!$N$40</f>
        <v>0</v>
      </c>
    </row>
    <row r="181" customFormat="false" ht="15" hidden="false" customHeight="false" outlineLevel="0" collapsed="false">
      <c r="A181" s="38" t="str">
        <f aca="false">IF(OR(C181="",C181=0),"",IF(AND(OR($B$5="",G181=$B$5,H181=$B$5),OR($D$5="",F181=$D$5),OR($E$5="",K181=$E$5),OR($G$5="",L181=$G$5),OR($H$5="",N(J181)&gt;=$H$5),OR($I$5="",ISNUMBER(SEARCH($I$5,C181&amp;" "&amp;D181&amp;" "&amp;E181&amp;" "&amp;I181)))),"✓",""))</f>
        <v/>
      </c>
      <c r="B181" s="39" t="n">
        <v>46239</v>
      </c>
      <c r="C181" s="40" t="n">
        <f aca="false">'Aug 5'!$D$41</f>
        <v>0</v>
      </c>
      <c r="D181" s="40" t="n">
        <f aca="false">'Aug 5'!$B$41</f>
        <v>0</v>
      </c>
      <c r="E181" s="41" t="n">
        <f aca="false">'Aug 5'!$E$41</f>
        <v>0</v>
      </c>
      <c r="F181" s="40" t="n">
        <f aca="false">'Aug 5'!$A$41</f>
        <v>0</v>
      </c>
      <c r="G181" s="41" t="n">
        <f aca="false">'Aug 5'!$F$41</f>
        <v>0</v>
      </c>
      <c r="H181" s="41" t="n">
        <f aca="false">'Aug 5'!$G$41</f>
        <v>0</v>
      </c>
      <c r="I181" s="41" t="str">
        <f aca="false">'Aug 5'!$M$41</f>
        <v/>
      </c>
      <c r="J181" s="42" t="str">
        <f aca="false">'Aug 5'!$S$41</f>
        <v/>
      </c>
      <c r="K181" s="40" t="n">
        <f aca="false">'Aug 5'!$AG$41</f>
        <v>0</v>
      </c>
      <c r="L181" s="40" t="n">
        <f aca="false">'Aug 5'!$N$41</f>
        <v>0</v>
      </c>
    </row>
    <row r="182" customFormat="false" ht="15" hidden="false" customHeight="false" outlineLevel="0" collapsed="false">
      <c r="A182" s="38" t="str">
        <f aca="false">IF(OR(C182="",C182=0),"",IF(AND(OR($B$5="",G182=$B$5,H182=$B$5),OR($D$5="",F182=$D$5),OR($E$5="",K182=$E$5),OR($G$5="",L182=$G$5),OR($H$5="",N(J182)&gt;=$H$5),OR($I$5="",ISNUMBER(SEARCH($I$5,C182&amp;" "&amp;D182&amp;" "&amp;E182&amp;" "&amp;I182)))),"✓",""))</f>
        <v/>
      </c>
      <c r="B182" s="39" t="n">
        <v>46239</v>
      </c>
      <c r="C182" s="40" t="n">
        <f aca="false">'Aug 5'!$D$42</f>
        <v>0</v>
      </c>
      <c r="D182" s="40" t="n">
        <f aca="false">'Aug 5'!$B$42</f>
        <v>0</v>
      </c>
      <c r="E182" s="41" t="n">
        <f aca="false">'Aug 5'!$E$42</f>
        <v>0</v>
      </c>
      <c r="F182" s="40" t="n">
        <f aca="false">'Aug 5'!$A$42</f>
        <v>0</v>
      </c>
      <c r="G182" s="41" t="n">
        <f aca="false">'Aug 5'!$F$42</f>
        <v>0</v>
      </c>
      <c r="H182" s="41" t="n">
        <f aca="false">'Aug 5'!$G$42</f>
        <v>0</v>
      </c>
      <c r="I182" s="41" t="str">
        <f aca="false">'Aug 5'!$M$42</f>
        <v/>
      </c>
      <c r="J182" s="42" t="str">
        <f aca="false">'Aug 5'!$S$42</f>
        <v/>
      </c>
      <c r="K182" s="40" t="n">
        <f aca="false">'Aug 5'!$AG$42</f>
        <v>0</v>
      </c>
      <c r="L182" s="40" t="n">
        <f aca="false">'Aug 5'!$N$42</f>
        <v>0</v>
      </c>
    </row>
    <row r="183" customFormat="false" ht="15" hidden="false" customHeight="false" outlineLevel="0" collapsed="false">
      <c r="A183" s="38" t="str">
        <f aca="false">IF(OR(C183="",C183=0),"",IF(AND(OR($B$5="",G183=$B$5,H183=$B$5),OR($D$5="",F183=$D$5),OR($E$5="",K183=$E$5),OR($G$5="",L183=$G$5),OR($H$5="",N(J183)&gt;=$H$5),OR($I$5="",ISNUMBER(SEARCH($I$5,C183&amp;" "&amp;D183&amp;" "&amp;E183&amp;" "&amp;I183)))),"✓",""))</f>
        <v/>
      </c>
      <c r="B183" s="39" t="n">
        <v>46240</v>
      </c>
      <c r="C183" s="40" t="n">
        <f aca="false">'Aug 6'!$D$8</f>
        <v>0</v>
      </c>
      <c r="D183" s="40" t="n">
        <f aca="false">'Aug 6'!$B$8</f>
        <v>0</v>
      </c>
      <c r="E183" s="41" t="n">
        <f aca="false">'Aug 6'!$E$8</f>
        <v>0</v>
      </c>
      <c r="F183" s="40" t="n">
        <f aca="false">'Aug 6'!$A$8</f>
        <v>0</v>
      </c>
      <c r="G183" s="41" t="n">
        <f aca="false">'Aug 6'!$F$8</f>
        <v>0</v>
      </c>
      <c r="H183" s="41" t="n">
        <f aca="false">'Aug 6'!$G$8</f>
        <v>0</v>
      </c>
      <c r="I183" s="41" t="str">
        <f aca="false">'Aug 6'!$M$8</f>
        <v/>
      </c>
      <c r="J183" s="42" t="str">
        <f aca="false">'Aug 6'!$S$8</f>
        <v/>
      </c>
      <c r="K183" s="40" t="n">
        <f aca="false">'Aug 6'!$AG$8</f>
        <v>0</v>
      </c>
      <c r="L183" s="40" t="n">
        <f aca="false">'Aug 6'!$N$8</f>
        <v>0</v>
      </c>
    </row>
    <row r="184" customFormat="false" ht="15" hidden="false" customHeight="false" outlineLevel="0" collapsed="false">
      <c r="A184" s="38" t="str">
        <f aca="false">IF(OR(C184="",C184=0),"",IF(AND(OR($B$5="",G184=$B$5,H184=$B$5),OR($D$5="",F184=$D$5),OR($E$5="",K184=$E$5),OR($G$5="",L184=$G$5),OR($H$5="",N(J184)&gt;=$H$5),OR($I$5="",ISNUMBER(SEARCH($I$5,C184&amp;" "&amp;D184&amp;" "&amp;E184&amp;" "&amp;I184)))),"✓",""))</f>
        <v/>
      </c>
      <c r="B184" s="39" t="n">
        <v>46240</v>
      </c>
      <c r="C184" s="40" t="n">
        <f aca="false">'Aug 6'!$D$9</f>
        <v>0</v>
      </c>
      <c r="D184" s="40" t="n">
        <f aca="false">'Aug 6'!$B$9</f>
        <v>0</v>
      </c>
      <c r="E184" s="41" t="n">
        <f aca="false">'Aug 6'!$E$9</f>
        <v>0</v>
      </c>
      <c r="F184" s="40" t="n">
        <f aca="false">'Aug 6'!$A$9</f>
        <v>0</v>
      </c>
      <c r="G184" s="41" t="n">
        <f aca="false">'Aug 6'!$F$9</f>
        <v>0</v>
      </c>
      <c r="H184" s="41" t="n">
        <f aca="false">'Aug 6'!$G$9</f>
        <v>0</v>
      </c>
      <c r="I184" s="41" t="str">
        <f aca="false">'Aug 6'!$M$9</f>
        <v/>
      </c>
      <c r="J184" s="42" t="str">
        <f aca="false">'Aug 6'!$S$9</f>
        <v/>
      </c>
      <c r="K184" s="40" t="n">
        <f aca="false">'Aug 6'!$AG$9</f>
        <v>0</v>
      </c>
      <c r="L184" s="40" t="n">
        <f aca="false">'Aug 6'!$N$9</f>
        <v>0</v>
      </c>
    </row>
    <row r="185" customFormat="false" ht="15" hidden="false" customHeight="false" outlineLevel="0" collapsed="false">
      <c r="A185" s="38" t="str">
        <f aca="false">IF(OR(C185="",C185=0),"",IF(AND(OR($B$5="",G185=$B$5,H185=$B$5),OR($D$5="",F185=$D$5),OR($E$5="",K185=$E$5),OR($G$5="",L185=$G$5),OR($H$5="",N(J185)&gt;=$H$5),OR($I$5="",ISNUMBER(SEARCH($I$5,C185&amp;" "&amp;D185&amp;" "&amp;E185&amp;" "&amp;I185)))),"✓",""))</f>
        <v/>
      </c>
      <c r="B185" s="39" t="n">
        <v>46240</v>
      </c>
      <c r="C185" s="40" t="n">
        <f aca="false">'Aug 6'!$D$10</f>
        <v>0</v>
      </c>
      <c r="D185" s="40" t="n">
        <f aca="false">'Aug 6'!$B$10</f>
        <v>0</v>
      </c>
      <c r="E185" s="41" t="n">
        <f aca="false">'Aug 6'!$E$10</f>
        <v>0</v>
      </c>
      <c r="F185" s="40" t="n">
        <f aca="false">'Aug 6'!$A$10</f>
        <v>0</v>
      </c>
      <c r="G185" s="41" t="n">
        <f aca="false">'Aug 6'!$F$10</f>
        <v>0</v>
      </c>
      <c r="H185" s="41" t="n">
        <f aca="false">'Aug 6'!$G$10</f>
        <v>0</v>
      </c>
      <c r="I185" s="41" t="str">
        <f aca="false">'Aug 6'!$M$10</f>
        <v/>
      </c>
      <c r="J185" s="42" t="str">
        <f aca="false">'Aug 6'!$S$10</f>
        <v/>
      </c>
      <c r="K185" s="40" t="n">
        <f aca="false">'Aug 6'!$AG$10</f>
        <v>0</v>
      </c>
      <c r="L185" s="40" t="n">
        <f aca="false">'Aug 6'!$N$10</f>
        <v>0</v>
      </c>
    </row>
    <row r="186" customFormat="false" ht="15" hidden="false" customHeight="false" outlineLevel="0" collapsed="false">
      <c r="A186" s="38" t="str">
        <f aca="false">IF(OR(C186="",C186=0),"",IF(AND(OR($B$5="",G186=$B$5,H186=$B$5),OR($D$5="",F186=$D$5),OR($E$5="",K186=$E$5),OR($G$5="",L186=$G$5),OR($H$5="",N(J186)&gt;=$H$5),OR($I$5="",ISNUMBER(SEARCH($I$5,C186&amp;" "&amp;D186&amp;" "&amp;E186&amp;" "&amp;I186)))),"✓",""))</f>
        <v/>
      </c>
      <c r="B186" s="39" t="n">
        <v>46240</v>
      </c>
      <c r="C186" s="40" t="n">
        <f aca="false">'Aug 6'!$D$11</f>
        <v>0</v>
      </c>
      <c r="D186" s="40" t="n">
        <f aca="false">'Aug 6'!$B$11</f>
        <v>0</v>
      </c>
      <c r="E186" s="41" t="n">
        <f aca="false">'Aug 6'!$E$11</f>
        <v>0</v>
      </c>
      <c r="F186" s="40" t="n">
        <f aca="false">'Aug 6'!$A$11</f>
        <v>0</v>
      </c>
      <c r="G186" s="41" t="n">
        <f aca="false">'Aug 6'!$F$11</f>
        <v>0</v>
      </c>
      <c r="H186" s="41" t="n">
        <f aca="false">'Aug 6'!$G$11</f>
        <v>0</v>
      </c>
      <c r="I186" s="41" t="str">
        <f aca="false">'Aug 6'!$M$11</f>
        <v/>
      </c>
      <c r="J186" s="42" t="str">
        <f aca="false">'Aug 6'!$S$11</f>
        <v/>
      </c>
      <c r="K186" s="40" t="n">
        <f aca="false">'Aug 6'!$AG$11</f>
        <v>0</v>
      </c>
      <c r="L186" s="40" t="n">
        <f aca="false">'Aug 6'!$N$11</f>
        <v>0</v>
      </c>
    </row>
    <row r="187" customFormat="false" ht="15" hidden="false" customHeight="false" outlineLevel="0" collapsed="false">
      <c r="A187" s="38" t="str">
        <f aca="false">IF(OR(C187="",C187=0),"",IF(AND(OR($B$5="",G187=$B$5,H187=$B$5),OR($D$5="",F187=$D$5),OR($E$5="",K187=$E$5),OR($G$5="",L187=$G$5),OR($H$5="",N(J187)&gt;=$H$5),OR($I$5="",ISNUMBER(SEARCH($I$5,C187&amp;" "&amp;D187&amp;" "&amp;E187&amp;" "&amp;I187)))),"✓",""))</f>
        <v/>
      </c>
      <c r="B187" s="39" t="n">
        <v>46240</v>
      </c>
      <c r="C187" s="40" t="n">
        <f aca="false">'Aug 6'!$D$12</f>
        <v>0</v>
      </c>
      <c r="D187" s="40" t="n">
        <f aca="false">'Aug 6'!$B$12</f>
        <v>0</v>
      </c>
      <c r="E187" s="41" t="n">
        <f aca="false">'Aug 6'!$E$12</f>
        <v>0</v>
      </c>
      <c r="F187" s="40" t="n">
        <f aca="false">'Aug 6'!$A$12</f>
        <v>0</v>
      </c>
      <c r="G187" s="41" t="n">
        <f aca="false">'Aug 6'!$F$12</f>
        <v>0</v>
      </c>
      <c r="H187" s="41" t="n">
        <f aca="false">'Aug 6'!$G$12</f>
        <v>0</v>
      </c>
      <c r="I187" s="41" t="str">
        <f aca="false">'Aug 6'!$M$12</f>
        <v/>
      </c>
      <c r="J187" s="42" t="str">
        <f aca="false">'Aug 6'!$S$12</f>
        <v/>
      </c>
      <c r="K187" s="40" t="n">
        <f aca="false">'Aug 6'!$AG$12</f>
        <v>0</v>
      </c>
      <c r="L187" s="40" t="n">
        <f aca="false">'Aug 6'!$N$12</f>
        <v>0</v>
      </c>
    </row>
    <row r="188" customFormat="false" ht="15" hidden="false" customHeight="false" outlineLevel="0" collapsed="false">
      <c r="A188" s="38" t="str">
        <f aca="false">IF(OR(C188="",C188=0),"",IF(AND(OR($B$5="",G188=$B$5,H188=$B$5),OR($D$5="",F188=$D$5),OR($E$5="",K188=$E$5),OR($G$5="",L188=$G$5),OR($H$5="",N(J188)&gt;=$H$5),OR($I$5="",ISNUMBER(SEARCH($I$5,C188&amp;" "&amp;D188&amp;" "&amp;E188&amp;" "&amp;I188)))),"✓",""))</f>
        <v/>
      </c>
      <c r="B188" s="39" t="n">
        <v>46240</v>
      </c>
      <c r="C188" s="40" t="n">
        <f aca="false">'Aug 6'!$D$13</f>
        <v>0</v>
      </c>
      <c r="D188" s="40" t="n">
        <f aca="false">'Aug 6'!$B$13</f>
        <v>0</v>
      </c>
      <c r="E188" s="41" t="n">
        <f aca="false">'Aug 6'!$E$13</f>
        <v>0</v>
      </c>
      <c r="F188" s="40" t="n">
        <f aca="false">'Aug 6'!$A$13</f>
        <v>0</v>
      </c>
      <c r="G188" s="41" t="n">
        <f aca="false">'Aug 6'!$F$13</f>
        <v>0</v>
      </c>
      <c r="H188" s="41" t="n">
        <f aca="false">'Aug 6'!$G$13</f>
        <v>0</v>
      </c>
      <c r="I188" s="41" t="str">
        <f aca="false">'Aug 6'!$M$13</f>
        <v/>
      </c>
      <c r="J188" s="42" t="str">
        <f aca="false">'Aug 6'!$S$13</f>
        <v/>
      </c>
      <c r="K188" s="40" t="n">
        <f aca="false">'Aug 6'!$AG$13</f>
        <v>0</v>
      </c>
      <c r="L188" s="40" t="n">
        <f aca="false">'Aug 6'!$N$13</f>
        <v>0</v>
      </c>
    </row>
    <row r="189" customFormat="false" ht="15" hidden="false" customHeight="false" outlineLevel="0" collapsed="false">
      <c r="A189" s="38" t="str">
        <f aca="false">IF(OR(C189="",C189=0),"",IF(AND(OR($B$5="",G189=$B$5,H189=$B$5),OR($D$5="",F189=$D$5),OR($E$5="",K189=$E$5),OR($G$5="",L189=$G$5),OR($H$5="",N(J189)&gt;=$H$5),OR($I$5="",ISNUMBER(SEARCH($I$5,C189&amp;" "&amp;D189&amp;" "&amp;E189&amp;" "&amp;I189)))),"✓",""))</f>
        <v/>
      </c>
      <c r="B189" s="39" t="n">
        <v>46240</v>
      </c>
      <c r="C189" s="40" t="n">
        <f aca="false">'Aug 6'!$D$14</f>
        <v>0</v>
      </c>
      <c r="D189" s="40" t="n">
        <f aca="false">'Aug 6'!$B$14</f>
        <v>0</v>
      </c>
      <c r="E189" s="41" t="n">
        <f aca="false">'Aug 6'!$E$14</f>
        <v>0</v>
      </c>
      <c r="F189" s="40" t="n">
        <f aca="false">'Aug 6'!$A$14</f>
        <v>0</v>
      </c>
      <c r="G189" s="41" t="n">
        <f aca="false">'Aug 6'!$F$14</f>
        <v>0</v>
      </c>
      <c r="H189" s="41" t="n">
        <f aca="false">'Aug 6'!$G$14</f>
        <v>0</v>
      </c>
      <c r="I189" s="41" t="str">
        <f aca="false">'Aug 6'!$M$14</f>
        <v/>
      </c>
      <c r="J189" s="42" t="str">
        <f aca="false">'Aug 6'!$S$14</f>
        <v/>
      </c>
      <c r="K189" s="40" t="n">
        <f aca="false">'Aug 6'!$AG$14</f>
        <v>0</v>
      </c>
      <c r="L189" s="40" t="n">
        <f aca="false">'Aug 6'!$N$14</f>
        <v>0</v>
      </c>
    </row>
    <row r="190" customFormat="false" ht="15" hidden="false" customHeight="false" outlineLevel="0" collapsed="false">
      <c r="A190" s="38" t="str">
        <f aca="false">IF(OR(C190="",C190=0),"",IF(AND(OR($B$5="",G190=$B$5,H190=$B$5),OR($D$5="",F190=$D$5),OR($E$5="",K190=$E$5),OR($G$5="",L190=$G$5),OR($H$5="",N(J190)&gt;=$H$5),OR($I$5="",ISNUMBER(SEARCH($I$5,C190&amp;" "&amp;D190&amp;" "&amp;E190&amp;" "&amp;I190)))),"✓",""))</f>
        <v/>
      </c>
      <c r="B190" s="39" t="n">
        <v>46240</v>
      </c>
      <c r="C190" s="40" t="n">
        <f aca="false">'Aug 6'!$D$15</f>
        <v>0</v>
      </c>
      <c r="D190" s="40" t="n">
        <f aca="false">'Aug 6'!$B$15</f>
        <v>0</v>
      </c>
      <c r="E190" s="41" t="n">
        <f aca="false">'Aug 6'!$E$15</f>
        <v>0</v>
      </c>
      <c r="F190" s="40" t="n">
        <f aca="false">'Aug 6'!$A$15</f>
        <v>0</v>
      </c>
      <c r="G190" s="41" t="n">
        <f aca="false">'Aug 6'!$F$15</f>
        <v>0</v>
      </c>
      <c r="H190" s="41" t="n">
        <f aca="false">'Aug 6'!$G$15</f>
        <v>0</v>
      </c>
      <c r="I190" s="41" t="str">
        <f aca="false">'Aug 6'!$M$15</f>
        <v/>
      </c>
      <c r="J190" s="42" t="str">
        <f aca="false">'Aug 6'!$S$15</f>
        <v/>
      </c>
      <c r="K190" s="40" t="n">
        <f aca="false">'Aug 6'!$AG$15</f>
        <v>0</v>
      </c>
      <c r="L190" s="40" t="n">
        <f aca="false">'Aug 6'!$N$15</f>
        <v>0</v>
      </c>
    </row>
    <row r="191" customFormat="false" ht="15" hidden="false" customHeight="false" outlineLevel="0" collapsed="false">
      <c r="A191" s="38" t="str">
        <f aca="false">IF(OR(C191="",C191=0),"",IF(AND(OR($B$5="",G191=$B$5,H191=$B$5),OR($D$5="",F191=$D$5),OR($E$5="",K191=$E$5),OR($G$5="",L191=$G$5),OR($H$5="",N(J191)&gt;=$H$5),OR($I$5="",ISNUMBER(SEARCH($I$5,C191&amp;" "&amp;D191&amp;" "&amp;E191&amp;" "&amp;I191)))),"✓",""))</f>
        <v/>
      </c>
      <c r="B191" s="39" t="n">
        <v>46240</v>
      </c>
      <c r="C191" s="40" t="n">
        <f aca="false">'Aug 6'!$D$16</f>
        <v>0</v>
      </c>
      <c r="D191" s="40" t="n">
        <f aca="false">'Aug 6'!$B$16</f>
        <v>0</v>
      </c>
      <c r="E191" s="41" t="n">
        <f aca="false">'Aug 6'!$E$16</f>
        <v>0</v>
      </c>
      <c r="F191" s="40" t="n">
        <f aca="false">'Aug 6'!$A$16</f>
        <v>0</v>
      </c>
      <c r="G191" s="41" t="n">
        <f aca="false">'Aug 6'!$F$16</f>
        <v>0</v>
      </c>
      <c r="H191" s="41" t="n">
        <f aca="false">'Aug 6'!$G$16</f>
        <v>0</v>
      </c>
      <c r="I191" s="41" t="str">
        <f aca="false">'Aug 6'!$M$16</f>
        <v/>
      </c>
      <c r="J191" s="42" t="str">
        <f aca="false">'Aug 6'!$S$16</f>
        <v/>
      </c>
      <c r="K191" s="40" t="n">
        <f aca="false">'Aug 6'!$AG$16</f>
        <v>0</v>
      </c>
      <c r="L191" s="40" t="n">
        <f aca="false">'Aug 6'!$N$16</f>
        <v>0</v>
      </c>
    </row>
    <row r="192" customFormat="false" ht="15" hidden="false" customHeight="false" outlineLevel="0" collapsed="false">
      <c r="A192" s="38" t="str">
        <f aca="false">IF(OR(C192="",C192=0),"",IF(AND(OR($B$5="",G192=$B$5,H192=$B$5),OR($D$5="",F192=$D$5),OR($E$5="",K192=$E$5),OR($G$5="",L192=$G$5),OR($H$5="",N(J192)&gt;=$H$5),OR($I$5="",ISNUMBER(SEARCH($I$5,C192&amp;" "&amp;D192&amp;" "&amp;E192&amp;" "&amp;I192)))),"✓",""))</f>
        <v/>
      </c>
      <c r="B192" s="39" t="n">
        <v>46240</v>
      </c>
      <c r="C192" s="40" t="n">
        <f aca="false">'Aug 6'!$D$17</f>
        <v>0</v>
      </c>
      <c r="D192" s="40" t="n">
        <f aca="false">'Aug 6'!$B$17</f>
        <v>0</v>
      </c>
      <c r="E192" s="41" t="n">
        <f aca="false">'Aug 6'!$E$17</f>
        <v>0</v>
      </c>
      <c r="F192" s="40" t="n">
        <f aca="false">'Aug 6'!$A$17</f>
        <v>0</v>
      </c>
      <c r="G192" s="41" t="n">
        <f aca="false">'Aug 6'!$F$17</f>
        <v>0</v>
      </c>
      <c r="H192" s="41" t="n">
        <f aca="false">'Aug 6'!$G$17</f>
        <v>0</v>
      </c>
      <c r="I192" s="41" t="str">
        <f aca="false">'Aug 6'!$M$17</f>
        <v/>
      </c>
      <c r="J192" s="42" t="str">
        <f aca="false">'Aug 6'!$S$17</f>
        <v/>
      </c>
      <c r="K192" s="40" t="n">
        <f aca="false">'Aug 6'!$AG$17</f>
        <v>0</v>
      </c>
      <c r="L192" s="40" t="n">
        <f aca="false">'Aug 6'!$N$17</f>
        <v>0</v>
      </c>
    </row>
    <row r="193" customFormat="false" ht="15" hidden="false" customHeight="false" outlineLevel="0" collapsed="false">
      <c r="A193" s="38" t="str">
        <f aca="false">IF(OR(C193="",C193=0),"",IF(AND(OR($B$5="",G193=$B$5,H193=$B$5),OR($D$5="",F193=$D$5),OR($E$5="",K193=$E$5),OR($G$5="",L193=$G$5),OR($H$5="",N(J193)&gt;=$H$5),OR($I$5="",ISNUMBER(SEARCH($I$5,C193&amp;" "&amp;D193&amp;" "&amp;E193&amp;" "&amp;I193)))),"✓",""))</f>
        <v/>
      </c>
      <c r="B193" s="39" t="n">
        <v>46240</v>
      </c>
      <c r="C193" s="40" t="n">
        <f aca="false">'Aug 6'!$D$18</f>
        <v>0</v>
      </c>
      <c r="D193" s="40" t="n">
        <f aca="false">'Aug 6'!$B$18</f>
        <v>0</v>
      </c>
      <c r="E193" s="41" t="n">
        <f aca="false">'Aug 6'!$E$18</f>
        <v>0</v>
      </c>
      <c r="F193" s="40" t="n">
        <f aca="false">'Aug 6'!$A$18</f>
        <v>0</v>
      </c>
      <c r="G193" s="41" t="n">
        <f aca="false">'Aug 6'!$F$18</f>
        <v>0</v>
      </c>
      <c r="H193" s="41" t="n">
        <f aca="false">'Aug 6'!$G$18</f>
        <v>0</v>
      </c>
      <c r="I193" s="41" t="str">
        <f aca="false">'Aug 6'!$M$18</f>
        <v/>
      </c>
      <c r="J193" s="42" t="str">
        <f aca="false">'Aug 6'!$S$18</f>
        <v/>
      </c>
      <c r="K193" s="40" t="n">
        <f aca="false">'Aug 6'!$AG$18</f>
        <v>0</v>
      </c>
      <c r="L193" s="40" t="n">
        <f aca="false">'Aug 6'!$N$18</f>
        <v>0</v>
      </c>
    </row>
    <row r="194" customFormat="false" ht="15" hidden="false" customHeight="false" outlineLevel="0" collapsed="false">
      <c r="A194" s="38" t="str">
        <f aca="false">IF(OR(C194="",C194=0),"",IF(AND(OR($B$5="",G194=$B$5,H194=$B$5),OR($D$5="",F194=$D$5),OR($E$5="",K194=$E$5),OR($G$5="",L194=$G$5),OR($H$5="",N(J194)&gt;=$H$5),OR($I$5="",ISNUMBER(SEARCH($I$5,C194&amp;" "&amp;D194&amp;" "&amp;E194&amp;" "&amp;I194)))),"✓",""))</f>
        <v/>
      </c>
      <c r="B194" s="39" t="n">
        <v>46240</v>
      </c>
      <c r="C194" s="40" t="n">
        <f aca="false">'Aug 6'!$D$19</f>
        <v>0</v>
      </c>
      <c r="D194" s="40" t="n">
        <f aca="false">'Aug 6'!$B$19</f>
        <v>0</v>
      </c>
      <c r="E194" s="41" t="n">
        <f aca="false">'Aug 6'!$E$19</f>
        <v>0</v>
      </c>
      <c r="F194" s="40" t="n">
        <f aca="false">'Aug 6'!$A$19</f>
        <v>0</v>
      </c>
      <c r="G194" s="41" t="n">
        <f aca="false">'Aug 6'!$F$19</f>
        <v>0</v>
      </c>
      <c r="H194" s="41" t="n">
        <f aca="false">'Aug 6'!$G$19</f>
        <v>0</v>
      </c>
      <c r="I194" s="41" t="str">
        <f aca="false">'Aug 6'!$M$19</f>
        <v/>
      </c>
      <c r="J194" s="42" t="str">
        <f aca="false">'Aug 6'!$S$19</f>
        <v/>
      </c>
      <c r="K194" s="40" t="n">
        <f aca="false">'Aug 6'!$AG$19</f>
        <v>0</v>
      </c>
      <c r="L194" s="40" t="n">
        <f aca="false">'Aug 6'!$N$19</f>
        <v>0</v>
      </c>
    </row>
    <row r="195" customFormat="false" ht="15" hidden="false" customHeight="false" outlineLevel="0" collapsed="false">
      <c r="A195" s="38" t="str">
        <f aca="false">IF(OR(C195="",C195=0),"",IF(AND(OR($B$5="",G195=$B$5,H195=$B$5),OR($D$5="",F195=$D$5),OR($E$5="",K195=$E$5),OR($G$5="",L195=$G$5),OR($H$5="",N(J195)&gt;=$H$5),OR($I$5="",ISNUMBER(SEARCH($I$5,C195&amp;" "&amp;D195&amp;" "&amp;E195&amp;" "&amp;I195)))),"✓",""))</f>
        <v/>
      </c>
      <c r="B195" s="39" t="n">
        <v>46240</v>
      </c>
      <c r="C195" s="40" t="n">
        <f aca="false">'Aug 6'!$D$20</f>
        <v>0</v>
      </c>
      <c r="D195" s="40" t="n">
        <f aca="false">'Aug 6'!$B$20</f>
        <v>0</v>
      </c>
      <c r="E195" s="41" t="n">
        <f aca="false">'Aug 6'!$E$20</f>
        <v>0</v>
      </c>
      <c r="F195" s="40" t="n">
        <f aca="false">'Aug 6'!$A$20</f>
        <v>0</v>
      </c>
      <c r="G195" s="41" t="n">
        <f aca="false">'Aug 6'!$F$20</f>
        <v>0</v>
      </c>
      <c r="H195" s="41" t="n">
        <f aca="false">'Aug 6'!$G$20</f>
        <v>0</v>
      </c>
      <c r="I195" s="41" t="str">
        <f aca="false">'Aug 6'!$M$20</f>
        <v/>
      </c>
      <c r="J195" s="42" t="str">
        <f aca="false">'Aug 6'!$S$20</f>
        <v/>
      </c>
      <c r="K195" s="40" t="n">
        <f aca="false">'Aug 6'!$AG$20</f>
        <v>0</v>
      </c>
      <c r="L195" s="40" t="n">
        <f aca="false">'Aug 6'!$N$20</f>
        <v>0</v>
      </c>
    </row>
    <row r="196" customFormat="false" ht="15" hidden="false" customHeight="false" outlineLevel="0" collapsed="false">
      <c r="A196" s="38" t="str">
        <f aca="false">IF(OR(C196="",C196=0),"",IF(AND(OR($B$5="",G196=$B$5,H196=$B$5),OR($D$5="",F196=$D$5),OR($E$5="",K196=$E$5),OR($G$5="",L196=$G$5),OR($H$5="",N(J196)&gt;=$H$5),OR($I$5="",ISNUMBER(SEARCH($I$5,C196&amp;" "&amp;D196&amp;" "&amp;E196&amp;" "&amp;I196)))),"✓",""))</f>
        <v/>
      </c>
      <c r="B196" s="39" t="n">
        <v>46240</v>
      </c>
      <c r="C196" s="40" t="n">
        <f aca="false">'Aug 6'!$D$21</f>
        <v>0</v>
      </c>
      <c r="D196" s="40" t="n">
        <f aca="false">'Aug 6'!$B$21</f>
        <v>0</v>
      </c>
      <c r="E196" s="41" t="n">
        <f aca="false">'Aug 6'!$E$21</f>
        <v>0</v>
      </c>
      <c r="F196" s="40" t="n">
        <f aca="false">'Aug 6'!$A$21</f>
        <v>0</v>
      </c>
      <c r="G196" s="41" t="n">
        <f aca="false">'Aug 6'!$F$21</f>
        <v>0</v>
      </c>
      <c r="H196" s="41" t="n">
        <f aca="false">'Aug 6'!$G$21</f>
        <v>0</v>
      </c>
      <c r="I196" s="41" t="str">
        <f aca="false">'Aug 6'!$M$21</f>
        <v/>
      </c>
      <c r="J196" s="42" t="str">
        <f aca="false">'Aug 6'!$S$21</f>
        <v/>
      </c>
      <c r="K196" s="40" t="n">
        <f aca="false">'Aug 6'!$AG$21</f>
        <v>0</v>
      </c>
      <c r="L196" s="40" t="n">
        <f aca="false">'Aug 6'!$N$21</f>
        <v>0</v>
      </c>
    </row>
    <row r="197" customFormat="false" ht="15" hidden="false" customHeight="false" outlineLevel="0" collapsed="false">
      <c r="A197" s="38" t="str">
        <f aca="false">IF(OR(C197="",C197=0),"",IF(AND(OR($B$5="",G197=$B$5,H197=$B$5),OR($D$5="",F197=$D$5),OR($E$5="",K197=$E$5),OR($G$5="",L197=$G$5),OR($H$5="",N(J197)&gt;=$H$5),OR($I$5="",ISNUMBER(SEARCH($I$5,C197&amp;" "&amp;D197&amp;" "&amp;E197&amp;" "&amp;I197)))),"✓",""))</f>
        <v/>
      </c>
      <c r="B197" s="39" t="n">
        <v>46240</v>
      </c>
      <c r="C197" s="40" t="n">
        <f aca="false">'Aug 6'!$D$22</f>
        <v>0</v>
      </c>
      <c r="D197" s="40" t="n">
        <f aca="false">'Aug 6'!$B$22</f>
        <v>0</v>
      </c>
      <c r="E197" s="41" t="n">
        <f aca="false">'Aug 6'!$E$22</f>
        <v>0</v>
      </c>
      <c r="F197" s="40" t="n">
        <f aca="false">'Aug 6'!$A$22</f>
        <v>0</v>
      </c>
      <c r="G197" s="41" t="n">
        <f aca="false">'Aug 6'!$F$22</f>
        <v>0</v>
      </c>
      <c r="H197" s="41" t="n">
        <f aca="false">'Aug 6'!$G$22</f>
        <v>0</v>
      </c>
      <c r="I197" s="41" t="str">
        <f aca="false">'Aug 6'!$M$22</f>
        <v/>
      </c>
      <c r="J197" s="42" t="str">
        <f aca="false">'Aug 6'!$S$22</f>
        <v/>
      </c>
      <c r="K197" s="40" t="n">
        <f aca="false">'Aug 6'!$AG$22</f>
        <v>0</v>
      </c>
      <c r="L197" s="40" t="n">
        <f aca="false">'Aug 6'!$N$22</f>
        <v>0</v>
      </c>
    </row>
    <row r="198" customFormat="false" ht="15" hidden="false" customHeight="false" outlineLevel="0" collapsed="false">
      <c r="A198" s="38" t="str">
        <f aca="false">IF(OR(C198="",C198=0),"",IF(AND(OR($B$5="",G198=$B$5,H198=$B$5),OR($D$5="",F198=$D$5),OR($E$5="",K198=$E$5),OR($G$5="",L198=$G$5),OR($H$5="",N(J198)&gt;=$H$5),OR($I$5="",ISNUMBER(SEARCH($I$5,C198&amp;" "&amp;D198&amp;" "&amp;E198&amp;" "&amp;I198)))),"✓",""))</f>
        <v/>
      </c>
      <c r="B198" s="39" t="n">
        <v>46240</v>
      </c>
      <c r="C198" s="40" t="n">
        <f aca="false">'Aug 6'!$D$23</f>
        <v>0</v>
      </c>
      <c r="D198" s="40" t="n">
        <f aca="false">'Aug 6'!$B$23</f>
        <v>0</v>
      </c>
      <c r="E198" s="41" t="n">
        <f aca="false">'Aug 6'!$E$23</f>
        <v>0</v>
      </c>
      <c r="F198" s="40" t="n">
        <f aca="false">'Aug 6'!$A$23</f>
        <v>0</v>
      </c>
      <c r="G198" s="41" t="n">
        <f aca="false">'Aug 6'!$F$23</f>
        <v>0</v>
      </c>
      <c r="H198" s="41" t="n">
        <f aca="false">'Aug 6'!$G$23</f>
        <v>0</v>
      </c>
      <c r="I198" s="41" t="str">
        <f aca="false">'Aug 6'!$M$23</f>
        <v/>
      </c>
      <c r="J198" s="42" t="str">
        <f aca="false">'Aug 6'!$S$23</f>
        <v/>
      </c>
      <c r="K198" s="40" t="n">
        <f aca="false">'Aug 6'!$AG$23</f>
        <v>0</v>
      </c>
      <c r="L198" s="40" t="n">
        <f aca="false">'Aug 6'!$N$23</f>
        <v>0</v>
      </c>
    </row>
    <row r="199" customFormat="false" ht="15" hidden="false" customHeight="false" outlineLevel="0" collapsed="false">
      <c r="A199" s="38" t="str">
        <f aca="false">IF(OR(C199="",C199=0),"",IF(AND(OR($B$5="",G199=$B$5,H199=$B$5),OR($D$5="",F199=$D$5),OR($E$5="",K199=$E$5),OR($G$5="",L199=$G$5),OR($H$5="",N(J199)&gt;=$H$5),OR($I$5="",ISNUMBER(SEARCH($I$5,C199&amp;" "&amp;D199&amp;" "&amp;E199&amp;" "&amp;I199)))),"✓",""))</f>
        <v/>
      </c>
      <c r="B199" s="39" t="n">
        <v>46240</v>
      </c>
      <c r="C199" s="40" t="n">
        <f aca="false">'Aug 6'!$D$24</f>
        <v>0</v>
      </c>
      <c r="D199" s="40" t="n">
        <f aca="false">'Aug 6'!$B$24</f>
        <v>0</v>
      </c>
      <c r="E199" s="41" t="n">
        <f aca="false">'Aug 6'!$E$24</f>
        <v>0</v>
      </c>
      <c r="F199" s="40" t="n">
        <f aca="false">'Aug 6'!$A$24</f>
        <v>0</v>
      </c>
      <c r="G199" s="41" t="n">
        <f aca="false">'Aug 6'!$F$24</f>
        <v>0</v>
      </c>
      <c r="H199" s="41" t="n">
        <f aca="false">'Aug 6'!$G$24</f>
        <v>0</v>
      </c>
      <c r="I199" s="41" t="str">
        <f aca="false">'Aug 6'!$M$24</f>
        <v/>
      </c>
      <c r="J199" s="42" t="str">
        <f aca="false">'Aug 6'!$S$24</f>
        <v/>
      </c>
      <c r="K199" s="40" t="n">
        <f aca="false">'Aug 6'!$AG$24</f>
        <v>0</v>
      </c>
      <c r="L199" s="40" t="n">
        <f aca="false">'Aug 6'!$N$24</f>
        <v>0</v>
      </c>
    </row>
    <row r="200" customFormat="false" ht="15" hidden="false" customHeight="false" outlineLevel="0" collapsed="false">
      <c r="A200" s="38" t="str">
        <f aca="false">IF(OR(C200="",C200=0),"",IF(AND(OR($B$5="",G200=$B$5,H200=$B$5),OR($D$5="",F200=$D$5),OR($E$5="",K200=$E$5),OR($G$5="",L200=$G$5),OR($H$5="",N(J200)&gt;=$H$5),OR($I$5="",ISNUMBER(SEARCH($I$5,C200&amp;" "&amp;D200&amp;" "&amp;E200&amp;" "&amp;I200)))),"✓",""))</f>
        <v/>
      </c>
      <c r="B200" s="39" t="n">
        <v>46240</v>
      </c>
      <c r="C200" s="40" t="n">
        <f aca="false">'Aug 6'!$D$25</f>
        <v>0</v>
      </c>
      <c r="D200" s="40" t="n">
        <f aca="false">'Aug 6'!$B$25</f>
        <v>0</v>
      </c>
      <c r="E200" s="41" t="n">
        <f aca="false">'Aug 6'!$E$25</f>
        <v>0</v>
      </c>
      <c r="F200" s="40" t="n">
        <f aca="false">'Aug 6'!$A$25</f>
        <v>0</v>
      </c>
      <c r="G200" s="41" t="n">
        <f aca="false">'Aug 6'!$F$25</f>
        <v>0</v>
      </c>
      <c r="H200" s="41" t="n">
        <f aca="false">'Aug 6'!$G$25</f>
        <v>0</v>
      </c>
      <c r="I200" s="41" t="str">
        <f aca="false">'Aug 6'!$M$25</f>
        <v/>
      </c>
      <c r="J200" s="42" t="str">
        <f aca="false">'Aug 6'!$S$25</f>
        <v/>
      </c>
      <c r="K200" s="40" t="n">
        <f aca="false">'Aug 6'!$AG$25</f>
        <v>0</v>
      </c>
      <c r="L200" s="40" t="n">
        <f aca="false">'Aug 6'!$N$25</f>
        <v>0</v>
      </c>
    </row>
    <row r="201" customFormat="false" ht="15" hidden="false" customHeight="false" outlineLevel="0" collapsed="false">
      <c r="A201" s="38" t="str">
        <f aca="false">IF(OR(C201="",C201=0),"",IF(AND(OR($B$5="",G201=$B$5,H201=$B$5),OR($D$5="",F201=$D$5),OR($E$5="",K201=$E$5),OR($G$5="",L201=$G$5),OR($H$5="",N(J201)&gt;=$H$5),OR($I$5="",ISNUMBER(SEARCH($I$5,C201&amp;" "&amp;D201&amp;" "&amp;E201&amp;" "&amp;I201)))),"✓",""))</f>
        <v/>
      </c>
      <c r="B201" s="39" t="n">
        <v>46240</v>
      </c>
      <c r="C201" s="40" t="n">
        <f aca="false">'Aug 6'!$D$26</f>
        <v>0</v>
      </c>
      <c r="D201" s="40" t="n">
        <f aca="false">'Aug 6'!$B$26</f>
        <v>0</v>
      </c>
      <c r="E201" s="41" t="n">
        <f aca="false">'Aug 6'!$E$26</f>
        <v>0</v>
      </c>
      <c r="F201" s="40" t="n">
        <f aca="false">'Aug 6'!$A$26</f>
        <v>0</v>
      </c>
      <c r="G201" s="41" t="n">
        <f aca="false">'Aug 6'!$F$26</f>
        <v>0</v>
      </c>
      <c r="H201" s="41" t="n">
        <f aca="false">'Aug 6'!$G$26</f>
        <v>0</v>
      </c>
      <c r="I201" s="41" t="str">
        <f aca="false">'Aug 6'!$M$26</f>
        <v/>
      </c>
      <c r="J201" s="42" t="str">
        <f aca="false">'Aug 6'!$S$26</f>
        <v/>
      </c>
      <c r="K201" s="40" t="n">
        <f aca="false">'Aug 6'!$AG$26</f>
        <v>0</v>
      </c>
      <c r="L201" s="40" t="n">
        <f aca="false">'Aug 6'!$N$26</f>
        <v>0</v>
      </c>
    </row>
    <row r="202" customFormat="false" ht="15" hidden="false" customHeight="false" outlineLevel="0" collapsed="false">
      <c r="A202" s="38" t="str">
        <f aca="false">IF(OR(C202="",C202=0),"",IF(AND(OR($B$5="",G202=$B$5,H202=$B$5),OR($D$5="",F202=$D$5),OR($E$5="",K202=$E$5),OR($G$5="",L202=$G$5),OR($H$5="",N(J202)&gt;=$H$5),OR($I$5="",ISNUMBER(SEARCH($I$5,C202&amp;" "&amp;D202&amp;" "&amp;E202&amp;" "&amp;I202)))),"✓",""))</f>
        <v/>
      </c>
      <c r="B202" s="39" t="n">
        <v>46240</v>
      </c>
      <c r="C202" s="40" t="n">
        <f aca="false">'Aug 6'!$D$27</f>
        <v>0</v>
      </c>
      <c r="D202" s="40" t="n">
        <f aca="false">'Aug 6'!$B$27</f>
        <v>0</v>
      </c>
      <c r="E202" s="41" t="n">
        <f aca="false">'Aug 6'!$E$27</f>
        <v>0</v>
      </c>
      <c r="F202" s="40" t="n">
        <f aca="false">'Aug 6'!$A$27</f>
        <v>0</v>
      </c>
      <c r="G202" s="41" t="n">
        <f aca="false">'Aug 6'!$F$27</f>
        <v>0</v>
      </c>
      <c r="H202" s="41" t="n">
        <f aca="false">'Aug 6'!$G$27</f>
        <v>0</v>
      </c>
      <c r="I202" s="41" t="str">
        <f aca="false">'Aug 6'!$M$27</f>
        <v/>
      </c>
      <c r="J202" s="42" t="str">
        <f aca="false">'Aug 6'!$S$27</f>
        <v/>
      </c>
      <c r="K202" s="40" t="n">
        <f aca="false">'Aug 6'!$AG$27</f>
        <v>0</v>
      </c>
      <c r="L202" s="40" t="n">
        <f aca="false">'Aug 6'!$N$27</f>
        <v>0</v>
      </c>
    </row>
    <row r="203" customFormat="false" ht="15" hidden="false" customHeight="false" outlineLevel="0" collapsed="false">
      <c r="A203" s="38" t="str">
        <f aca="false">IF(OR(C203="",C203=0),"",IF(AND(OR($B$5="",G203=$B$5,H203=$B$5),OR($D$5="",F203=$D$5),OR($E$5="",K203=$E$5),OR($G$5="",L203=$G$5),OR($H$5="",N(J203)&gt;=$H$5),OR($I$5="",ISNUMBER(SEARCH($I$5,C203&amp;" "&amp;D203&amp;" "&amp;E203&amp;" "&amp;I203)))),"✓",""))</f>
        <v/>
      </c>
      <c r="B203" s="39" t="n">
        <v>46240</v>
      </c>
      <c r="C203" s="40" t="n">
        <f aca="false">'Aug 6'!$D$28</f>
        <v>0</v>
      </c>
      <c r="D203" s="40" t="n">
        <f aca="false">'Aug 6'!$B$28</f>
        <v>0</v>
      </c>
      <c r="E203" s="41" t="n">
        <f aca="false">'Aug 6'!$E$28</f>
        <v>0</v>
      </c>
      <c r="F203" s="40" t="n">
        <f aca="false">'Aug 6'!$A$28</f>
        <v>0</v>
      </c>
      <c r="G203" s="41" t="n">
        <f aca="false">'Aug 6'!$F$28</f>
        <v>0</v>
      </c>
      <c r="H203" s="41" t="n">
        <f aca="false">'Aug 6'!$G$28</f>
        <v>0</v>
      </c>
      <c r="I203" s="41" t="str">
        <f aca="false">'Aug 6'!$M$28</f>
        <v/>
      </c>
      <c r="J203" s="42" t="str">
        <f aca="false">'Aug 6'!$S$28</f>
        <v/>
      </c>
      <c r="K203" s="40" t="n">
        <f aca="false">'Aug 6'!$AG$28</f>
        <v>0</v>
      </c>
      <c r="L203" s="40" t="n">
        <f aca="false">'Aug 6'!$N$28</f>
        <v>0</v>
      </c>
    </row>
    <row r="204" customFormat="false" ht="15" hidden="false" customHeight="false" outlineLevel="0" collapsed="false">
      <c r="A204" s="38" t="str">
        <f aca="false">IF(OR(C204="",C204=0),"",IF(AND(OR($B$5="",G204=$B$5,H204=$B$5),OR($D$5="",F204=$D$5),OR($E$5="",K204=$E$5),OR($G$5="",L204=$G$5),OR($H$5="",N(J204)&gt;=$H$5),OR($I$5="",ISNUMBER(SEARCH($I$5,C204&amp;" "&amp;D204&amp;" "&amp;E204&amp;" "&amp;I204)))),"✓",""))</f>
        <v/>
      </c>
      <c r="B204" s="39" t="n">
        <v>46240</v>
      </c>
      <c r="C204" s="40" t="n">
        <f aca="false">'Aug 6'!$D$29</f>
        <v>0</v>
      </c>
      <c r="D204" s="40" t="n">
        <f aca="false">'Aug 6'!$B$29</f>
        <v>0</v>
      </c>
      <c r="E204" s="41" t="n">
        <f aca="false">'Aug 6'!$E$29</f>
        <v>0</v>
      </c>
      <c r="F204" s="40" t="n">
        <f aca="false">'Aug 6'!$A$29</f>
        <v>0</v>
      </c>
      <c r="G204" s="41" t="n">
        <f aca="false">'Aug 6'!$F$29</f>
        <v>0</v>
      </c>
      <c r="H204" s="41" t="n">
        <f aca="false">'Aug 6'!$G$29</f>
        <v>0</v>
      </c>
      <c r="I204" s="41" t="str">
        <f aca="false">'Aug 6'!$M$29</f>
        <v/>
      </c>
      <c r="J204" s="42" t="str">
        <f aca="false">'Aug 6'!$S$29</f>
        <v/>
      </c>
      <c r="K204" s="40" t="n">
        <f aca="false">'Aug 6'!$AG$29</f>
        <v>0</v>
      </c>
      <c r="L204" s="40" t="n">
        <f aca="false">'Aug 6'!$N$29</f>
        <v>0</v>
      </c>
    </row>
    <row r="205" customFormat="false" ht="15" hidden="false" customHeight="false" outlineLevel="0" collapsed="false">
      <c r="A205" s="38" t="str">
        <f aca="false">IF(OR(C205="",C205=0),"",IF(AND(OR($B$5="",G205=$B$5,H205=$B$5),OR($D$5="",F205=$D$5),OR($E$5="",K205=$E$5),OR($G$5="",L205=$G$5),OR($H$5="",N(J205)&gt;=$H$5),OR($I$5="",ISNUMBER(SEARCH($I$5,C205&amp;" "&amp;D205&amp;" "&amp;E205&amp;" "&amp;I205)))),"✓",""))</f>
        <v/>
      </c>
      <c r="B205" s="39" t="n">
        <v>46240</v>
      </c>
      <c r="C205" s="40" t="n">
        <f aca="false">'Aug 6'!$D$30</f>
        <v>0</v>
      </c>
      <c r="D205" s="40" t="n">
        <f aca="false">'Aug 6'!$B$30</f>
        <v>0</v>
      </c>
      <c r="E205" s="41" t="n">
        <f aca="false">'Aug 6'!$E$30</f>
        <v>0</v>
      </c>
      <c r="F205" s="40" t="n">
        <f aca="false">'Aug 6'!$A$30</f>
        <v>0</v>
      </c>
      <c r="G205" s="41" t="n">
        <f aca="false">'Aug 6'!$F$30</f>
        <v>0</v>
      </c>
      <c r="H205" s="41" t="n">
        <f aca="false">'Aug 6'!$G$30</f>
        <v>0</v>
      </c>
      <c r="I205" s="41" t="str">
        <f aca="false">'Aug 6'!$M$30</f>
        <v/>
      </c>
      <c r="J205" s="42" t="str">
        <f aca="false">'Aug 6'!$S$30</f>
        <v/>
      </c>
      <c r="K205" s="40" t="n">
        <f aca="false">'Aug 6'!$AG$30</f>
        <v>0</v>
      </c>
      <c r="L205" s="40" t="n">
        <f aca="false">'Aug 6'!$N$30</f>
        <v>0</v>
      </c>
    </row>
    <row r="206" customFormat="false" ht="15" hidden="false" customHeight="false" outlineLevel="0" collapsed="false">
      <c r="A206" s="38" t="str">
        <f aca="false">IF(OR(C206="",C206=0),"",IF(AND(OR($B$5="",G206=$B$5,H206=$B$5),OR($D$5="",F206=$D$5),OR($E$5="",K206=$E$5),OR($G$5="",L206=$G$5),OR($H$5="",N(J206)&gt;=$H$5),OR($I$5="",ISNUMBER(SEARCH($I$5,C206&amp;" "&amp;D206&amp;" "&amp;E206&amp;" "&amp;I206)))),"✓",""))</f>
        <v/>
      </c>
      <c r="B206" s="39" t="n">
        <v>46240</v>
      </c>
      <c r="C206" s="40" t="n">
        <f aca="false">'Aug 6'!$D$31</f>
        <v>0</v>
      </c>
      <c r="D206" s="40" t="n">
        <f aca="false">'Aug 6'!$B$31</f>
        <v>0</v>
      </c>
      <c r="E206" s="41" t="n">
        <f aca="false">'Aug 6'!$E$31</f>
        <v>0</v>
      </c>
      <c r="F206" s="40" t="n">
        <f aca="false">'Aug 6'!$A$31</f>
        <v>0</v>
      </c>
      <c r="G206" s="41" t="n">
        <f aca="false">'Aug 6'!$F$31</f>
        <v>0</v>
      </c>
      <c r="H206" s="41" t="n">
        <f aca="false">'Aug 6'!$G$31</f>
        <v>0</v>
      </c>
      <c r="I206" s="41" t="str">
        <f aca="false">'Aug 6'!$M$31</f>
        <v/>
      </c>
      <c r="J206" s="42" t="str">
        <f aca="false">'Aug 6'!$S$31</f>
        <v/>
      </c>
      <c r="K206" s="40" t="n">
        <f aca="false">'Aug 6'!$AG$31</f>
        <v>0</v>
      </c>
      <c r="L206" s="40" t="n">
        <f aca="false">'Aug 6'!$N$31</f>
        <v>0</v>
      </c>
    </row>
    <row r="207" customFormat="false" ht="15" hidden="false" customHeight="false" outlineLevel="0" collapsed="false">
      <c r="A207" s="38" t="str">
        <f aca="false">IF(OR(C207="",C207=0),"",IF(AND(OR($B$5="",G207=$B$5,H207=$B$5),OR($D$5="",F207=$D$5),OR($E$5="",K207=$E$5),OR($G$5="",L207=$G$5),OR($H$5="",N(J207)&gt;=$H$5),OR($I$5="",ISNUMBER(SEARCH($I$5,C207&amp;" "&amp;D207&amp;" "&amp;E207&amp;" "&amp;I207)))),"✓",""))</f>
        <v/>
      </c>
      <c r="B207" s="39" t="n">
        <v>46240</v>
      </c>
      <c r="C207" s="40" t="n">
        <f aca="false">'Aug 6'!$D$32</f>
        <v>0</v>
      </c>
      <c r="D207" s="40" t="n">
        <f aca="false">'Aug 6'!$B$32</f>
        <v>0</v>
      </c>
      <c r="E207" s="41" t="n">
        <f aca="false">'Aug 6'!$E$32</f>
        <v>0</v>
      </c>
      <c r="F207" s="40" t="n">
        <f aca="false">'Aug 6'!$A$32</f>
        <v>0</v>
      </c>
      <c r="G207" s="41" t="n">
        <f aca="false">'Aug 6'!$F$32</f>
        <v>0</v>
      </c>
      <c r="H207" s="41" t="n">
        <f aca="false">'Aug 6'!$G$32</f>
        <v>0</v>
      </c>
      <c r="I207" s="41" t="str">
        <f aca="false">'Aug 6'!$M$32</f>
        <v/>
      </c>
      <c r="J207" s="42" t="str">
        <f aca="false">'Aug 6'!$S$32</f>
        <v/>
      </c>
      <c r="K207" s="40" t="n">
        <f aca="false">'Aug 6'!$AG$32</f>
        <v>0</v>
      </c>
      <c r="L207" s="40" t="n">
        <f aca="false">'Aug 6'!$N$32</f>
        <v>0</v>
      </c>
    </row>
    <row r="208" customFormat="false" ht="15" hidden="false" customHeight="false" outlineLevel="0" collapsed="false">
      <c r="A208" s="38" t="str">
        <f aca="false">IF(OR(C208="",C208=0),"",IF(AND(OR($B$5="",G208=$B$5,H208=$B$5),OR($D$5="",F208=$D$5),OR($E$5="",K208=$E$5),OR($G$5="",L208=$G$5),OR($H$5="",N(J208)&gt;=$H$5),OR($I$5="",ISNUMBER(SEARCH($I$5,C208&amp;" "&amp;D208&amp;" "&amp;E208&amp;" "&amp;I208)))),"✓",""))</f>
        <v/>
      </c>
      <c r="B208" s="39" t="n">
        <v>46240</v>
      </c>
      <c r="C208" s="40" t="n">
        <f aca="false">'Aug 6'!$D$33</f>
        <v>0</v>
      </c>
      <c r="D208" s="40" t="n">
        <f aca="false">'Aug 6'!$B$33</f>
        <v>0</v>
      </c>
      <c r="E208" s="41" t="n">
        <f aca="false">'Aug 6'!$E$33</f>
        <v>0</v>
      </c>
      <c r="F208" s="40" t="n">
        <f aca="false">'Aug 6'!$A$33</f>
        <v>0</v>
      </c>
      <c r="G208" s="41" t="n">
        <f aca="false">'Aug 6'!$F$33</f>
        <v>0</v>
      </c>
      <c r="H208" s="41" t="n">
        <f aca="false">'Aug 6'!$G$33</f>
        <v>0</v>
      </c>
      <c r="I208" s="41" t="str">
        <f aca="false">'Aug 6'!$M$33</f>
        <v/>
      </c>
      <c r="J208" s="42" t="str">
        <f aca="false">'Aug 6'!$S$33</f>
        <v/>
      </c>
      <c r="K208" s="40" t="n">
        <f aca="false">'Aug 6'!$AG$33</f>
        <v>0</v>
      </c>
      <c r="L208" s="40" t="n">
        <f aca="false">'Aug 6'!$N$33</f>
        <v>0</v>
      </c>
    </row>
    <row r="209" customFormat="false" ht="15" hidden="false" customHeight="false" outlineLevel="0" collapsed="false">
      <c r="A209" s="38" t="str">
        <f aca="false">IF(OR(C209="",C209=0),"",IF(AND(OR($B$5="",G209=$B$5,H209=$B$5),OR($D$5="",F209=$D$5),OR($E$5="",K209=$E$5),OR($G$5="",L209=$G$5),OR($H$5="",N(J209)&gt;=$H$5),OR($I$5="",ISNUMBER(SEARCH($I$5,C209&amp;" "&amp;D209&amp;" "&amp;E209&amp;" "&amp;I209)))),"✓",""))</f>
        <v/>
      </c>
      <c r="B209" s="39" t="n">
        <v>46240</v>
      </c>
      <c r="C209" s="40" t="n">
        <f aca="false">'Aug 6'!$D$34</f>
        <v>0</v>
      </c>
      <c r="D209" s="40" t="n">
        <f aca="false">'Aug 6'!$B$34</f>
        <v>0</v>
      </c>
      <c r="E209" s="41" t="n">
        <f aca="false">'Aug 6'!$E$34</f>
        <v>0</v>
      </c>
      <c r="F209" s="40" t="n">
        <f aca="false">'Aug 6'!$A$34</f>
        <v>0</v>
      </c>
      <c r="G209" s="41" t="n">
        <f aca="false">'Aug 6'!$F$34</f>
        <v>0</v>
      </c>
      <c r="H209" s="41" t="n">
        <f aca="false">'Aug 6'!$G$34</f>
        <v>0</v>
      </c>
      <c r="I209" s="41" t="str">
        <f aca="false">'Aug 6'!$M$34</f>
        <v/>
      </c>
      <c r="J209" s="42" t="str">
        <f aca="false">'Aug 6'!$S$34</f>
        <v/>
      </c>
      <c r="K209" s="40" t="n">
        <f aca="false">'Aug 6'!$AG$34</f>
        <v>0</v>
      </c>
      <c r="L209" s="40" t="n">
        <f aca="false">'Aug 6'!$N$34</f>
        <v>0</v>
      </c>
    </row>
    <row r="210" customFormat="false" ht="15" hidden="false" customHeight="false" outlineLevel="0" collapsed="false">
      <c r="A210" s="38" t="str">
        <f aca="false">IF(OR(C210="",C210=0),"",IF(AND(OR($B$5="",G210=$B$5,H210=$B$5),OR($D$5="",F210=$D$5),OR($E$5="",K210=$E$5),OR($G$5="",L210=$G$5),OR($H$5="",N(J210)&gt;=$H$5),OR($I$5="",ISNUMBER(SEARCH($I$5,C210&amp;" "&amp;D210&amp;" "&amp;E210&amp;" "&amp;I210)))),"✓",""))</f>
        <v/>
      </c>
      <c r="B210" s="39" t="n">
        <v>46240</v>
      </c>
      <c r="C210" s="40" t="n">
        <f aca="false">'Aug 6'!$D$35</f>
        <v>0</v>
      </c>
      <c r="D210" s="40" t="n">
        <f aca="false">'Aug 6'!$B$35</f>
        <v>0</v>
      </c>
      <c r="E210" s="41" t="n">
        <f aca="false">'Aug 6'!$E$35</f>
        <v>0</v>
      </c>
      <c r="F210" s="40" t="n">
        <f aca="false">'Aug 6'!$A$35</f>
        <v>0</v>
      </c>
      <c r="G210" s="41" t="n">
        <f aca="false">'Aug 6'!$F$35</f>
        <v>0</v>
      </c>
      <c r="H210" s="41" t="n">
        <f aca="false">'Aug 6'!$G$35</f>
        <v>0</v>
      </c>
      <c r="I210" s="41" t="str">
        <f aca="false">'Aug 6'!$M$35</f>
        <v/>
      </c>
      <c r="J210" s="42" t="str">
        <f aca="false">'Aug 6'!$S$35</f>
        <v/>
      </c>
      <c r="K210" s="40" t="n">
        <f aca="false">'Aug 6'!$AG$35</f>
        <v>0</v>
      </c>
      <c r="L210" s="40" t="n">
        <f aca="false">'Aug 6'!$N$35</f>
        <v>0</v>
      </c>
    </row>
    <row r="211" customFormat="false" ht="15" hidden="false" customHeight="false" outlineLevel="0" collapsed="false">
      <c r="A211" s="38" t="str">
        <f aca="false">IF(OR(C211="",C211=0),"",IF(AND(OR($B$5="",G211=$B$5,H211=$B$5),OR($D$5="",F211=$D$5),OR($E$5="",K211=$E$5),OR($G$5="",L211=$G$5),OR($H$5="",N(J211)&gt;=$H$5),OR($I$5="",ISNUMBER(SEARCH($I$5,C211&amp;" "&amp;D211&amp;" "&amp;E211&amp;" "&amp;I211)))),"✓",""))</f>
        <v/>
      </c>
      <c r="B211" s="39" t="n">
        <v>46240</v>
      </c>
      <c r="C211" s="40" t="n">
        <f aca="false">'Aug 6'!$D$36</f>
        <v>0</v>
      </c>
      <c r="D211" s="40" t="n">
        <f aca="false">'Aug 6'!$B$36</f>
        <v>0</v>
      </c>
      <c r="E211" s="41" t="n">
        <f aca="false">'Aug 6'!$E$36</f>
        <v>0</v>
      </c>
      <c r="F211" s="40" t="n">
        <f aca="false">'Aug 6'!$A$36</f>
        <v>0</v>
      </c>
      <c r="G211" s="41" t="n">
        <f aca="false">'Aug 6'!$F$36</f>
        <v>0</v>
      </c>
      <c r="H211" s="41" t="n">
        <f aca="false">'Aug 6'!$G$36</f>
        <v>0</v>
      </c>
      <c r="I211" s="41" t="str">
        <f aca="false">'Aug 6'!$M$36</f>
        <v/>
      </c>
      <c r="J211" s="42" t="str">
        <f aca="false">'Aug 6'!$S$36</f>
        <v/>
      </c>
      <c r="K211" s="40" t="n">
        <f aca="false">'Aug 6'!$AG$36</f>
        <v>0</v>
      </c>
      <c r="L211" s="40" t="n">
        <f aca="false">'Aug 6'!$N$36</f>
        <v>0</v>
      </c>
    </row>
    <row r="212" customFormat="false" ht="15" hidden="false" customHeight="false" outlineLevel="0" collapsed="false">
      <c r="A212" s="38" t="str">
        <f aca="false">IF(OR(C212="",C212=0),"",IF(AND(OR($B$5="",G212=$B$5,H212=$B$5),OR($D$5="",F212=$D$5),OR($E$5="",K212=$E$5),OR($G$5="",L212=$G$5),OR($H$5="",N(J212)&gt;=$H$5),OR($I$5="",ISNUMBER(SEARCH($I$5,C212&amp;" "&amp;D212&amp;" "&amp;E212&amp;" "&amp;I212)))),"✓",""))</f>
        <v/>
      </c>
      <c r="B212" s="39" t="n">
        <v>46240</v>
      </c>
      <c r="C212" s="40" t="n">
        <f aca="false">'Aug 6'!$D$37</f>
        <v>0</v>
      </c>
      <c r="D212" s="40" t="n">
        <f aca="false">'Aug 6'!$B$37</f>
        <v>0</v>
      </c>
      <c r="E212" s="41" t="n">
        <f aca="false">'Aug 6'!$E$37</f>
        <v>0</v>
      </c>
      <c r="F212" s="40" t="n">
        <f aca="false">'Aug 6'!$A$37</f>
        <v>0</v>
      </c>
      <c r="G212" s="41" t="n">
        <f aca="false">'Aug 6'!$F$37</f>
        <v>0</v>
      </c>
      <c r="H212" s="41" t="n">
        <f aca="false">'Aug 6'!$G$37</f>
        <v>0</v>
      </c>
      <c r="I212" s="41" t="str">
        <f aca="false">'Aug 6'!$M$37</f>
        <v/>
      </c>
      <c r="J212" s="42" t="str">
        <f aca="false">'Aug 6'!$S$37</f>
        <v/>
      </c>
      <c r="K212" s="40" t="n">
        <f aca="false">'Aug 6'!$AG$37</f>
        <v>0</v>
      </c>
      <c r="L212" s="40" t="n">
        <f aca="false">'Aug 6'!$N$37</f>
        <v>0</v>
      </c>
    </row>
    <row r="213" customFormat="false" ht="15" hidden="false" customHeight="false" outlineLevel="0" collapsed="false">
      <c r="A213" s="38" t="str">
        <f aca="false">IF(OR(C213="",C213=0),"",IF(AND(OR($B$5="",G213=$B$5,H213=$B$5),OR($D$5="",F213=$D$5),OR($E$5="",K213=$E$5),OR($G$5="",L213=$G$5),OR($H$5="",N(J213)&gt;=$H$5),OR($I$5="",ISNUMBER(SEARCH($I$5,C213&amp;" "&amp;D213&amp;" "&amp;E213&amp;" "&amp;I213)))),"✓",""))</f>
        <v/>
      </c>
      <c r="B213" s="39" t="n">
        <v>46240</v>
      </c>
      <c r="C213" s="40" t="n">
        <f aca="false">'Aug 6'!$D$38</f>
        <v>0</v>
      </c>
      <c r="D213" s="40" t="n">
        <f aca="false">'Aug 6'!$B$38</f>
        <v>0</v>
      </c>
      <c r="E213" s="41" t="n">
        <f aca="false">'Aug 6'!$E$38</f>
        <v>0</v>
      </c>
      <c r="F213" s="40" t="n">
        <f aca="false">'Aug 6'!$A$38</f>
        <v>0</v>
      </c>
      <c r="G213" s="41" t="n">
        <f aca="false">'Aug 6'!$F$38</f>
        <v>0</v>
      </c>
      <c r="H213" s="41" t="n">
        <f aca="false">'Aug 6'!$G$38</f>
        <v>0</v>
      </c>
      <c r="I213" s="41" t="str">
        <f aca="false">'Aug 6'!$M$38</f>
        <v/>
      </c>
      <c r="J213" s="42" t="str">
        <f aca="false">'Aug 6'!$S$38</f>
        <v/>
      </c>
      <c r="K213" s="40" t="n">
        <f aca="false">'Aug 6'!$AG$38</f>
        <v>0</v>
      </c>
      <c r="L213" s="40" t="n">
        <f aca="false">'Aug 6'!$N$38</f>
        <v>0</v>
      </c>
    </row>
    <row r="214" customFormat="false" ht="15" hidden="false" customHeight="false" outlineLevel="0" collapsed="false">
      <c r="A214" s="38" t="str">
        <f aca="false">IF(OR(C214="",C214=0),"",IF(AND(OR($B$5="",G214=$B$5,H214=$B$5),OR($D$5="",F214=$D$5),OR($E$5="",K214=$E$5),OR($G$5="",L214=$G$5),OR($H$5="",N(J214)&gt;=$H$5),OR($I$5="",ISNUMBER(SEARCH($I$5,C214&amp;" "&amp;D214&amp;" "&amp;E214&amp;" "&amp;I214)))),"✓",""))</f>
        <v/>
      </c>
      <c r="B214" s="39" t="n">
        <v>46240</v>
      </c>
      <c r="C214" s="40" t="n">
        <f aca="false">'Aug 6'!$D$39</f>
        <v>0</v>
      </c>
      <c r="D214" s="40" t="n">
        <f aca="false">'Aug 6'!$B$39</f>
        <v>0</v>
      </c>
      <c r="E214" s="41" t="n">
        <f aca="false">'Aug 6'!$E$39</f>
        <v>0</v>
      </c>
      <c r="F214" s="40" t="n">
        <f aca="false">'Aug 6'!$A$39</f>
        <v>0</v>
      </c>
      <c r="G214" s="41" t="n">
        <f aca="false">'Aug 6'!$F$39</f>
        <v>0</v>
      </c>
      <c r="H214" s="41" t="n">
        <f aca="false">'Aug 6'!$G$39</f>
        <v>0</v>
      </c>
      <c r="I214" s="41" t="str">
        <f aca="false">'Aug 6'!$M$39</f>
        <v/>
      </c>
      <c r="J214" s="42" t="str">
        <f aca="false">'Aug 6'!$S$39</f>
        <v/>
      </c>
      <c r="K214" s="40" t="n">
        <f aca="false">'Aug 6'!$AG$39</f>
        <v>0</v>
      </c>
      <c r="L214" s="40" t="n">
        <f aca="false">'Aug 6'!$N$39</f>
        <v>0</v>
      </c>
    </row>
    <row r="215" customFormat="false" ht="15" hidden="false" customHeight="false" outlineLevel="0" collapsed="false">
      <c r="A215" s="38" t="str">
        <f aca="false">IF(OR(C215="",C215=0),"",IF(AND(OR($B$5="",G215=$B$5,H215=$B$5),OR($D$5="",F215=$D$5),OR($E$5="",K215=$E$5),OR($G$5="",L215=$G$5),OR($H$5="",N(J215)&gt;=$H$5),OR($I$5="",ISNUMBER(SEARCH($I$5,C215&amp;" "&amp;D215&amp;" "&amp;E215&amp;" "&amp;I215)))),"✓",""))</f>
        <v/>
      </c>
      <c r="B215" s="39" t="n">
        <v>46240</v>
      </c>
      <c r="C215" s="40" t="n">
        <f aca="false">'Aug 6'!$D$40</f>
        <v>0</v>
      </c>
      <c r="D215" s="40" t="n">
        <f aca="false">'Aug 6'!$B$40</f>
        <v>0</v>
      </c>
      <c r="E215" s="41" t="n">
        <f aca="false">'Aug 6'!$E$40</f>
        <v>0</v>
      </c>
      <c r="F215" s="40" t="n">
        <f aca="false">'Aug 6'!$A$40</f>
        <v>0</v>
      </c>
      <c r="G215" s="41" t="n">
        <f aca="false">'Aug 6'!$F$40</f>
        <v>0</v>
      </c>
      <c r="H215" s="41" t="n">
        <f aca="false">'Aug 6'!$G$40</f>
        <v>0</v>
      </c>
      <c r="I215" s="41" t="str">
        <f aca="false">'Aug 6'!$M$40</f>
        <v/>
      </c>
      <c r="J215" s="42" t="str">
        <f aca="false">'Aug 6'!$S$40</f>
        <v/>
      </c>
      <c r="K215" s="40" t="n">
        <f aca="false">'Aug 6'!$AG$40</f>
        <v>0</v>
      </c>
      <c r="L215" s="40" t="n">
        <f aca="false">'Aug 6'!$N$40</f>
        <v>0</v>
      </c>
    </row>
    <row r="216" customFormat="false" ht="15" hidden="false" customHeight="false" outlineLevel="0" collapsed="false">
      <c r="A216" s="38" t="str">
        <f aca="false">IF(OR(C216="",C216=0),"",IF(AND(OR($B$5="",G216=$B$5,H216=$B$5),OR($D$5="",F216=$D$5),OR($E$5="",K216=$E$5),OR($G$5="",L216=$G$5),OR($H$5="",N(J216)&gt;=$H$5),OR($I$5="",ISNUMBER(SEARCH($I$5,C216&amp;" "&amp;D216&amp;" "&amp;E216&amp;" "&amp;I216)))),"✓",""))</f>
        <v/>
      </c>
      <c r="B216" s="39" t="n">
        <v>46240</v>
      </c>
      <c r="C216" s="40" t="n">
        <f aca="false">'Aug 6'!$D$41</f>
        <v>0</v>
      </c>
      <c r="D216" s="40" t="n">
        <f aca="false">'Aug 6'!$B$41</f>
        <v>0</v>
      </c>
      <c r="E216" s="41" t="n">
        <f aca="false">'Aug 6'!$E$41</f>
        <v>0</v>
      </c>
      <c r="F216" s="40" t="n">
        <f aca="false">'Aug 6'!$A$41</f>
        <v>0</v>
      </c>
      <c r="G216" s="41" t="n">
        <f aca="false">'Aug 6'!$F$41</f>
        <v>0</v>
      </c>
      <c r="H216" s="41" t="n">
        <f aca="false">'Aug 6'!$G$41</f>
        <v>0</v>
      </c>
      <c r="I216" s="41" t="str">
        <f aca="false">'Aug 6'!$M$41</f>
        <v/>
      </c>
      <c r="J216" s="42" t="str">
        <f aca="false">'Aug 6'!$S$41</f>
        <v/>
      </c>
      <c r="K216" s="40" t="n">
        <f aca="false">'Aug 6'!$AG$41</f>
        <v>0</v>
      </c>
      <c r="L216" s="40" t="n">
        <f aca="false">'Aug 6'!$N$41</f>
        <v>0</v>
      </c>
    </row>
    <row r="217" customFormat="false" ht="15" hidden="false" customHeight="false" outlineLevel="0" collapsed="false">
      <c r="A217" s="38" t="str">
        <f aca="false">IF(OR(C217="",C217=0),"",IF(AND(OR($B$5="",G217=$B$5,H217=$B$5),OR($D$5="",F217=$D$5),OR($E$5="",K217=$E$5),OR($G$5="",L217=$G$5),OR($H$5="",N(J217)&gt;=$H$5),OR($I$5="",ISNUMBER(SEARCH($I$5,C217&amp;" "&amp;D217&amp;" "&amp;E217&amp;" "&amp;I217)))),"✓",""))</f>
        <v/>
      </c>
      <c r="B217" s="39" t="n">
        <v>46240</v>
      </c>
      <c r="C217" s="40" t="n">
        <f aca="false">'Aug 6'!$D$42</f>
        <v>0</v>
      </c>
      <c r="D217" s="40" t="n">
        <f aca="false">'Aug 6'!$B$42</f>
        <v>0</v>
      </c>
      <c r="E217" s="41" t="n">
        <f aca="false">'Aug 6'!$E$42</f>
        <v>0</v>
      </c>
      <c r="F217" s="40" t="n">
        <f aca="false">'Aug 6'!$A$42</f>
        <v>0</v>
      </c>
      <c r="G217" s="41" t="n">
        <f aca="false">'Aug 6'!$F$42</f>
        <v>0</v>
      </c>
      <c r="H217" s="41" t="n">
        <f aca="false">'Aug 6'!$G$42</f>
        <v>0</v>
      </c>
      <c r="I217" s="41" t="str">
        <f aca="false">'Aug 6'!$M$42</f>
        <v/>
      </c>
      <c r="J217" s="42" t="str">
        <f aca="false">'Aug 6'!$S$42</f>
        <v/>
      </c>
      <c r="K217" s="40" t="n">
        <f aca="false">'Aug 6'!$AG$42</f>
        <v>0</v>
      </c>
      <c r="L217" s="40" t="n">
        <f aca="false">'Aug 6'!$N$42</f>
        <v>0</v>
      </c>
    </row>
    <row r="218" customFormat="false" ht="15" hidden="false" customHeight="false" outlineLevel="0" collapsed="false">
      <c r="A218" s="38" t="str">
        <f aca="false">IF(OR(C218="",C218=0),"",IF(AND(OR($B$5="",G218=$B$5,H218=$B$5),OR($D$5="",F218=$D$5),OR($E$5="",K218=$E$5),OR($G$5="",L218=$G$5),OR($H$5="",N(J218)&gt;=$H$5),OR($I$5="",ISNUMBER(SEARCH($I$5,C218&amp;" "&amp;D218&amp;" "&amp;E218&amp;" "&amp;I218)))),"✓",""))</f>
        <v/>
      </c>
      <c r="B218" s="39" t="n">
        <v>46241</v>
      </c>
      <c r="C218" s="40" t="n">
        <f aca="false">'Aug 7'!$D$8</f>
        <v>0</v>
      </c>
      <c r="D218" s="40" t="n">
        <f aca="false">'Aug 7'!$B$8</f>
        <v>0</v>
      </c>
      <c r="E218" s="41" t="n">
        <f aca="false">'Aug 7'!$E$8</f>
        <v>0</v>
      </c>
      <c r="F218" s="40" t="n">
        <f aca="false">'Aug 7'!$A$8</f>
        <v>0</v>
      </c>
      <c r="G218" s="41" t="n">
        <f aca="false">'Aug 7'!$F$8</f>
        <v>0</v>
      </c>
      <c r="H218" s="41" t="n">
        <f aca="false">'Aug 7'!$G$8</f>
        <v>0</v>
      </c>
      <c r="I218" s="41" t="str">
        <f aca="false">'Aug 7'!$M$8</f>
        <v/>
      </c>
      <c r="J218" s="42" t="str">
        <f aca="false">'Aug 7'!$S$8</f>
        <v/>
      </c>
      <c r="K218" s="40" t="n">
        <f aca="false">'Aug 7'!$AG$8</f>
        <v>0</v>
      </c>
      <c r="L218" s="40" t="n">
        <f aca="false">'Aug 7'!$N$8</f>
        <v>0</v>
      </c>
    </row>
    <row r="219" customFormat="false" ht="15" hidden="false" customHeight="false" outlineLevel="0" collapsed="false">
      <c r="A219" s="38" t="str">
        <f aca="false">IF(OR(C219="",C219=0),"",IF(AND(OR($B$5="",G219=$B$5,H219=$B$5),OR($D$5="",F219=$D$5),OR($E$5="",K219=$E$5),OR($G$5="",L219=$G$5),OR($H$5="",N(J219)&gt;=$H$5),OR($I$5="",ISNUMBER(SEARCH($I$5,C219&amp;" "&amp;D219&amp;" "&amp;E219&amp;" "&amp;I219)))),"✓",""))</f>
        <v/>
      </c>
      <c r="B219" s="39" t="n">
        <v>46241</v>
      </c>
      <c r="C219" s="40" t="n">
        <f aca="false">'Aug 7'!$D$9</f>
        <v>0</v>
      </c>
      <c r="D219" s="40" t="n">
        <f aca="false">'Aug 7'!$B$9</f>
        <v>0</v>
      </c>
      <c r="E219" s="41" t="n">
        <f aca="false">'Aug 7'!$E$9</f>
        <v>0</v>
      </c>
      <c r="F219" s="40" t="n">
        <f aca="false">'Aug 7'!$A$9</f>
        <v>0</v>
      </c>
      <c r="G219" s="41" t="n">
        <f aca="false">'Aug 7'!$F$9</f>
        <v>0</v>
      </c>
      <c r="H219" s="41" t="n">
        <f aca="false">'Aug 7'!$G$9</f>
        <v>0</v>
      </c>
      <c r="I219" s="41" t="str">
        <f aca="false">'Aug 7'!$M$9</f>
        <v/>
      </c>
      <c r="J219" s="42" t="str">
        <f aca="false">'Aug 7'!$S$9</f>
        <v/>
      </c>
      <c r="K219" s="40" t="n">
        <f aca="false">'Aug 7'!$AG$9</f>
        <v>0</v>
      </c>
      <c r="L219" s="40" t="n">
        <f aca="false">'Aug 7'!$N$9</f>
        <v>0</v>
      </c>
    </row>
    <row r="220" customFormat="false" ht="15" hidden="false" customHeight="false" outlineLevel="0" collapsed="false">
      <c r="A220" s="38" t="str">
        <f aca="false">IF(OR(C220="",C220=0),"",IF(AND(OR($B$5="",G220=$B$5,H220=$B$5),OR($D$5="",F220=$D$5),OR($E$5="",K220=$E$5),OR($G$5="",L220=$G$5),OR($H$5="",N(J220)&gt;=$H$5),OR($I$5="",ISNUMBER(SEARCH($I$5,C220&amp;" "&amp;D220&amp;" "&amp;E220&amp;" "&amp;I220)))),"✓",""))</f>
        <v/>
      </c>
      <c r="B220" s="39" t="n">
        <v>46241</v>
      </c>
      <c r="C220" s="40" t="n">
        <f aca="false">'Aug 7'!$D$10</f>
        <v>0</v>
      </c>
      <c r="D220" s="40" t="n">
        <f aca="false">'Aug 7'!$B$10</f>
        <v>0</v>
      </c>
      <c r="E220" s="41" t="n">
        <f aca="false">'Aug 7'!$E$10</f>
        <v>0</v>
      </c>
      <c r="F220" s="40" t="n">
        <f aca="false">'Aug 7'!$A$10</f>
        <v>0</v>
      </c>
      <c r="G220" s="41" t="n">
        <f aca="false">'Aug 7'!$F$10</f>
        <v>0</v>
      </c>
      <c r="H220" s="41" t="n">
        <f aca="false">'Aug 7'!$G$10</f>
        <v>0</v>
      </c>
      <c r="I220" s="41" t="str">
        <f aca="false">'Aug 7'!$M$10</f>
        <v/>
      </c>
      <c r="J220" s="42" t="str">
        <f aca="false">'Aug 7'!$S$10</f>
        <v/>
      </c>
      <c r="K220" s="40" t="n">
        <f aca="false">'Aug 7'!$AG$10</f>
        <v>0</v>
      </c>
      <c r="L220" s="40" t="n">
        <f aca="false">'Aug 7'!$N$10</f>
        <v>0</v>
      </c>
    </row>
    <row r="221" customFormat="false" ht="15" hidden="false" customHeight="false" outlineLevel="0" collapsed="false">
      <c r="A221" s="38" t="str">
        <f aca="false">IF(OR(C221="",C221=0),"",IF(AND(OR($B$5="",G221=$B$5,H221=$B$5),OR($D$5="",F221=$D$5),OR($E$5="",K221=$E$5),OR($G$5="",L221=$G$5),OR($H$5="",N(J221)&gt;=$H$5),OR($I$5="",ISNUMBER(SEARCH($I$5,C221&amp;" "&amp;D221&amp;" "&amp;E221&amp;" "&amp;I221)))),"✓",""))</f>
        <v/>
      </c>
      <c r="B221" s="39" t="n">
        <v>46241</v>
      </c>
      <c r="C221" s="40" t="n">
        <f aca="false">'Aug 7'!$D$11</f>
        <v>0</v>
      </c>
      <c r="D221" s="40" t="n">
        <f aca="false">'Aug 7'!$B$11</f>
        <v>0</v>
      </c>
      <c r="E221" s="41" t="n">
        <f aca="false">'Aug 7'!$E$11</f>
        <v>0</v>
      </c>
      <c r="F221" s="40" t="n">
        <f aca="false">'Aug 7'!$A$11</f>
        <v>0</v>
      </c>
      <c r="G221" s="41" t="n">
        <f aca="false">'Aug 7'!$F$11</f>
        <v>0</v>
      </c>
      <c r="H221" s="41" t="n">
        <f aca="false">'Aug 7'!$G$11</f>
        <v>0</v>
      </c>
      <c r="I221" s="41" t="str">
        <f aca="false">'Aug 7'!$M$11</f>
        <v/>
      </c>
      <c r="J221" s="42" t="str">
        <f aca="false">'Aug 7'!$S$11</f>
        <v/>
      </c>
      <c r="K221" s="40" t="n">
        <f aca="false">'Aug 7'!$AG$11</f>
        <v>0</v>
      </c>
      <c r="L221" s="40" t="n">
        <f aca="false">'Aug 7'!$N$11</f>
        <v>0</v>
      </c>
    </row>
    <row r="222" customFormat="false" ht="15" hidden="false" customHeight="false" outlineLevel="0" collapsed="false">
      <c r="A222" s="38" t="str">
        <f aca="false">IF(OR(C222="",C222=0),"",IF(AND(OR($B$5="",G222=$B$5,H222=$B$5),OR($D$5="",F222=$D$5),OR($E$5="",K222=$E$5),OR($G$5="",L222=$G$5),OR($H$5="",N(J222)&gt;=$H$5),OR($I$5="",ISNUMBER(SEARCH($I$5,C222&amp;" "&amp;D222&amp;" "&amp;E222&amp;" "&amp;I222)))),"✓",""))</f>
        <v/>
      </c>
      <c r="B222" s="39" t="n">
        <v>46241</v>
      </c>
      <c r="C222" s="40" t="n">
        <f aca="false">'Aug 7'!$D$12</f>
        <v>0</v>
      </c>
      <c r="D222" s="40" t="n">
        <f aca="false">'Aug 7'!$B$12</f>
        <v>0</v>
      </c>
      <c r="E222" s="41" t="n">
        <f aca="false">'Aug 7'!$E$12</f>
        <v>0</v>
      </c>
      <c r="F222" s="40" t="n">
        <f aca="false">'Aug 7'!$A$12</f>
        <v>0</v>
      </c>
      <c r="G222" s="41" t="n">
        <f aca="false">'Aug 7'!$F$12</f>
        <v>0</v>
      </c>
      <c r="H222" s="41" t="n">
        <f aca="false">'Aug 7'!$G$12</f>
        <v>0</v>
      </c>
      <c r="I222" s="41" t="str">
        <f aca="false">'Aug 7'!$M$12</f>
        <v/>
      </c>
      <c r="J222" s="42" t="str">
        <f aca="false">'Aug 7'!$S$12</f>
        <v/>
      </c>
      <c r="K222" s="40" t="n">
        <f aca="false">'Aug 7'!$AG$12</f>
        <v>0</v>
      </c>
      <c r="L222" s="40" t="n">
        <f aca="false">'Aug 7'!$N$12</f>
        <v>0</v>
      </c>
    </row>
    <row r="223" customFormat="false" ht="15" hidden="false" customHeight="false" outlineLevel="0" collapsed="false">
      <c r="A223" s="38" t="str">
        <f aca="false">IF(OR(C223="",C223=0),"",IF(AND(OR($B$5="",G223=$B$5,H223=$B$5),OR($D$5="",F223=$D$5),OR($E$5="",K223=$E$5),OR($G$5="",L223=$G$5),OR($H$5="",N(J223)&gt;=$H$5),OR($I$5="",ISNUMBER(SEARCH($I$5,C223&amp;" "&amp;D223&amp;" "&amp;E223&amp;" "&amp;I223)))),"✓",""))</f>
        <v/>
      </c>
      <c r="B223" s="39" t="n">
        <v>46241</v>
      </c>
      <c r="C223" s="40" t="n">
        <f aca="false">'Aug 7'!$D$13</f>
        <v>0</v>
      </c>
      <c r="D223" s="40" t="n">
        <f aca="false">'Aug 7'!$B$13</f>
        <v>0</v>
      </c>
      <c r="E223" s="41" t="n">
        <f aca="false">'Aug 7'!$E$13</f>
        <v>0</v>
      </c>
      <c r="F223" s="40" t="n">
        <f aca="false">'Aug 7'!$A$13</f>
        <v>0</v>
      </c>
      <c r="G223" s="41" t="n">
        <f aca="false">'Aug 7'!$F$13</f>
        <v>0</v>
      </c>
      <c r="H223" s="41" t="n">
        <f aca="false">'Aug 7'!$G$13</f>
        <v>0</v>
      </c>
      <c r="I223" s="41" t="str">
        <f aca="false">'Aug 7'!$M$13</f>
        <v/>
      </c>
      <c r="J223" s="42" t="str">
        <f aca="false">'Aug 7'!$S$13</f>
        <v/>
      </c>
      <c r="K223" s="40" t="n">
        <f aca="false">'Aug 7'!$AG$13</f>
        <v>0</v>
      </c>
      <c r="L223" s="40" t="n">
        <f aca="false">'Aug 7'!$N$13</f>
        <v>0</v>
      </c>
    </row>
    <row r="224" customFormat="false" ht="15" hidden="false" customHeight="false" outlineLevel="0" collapsed="false">
      <c r="A224" s="38" t="str">
        <f aca="false">IF(OR(C224="",C224=0),"",IF(AND(OR($B$5="",G224=$B$5,H224=$B$5),OR($D$5="",F224=$D$5),OR($E$5="",K224=$E$5),OR($G$5="",L224=$G$5),OR($H$5="",N(J224)&gt;=$H$5),OR($I$5="",ISNUMBER(SEARCH($I$5,C224&amp;" "&amp;D224&amp;" "&amp;E224&amp;" "&amp;I224)))),"✓",""))</f>
        <v/>
      </c>
      <c r="B224" s="39" t="n">
        <v>46241</v>
      </c>
      <c r="C224" s="40" t="n">
        <f aca="false">'Aug 7'!$D$14</f>
        <v>0</v>
      </c>
      <c r="D224" s="40" t="n">
        <f aca="false">'Aug 7'!$B$14</f>
        <v>0</v>
      </c>
      <c r="E224" s="41" t="n">
        <f aca="false">'Aug 7'!$E$14</f>
        <v>0</v>
      </c>
      <c r="F224" s="40" t="n">
        <f aca="false">'Aug 7'!$A$14</f>
        <v>0</v>
      </c>
      <c r="G224" s="41" t="n">
        <f aca="false">'Aug 7'!$F$14</f>
        <v>0</v>
      </c>
      <c r="H224" s="41" t="n">
        <f aca="false">'Aug 7'!$G$14</f>
        <v>0</v>
      </c>
      <c r="I224" s="41" t="str">
        <f aca="false">'Aug 7'!$M$14</f>
        <v/>
      </c>
      <c r="J224" s="42" t="str">
        <f aca="false">'Aug 7'!$S$14</f>
        <v/>
      </c>
      <c r="K224" s="40" t="n">
        <f aca="false">'Aug 7'!$AG$14</f>
        <v>0</v>
      </c>
      <c r="L224" s="40" t="n">
        <f aca="false">'Aug 7'!$N$14</f>
        <v>0</v>
      </c>
    </row>
    <row r="225" customFormat="false" ht="15" hidden="false" customHeight="false" outlineLevel="0" collapsed="false">
      <c r="A225" s="38" t="str">
        <f aca="false">IF(OR(C225="",C225=0),"",IF(AND(OR($B$5="",G225=$B$5,H225=$B$5),OR($D$5="",F225=$D$5),OR($E$5="",K225=$E$5),OR($G$5="",L225=$G$5),OR($H$5="",N(J225)&gt;=$H$5),OR($I$5="",ISNUMBER(SEARCH($I$5,C225&amp;" "&amp;D225&amp;" "&amp;E225&amp;" "&amp;I225)))),"✓",""))</f>
        <v/>
      </c>
      <c r="B225" s="39" t="n">
        <v>46241</v>
      </c>
      <c r="C225" s="40" t="n">
        <f aca="false">'Aug 7'!$D$15</f>
        <v>0</v>
      </c>
      <c r="D225" s="40" t="n">
        <f aca="false">'Aug 7'!$B$15</f>
        <v>0</v>
      </c>
      <c r="E225" s="41" t="n">
        <f aca="false">'Aug 7'!$E$15</f>
        <v>0</v>
      </c>
      <c r="F225" s="40" t="n">
        <f aca="false">'Aug 7'!$A$15</f>
        <v>0</v>
      </c>
      <c r="G225" s="41" t="n">
        <f aca="false">'Aug 7'!$F$15</f>
        <v>0</v>
      </c>
      <c r="H225" s="41" t="n">
        <f aca="false">'Aug 7'!$G$15</f>
        <v>0</v>
      </c>
      <c r="I225" s="41" t="str">
        <f aca="false">'Aug 7'!$M$15</f>
        <v/>
      </c>
      <c r="J225" s="42" t="str">
        <f aca="false">'Aug 7'!$S$15</f>
        <v/>
      </c>
      <c r="K225" s="40" t="n">
        <f aca="false">'Aug 7'!$AG$15</f>
        <v>0</v>
      </c>
      <c r="L225" s="40" t="n">
        <f aca="false">'Aug 7'!$N$15</f>
        <v>0</v>
      </c>
    </row>
    <row r="226" customFormat="false" ht="15" hidden="false" customHeight="false" outlineLevel="0" collapsed="false">
      <c r="A226" s="38" t="str">
        <f aca="false">IF(OR(C226="",C226=0),"",IF(AND(OR($B$5="",G226=$B$5,H226=$B$5),OR($D$5="",F226=$D$5),OR($E$5="",K226=$E$5),OR($G$5="",L226=$G$5),OR($H$5="",N(J226)&gt;=$H$5),OR($I$5="",ISNUMBER(SEARCH($I$5,C226&amp;" "&amp;D226&amp;" "&amp;E226&amp;" "&amp;I226)))),"✓",""))</f>
        <v/>
      </c>
      <c r="B226" s="39" t="n">
        <v>46241</v>
      </c>
      <c r="C226" s="40" t="n">
        <f aca="false">'Aug 7'!$D$16</f>
        <v>0</v>
      </c>
      <c r="D226" s="40" t="n">
        <f aca="false">'Aug 7'!$B$16</f>
        <v>0</v>
      </c>
      <c r="E226" s="41" t="n">
        <f aca="false">'Aug 7'!$E$16</f>
        <v>0</v>
      </c>
      <c r="F226" s="40" t="n">
        <f aca="false">'Aug 7'!$A$16</f>
        <v>0</v>
      </c>
      <c r="G226" s="41" t="n">
        <f aca="false">'Aug 7'!$F$16</f>
        <v>0</v>
      </c>
      <c r="H226" s="41" t="n">
        <f aca="false">'Aug 7'!$G$16</f>
        <v>0</v>
      </c>
      <c r="I226" s="41" t="str">
        <f aca="false">'Aug 7'!$M$16</f>
        <v/>
      </c>
      <c r="J226" s="42" t="str">
        <f aca="false">'Aug 7'!$S$16</f>
        <v/>
      </c>
      <c r="K226" s="40" t="n">
        <f aca="false">'Aug 7'!$AG$16</f>
        <v>0</v>
      </c>
      <c r="L226" s="40" t="n">
        <f aca="false">'Aug 7'!$N$16</f>
        <v>0</v>
      </c>
    </row>
    <row r="227" customFormat="false" ht="15" hidden="false" customHeight="false" outlineLevel="0" collapsed="false">
      <c r="A227" s="38" t="str">
        <f aca="false">IF(OR(C227="",C227=0),"",IF(AND(OR($B$5="",G227=$B$5,H227=$B$5),OR($D$5="",F227=$D$5),OR($E$5="",K227=$E$5),OR($G$5="",L227=$G$5),OR($H$5="",N(J227)&gt;=$H$5),OR($I$5="",ISNUMBER(SEARCH($I$5,C227&amp;" "&amp;D227&amp;" "&amp;E227&amp;" "&amp;I227)))),"✓",""))</f>
        <v/>
      </c>
      <c r="B227" s="39" t="n">
        <v>46241</v>
      </c>
      <c r="C227" s="40" t="n">
        <f aca="false">'Aug 7'!$D$17</f>
        <v>0</v>
      </c>
      <c r="D227" s="40" t="n">
        <f aca="false">'Aug 7'!$B$17</f>
        <v>0</v>
      </c>
      <c r="E227" s="41" t="n">
        <f aca="false">'Aug 7'!$E$17</f>
        <v>0</v>
      </c>
      <c r="F227" s="40" t="n">
        <f aca="false">'Aug 7'!$A$17</f>
        <v>0</v>
      </c>
      <c r="G227" s="41" t="n">
        <f aca="false">'Aug 7'!$F$17</f>
        <v>0</v>
      </c>
      <c r="H227" s="41" t="n">
        <f aca="false">'Aug 7'!$G$17</f>
        <v>0</v>
      </c>
      <c r="I227" s="41" t="str">
        <f aca="false">'Aug 7'!$M$17</f>
        <v/>
      </c>
      <c r="J227" s="42" t="str">
        <f aca="false">'Aug 7'!$S$17</f>
        <v/>
      </c>
      <c r="K227" s="40" t="n">
        <f aca="false">'Aug 7'!$AG$17</f>
        <v>0</v>
      </c>
      <c r="L227" s="40" t="n">
        <f aca="false">'Aug 7'!$N$17</f>
        <v>0</v>
      </c>
    </row>
    <row r="228" customFormat="false" ht="15" hidden="false" customHeight="false" outlineLevel="0" collapsed="false">
      <c r="A228" s="38" t="str">
        <f aca="false">IF(OR(C228="",C228=0),"",IF(AND(OR($B$5="",G228=$B$5,H228=$B$5),OR($D$5="",F228=$D$5),OR($E$5="",K228=$E$5),OR($G$5="",L228=$G$5),OR($H$5="",N(J228)&gt;=$H$5),OR($I$5="",ISNUMBER(SEARCH($I$5,C228&amp;" "&amp;D228&amp;" "&amp;E228&amp;" "&amp;I228)))),"✓",""))</f>
        <v/>
      </c>
      <c r="B228" s="39" t="n">
        <v>46241</v>
      </c>
      <c r="C228" s="40" t="n">
        <f aca="false">'Aug 7'!$D$18</f>
        <v>0</v>
      </c>
      <c r="D228" s="40" t="n">
        <f aca="false">'Aug 7'!$B$18</f>
        <v>0</v>
      </c>
      <c r="E228" s="41" t="n">
        <f aca="false">'Aug 7'!$E$18</f>
        <v>0</v>
      </c>
      <c r="F228" s="40" t="n">
        <f aca="false">'Aug 7'!$A$18</f>
        <v>0</v>
      </c>
      <c r="G228" s="41" t="n">
        <f aca="false">'Aug 7'!$F$18</f>
        <v>0</v>
      </c>
      <c r="H228" s="41" t="n">
        <f aca="false">'Aug 7'!$G$18</f>
        <v>0</v>
      </c>
      <c r="I228" s="41" t="str">
        <f aca="false">'Aug 7'!$M$18</f>
        <v/>
      </c>
      <c r="J228" s="42" t="str">
        <f aca="false">'Aug 7'!$S$18</f>
        <v/>
      </c>
      <c r="K228" s="40" t="n">
        <f aca="false">'Aug 7'!$AG$18</f>
        <v>0</v>
      </c>
      <c r="L228" s="40" t="n">
        <f aca="false">'Aug 7'!$N$18</f>
        <v>0</v>
      </c>
    </row>
    <row r="229" customFormat="false" ht="15" hidden="false" customHeight="false" outlineLevel="0" collapsed="false">
      <c r="A229" s="38" t="str">
        <f aca="false">IF(OR(C229="",C229=0),"",IF(AND(OR($B$5="",G229=$B$5,H229=$B$5),OR($D$5="",F229=$D$5),OR($E$5="",K229=$E$5),OR($G$5="",L229=$G$5),OR($H$5="",N(J229)&gt;=$H$5),OR($I$5="",ISNUMBER(SEARCH($I$5,C229&amp;" "&amp;D229&amp;" "&amp;E229&amp;" "&amp;I229)))),"✓",""))</f>
        <v/>
      </c>
      <c r="B229" s="39" t="n">
        <v>46241</v>
      </c>
      <c r="C229" s="40" t="n">
        <f aca="false">'Aug 7'!$D$19</f>
        <v>0</v>
      </c>
      <c r="D229" s="40" t="n">
        <f aca="false">'Aug 7'!$B$19</f>
        <v>0</v>
      </c>
      <c r="E229" s="41" t="n">
        <f aca="false">'Aug 7'!$E$19</f>
        <v>0</v>
      </c>
      <c r="F229" s="40" t="n">
        <f aca="false">'Aug 7'!$A$19</f>
        <v>0</v>
      </c>
      <c r="G229" s="41" t="n">
        <f aca="false">'Aug 7'!$F$19</f>
        <v>0</v>
      </c>
      <c r="H229" s="41" t="n">
        <f aca="false">'Aug 7'!$G$19</f>
        <v>0</v>
      </c>
      <c r="I229" s="41" t="str">
        <f aca="false">'Aug 7'!$M$19</f>
        <v/>
      </c>
      <c r="J229" s="42" t="str">
        <f aca="false">'Aug 7'!$S$19</f>
        <v/>
      </c>
      <c r="K229" s="40" t="n">
        <f aca="false">'Aug 7'!$AG$19</f>
        <v>0</v>
      </c>
      <c r="L229" s="40" t="n">
        <f aca="false">'Aug 7'!$N$19</f>
        <v>0</v>
      </c>
    </row>
    <row r="230" customFormat="false" ht="15" hidden="false" customHeight="false" outlineLevel="0" collapsed="false">
      <c r="A230" s="38" t="str">
        <f aca="false">IF(OR(C230="",C230=0),"",IF(AND(OR($B$5="",G230=$B$5,H230=$B$5),OR($D$5="",F230=$D$5),OR($E$5="",K230=$E$5),OR($G$5="",L230=$G$5),OR($H$5="",N(J230)&gt;=$H$5),OR($I$5="",ISNUMBER(SEARCH($I$5,C230&amp;" "&amp;D230&amp;" "&amp;E230&amp;" "&amp;I230)))),"✓",""))</f>
        <v/>
      </c>
      <c r="B230" s="39" t="n">
        <v>46241</v>
      </c>
      <c r="C230" s="40" t="n">
        <f aca="false">'Aug 7'!$D$20</f>
        <v>0</v>
      </c>
      <c r="D230" s="40" t="n">
        <f aca="false">'Aug 7'!$B$20</f>
        <v>0</v>
      </c>
      <c r="E230" s="41" t="n">
        <f aca="false">'Aug 7'!$E$20</f>
        <v>0</v>
      </c>
      <c r="F230" s="40" t="n">
        <f aca="false">'Aug 7'!$A$20</f>
        <v>0</v>
      </c>
      <c r="G230" s="41" t="n">
        <f aca="false">'Aug 7'!$F$20</f>
        <v>0</v>
      </c>
      <c r="H230" s="41" t="n">
        <f aca="false">'Aug 7'!$G$20</f>
        <v>0</v>
      </c>
      <c r="I230" s="41" t="str">
        <f aca="false">'Aug 7'!$M$20</f>
        <v/>
      </c>
      <c r="J230" s="42" t="str">
        <f aca="false">'Aug 7'!$S$20</f>
        <v/>
      </c>
      <c r="K230" s="40" t="n">
        <f aca="false">'Aug 7'!$AG$20</f>
        <v>0</v>
      </c>
      <c r="L230" s="40" t="n">
        <f aca="false">'Aug 7'!$N$20</f>
        <v>0</v>
      </c>
    </row>
    <row r="231" customFormat="false" ht="15" hidden="false" customHeight="false" outlineLevel="0" collapsed="false">
      <c r="A231" s="38" t="str">
        <f aca="false">IF(OR(C231="",C231=0),"",IF(AND(OR($B$5="",G231=$B$5,H231=$B$5),OR($D$5="",F231=$D$5),OR($E$5="",K231=$E$5),OR($G$5="",L231=$G$5),OR($H$5="",N(J231)&gt;=$H$5),OR($I$5="",ISNUMBER(SEARCH($I$5,C231&amp;" "&amp;D231&amp;" "&amp;E231&amp;" "&amp;I231)))),"✓",""))</f>
        <v/>
      </c>
      <c r="B231" s="39" t="n">
        <v>46241</v>
      </c>
      <c r="C231" s="40" t="n">
        <f aca="false">'Aug 7'!$D$21</f>
        <v>0</v>
      </c>
      <c r="D231" s="40" t="n">
        <f aca="false">'Aug 7'!$B$21</f>
        <v>0</v>
      </c>
      <c r="E231" s="41" t="n">
        <f aca="false">'Aug 7'!$E$21</f>
        <v>0</v>
      </c>
      <c r="F231" s="40" t="n">
        <f aca="false">'Aug 7'!$A$21</f>
        <v>0</v>
      </c>
      <c r="G231" s="41" t="n">
        <f aca="false">'Aug 7'!$F$21</f>
        <v>0</v>
      </c>
      <c r="H231" s="41" t="n">
        <f aca="false">'Aug 7'!$G$21</f>
        <v>0</v>
      </c>
      <c r="I231" s="41" t="str">
        <f aca="false">'Aug 7'!$M$21</f>
        <v/>
      </c>
      <c r="J231" s="42" t="str">
        <f aca="false">'Aug 7'!$S$21</f>
        <v/>
      </c>
      <c r="K231" s="40" t="n">
        <f aca="false">'Aug 7'!$AG$21</f>
        <v>0</v>
      </c>
      <c r="L231" s="40" t="n">
        <f aca="false">'Aug 7'!$N$21</f>
        <v>0</v>
      </c>
    </row>
    <row r="232" customFormat="false" ht="15" hidden="false" customHeight="false" outlineLevel="0" collapsed="false">
      <c r="A232" s="38" t="str">
        <f aca="false">IF(OR(C232="",C232=0),"",IF(AND(OR($B$5="",G232=$B$5,H232=$B$5),OR($D$5="",F232=$D$5),OR($E$5="",K232=$E$5),OR($G$5="",L232=$G$5),OR($H$5="",N(J232)&gt;=$H$5),OR($I$5="",ISNUMBER(SEARCH($I$5,C232&amp;" "&amp;D232&amp;" "&amp;E232&amp;" "&amp;I232)))),"✓",""))</f>
        <v/>
      </c>
      <c r="B232" s="39" t="n">
        <v>46241</v>
      </c>
      <c r="C232" s="40" t="n">
        <f aca="false">'Aug 7'!$D$22</f>
        <v>0</v>
      </c>
      <c r="D232" s="40" t="n">
        <f aca="false">'Aug 7'!$B$22</f>
        <v>0</v>
      </c>
      <c r="E232" s="41" t="n">
        <f aca="false">'Aug 7'!$E$22</f>
        <v>0</v>
      </c>
      <c r="F232" s="40" t="n">
        <f aca="false">'Aug 7'!$A$22</f>
        <v>0</v>
      </c>
      <c r="G232" s="41" t="n">
        <f aca="false">'Aug 7'!$F$22</f>
        <v>0</v>
      </c>
      <c r="H232" s="41" t="n">
        <f aca="false">'Aug 7'!$G$22</f>
        <v>0</v>
      </c>
      <c r="I232" s="41" t="str">
        <f aca="false">'Aug 7'!$M$22</f>
        <v/>
      </c>
      <c r="J232" s="42" t="str">
        <f aca="false">'Aug 7'!$S$22</f>
        <v/>
      </c>
      <c r="K232" s="40" t="n">
        <f aca="false">'Aug 7'!$AG$22</f>
        <v>0</v>
      </c>
      <c r="L232" s="40" t="n">
        <f aca="false">'Aug 7'!$N$22</f>
        <v>0</v>
      </c>
    </row>
    <row r="233" customFormat="false" ht="15" hidden="false" customHeight="false" outlineLevel="0" collapsed="false">
      <c r="A233" s="38" t="str">
        <f aca="false">IF(OR(C233="",C233=0),"",IF(AND(OR($B$5="",G233=$B$5,H233=$B$5),OR($D$5="",F233=$D$5),OR($E$5="",K233=$E$5),OR($G$5="",L233=$G$5),OR($H$5="",N(J233)&gt;=$H$5),OR($I$5="",ISNUMBER(SEARCH($I$5,C233&amp;" "&amp;D233&amp;" "&amp;E233&amp;" "&amp;I233)))),"✓",""))</f>
        <v/>
      </c>
      <c r="B233" s="39" t="n">
        <v>46241</v>
      </c>
      <c r="C233" s="40" t="n">
        <f aca="false">'Aug 7'!$D$23</f>
        <v>0</v>
      </c>
      <c r="D233" s="40" t="n">
        <f aca="false">'Aug 7'!$B$23</f>
        <v>0</v>
      </c>
      <c r="E233" s="41" t="n">
        <f aca="false">'Aug 7'!$E$23</f>
        <v>0</v>
      </c>
      <c r="F233" s="40" t="n">
        <f aca="false">'Aug 7'!$A$23</f>
        <v>0</v>
      </c>
      <c r="G233" s="41" t="n">
        <f aca="false">'Aug 7'!$F$23</f>
        <v>0</v>
      </c>
      <c r="H233" s="41" t="n">
        <f aca="false">'Aug 7'!$G$23</f>
        <v>0</v>
      </c>
      <c r="I233" s="41" t="str">
        <f aca="false">'Aug 7'!$M$23</f>
        <v/>
      </c>
      <c r="J233" s="42" t="str">
        <f aca="false">'Aug 7'!$S$23</f>
        <v/>
      </c>
      <c r="K233" s="40" t="n">
        <f aca="false">'Aug 7'!$AG$23</f>
        <v>0</v>
      </c>
      <c r="L233" s="40" t="n">
        <f aca="false">'Aug 7'!$N$23</f>
        <v>0</v>
      </c>
    </row>
    <row r="234" customFormat="false" ht="15" hidden="false" customHeight="false" outlineLevel="0" collapsed="false">
      <c r="A234" s="38" t="str">
        <f aca="false">IF(OR(C234="",C234=0),"",IF(AND(OR($B$5="",G234=$B$5,H234=$B$5),OR($D$5="",F234=$D$5),OR($E$5="",K234=$E$5),OR($G$5="",L234=$G$5),OR($H$5="",N(J234)&gt;=$H$5),OR($I$5="",ISNUMBER(SEARCH($I$5,C234&amp;" "&amp;D234&amp;" "&amp;E234&amp;" "&amp;I234)))),"✓",""))</f>
        <v/>
      </c>
      <c r="B234" s="39" t="n">
        <v>46241</v>
      </c>
      <c r="C234" s="40" t="n">
        <f aca="false">'Aug 7'!$D$24</f>
        <v>0</v>
      </c>
      <c r="D234" s="40" t="n">
        <f aca="false">'Aug 7'!$B$24</f>
        <v>0</v>
      </c>
      <c r="E234" s="41" t="n">
        <f aca="false">'Aug 7'!$E$24</f>
        <v>0</v>
      </c>
      <c r="F234" s="40" t="n">
        <f aca="false">'Aug 7'!$A$24</f>
        <v>0</v>
      </c>
      <c r="G234" s="41" t="n">
        <f aca="false">'Aug 7'!$F$24</f>
        <v>0</v>
      </c>
      <c r="H234" s="41" t="n">
        <f aca="false">'Aug 7'!$G$24</f>
        <v>0</v>
      </c>
      <c r="I234" s="41" t="str">
        <f aca="false">'Aug 7'!$M$24</f>
        <v/>
      </c>
      <c r="J234" s="42" t="str">
        <f aca="false">'Aug 7'!$S$24</f>
        <v/>
      </c>
      <c r="K234" s="40" t="n">
        <f aca="false">'Aug 7'!$AG$24</f>
        <v>0</v>
      </c>
      <c r="L234" s="40" t="n">
        <f aca="false">'Aug 7'!$N$24</f>
        <v>0</v>
      </c>
    </row>
    <row r="235" customFormat="false" ht="15" hidden="false" customHeight="false" outlineLevel="0" collapsed="false">
      <c r="A235" s="38" t="str">
        <f aca="false">IF(OR(C235="",C235=0),"",IF(AND(OR($B$5="",G235=$B$5,H235=$B$5),OR($D$5="",F235=$D$5),OR($E$5="",K235=$E$5),OR($G$5="",L235=$G$5),OR($H$5="",N(J235)&gt;=$H$5),OR($I$5="",ISNUMBER(SEARCH($I$5,C235&amp;" "&amp;D235&amp;" "&amp;E235&amp;" "&amp;I235)))),"✓",""))</f>
        <v/>
      </c>
      <c r="B235" s="39" t="n">
        <v>46241</v>
      </c>
      <c r="C235" s="40" t="n">
        <f aca="false">'Aug 7'!$D$25</f>
        <v>0</v>
      </c>
      <c r="D235" s="40" t="n">
        <f aca="false">'Aug 7'!$B$25</f>
        <v>0</v>
      </c>
      <c r="E235" s="41" t="n">
        <f aca="false">'Aug 7'!$E$25</f>
        <v>0</v>
      </c>
      <c r="F235" s="40" t="n">
        <f aca="false">'Aug 7'!$A$25</f>
        <v>0</v>
      </c>
      <c r="G235" s="41" t="n">
        <f aca="false">'Aug 7'!$F$25</f>
        <v>0</v>
      </c>
      <c r="H235" s="41" t="n">
        <f aca="false">'Aug 7'!$G$25</f>
        <v>0</v>
      </c>
      <c r="I235" s="41" t="str">
        <f aca="false">'Aug 7'!$M$25</f>
        <v/>
      </c>
      <c r="J235" s="42" t="str">
        <f aca="false">'Aug 7'!$S$25</f>
        <v/>
      </c>
      <c r="K235" s="40" t="n">
        <f aca="false">'Aug 7'!$AG$25</f>
        <v>0</v>
      </c>
      <c r="L235" s="40" t="n">
        <f aca="false">'Aug 7'!$N$25</f>
        <v>0</v>
      </c>
    </row>
    <row r="236" customFormat="false" ht="15" hidden="false" customHeight="false" outlineLevel="0" collapsed="false">
      <c r="A236" s="38" t="str">
        <f aca="false">IF(OR(C236="",C236=0),"",IF(AND(OR($B$5="",G236=$B$5,H236=$B$5),OR($D$5="",F236=$D$5),OR($E$5="",K236=$E$5),OR($G$5="",L236=$G$5),OR($H$5="",N(J236)&gt;=$H$5),OR($I$5="",ISNUMBER(SEARCH($I$5,C236&amp;" "&amp;D236&amp;" "&amp;E236&amp;" "&amp;I236)))),"✓",""))</f>
        <v/>
      </c>
      <c r="B236" s="39" t="n">
        <v>46241</v>
      </c>
      <c r="C236" s="40" t="n">
        <f aca="false">'Aug 7'!$D$26</f>
        <v>0</v>
      </c>
      <c r="D236" s="40" t="n">
        <f aca="false">'Aug 7'!$B$26</f>
        <v>0</v>
      </c>
      <c r="E236" s="41" t="n">
        <f aca="false">'Aug 7'!$E$26</f>
        <v>0</v>
      </c>
      <c r="F236" s="40" t="n">
        <f aca="false">'Aug 7'!$A$26</f>
        <v>0</v>
      </c>
      <c r="G236" s="41" t="n">
        <f aca="false">'Aug 7'!$F$26</f>
        <v>0</v>
      </c>
      <c r="H236" s="41" t="n">
        <f aca="false">'Aug 7'!$G$26</f>
        <v>0</v>
      </c>
      <c r="I236" s="41" t="str">
        <f aca="false">'Aug 7'!$M$26</f>
        <v/>
      </c>
      <c r="J236" s="42" t="str">
        <f aca="false">'Aug 7'!$S$26</f>
        <v/>
      </c>
      <c r="K236" s="40" t="n">
        <f aca="false">'Aug 7'!$AG$26</f>
        <v>0</v>
      </c>
      <c r="L236" s="40" t="n">
        <f aca="false">'Aug 7'!$N$26</f>
        <v>0</v>
      </c>
    </row>
    <row r="237" customFormat="false" ht="15" hidden="false" customHeight="false" outlineLevel="0" collapsed="false">
      <c r="A237" s="38" t="str">
        <f aca="false">IF(OR(C237="",C237=0),"",IF(AND(OR($B$5="",G237=$B$5,H237=$B$5),OR($D$5="",F237=$D$5),OR($E$5="",K237=$E$5),OR($G$5="",L237=$G$5),OR($H$5="",N(J237)&gt;=$H$5),OR($I$5="",ISNUMBER(SEARCH($I$5,C237&amp;" "&amp;D237&amp;" "&amp;E237&amp;" "&amp;I237)))),"✓",""))</f>
        <v/>
      </c>
      <c r="B237" s="39" t="n">
        <v>46241</v>
      </c>
      <c r="C237" s="40" t="n">
        <f aca="false">'Aug 7'!$D$27</f>
        <v>0</v>
      </c>
      <c r="D237" s="40" t="n">
        <f aca="false">'Aug 7'!$B$27</f>
        <v>0</v>
      </c>
      <c r="E237" s="41" t="n">
        <f aca="false">'Aug 7'!$E$27</f>
        <v>0</v>
      </c>
      <c r="F237" s="40" t="n">
        <f aca="false">'Aug 7'!$A$27</f>
        <v>0</v>
      </c>
      <c r="G237" s="41" t="n">
        <f aca="false">'Aug 7'!$F$27</f>
        <v>0</v>
      </c>
      <c r="H237" s="41" t="n">
        <f aca="false">'Aug 7'!$G$27</f>
        <v>0</v>
      </c>
      <c r="I237" s="41" t="str">
        <f aca="false">'Aug 7'!$M$27</f>
        <v/>
      </c>
      <c r="J237" s="42" t="str">
        <f aca="false">'Aug 7'!$S$27</f>
        <v/>
      </c>
      <c r="K237" s="40" t="n">
        <f aca="false">'Aug 7'!$AG$27</f>
        <v>0</v>
      </c>
      <c r="L237" s="40" t="n">
        <f aca="false">'Aug 7'!$N$27</f>
        <v>0</v>
      </c>
    </row>
    <row r="238" customFormat="false" ht="15" hidden="false" customHeight="false" outlineLevel="0" collapsed="false">
      <c r="A238" s="38" t="str">
        <f aca="false">IF(OR(C238="",C238=0),"",IF(AND(OR($B$5="",G238=$B$5,H238=$B$5),OR($D$5="",F238=$D$5),OR($E$5="",K238=$E$5),OR($G$5="",L238=$G$5),OR($H$5="",N(J238)&gt;=$H$5),OR($I$5="",ISNUMBER(SEARCH($I$5,C238&amp;" "&amp;D238&amp;" "&amp;E238&amp;" "&amp;I238)))),"✓",""))</f>
        <v/>
      </c>
      <c r="B238" s="39" t="n">
        <v>46241</v>
      </c>
      <c r="C238" s="40" t="n">
        <f aca="false">'Aug 7'!$D$28</f>
        <v>0</v>
      </c>
      <c r="D238" s="40" t="n">
        <f aca="false">'Aug 7'!$B$28</f>
        <v>0</v>
      </c>
      <c r="E238" s="41" t="n">
        <f aca="false">'Aug 7'!$E$28</f>
        <v>0</v>
      </c>
      <c r="F238" s="40" t="n">
        <f aca="false">'Aug 7'!$A$28</f>
        <v>0</v>
      </c>
      <c r="G238" s="41" t="n">
        <f aca="false">'Aug 7'!$F$28</f>
        <v>0</v>
      </c>
      <c r="H238" s="41" t="n">
        <f aca="false">'Aug 7'!$G$28</f>
        <v>0</v>
      </c>
      <c r="I238" s="41" t="str">
        <f aca="false">'Aug 7'!$M$28</f>
        <v/>
      </c>
      <c r="J238" s="42" t="str">
        <f aca="false">'Aug 7'!$S$28</f>
        <v/>
      </c>
      <c r="K238" s="40" t="n">
        <f aca="false">'Aug 7'!$AG$28</f>
        <v>0</v>
      </c>
      <c r="L238" s="40" t="n">
        <f aca="false">'Aug 7'!$N$28</f>
        <v>0</v>
      </c>
    </row>
    <row r="239" customFormat="false" ht="15" hidden="false" customHeight="false" outlineLevel="0" collapsed="false">
      <c r="A239" s="38" t="str">
        <f aca="false">IF(OR(C239="",C239=0),"",IF(AND(OR($B$5="",G239=$B$5,H239=$B$5),OR($D$5="",F239=$D$5),OR($E$5="",K239=$E$5),OR($G$5="",L239=$G$5),OR($H$5="",N(J239)&gt;=$H$5),OR($I$5="",ISNUMBER(SEARCH($I$5,C239&amp;" "&amp;D239&amp;" "&amp;E239&amp;" "&amp;I239)))),"✓",""))</f>
        <v/>
      </c>
      <c r="B239" s="39" t="n">
        <v>46241</v>
      </c>
      <c r="C239" s="40" t="n">
        <f aca="false">'Aug 7'!$D$29</f>
        <v>0</v>
      </c>
      <c r="D239" s="40" t="n">
        <f aca="false">'Aug 7'!$B$29</f>
        <v>0</v>
      </c>
      <c r="E239" s="41" t="n">
        <f aca="false">'Aug 7'!$E$29</f>
        <v>0</v>
      </c>
      <c r="F239" s="40" t="n">
        <f aca="false">'Aug 7'!$A$29</f>
        <v>0</v>
      </c>
      <c r="G239" s="41" t="n">
        <f aca="false">'Aug 7'!$F$29</f>
        <v>0</v>
      </c>
      <c r="H239" s="41" t="n">
        <f aca="false">'Aug 7'!$G$29</f>
        <v>0</v>
      </c>
      <c r="I239" s="41" t="str">
        <f aca="false">'Aug 7'!$M$29</f>
        <v/>
      </c>
      <c r="J239" s="42" t="str">
        <f aca="false">'Aug 7'!$S$29</f>
        <v/>
      </c>
      <c r="K239" s="40" t="n">
        <f aca="false">'Aug 7'!$AG$29</f>
        <v>0</v>
      </c>
      <c r="L239" s="40" t="n">
        <f aca="false">'Aug 7'!$N$29</f>
        <v>0</v>
      </c>
    </row>
    <row r="240" customFormat="false" ht="15" hidden="false" customHeight="false" outlineLevel="0" collapsed="false">
      <c r="A240" s="38" t="str">
        <f aca="false">IF(OR(C240="",C240=0),"",IF(AND(OR($B$5="",G240=$B$5,H240=$B$5),OR($D$5="",F240=$D$5),OR($E$5="",K240=$E$5),OR($G$5="",L240=$G$5),OR($H$5="",N(J240)&gt;=$H$5),OR($I$5="",ISNUMBER(SEARCH($I$5,C240&amp;" "&amp;D240&amp;" "&amp;E240&amp;" "&amp;I240)))),"✓",""))</f>
        <v/>
      </c>
      <c r="B240" s="39" t="n">
        <v>46241</v>
      </c>
      <c r="C240" s="40" t="n">
        <f aca="false">'Aug 7'!$D$30</f>
        <v>0</v>
      </c>
      <c r="D240" s="40" t="n">
        <f aca="false">'Aug 7'!$B$30</f>
        <v>0</v>
      </c>
      <c r="E240" s="41" t="n">
        <f aca="false">'Aug 7'!$E$30</f>
        <v>0</v>
      </c>
      <c r="F240" s="40" t="n">
        <f aca="false">'Aug 7'!$A$30</f>
        <v>0</v>
      </c>
      <c r="G240" s="41" t="n">
        <f aca="false">'Aug 7'!$F$30</f>
        <v>0</v>
      </c>
      <c r="H240" s="41" t="n">
        <f aca="false">'Aug 7'!$G$30</f>
        <v>0</v>
      </c>
      <c r="I240" s="41" t="str">
        <f aca="false">'Aug 7'!$M$30</f>
        <v/>
      </c>
      <c r="J240" s="42" t="str">
        <f aca="false">'Aug 7'!$S$30</f>
        <v/>
      </c>
      <c r="K240" s="40" t="n">
        <f aca="false">'Aug 7'!$AG$30</f>
        <v>0</v>
      </c>
      <c r="L240" s="40" t="n">
        <f aca="false">'Aug 7'!$N$30</f>
        <v>0</v>
      </c>
    </row>
    <row r="241" customFormat="false" ht="15" hidden="false" customHeight="false" outlineLevel="0" collapsed="false">
      <c r="A241" s="38" t="str">
        <f aca="false">IF(OR(C241="",C241=0),"",IF(AND(OR($B$5="",G241=$B$5,H241=$B$5),OR($D$5="",F241=$D$5),OR($E$5="",K241=$E$5),OR($G$5="",L241=$G$5),OR($H$5="",N(J241)&gt;=$H$5),OR($I$5="",ISNUMBER(SEARCH($I$5,C241&amp;" "&amp;D241&amp;" "&amp;E241&amp;" "&amp;I241)))),"✓",""))</f>
        <v/>
      </c>
      <c r="B241" s="39" t="n">
        <v>46241</v>
      </c>
      <c r="C241" s="40" t="n">
        <f aca="false">'Aug 7'!$D$31</f>
        <v>0</v>
      </c>
      <c r="D241" s="40" t="n">
        <f aca="false">'Aug 7'!$B$31</f>
        <v>0</v>
      </c>
      <c r="E241" s="41" t="n">
        <f aca="false">'Aug 7'!$E$31</f>
        <v>0</v>
      </c>
      <c r="F241" s="40" t="n">
        <f aca="false">'Aug 7'!$A$31</f>
        <v>0</v>
      </c>
      <c r="G241" s="41" t="n">
        <f aca="false">'Aug 7'!$F$31</f>
        <v>0</v>
      </c>
      <c r="H241" s="41" t="n">
        <f aca="false">'Aug 7'!$G$31</f>
        <v>0</v>
      </c>
      <c r="I241" s="41" t="str">
        <f aca="false">'Aug 7'!$M$31</f>
        <v/>
      </c>
      <c r="J241" s="42" t="str">
        <f aca="false">'Aug 7'!$S$31</f>
        <v/>
      </c>
      <c r="K241" s="40" t="n">
        <f aca="false">'Aug 7'!$AG$31</f>
        <v>0</v>
      </c>
      <c r="L241" s="40" t="n">
        <f aca="false">'Aug 7'!$N$31</f>
        <v>0</v>
      </c>
    </row>
    <row r="242" customFormat="false" ht="15" hidden="false" customHeight="false" outlineLevel="0" collapsed="false">
      <c r="A242" s="38" t="str">
        <f aca="false">IF(OR(C242="",C242=0),"",IF(AND(OR($B$5="",G242=$B$5,H242=$B$5),OR($D$5="",F242=$D$5),OR($E$5="",K242=$E$5),OR($G$5="",L242=$G$5),OR($H$5="",N(J242)&gt;=$H$5),OR($I$5="",ISNUMBER(SEARCH($I$5,C242&amp;" "&amp;D242&amp;" "&amp;E242&amp;" "&amp;I242)))),"✓",""))</f>
        <v/>
      </c>
      <c r="B242" s="39" t="n">
        <v>46241</v>
      </c>
      <c r="C242" s="40" t="n">
        <f aca="false">'Aug 7'!$D$32</f>
        <v>0</v>
      </c>
      <c r="D242" s="40" t="n">
        <f aca="false">'Aug 7'!$B$32</f>
        <v>0</v>
      </c>
      <c r="E242" s="41" t="n">
        <f aca="false">'Aug 7'!$E$32</f>
        <v>0</v>
      </c>
      <c r="F242" s="40" t="n">
        <f aca="false">'Aug 7'!$A$32</f>
        <v>0</v>
      </c>
      <c r="G242" s="41" t="n">
        <f aca="false">'Aug 7'!$F$32</f>
        <v>0</v>
      </c>
      <c r="H242" s="41" t="n">
        <f aca="false">'Aug 7'!$G$32</f>
        <v>0</v>
      </c>
      <c r="I242" s="41" t="str">
        <f aca="false">'Aug 7'!$M$32</f>
        <v/>
      </c>
      <c r="J242" s="42" t="str">
        <f aca="false">'Aug 7'!$S$32</f>
        <v/>
      </c>
      <c r="K242" s="40" t="n">
        <f aca="false">'Aug 7'!$AG$32</f>
        <v>0</v>
      </c>
      <c r="L242" s="40" t="n">
        <f aca="false">'Aug 7'!$N$32</f>
        <v>0</v>
      </c>
    </row>
    <row r="243" customFormat="false" ht="15" hidden="false" customHeight="false" outlineLevel="0" collapsed="false">
      <c r="A243" s="38" t="str">
        <f aca="false">IF(OR(C243="",C243=0),"",IF(AND(OR($B$5="",G243=$B$5,H243=$B$5),OR($D$5="",F243=$D$5),OR($E$5="",K243=$E$5),OR($G$5="",L243=$G$5),OR($H$5="",N(J243)&gt;=$H$5),OR($I$5="",ISNUMBER(SEARCH($I$5,C243&amp;" "&amp;D243&amp;" "&amp;E243&amp;" "&amp;I243)))),"✓",""))</f>
        <v/>
      </c>
      <c r="B243" s="39" t="n">
        <v>46241</v>
      </c>
      <c r="C243" s="40" t="n">
        <f aca="false">'Aug 7'!$D$33</f>
        <v>0</v>
      </c>
      <c r="D243" s="40" t="n">
        <f aca="false">'Aug 7'!$B$33</f>
        <v>0</v>
      </c>
      <c r="E243" s="41" t="n">
        <f aca="false">'Aug 7'!$E$33</f>
        <v>0</v>
      </c>
      <c r="F243" s="40" t="n">
        <f aca="false">'Aug 7'!$A$33</f>
        <v>0</v>
      </c>
      <c r="G243" s="41" t="n">
        <f aca="false">'Aug 7'!$F$33</f>
        <v>0</v>
      </c>
      <c r="H243" s="41" t="n">
        <f aca="false">'Aug 7'!$G$33</f>
        <v>0</v>
      </c>
      <c r="I243" s="41" t="str">
        <f aca="false">'Aug 7'!$M$33</f>
        <v/>
      </c>
      <c r="J243" s="42" t="str">
        <f aca="false">'Aug 7'!$S$33</f>
        <v/>
      </c>
      <c r="K243" s="40" t="n">
        <f aca="false">'Aug 7'!$AG$33</f>
        <v>0</v>
      </c>
      <c r="L243" s="40" t="n">
        <f aca="false">'Aug 7'!$N$33</f>
        <v>0</v>
      </c>
    </row>
    <row r="244" customFormat="false" ht="15" hidden="false" customHeight="false" outlineLevel="0" collapsed="false">
      <c r="A244" s="38" t="str">
        <f aca="false">IF(OR(C244="",C244=0),"",IF(AND(OR($B$5="",G244=$B$5,H244=$B$5),OR($D$5="",F244=$D$5),OR($E$5="",K244=$E$5),OR($G$5="",L244=$G$5),OR($H$5="",N(J244)&gt;=$H$5),OR($I$5="",ISNUMBER(SEARCH($I$5,C244&amp;" "&amp;D244&amp;" "&amp;E244&amp;" "&amp;I244)))),"✓",""))</f>
        <v/>
      </c>
      <c r="B244" s="39" t="n">
        <v>46241</v>
      </c>
      <c r="C244" s="40" t="n">
        <f aca="false">'Aug 7'!$D$34</f>
        <v>0</v>
      </c>
      <c r="D244" s="40" t="n">
        <f aca="false">'Aug 7'!$B$34</f>
        <v>0</v>
      </c>
      <c r="E244" s="41" t="n">
        <f aca="false">'Aug 7'!$E$34</f>
        <v>0</v>
      </c>
      <c r="F244" s="40" t="n">
        <f aca="false">'Aug 7'!$A$34</f>
        <v>0</v>
      </c>
      <c r="G244" s="41" t="n">
        <f aca="false">'Aug 7'!$F$34</f>
        <v>0</v>
      </c>
      <c r="H244" s="41" t="n">
        <f aca="false">'Aug 7'!$G$34</f>
        <v>0</v>
      </c>
      <c r="I244" s="41" t="str">
        <f aca="false">'Aug 7'!$M$34</f>
        <v/>
      </c>
      <c r="J244" s="42" t="str">
        <f aca="false">'Aug 7'!$S$34</f>
        <v/>
      </c>
      <c r="K244" s="40" t="n">
        <f aca="false">'Aug 7'!$AG$34</f>
        <v>0</v>
      </c>
      <c r="L244" s="40" t="n">
        <f aca="false">'Aug 7'!$N$34</f>
        <v>0</v>
      </c>
    </row>
    <row r="245" customFormat="false" ht="15" hidden="false" customHeight="false" outlineLevel="0" collapsed="false">
      <c r="A245" s="38" t="str">
        <f aca="false">IF(OR(C245="",C245=0),"",IF(AND(OR($B$5="",G245=$B$5,H245=$B$5),OR($D$5="",F245=$D$5),OR($E$5="",K245=$E$5),OR($G$5="",L245=$G$5),OR($H$5="",N(J245)&gt;=$H$5),OR($I$5="",ISNUMBER(SEARCH($I$5,C245&amp;" "&amp;D245&amp;" "&amp;E245&amp;" "&amp;I245)))),"✓",""))</f>
        <v/>
      </c>
      <c r="B245" s="39" t="n">
        <v>46241</v>
      </c>
      <c r="C245" s="40" t="n">
        <f aca="false">'Aug 7'!$D$35</f>
        <v>0</v>
      </c>
      <c r="D245" s="40" t="n">
        <f aca="false">'Aug 7'!$B$35</f>
        <v>0</v>
      </c>
      <c r="E245" s="41" t="n">
        <f aca="false">'Aug 7'!$E$35</f>
        <v>0</v>
      </c>
      <c r="F245" s="40" t="n">
        <f aca="false">'Aug 7'!$A$35</f>
        <v>0</v>
      </c>
      <c r="G245" s="41" t="n">
        <f aca="false">'Aug 7'!$F$35</f>
        <v>0</v>
      </c>
      <c r="H245" s="41" t="n">
        <f aca="false">'Aug 7'!$G$35</f>
        <v>0</v>
      </c>
      <c r="I245" s="41" t="str">
        <f aca="false">'Aug 7'!$M$35</f>
        <v/>
      </c>
      <c r="J245" s="42" t="str">
        <f aca="false">'Aug 7'!$S$35</f>
        <v/>
      </c>
      <c r="K245" s="40" t="n">
        <f aca="false">'Aug 7'!$AG$35</f>
        <v>0</v>
      </c>
      <c r="L245" s="40" t="n">
        <f aca="false">'Aug 7'!$N$35</f>
        <v>0</v>
      </c>
    </row>
    <row r="246" customFormat="false" ht="15" hidden="false" customHeight="false" outlineLevel="0" collapsed="false">
      <c r="A246" s="38" t="str">
        <f aca="false">IF(OR(C246="",C246=0),"",IF(AND(OR($B$5="",G246=$B$5,H246=$B$5),OR($D$5="",F246=$D$5),OR($E$5="",K246=$E$5),OR($G$5="",L246=$G$5),OR($H$5="",N(J246)&gt;=$H$5),OR($I$5="",ISNUMBER(SEARCH($I$5,C246&amp;" "&amp;D246&amp;" "&amp;E246&amp;" "&amp;I246)))),"✓",""))</f>
        <v/>
      </c>
      <c r="B246" s="39" t="n">
        <v>46241</v>
      </c>
      <c r="C246" s="40" t="n">
        <f aca="false">'Aug 7'!$D$36</f>
        <v>0</v>
      </c>
      <c r="D246" s="40" t="n">
        <f aca="false">'Aug 7'!$B$36</f>
        <v>0</v>
      </c>
      <c r="E246" s="41" t="n">
        <f aca="false">'Aug 7'!$E$36</f>
        <v>0</v>
      </c>
      <c r="F246" s="40" t="n">
        <f aca="false">'Aug 7'!$A$36</f>
        <v>0</v>
      </c>
      <c r="G246" s="41" t="n">
        <f aca="false">'Aug 7'!$F$36</f>
        <v>0</v>
      </c>
      <c r="H246" s="41" t="n">
        <f aca="false">'Aug 7'!$G$36</f>
        <v>0</v>
      </c>
      <c r="I246" s="41" t="str">
        <f aca="false">'Aug 7'!$M$36</f>
        <v/>
      </c>
      <c r="J246" s="42" t="str">
        <f aca="false">'Aug 7'!$S$36</f>
        <v/>
      </c>
      <c r="K246" s="40" t="n">
        <f aca="false">'Aug 7'!$AG$36</f>
        <v>0</v>
      </c>
      <c r="L246" s="40" t="n">
        <f aca="false">'Aug 7'!$N$36</f>
        <v>0</v>
      </c>
    </row>
    <row r="247" customFormat="false" ht="15" hidden="false" customHeight="false" outlineLevel="0" collapsed="false">
      <c r="A247" s="38" t="str">
        <f aca="false">IF(OR(C247="",C247=0),"",IF(AND(OR($B$5="",G247=$B$5,H247=$B$5),OR($D$5="",F247=$D$5),OR($E$5="",K247=$E$5),OR($G$5="",L247=$G$5),OR($H$5="",N(J247)&gt;=$H$5),OR($I$5="",ISNUMBER(SEARCH($I$5,C247&amp;" "&amp;D247&amp;" "&amp;E247&amp;" "&amp;I247)))),"✓",""))</f>
        <v/>
      </c>
      <c r="B247" s="39" t="n">
        <v>46241</v>
      </c>
      <c r="C247" s="40" t="n">
        <f aca="false">'Aug 7'!$D$37</f>
        <v>0</v>
      </c>
      <c r="D247" s="40" t="n">
        <f aca="false">'Aug 7'!$B$37</f>
        <v>0</v>
      </c>
      <c r="E247" s="41" t="n">
        <f aca="false">'Aug 7'!$E$37</f>
        <v>0</v>
      </c>
      <c r="F247" s="40" t="n">
        <f aca="false">'Aug 7'!$A$37</f>
        <v>0</v>
      </c>
      <c r="G247" s="41" t="n">
        <f aca="false">'Aug 7'!$F$37</f>
        <v>0</v>
      </c>
      <c r="H247" s="41" t="n">
        <f aca="false">'Aug 7'!$G$37</f>
        <v>0</v>
      </c>
      <c r="I247" s="41" t="str">
        <f aca="false">'Aug 7'!$M$37</f>
        <v/>
      </c>
      <c r="J247" s="42" t="str">
        <f aca="false">'Aug 7'!$S$37</f>
        <v/>
      </c>
      <c r="K247" s="40" t="n">
        <f aca="false">'Aug 7'!$AG$37</f>
        <v>0</v>
      </c>
      <c r="L247" s="40" t="n">
        <f aca="false">'Aug 7'!$N$37</f>
        <v>0</v>
      </c>
    </row>
    <row r="248" customFormat="false" ht="15" hidden="false" customHeight="false" outlineLevel="0" collapsed="false">
      <c r="A248" s="38" t="str">
        <f aca="false">IF(OR(C248="",C248=0),"",IF(AND(OR($B$5="",G248=$B$5,H248=$B$5),OR($D$5="",F248=$D$5),OR($E$5="",K248=$E$5),OR($G$5="",L248=$G$5),OR($H$5="",N(J248)&gt;=$H$5),OR($I$5="",ISNUMBER(SEARCH($I$5,C248&amp;" "&amp;D248&amp;" "&amp;E248&amp;" "&amp;I248)))),"✓",""))</f>
        <v/>
      </c>
      <c r="B248" s="39" t="n">
        <v>46241</v>
      </c>
      <c r="C248" s="40" t="n">
        <f aca="false">'Aug 7'!$D$38</f>
        <v>0</v>
      </c>
      <c r="D248" s="40" t="n">
        <f aca="false">'Aug 7'!$B$38</f>
        <v>0</v>
      </c>
      <c r="E248" s="41" t="n">
        <f aca="false">'Aug 7'!$E$38</f>
        <v>0</v>
      </c>
      <c r="F248" s="40" t="n">
        <f aca="false">'Aug 7'!$A$38</f>
        <v>0</v>
      </c>
      <c r="G248" s="41" t="n">
        <f aca="false">'Aug 7'!$F$38</f>
        <v>0</v>
      </c>
      <c r="H248" s="41" t="n">
        <f aca="false">'Aug 7'!$G$38</f>
        <v>0</v>
      </c>
      <c r="I248" s="41" t="str">
        <f aca="false">'Aug 7'!$M$38</f>
        <v/>
      </c>
      <c r="J248" s="42" t="str">
        <f aca="false">'Aug 7'!$S$38</f>
        <v/>
      </c>
      <c r="K248" s="40" t="n">
        <f aca="false">'Aug 7'!$AG$38</f>
        <v>0</v>
      </c>
      <c r="L248" s="40" t="n">
        <f aca="false">'Aug 7'!$N$38</f>
        <v>0</v>
      </c>
    </row>
    <row r="249" customFormat="false" ht="15" hidden="false" customHeight="false" outlineLevel="0" collapsed="false">
      <c r="A249" s="38" t="str">
        <f aca="false">IF(OR(C249="",C249=0),"",IF(AND(OR($B$5="",G249=$B$5,H249=$B$5),OR($D$5="",F249=$D$5),OR($E$5="",K249=$E$5),OR($G$5="",L249=$G$5),OR($H$5="",N(J249)&gt;=$H$5),OR($I$5="",ISNUMBER(SEARCH($I$5,C249&amp;" "&amp;D249&amp;" "&amp;E249&amp;" "&amp;I249)))),"✓",""))</f>
        <v/>
      </c>
      <c r="B249" s="39" t="n">
        <v>46241</v>
      </c>
      <c r="C249" s="40" t="n">
        <f aca="false">'Aug 7'!$D$39</f>
        <v>0</v>
      </c>
      <c r="D249" s="40" t="n">
        <f aca="false">'Aug 7'!$B$39</f>
        <v>0</v>
      </c>
      <c r="E249" s="41" t="n">
        <f aca="false">'Aug 7'!$E$39</f>
        <v>0</v>
      </c>
      <c r="F249" s="40" t="n">
        <f aca="false">'Aug 7'!$A$39</f>
        <v>0</v>
      </c>
      <c r="G249" s="41" t="n">
        <f aca="false">'Aug 7'!$F$39</f>
        <v>0</v>
      </c>
      <c r="H249" s="41" t="n">
        <f aca="false">'Aug 7'!$G$39</f>
        <v>0</v>
      </c>
      <c r="I249" s="41" t="str">
        <f aca="false">'Aug 7'!$M$39</f>
        <v/>
      </c>
      <c r="J249" s="42" t="str">
        <f aca="false">'Aug 7'!$S$39</f>
        <v/>
      </c>
      <c r="K249" s="40" t="n">
        <f aca="false">'Aug 7'!$AG$39</f>
        <v>0</v>
      </c>
      <c r="L249" s="40" t="n">
        <f aca="false">'Aug 7'!$N$39</f>
        <v>0</v>
      </c>
    </row>
    <row r="250" customFormat="false" ht="15" hidden="false" customHeight="false" outlineLevel="0" collapsed="false">
      <c r="A250" s="38" t="str">
        <f aca="false">IF(OR(C250="",C250=0),"",IF(AND(OR($B$5="",G250=$B$5,H250=$B$5),OR($D$5="",F250=$D$5),OR($E$5="",K250=$E$5),OR($G$5="",L250=$G$5),OR($H$5="",N(J250)&gt;=$H$5),OR($I$5="",ISNUMBER(SEARCH($I$5,C250&amp;" "&amp;D250&amp;" "&amp;E250&amp;" "&amp;I250)))),"✓",""))</f>
        <v/>
      </c>
      <c r="B250" s="39" t="n">
        <v>46241</v>
      </c>
      <c r="C250" s="40" t="n">
        <f aca="false">'Aug 7'!$D$40</f>
        <v>0</v>
      </c>
      <c r="D250" s="40" t="n">
        <f aca="false">'Aug 7'!$B$40</f>
        <v>0</v>
      </c>
      <c r="E250" s="41" t="n">
        <f aca="false">'Aug 7'!$E$40</f>
        <v>0</v>
      </c>
      <c r="F250" s="40" t="n">
        <f aca="false">'Aug 7'!$A$40</f>
        <v>0</v>
      </c>
      <c r="G250" s="41" t="n">
        <f aca="false">'Aug 7'!$F$40</f>
        <v>0</v>
      </c>
      <c r="H250" s="41" t="n">
        <f aca="false">'Aug 7'!$G$40</f>
        <v>0</v>
      </c>
      <c r="I250" s="41" t="str">
        <f aca="false">'Aug 7'!$M$40</f>
        <v/>
      </c>
      <c r="J250" s="42" t="str">
        <f aca="false">'Aug 7'!$S$40</f>
        <v/>
      </c>
      <c r="K250" s="40" t="n">
        <f aca="false">'Aug 7'!$AG$40</f>
        <v>0</v>
      </c>
      <c r="L250" s="40" t="n">
        <f aca="false">'Aug 7'!$N$40</f>
        <v>0</v>
      </c>
    </row>
    <row r="251" customFormat="false" ht="15" hidden="false" customHeight="false" outlineLevel="0" collapsed="false">
      <c r="A251" s="38" t="str">
        <f aca="false">IF(OR(C251="",C251=0),"",IF(AND(OR($B$5="",G251=$B$5,H251=$B$5),OR($D$5="",F251=$D$5),OR($E$5="",K251=$E$5),OR($G$5="",L251=$G$5),OR($H$5="",N(J251)&gt;=$H$5),OR($I$5="",ISNUMBER(SEARCH($I$5,C251&amp;" "&amp;D251&amp;" "&amp;E251&amp;" "&amp;I251)))),"✓",""))</f>
        <v/>
      </c>
      <c r="B251" s="39" t="n">
        <v>46241</v>
      </c>
      <c r="C251" s="40" t="n">
        <f aca="false">'Aug 7'!$D$41</f>
        <v>0</v>
      </c>
      <c r="D251" s="40" t="n">
        <f aca="false">'Aug 7'!$B$41</f>
        <v>0</v>
      </c>
      <c r="E251" s="41" t="n">
        <f aca="false">'Aug 7'!$E$41</f>
        <v>0</v>
      </c>
      <c r="F251" s="40" t="n">
        <f aca="false">'Aug 7'!$A$41</f>
        <v>0</v>
      </c>
      <c r="G251" s="41" t="n">
        <f aca="false">'Aug 7'!$F$41</f>
        <v>0</v>
      </c>
      <c r="H251" s="41" t="n">
        <f aca="false">'Aug 7'!$G$41</f>
        <v>0</v>
      </c>
      <c r="I251" s="41" t="str">
        <f aca="false">'Aug 7'!$M$41</f>
        <v/>
      </c>
      <c r="J251" s="42" t="str">
        <f aca="false">'Aug 7'!$S$41</f>
        <v/>
      </c>
      <c r="K251" s="40" t="n">
        <f aca="false">'Aug 7'!$AG$41</f>
        <v>0</v>
      </c>
      <c r="L251" s="40" t="n">
        <f aca="false">'Aug 7'!$N$41</f>
        <v>0</v>
      </c>
    </row>
    <row r="252" customFormat="false" ht="15" hidden="false" customHeight="false" outlineLevel="0" collapsed="false">
      <c r="A252" s="38" t="str">
        <f aca="false">IF(OR(C252="",C252=0),"",IF(AND(OR($B$5="",G252=$B$5,H252=$B$5),OR($D$5="",F252=$D$5),OR($E$5="",K252=$E$5),OR($G$5="",L252=$G$5),OR($H$5="",N(J252)&gt;=$H$5),OR($I$5="",ISNUMBER(SEARCH($I$5,C252&amp;" "&amp;D252&amp;" "&amp;E252&amp;" "&amp;I252)))),"✓",""))</f>
        <v/>
      </c>
      <c r="B252" s="39" t="n">
        <v>46241</v>
      </c>
      <c r="C252" s="40" t="n">
        <f aca="false">'Aug 7'!$D$42</f>
        <v>0</v>
      </c>
      <c r="D252" s="40" t="n">
        <f aca="false">'Aug 7'!$B$42</f>
        <v>0</v>
      </c>
      <c r="E252" s="41" t="n">
        <f aca="false">'Aug 7'!$E$42</f>
        <v>0</v>
      </c>
      <c r="F252" s="40" t="n">
        <f aca="false">'Aug 7'!$A$42</f>
        <v>0</v>
      </c>
      <c r="G252" s="41" t="n">
        <f aca="false">'Aug 7'!$F$42</f>
        <v>0</v>
      </c>
      <c r="H252" s="41" t="n">
        <f aca="false">'Aug 7'!$G$42</f>
        <v>0</v>
      </c>
      <c r="I252" s="41" t="str">
        <f aca="false">'Aug 7'!$M$42</f>
        <v/>
      </c>
      <c r="J252" s="42" t="str">
        <f aca="false">'Aug 7'!$S$42</f>
        <v/>
      </c>
      <c r="K252" s="40" t="n">
        <f aca="false">'Aug 7'!$AG$42</f>
        <v>0</v>
      </c>
      <c r="L252" s="40" t="n">
        <f aca="false">'Aug 7'!$N$42</f>
        <v>0</v>
      </c>
    </row>
    <row r="253" customFormat="false" ht="15" hidden="false" customHeight="false" outlineLevel="0" collapsed="false">
      <c r="A253" s="38" t="str">
        <f aca="false">IF(OR(C253="",C253=0),"",IF(AND(OR($B$5="",G253=$B$5,H253=$B$5),OR($D$5="",F253=$D$5),OR($E$5="",K253=$E$5),OR($G$5="",L253=$G$5),OR($H$5="",N(J253)&gt;=$H$5),OR($I$5="",ISNUMBER(SEARCH($I$5,C253&amp;" "&amp;D253&amp;" "&amp;E253&amp;" "&amp;I253)))),"✓",""))</f>
        <v/>
      </c>
      <c r="B253" s="39" t="n">
        <v>46242</v>
      </c>
      <c r="C253" s="40" t="n">
        <f aca="false">'Aug 8'!$D$8</f>
        <v>0</v>
      </c>
      <c r="D253" s="40" t="n">
        <f aca="false">'Aug 8'!$B$8</f>
        <v>0</v>
      </c>
      <c r="E253" s="41" t="n">
        <f aca="false">'Aug 8'!$E$8</f>
        <v>0</v>
      </c>
      <c r="F253" s="40" t="n">
        <f aca="false">'Aug 8'!$A$8</f>
        <v>0</v>
      </c>
      <c r="G253" s="41" t="n">
        <f aca="false">'Aug 8'!$F$8</f>
        <v>0</v>
      </c>
      <c r="H253" s="41" t="n">
        <f aca="false">'Aug 8'!$G$8</f>
        <v>0</v>
      </c>
      <c r="I253" s="41" t="str">
        <f aca="false">'Aug 8'!$M$8</f>
        <v/>
      </c>
      <c r="J253" s="42" t="str">
        <f aca="false">'Aug 8'!$S$8</f>
        <v/>
      </c>
      <c r="K253" s="40" t="n">
        <f aca="false">'Aug 8'!$AG$8</f>
        <v>0</v>
      </c>
      <c r="L253" s="40" t="n">
        <f aca="false">'Aug 8'!$N$8</f>
        <v>0</v>
      </c>
    </row>
    <row r="254" customFormat="false" ht="15" hidden="false" customHeight="false" outlineLevel="0" collapsed="false">
      <c r="A254" s="38" t="str">
        <f aca="false">IF(OR(C254="",C254=0),"",IF(AND(OR($B$5="",G254=$B$5,H254=$B$5),OR($D$5="",F254=$D$5),OR($E$5="",K254=$E$5),OR($G$5="",L254=$G$5),OR($H$5="",N(J254)&gt;=$H$5),OR($I$5="",ISNUMBER(SEARCH($I$5,C254&amp;" "&amp;D254&amp;" "&amp;E254&amp;" "&amp;I254)))),"✓",""))</f>
        <v/>
      </c>
      <c r="B254" s="39" t="n">
        <v>46242</v>
      </c>
      <c r="C254" s="40" t="n">
        <f aca="false">'Aug 8'!$D$9</f>
        <v>0</v>
      </c>
      <c r="D254" s="40" t="n">
        <f aca="false">'Aug 8'!$B$9</f>
        <v>0</v>
      </c>
      <c r="E254" s="41" t="n">
        <f aca="false">'Aug 8'!$E$9</f>
        <v>0</v>
      </c>
      <c r="F254" s="40" t="n">
        <f aca="false">'Aug 8'!$A$9</f>
        <v>0</v>
      </c>
      <c r="G254" s="41" t="n">
        <f aca="false">'Aug 8'!$F$9</f>
        <v>0</v>
      </c>
      <c r="H254" s="41" t="n">
        <f aca="false">'Aug 8'!$G$9</f>
        <v>0</v>
      </c>
      <c r="I254" s="41" t="str">
        <f aca="false">'Aug 8'!$M$9</f>
        <v/>
      </c>
      <c r="J254" s="42" t="str">
        <f aca="false">'Aug 8'!$S$9</f>
        <v/>
      </c>
      <c r="K254" s="40" t="n">
        <f aca="false">'Aug 8'!$AG$9</f>
        <v>0</v>
      </c>
      <c r="L254" s="40" t="n">
        <f aca="false">'Aug 8'!$N$9</f>
        <v>0</v>
      </c>
    </row>
    <row r="255" customFormat="false" ht="15" hidden="false" customHeight="false" outlineLevel="0" collapsed="false">
      <c r="A255" s="38" t="str">
        <f aca="false">IF(OR(C255="",C255=0),"",IF(AND(OR($B$5="",G255=$B$5,H255=$B$5),OR($D$5="",F255=$D$5),OR($E$5="",K255=$E$5),OR($G$5="",L255=$G$5),OR($H$5="",N(J255)&gt;=$H$5),OR($I$5="",ISNUMBER(SEARCH($I$5,C255&amp;" "&amp;D255&amp;" "&amp;E255&amp;" "&amp;I255)))),"✓",""))</f>
        <v/>
      </c>
      <c r="B255" s="39" t="n">
        <v>46242</v>
      </c>
      <c r="C255" s="40" t="n">
        <f aca="false">'Aug 8'!$D$10</f>
        <v>0</v>
      </c>
      <c r="D255" s="40" t="n">
        <f aca="false">'Aug 8'!$B$10</f>
        <v>0</v>
      </c>
      <c r="E255" s="41" t="n">
        <f aca="false">'Aug 8'!$E$10</f>
        <v>0</v>
      </c>
      <c r="F255" s="40" t="n">
        <f aca="false">'Aug 8'!$A$10</f>
        <v>0</v>
      </c>
      <c r="G255" s="41" t="n">
        <f aca="false">'Aug 8'!$F$10</f>
        <v>0</v>
      </c>
      <c r="H255" s="41" t="n">
        <f aca="false">'Aug 8'!$G$10</f>
        <v>0</v>
      </c>
      <c r="I255" s="41" t="str">
        <f aca="false">'Aug 8'!$M$10</f>
        <v/>
      </c>
      <c r="J255" s="42" t="str">
        <f aca="false">'Aug 8'!$S$10</f>
        <v/>
      </c>
      <c r="K255" s="40" t="n">
        <f aca="false">'Aug 8'!$AG$10</f>
        <v>0</v>
      </c>
      <c r="L255" s="40" t="n">
        <f aca="false">'Aug 8'!$N$10</f>
        <v>0</v>
      </c>
    </row>
    <row r="256" customFormat="false" ht="15" hidden="false" customHeight="false" outlineLevel="0" collapsed="false">
      <c r="A256" s="38" t="str">
        <f aca="false">IF(OR(C256="",C256=0),"",IF(AND(OR($B$5="",G256=$B$5,H256=$B$5),OR($D$5="",F256=$D$5),OR($E$5="",K256=$E$5),OR($G$5="",L256=$G$5),OR($H$5="",N(J256)&gt;=$H$5),OR($I$5="",ISNUMBER(SEARCH($I$5,C256&amp;" "&amp;D256&amp;" "&amp;E256&amp;" "&amp;I256)))),"✓",""))</f>
        <v/>
      </c>
      <c r="B256" s="39" t="n">
        <v>46242</v>
      </c>
      <c r="C256" s="40" t="n">
        <f aca="false">'Aug 8'!$D$11</f>
        <v>0</v>
      </c>
      <c r="D256" s="40" t="n">
        <f aca="false">'Aug 8'!$B$11</f>
        <v>0</v>
      </c>
      <c r="E256" s="41" t="n">
        <f aca="false">'Aug 8'!$E$11</f>
        <v>0</v>
      </c>
      <c r="F256" s="40" t="n">
        <f aca="false">'Aug 8'!$A$11</f>
        <v>0</v>
      </c>
      <c r="G256" s="41" t="n">
        <f aca="false">'Aug 8'!$F$11</f>
        <v>0</v>
      </c>
      <c r="H256" s="41" t="n">
        <f aca="false">'Aug 8'!$G$11</f>
        <v>0</v>
      </c>
      <c r="I256" s="41" t="str">
        <f aca="false">'Aug 8'!$M$11</f>
        <v/>
      </c>
      <c r="J256" s="42" t="str">
        <f aca="false">'Aug 8'!$S$11</f>
        <v/>
      </c>
      <c r="K256" s="40" t="n">
        <f aca="false">'Aug 8'!$AG$11</f>
        <v>0</v>
      </c>
      <c r="L256" s="40" t="n">
        <f aca="false">'Aug 8'!$N$11</f>
        <v>0</v>
      </c>
    </row>
    <row r="257" customFormat="false" ht="15" hidden="false" customHeight="false" outlineLevel="0" collapsed="false">
      <c r="A257" s="38" t="str">
        <f aca="false">IF(OR(C257="",C257=0),"",IF(AND(OR($B$5="",G257=$B$5,H257=$B$5),OR($D$5="",F257=$D$5),OR($E$5="",K257=$E$5),OR($G$5="",L257=$G$5),OR($H$5="",N(J257)&gt;=$H$5),OR($I$5="",ISNUMBER(SEARCH($I$5,C257&amp;" "&amp;D257&amp;" "&amp;E257&amp;" "&amp;I257)))),"✓",""))</f>
        <v/>
      </c>
      <c r="B257" s="39" t="n">
        <v>46242</v>
      </c>
      <c r="C257" s="40" t="n">
        <f aca="false">'Aug 8'!$D$12</f>
        <v>0</v>
      </c>
      <c r="D257" s="40" t="n">
        <f aca="false">'Aug 8'!$B$12</f>
        <v>0</v>
      </c>
      <c r="E257" s="41" t="n">
        <f aca="false">'Aug 8'!$E$12</f>
        <v>0</v>
      </c>
      <c r="F257" s="40" t="n">
        <f aca="false">'Aug 8'!$A$12</f>
        <v>0</v>
      </c>
      <c r="G257" s="41" t="n">
        <f aca="false">'Aug 8'!$F$12</f>
        <v>0</v>
      </c>
      <c r="H257" s="41" t="n">
        <f aca="false">'Aug 8'!$G$12</f>
        <v>0</v>
      </c>
      <c r="I257" s="41" t="str">
        <f aca="false">'Aug 8'!$M$12</f>
        <v/>
      </c>
      <c r="J257" s="42" t="str">
        <f aca="false">'Aug 8'!$S$12</f>
        <v/>
      </c>
      <c r="K257" s="40" t="n">
        <f aca="false">'Aug 8'!$AG$12</f>
        <v>0</v>
      </c>
      <c r="L257" s="40" t="n">
        <f aca="false">'Aug 8'!$N$12</f>
        <v>0</v>
      </c>
    </row>
    <row r="258" customFormat="false" ht="15" hidden="false" customHeight="false" outlineLevel="0" collapsed="false">
      <c r="A258" s="38" t="str">
        <f aca="false">IF(OR(C258="",C258=0),"",IF(AND(OR($B$5="",G258=$B$5,H258=$B$5),OR($D$5="",F258=$D$5),OR($E$5="",K258=$E$5),OR($G$5="",L258=$G$5),OR($H$5="",N(J258)&gt;=$H$5),OR($I$5="",ISNUMBER(SEARCH($I$5,C258&amp;" "&amp;D258&amp;" "&amp;E258&amp;" "&amp;I258)))),"✓",""))</f>
        <v/>
      </c>
      <c r="B258" s="39" t="n">
        <v>46242</v>
      </c>
      <c r="C258" s="40" t="n">
        <f aca="false">'Aug 8'!$D$13</f>
        <v>0</v>
      </c>
      <c r="D258" s="40" t="n">
        <f aca="false">'Aug 8'!$B$13</f>
        <v>0</v>
      </c>
      <c r="E258" s="41" t="n">
        <f aca="false">'Aug 8'!$E$13</f>
        <v>0</v>
      </c>
      <c r="F258" s="40" t="n">
        <f aca="false">'Aug 8'!$A$13</f>
        <v>0</v>
      </c>
      <c r="G258" s="41" t="n">
        <f aca="false">'Aug 8'!$F$13</f>
        <v>0</v>
      </c>
      <c r="H258" s="41" t="n">
        <f aca="false">'Aug 8'!$G$13</f>
        <v>0</v>
      </c>
      <c r="I258" s="41" t="str">
        <f aca="false">'Aug 8'!$M$13</f>
        <v/>
      </c>
      <c r="J258" s="42" t="str">
        <f aca="false">'Aug 8'!$S$13</f>
        <v/>
      </c>
      <c r="K258" s="40" t="n">
        <f aca="false">'Aug 8'!$AG$13</f>
        <v>0</v>
      </c>
      <c r="L258" s="40" t="n">
        <f aca="false">'Aug 8'!$N$13</f>
        <v>0</v>
      </c>
    </row>
    <row r="259" customFormat="false" ht="15" hidden="false" customHeight="false" outlineLevel="0" collapsed="false">
      <c r="A259" s="38" t="str">
        <f aca="false">IF(OR(C259="",C259=0),"",IF(AND(OR($B$5="",G259=$B$5,H259=$B$5),OR($D$5="",F259=$D$5),OR($E$5="",K259=$E$5),OR($G$5="",L259=$G$5),OR($H$5="",N(J259)&gt;=$H$5),OR($I$5="",ISNUMBER(SEARCH($I$5,C259&amp;" "&amp;D259&amp;" "&amp;E259&amp;" "&amp;I259)))),"✓",""))</f>
        <v/>
      </c>
      <c r="B259" s="39" t="n">
        <v>46242</v>
      </c>
      <c r="C259" s="40" t="n">
        <f aca="false">'Aug 8'!$D$14</f>
        <v>0</v>
      </c>
      <c r="D259" s="40" t="n">
        <f aca="false">'Aug 8'!$B$14</f>
        <v>0</v>
      </c>
      <c r="E259" s="41" t="n">
        <f aca="false">'Aug 8'!$E$14</f>
        <v>0</v>
      </c>
      <c r="F259" s="40" t="n">
        <f aca="false">'Aug 8'!$A$14</f>
        <v>0</v>
      </c>
      <c r="G259" s="41" t="n">
        <f aca="false">'Aug 8'!$F$14</f>
        <v>0</v>
      </c>
      <c r="H259" s="41" t="n">
        <f aca="false">'Aug 8'!$G$14</f>
        <v>0</v>
      </c>
      <c r="I259" s="41" t="str">
        <f aca="false">'Aug 8'!$M$14</f>
        <v/>
      </c>
      <c r="J259" s="42" t="str">
        <f aca="false">'Aug 8'!$S$14</f>
        <v/>
      </c>
      <c r="K259" s="40" t="n">
        <f aca="false">'Aug 8'!$AG$14</f>
        <v>0</v>
      </c>
      <c r="L259" s="40" t="n">
        <f aca="false">'Aug 8'!$N$14</f>
        <v>0</v>
      </c>
    </row>
    <row r="260" customFormat="false" ht="15" hidden="false" customHeight="false" outlineLevel="0" collapsed="false">
      <c r="A260" s="38" t="str">
        <f aca="false">IF(OR(C260="",C260=0),"",IF(AND(OR($B$5="",G260=$B$5,H260=$B$5),OR($D$5="",F260=$D$5),OR($E$5="",K260=$E$5),OR($G$5="",L260=$G$5),OR($H$5="",N(J260)&gt;=$H$5),OR($I$5="",ISNUMBER(SEARCH($I$5,C260&amp;" "&amp;D260&amp;" "&amp;E260&amp;" "&amp;I260)))),"✓",""))</f>
        <v/>
      </c>
      <c r="B260" s="39" t="n">
        <v>46242</v>
      </c>
      <c r="C260" s="40" t="n">
        <f aca="false">'Aug 8'!$D$15</f>
        <v>0</v>
      </c>
      <c r="D260" s="40" t="n">
        <f aca="false">'Aug 8'!$B$15</f>
        <v>0</v>
      </c>
      <c r="E260" s="41" t="n">
        <f aca="false">'Aug 8'!$E$15</f>
        <v>0</v>
      </c>
      <c r="F260" s="40" t="n">
        <f aca="false">'Aug 8'!$A$15</f>
        <v>0</v>
      </c>
      <c r="G260" s="41" t="n">
        <f aca="false">'Aug 8'!$F$15</f>
        <v>0</v>
      </c>
      <c r="H260" s="41" t="n">
        <f aca="false">'Aug 8'!$G$15</f>
        <v>0</v>
      </c>
      <c r="I260" s="41" t="str">
        <f aca="false">'Aug 8'!$M$15</f>
        <v/>
      </c>
      <c r="J260" s="42" t="str">
        <f aca="false">'Aug 8'!$S$15</f>
        <v/>
      </c>
      <c r="K260" s="40" t="n">
        <f aca="false">'Aug 8'!$AG$15</f>
        <v>0</v>
      </c>
      <c r="L260" s="40" t="n">
        <f aca="false">'Aug 8'!$N$15</f>
        <v>0</v>
      </c>
    </row>
    <row r="261" customFormat="false" ht="15" hidden="false" customHeight="false" outlineLevel="0" collapsed="false">
      <c r="A261" s="38" t="str">
        <f aca="false">IF(OR(C261="",C261=0),"",IF(AND(OR($B$5="",G261=$B$5,H261=$B$5),OR($D$5="",F261=$D$5),OR($E$5="",K261=$E$5),OR($G$5="",L261=$G$5),OR($H$5="",N(J261)&gt;=$H$5),OR($I$5="",ISNUMBER(SEARCH($I$5,C261&amp;" "&amp;D261&amp;" "&amp;E261&amp;" "&amp;I261)))),"✓",""))</f>
        <v/>
      </c>
      <c r="B261" s="39" t="n">
        <v>46242</v>
      </c>
      <c r="C261" s="40" t="n">
        <f aca="false">'Aug 8'!$D$16</f>
        <v>0</v>
      </c>
      <c r="D261" s="40" t="n">
        <f aca="false">'Aug 8'!$B$16</f>
        <v>0</v>
      </c>
      <c r="E261" s="41" t="n">
        <f aca="false">'Aug 8'!$E$16</f>
        <v>0</v>
      </c>
      <c r="F261" s="40" t="n">
        <f aca="false">'Aug 8'!$A$16</f>
        <v>0</v>
      </c>
      <c r="G261" s="41" t="n">
        <f aca="false">'Aug 8'!$F$16</f>
        <v>0</v>
      </c>
      <c r="H261" s="41" t="n">
        <f aca="false">'Aug 8'!$G$16</f>
        <v>0</v>
      </c>
      <c r="I261" s="41" t="str">
        <f aca="false">'Aug 8'!$M$16</f>
        <v/>
      </c>
      <c r="J261" s="42" t="str">
        <f aca="false">'Aug 8'!$S$16</f>
        <v/>
      </c>
      <c r="K261" s="40" t="n">
        <f aca="false">'Aug 8'!$AG$16</f>
        <v>0</v>
      </c>
      <c r="L261" s="40" t="n">
        <f aca="false">'Aug 8'!$N$16</f>
        <v>0</v>
      </c>
    </row>
    <row r="262" customFormat="false" ht="15" hidden="false" customHeight="false" outlineLevel="0" collapsed="false">
      <c r="A262" s="38" t="str">
        <f aca="false">IF(OR(C262="",C262=0),"",IF(AND(OR($B$5="",G262=$B$5,H262=$B$5),OR($D$5="",F262=$D$5),OR($E$5="",K262=$E$5),OR($G$5="",L262=$G$5),OR($H$5="",N(J262)&gt;=$H$5),OR($I$5="",ISNUMBER(SEARCH($I$5,C262&amp;" "&amp;D262&amp;" "&amp;E262&amp;" "&amp;I262)))),"✓",""))</f>
        <v/>
      </c>
      <c r="B262" s="39" t="n">
        <v>46242</v>
      </c>
      <c r="C262" s="40" t="n">
        <f aca="false">'Aug 8'!$D$17</f>
        <v>0</v>
      </c>
      <c r="D262" s="40" t="n">
        <f aca="false">'Aug 8'!$B$17</f>
        <v>0</v>
      </c>
      <c r="E262" s="41" t="n">
        <f aca="false">'Aug 8'!$E$17</f>
        <v>0</v>
      </c>
      <c r="F262" s="40" t="n">
        <f aca="false">'Aug 8'!$A$17</f>
        <v>0</v>
      </c>
      <c r="G262" s="41" t="n">
        <f aca="false">'Aug 8'!$F$17</f>
        <v>0</v>
      </c>
      <c r="H262" s="41" t="n">
        <f aca="false">'Aug 8'!$G$17</f>
        <v>0</v>
      </c>
      <c r="I262" s="41" t="str">
        <f aca="false">'Aug 8'!$M$17</f>
        <v/>
      </c>
      <c r="J262" s="42" t="str">
        <f aca="false">'Aug 8'!$S$17</f>
        <v/>
      </c>
      <c r="K262" s="40" t="n">
        <f aca="false">'Aug 8'!$AG$17</f>
        <v>0</v>
      </c>
      <c r="L262" s="40" t="n">
        <f aca="false">'Aug 8'!$N$17</f>
        <v>0</v>
      </c>
    </row>
    <row r="263" customFormat="false" ht="15" hidden="false" customHeight="false" outlineLevel="0" collapsed="false">
      <c r="A263" s="38" t="str">
        <f aca="false">IF(OR(C263="",C263=0),"",IF(AND(OR($B$5="",G263=$B$5,H263=$B$5),OR($D$5="",F263=$D$5),OR($E$5="",K263=$E$5),OR($G$5="",L263=$G$5),OR($H$5="",N(J263)&gt;=$H$5),OR($I$5="",ISNUMBER(SEARCH($I$5,C263&amp;" "&amp;D263&amp;" "&amp;E263&amp;" "&amp;I263)))),"✓",""))</f>
        <v/>
      </c>
      <c r="B263" s="39" t="n">
        <v>46242</v>
      </c>
      <c r="C263" s="40" t="n">
        <f aca="false">'Aug 8'!$D$18</f>
        <v>0</v>
      </c>
      <c r="D263" s="40" t="n">
        <f aca="false">'Aug 8'!$B$18</f>
        <v>0</v>
      </c>
      <c r="E263" s="41" t="n">
        <f aca="false">'Aug 8'!$E$18</f>
        <v>0</v>
      </c>
      <c r="F263" s="40" t="n">
        <f aca="false">'Aug 8'!$A$18</f>
        <v>0</v>
      </c>
      <c r="G263" s="41" t="n">
        <f aca="false">'Aug 8'!$F$18</f>
        <v>0</v>
      </c>
      <c r="H263" s="41" t="n">
        <f aca="false">'Aug 8'!$G$18</f>
        <v>0</v>
      </c>
      <c r="I263" s="41" t="str">
        <f aca="false">'Aug 8'!$M$18</f>
        <v/>
      </c>
      <c r="J263" s="42" t="str">
        <f aca="false">'Aug 8'!$S$18</f>
        <v/>
      </c>
      <c r="K263" s="40" t="n">
        <f aca="false">'Aug 8'!$AG$18</f>
        <v>0</v>
      </c>
      <c r="L263" s="40" t="n">
        <f aca="false">'Aug 8'!$N$18</f>
        <v>0</v>
      </c>
    </row>
    <row r="264" customFormat="false" ht="15" hidden="false" customHeight="false" outlineLevel="0" collapsed="false">
      <c r="A264" s="38" t="str">
        <f aca="false">IF(OR(C264="",C264=0),"",IF(AND(OR($B$5="",G264=$B$5,H264=$B$5),OR($D$5="",F264=$D$5),OR($E$5="",K264=$E$5),OR($G$5="",L264=$G$5),OR($H$5="",N(J264)&gt;=$H$5),OR($I$5="",ISNUMBER(SEARCH($I$5,C264&amp;" "&amp;D264&amp;" "&amp;E264&amp;" "&amp;I264)))),"✓",""))</f>
        <v/>
      </c>
      <c r="B264" s="39" t="n">
        <v>46242</v>
      </c>
      <c r="C264" s="40" t="n">
        <f aca="false">'Aug 8'!$D$19</f>
        <v>0</v>
      </c>
      <c r="D264" s="40" t="n">
        <f aca="false">'Aug 8'!$B$19</f>
        <v>0</v>
      </c>
      <c r="E264" s="41" t="n">
        <f aca="false">'Aug 8'!$E$19</f>
        <v>0</v>
      </c>
      <c r="F264" s="40" t="n">
        <f aca="false">'Aug 8'!$A$19</f>
        <v>0</v>
      </c>
      <c r="G264" s="41" t="n">
        <f aca="false">'Aug 8'!$F$19</f>
        <v>0</v>
      </c>
      <c r="H264" s="41" t="n">
        <f aca="false">'Aug 8'!$G$19</f>
        <v>0</v>
      </c>
      <c r="I264" s="41" t="str">
        <f aca="false">'Aug 8'!$M$19</f>
        <v/>
      </c>
      <c r="J264" s="42" t="str">
        <f aca="false">'Aug 8'!$S$19</f>
        <v/>
      </c>
      <c r="K264" s="40" t="n">
        <f aca="false">'Aug 8'!$AG$19</f>
        <v>0</v>
      </c>
      <c r="L264" s="40" t="n">
        <f aca="false">'Aug 8'!$N$19</f>
        <v>0</v>
      </c>
    </row>
    <row r="265" customFormat="false" ht="15" hidden="false" customHeight="false" outlineLevel="0" collapsed="false">
      <c r="A265" s="38" t="str">
        <f aca="false">IF(OR(C265="",C265=0),"",IF(AND(OR($B$5="",G265=$B$5,H265=$B$5),OR($D$5="",F265=$D$5),OR($E$5="",K265=$E$5),OR($G$5="",L265=$G$5),OR($H$5="",N(J265)&gt;=$H$5),OR($I$5="",ISNUMBER(SEARCH($I$5,C265&amp;" "&amp;D265&amp;" "&amp;E265&amp;" "&amp;I265)))),"✓",""))</f>
        <v/>
      </c>
      <c r="B265" s="39" t="n">
        <v>46242</v>
      </c>
      <c r="C265" s="40" t="n">
        <f aca="false">'Aug 8'!$D$20</f>
        <v>0</v>
      </c>
      <c r="D265" s="40" t="n">
        <f aca="false">'Aug 8'!$B$20</f>
        <v>0</v>
      </c>
      <c r="E265" s="41" t="n">
        <f aca="false">'Aug 8'!$E$20</f>
        <v>0</v>
      </c>
      <c r="F265" s="40" t="n">
        <f aca="false">'Aug 8'!$A$20</f>
        <v>0</v>
      </c>
      <c r="G265" s="41" t="n">
        <f aca="false">'Aug 8'!$F$20</f>
        <v>0</v>
      </c>
      <c r="H265" s="41" t="n">
        <f aca="false">'Aug 8'!$G$20</f>
        <v>0</v>
      </c>
      <c r="I265" s="41" t="str">
        <f aca="false">'Aug 8'!$M$20</f>
        <v/>
      </c>
      <c r="J265" s="42" t="str">
        <f aca="false">'Aug 8'!$S$20</f>
        <v/>
      </c>
      <c r="K265" s="40" t="n">
        <f aca="false">'Aug 8'!$AG$20</f>
        <v>0</v>
      </c>
      <c r="L265" s="40" t="n">
        <f aca="false">'Aug 8'!$N$20</f>
        <v>0</v>
      </c>
    </row>
    <row r="266" customFormat="false" ht="15" hidden="false" customHeight="false" outlineLevel="0" collapsed="false">
      <c r="A266" s="38" t="str">
        <f aca="false">IF(OR(C266="",C266=0),"",IF(AND(OR($B$5="",G266=$B$5,H266=$B$5),OR($D$5="",F266=$D$5),OR($E$5="",K266=$E$5),OR($G$5="",L266=$G$5),OR($H$5="",N(J266)&gt;=$H$5),OR($I$5="",ISNUMBER(SEARCH($I$5,C266&amp;" "&amp;D266&amp;" "&amp;E266&amp;" "&amp;I266)))),"✓",""))</f>
        <v/>
      </c>
      <c r="B266" s="39" t="n">
        <v>46242</v>
      </c>
      <c r="C266" s="40" t="n">
        <f aca="false">'Aug 8'!$D$21</f>
        <v>0</v>
      </c>
      <c r="D266" s="40" t="n">
        <f aca="false">'Aug 8'!$B$21</f>
        <v>0</v>
      </c>
      <c r="E266" s="41" t="n">
        <f aca="false">'Aug 8'!$E$21</f>
        <v>0</v>
      </c>
      <c r="F266" s="40" t="n">
        <f aca="false">'Aug 8'!$A$21</f>
        <v>0</v>
      </c>
      <c r="G266" s="41" t="n">
        <f aca="false">'Aug 8'!$F$21</f>
        <v>0</v>
      </c>
      <c r="H266" s="41" t="n">
        <f aca="false">'Aug 8'!$G$21</f>
        <v>0</v>
      </c>
      <c r="I266" s="41" t="str">
        <f aca="false">'Aug 8'!$M$21</f>
        <v/>
      </c>
      <c r="J266" s="42" t="str">
        <f aca="false">'Aug 8'!$S$21</f>
        <v/>
      </c>
      <c r="K266" s="40" t="n">
        <f aca="false">'Aug 8'!$AG$21</f>
        <v>0</v>
      </c>
      <c r="L266" s="40" t="n">
        <f aca="false">'Aug 8'!$N$21</f>
        <v>0</v>
      </c>
    </row>
    <row r="267" customFormat="false" ht="15" hidden="false" customHeight="false" outlineLevel="0" collapsed="false">
      <c r="A267" s="38" t="str">
        <f aca="false">IF(OR(C267="",C267=0),"",IF(AND(OR($B$5="",G267=$B$5,H267=$B$5),OR($D$5="",F267=$D$5),OR($E$5="",K267=$E$5),OR($G$5="",L267=$G$5),OR($H$5="",N(J267)&gt;=$H$5),OR($I$5="",ISNUMBER(SEARCH($I$5,C267&amp;" "&amp;D267&amp;" "&amp;E267&amp;" "&amp;I267)))),"✓",""))</f>
        <v/>
      </c>
      <c r="B267" s="39" t="n">
        <v>46242</v>
      </c>
      <c r="C267" s="40" t="n">
        <f aca="false">'Aug 8'!$D$22</f>
        <v>0</v>
      </c>
      <c r="D267" s="40" t="n">
        <f aca="false">'Aug 8'!$B$22</f>
        <v>0</v>
      </c>
      <c r="E267" s="41" t="n">
        <f aca="false">'Aug 8'!$E$22</f>
        <v>0</v>
      </c>
      <c r="F267" s="40" t="n">
        <f aca="false">'Aug 8'!$A$22</f>
        <v>0</v>
      </c>
      <c r="G267" s="41" t="n">
        <f aca="false">'Aug 8'!$F$22</f>
        <v>0</v>
      </c>
      <c r="H267" s="41" t="n">
        <f aca="false">'Aug 8'!$G$22</f>
        <v>0</v>
      </c>
      <c r="I267" s="41" t="str">
        <f aca="false">'Aug 8'!$M$22</f>
        <v/>
      </c>
      <c r="J267" s="42" t="str">
        <f aca="false">'Aug 8'!$S$22</f>
        <v/>
      </c>
      <c r="K267" s="40" t="n">
        <f aca="false">'Aug 8'!$AG$22</f>
        <v>0</v>
      </c>
      <c r="L267" s="40" t="n">
        <f aca="false">'Aug 8'!$N$22</f>
        <v>0</v>
      </c>
    </row>
    <row r="268" customFormat="false" ht="15" hidden="false" customHeight="false" outlineLevel="0" collapsed="false">
      <c r="A268" s="38" t="str">
        <f aca="false">IF(OR(C268="",C268=0),"",IF(AND(OR($B$5="",G268=$B$5,H268=$B$5),OR($D$5="",F268=$D$5),OR($E$5="",K268=$E$5),OR($G$5="",L268=$G$5),OR($H$5="",N(J268)&gt;=$H$5),OR($I$5="",ISNUMBER(SEARCH($I$5,C268&amp;" "&amp;D268&amp;" "&amp;E268&amp;" "&amp;I268)))),"✓",""))</f>
        <v/>
      </c>
      <c r="B268" s="39" t="n">
        <v>46242</v>
      </c>
      <c r="C268" s="40" t="n">
        <f aca="false">'Aug 8'!$D$23</f>
        <v>0</v>
      </c>
      <c r="D268" s="40" t="n">
        <f aca="false">'Aug 8'!$B$23</f>
        <v>0</v>
      </c>
      <c r="E268" s="41" t="n">
        <f aca="false">'Aug 8'!$E$23</f>
        <v>0</v>
      </c>
      <c r="F268" s="40" t="n">
        <f aca="false">'Aug 8'!$A$23</f>
        <v>0</v>
      </c>
      <c r="G268" s="41" t="n">
        <f aca="false">'Aug 8'!$F$23</f>
        <v>0</v>
      </c>
      <c r="H268" s="41" t="n">
        <f aca="false">'Aug 8'!$G$23</f>
        <v>0</v>
      </c>
      <c r="I268" s="41" t="str">
        <f aca="false">'Aug 8'!$M$23</f>
        <v/>
      </c>
      <c r="J268" s="42" t="str">
        <f aca="false">'Aug 8'!$S$23</f>
        <v/>
      </c>
      <c r="K268" s="40" t="n">
        <f aca="false">'Aug 8'!$AG$23</f>
        <v>0</v>
      </c>
      <c r="L268" s="40" t="n">
        <f aca="false">'Aug 8'!$N$23</f>
        <v>0</v>
      </c>
    </row>
    <row r="269" customFormat="false" ht="15" hidden="false" customHeight="false" outlineLevel="0" collapsed="false">
      <c r="A269" s="38" t="str">
        <f aca="false">IF(OR(C269="",C269=0),"",IF(AND(OR($B$5="",G269=$B$5,H269=$B$5),OR($D$5="",F269=$D$5),OR($E$5="",K269=$E$5),OR($G$5="",L269=$G$5),OR($H$5="",N(J269)&gt;=$H$5),OR($I$5="",ISNUMBER(SEARCH($I$5,C269&amp;" "&amp;D269&amp;" "&amp;E269&amp;" "&amp;I269)))),"✓",""))</f>
        <v/>
      </c>
      <c r="B269" s="39" t="n">
        <v>46242</v>
      </c>
      <c r="C269" s="40" t="n">
        <f aca="false">'Aug 8'!$D$24</f>
        <v>0</v>
      </c>
      <c r="D269" s="40" t="n">
        <f aca="false">'Aug 8'!$B$24</f>
        <v>0</v>
      </c>
      <c r="E269" s="41" t="n">
        <f aca="false">'Aug 8'!$E$24</f>
        <v>0</v>
      </c>
      <c r="F269" s="40" t="n">
        <f aca="false">'Aug 8'!$A$24</f>
        <v>0</v>
      </c>
      <c r="G269" s="41" t="n">
        <f aca="false">'Aug 8'!$F$24</f>
        <v>0</v>
      </c>
      <c r="H269" s="41" t="n">
        <f aca="false">'Aug 8'!$G$24</f>
        <v>0</v>
      </c>
      <c r="I269" s="41" t="str">
        <f aca="false">'Aug 8'!$M$24</f>
        <v/>
      </c>
      <c r="J269" s="42" t="str">
        <f aca="false">'Aug 8'!$S$24</f>
        <v/>
      </c>
      <c r="K269" s="40" t="n">
        <f aca="false">'Aug 8'!$AG$24</f>
        <v>0</v>
      </c>
      <c r="L269" s="40" t="n">
        <f aca="false">'Aug 8'!$N$24</f>
        <v>0</v>
      </c>
    </row>
    <row r="270" customFormat="false" ht="15" hidden="false" customHeight="false" outlineLevel="0" collapsed="false">
      <c r="A270" s="38" t="str">
        <f aca="false">IF(OR(C270="",C270=0),"",IF(AND(OR($B$5="",G270=$B$5,H270=$B$5),OR($D$5="",F270=$D$5),OR($E$5="",K270=$E$5),OR($G$5="",L270=$G$5),OR($H$5="",N(J270)&gt;=$H$5),OR($I$5="",ISNUMBER(SEARCH($I$5,C270&amp;" "&amp;D270&amp;" "&amp;E270&amp;" "&amp;I270)))),"✓",""))</f>
        <v/>
      </c>
      <c r="B270" s="39" t="n">
        <v>46242</v>
      </c>
      <c r="C270" s="40" t="n">
        <f aca="false">'Aug 8'!$D$25</f>
        <v>0</v>
      </c>
      <c r="D270" s="40" t="n">
        <f aca="false">'Aug 8'!$B$25</f>
        <v>0</v>
      </c>
      <c r="E270" s="41" t="n">
        <f aca="false">'Aug 8'!$E$25</f>
        <v>0</v>
      </c>
      <c r="F270" s="40" t="n">
        <f aca="false">'Aug 8'!$A$25</f>
        <v>0</v>
      </c>
      <c r="G270" s="41" t="n">
        <f aca="false">'Aug 8'!$F$25</f>
        <v>0</v>
      </c>
      <c r="H270" s="41" t="n">
        <f aca="false">'Aug 8'!$G$25</f>
        <v>0</v>
      </c>
      <c r="I270" s="41" t="str">
        <f aca="false">'Aug 8'!$M$25</f>
        <v/>
      </c>
      <c r="J270" s="42" t="str">
        <f aca="false">'Aug 8'!$S$25</f>
        <v/>
      </c>
      <c r="K270" s="40" t="n">
        <f aca="false">'Aug 8'!$AG$25</f>
        <v>0</v>
      </c>
      <c r="L270" s="40" t="n">
        <f aca="false">'Aug 8'!$N$25</f>
        <v>0</v>
      </c>
    </row>
    <row r="271" customFormat="false" ht="15" hidden="false" customHeight="false" outlineLevel="0" collapsed="false">
      <c r="A271" s="38" t="str">
        <f aca="false">IF(OR(C271="",C271=0),"",IF(AND(OR($B$5="",G271=$B$5,H271=$B$5),OR($D$5="",F271=$D$5),OR($E$5="",K271=$E$5),OR($G$5="",L271=$G$5),OR($H$5="",N(J271)&gt;=$H$5),OR($I$5="",ISNUMBER(SEARCH($I$5,C271&amp;" "&amp;D271&amp;" "&amp;E271&amp;" "&amp;I271)))),"✓",""))</f>
        <v/>
      </c>
      <c r="B271" s="39" t="n">
        <v>46242</v>
      </c>
      <c r="C271" s="40" t="n">
        <f aca="false">'Aug 8'!$D$26</f>
        <v>0</v>
      </c>
      <c r="D271" s="40" t="n">
        <f aca="false">'Aug 8'!$B$26</f>
        <v>0</v>
      </c>
      <c r="E271" s="41" t="n">
        <f aca="false">'Aug 8'!$E$26</f>
        <v>0</v>
      </c>
      <c r="F271" s="40" t="n">
        <f aca="false">'Aug 8'!$A$26</f>
        <v>0</v>
      </c>
      <c r="G271" s="41" t="n">
        <f aca="false">'Aug 8'!$F$26</f>
        <v>0</v>
      </c>
      <c r="H271" s="41" t="n">
        <f aca="false">'Aug 8'!$G$26</f>
        <v>0</v>
      </c>
      <c r="I271" s="41" t="str">
        <f aca="false">'Aug 8'!$M$26</f>
        <v/>
      </c>
      <c r="J271" s="42" t="str">
        <f aca="false">'Aug 8'!$S$26</f>
        <v/>
      </c>
      <c r="K271" s="40" t="n">
        <f aca="false">'Aug 8'!$AG$26</f>
        <v>0</v>
      </c>
      <c r="L271" s="40" t="n">
        <f aca="false">'Aug 8'!$N$26</f>
        <v>0</v>
      </c>
    </row>
    <row r="272" customFormat="false" ht="15" hidden="false" customHeight="false" outlineLevel="0" collapsed="false">
      <c r="A272" s="38" t="str">
        <f aca="false">IF(OR(C272="",C272=0),"",IF(AND(OR($B$5="",G272=$B$5,H272=$B$5),OR($D$5="",F272=$D$5),OR($E$5="",K272=$E$5),OR($G$5="",L272=$G$5),OR($H$5="",N(J272)&gt;=$H$5),OR($I$5="",ISNUMBER(SEARCH($I$5,C272&amp;" "&amp;D272&amp;" "&amp;E272&amp;" "&amp;I272)))),"✓",""))</f>
        <v/>
      </c>
      <c r="B272" s="39" t="n">
        <v>46242</v>
      </c>
      <c r="C272" s="40" t="n">
        <f aca="false">'Aug 8'!$D$27</f>
        <v>0</v>
      </c>
      <c r="D272" s="40" t="n">
        <f aca="false">'Aug 8'!$B$27</f>
        <v>0</v>
      </c>
      <c r="E272" s="41" t="n">
        <f aca="false">'Aug 8'!$E$27</f>
        <v>0</v>
      </c>
      <c r="F272" s="40" t="n">
        <f aca="false">'Aug 8'!$A$27</f>
        <v>0</v>
      </c>
      <c r="G272" s="41" t="n">
        <f aca="false">'Aug 8'!$F$27</f>
        <v>0</v>
      </c>
      <c r="H272" s="41" t="n">
        <f aca="false">'Aug 8'!$G$27</f>
        <v>0</v>
      </c>
      <c r="I272" s="41" t="str">
        <f aca="false">'Aug 8'!$M$27</f>
        <v/>
      </c>
      <c r="J272" s="42" t="str">
        <f aca="false">'Aug 8'!$S$27</f>
        <v/>
      </c>
      <c r="K272" s="40" t="n">
        <f aca="false">'Aug 8'!$AG$27</f>
        <v>0</v>
      </c>
      <c r="L272" s="40" t="n">
        <f aca="false">'Aug 8'!$N$27</f>
        <v>0</v>
      </c>
    </row>
    <row r="273" customFormat="false" ht="15" hidden="false" customHeight="false" outlineLevel="0" collapsed="false">
      <c r="A273" s="38" t="str">
        <f aca="false">IF(OR(C273="",C273=0),"",IF(AND(OR($B$5="",G273=$B$5,H273=$B$5),OR($D$5="",F273=$D$5),OR($E$5="",K273=$E$5),OR($G$5="",L273=$G$5),OR($H$5="",N(J273)&gt;=$H$5),OR($I$5="",ISNUMBER(SEARCH($I$5,C273&amp;" "&amp;D273&amp;" "&amp;E273&amp;" "&amp;I273)))),"✓",""))</f>
        <v/>
      </c>
      <c r="B273" s="39" t="n">
        <v>46242</v>
      </c>
      <c r="C273" s="40" t="n">
        <f aca="false">'Aug 8'!$D$28</f>
        <v>0</v>
      </c>
      <c r="D273" s="40" t="n">
        <f aca="false">'Aug 8'!$B$28</f>
        <v>0</v>
      </c>
      <c r="E273" s="41" t="n">
        <f aca="false">'Aug 8'!$E$28</f>
        <v>0</v>
      </c>
      <c r="F273" s="40" t="n">
        <f aca="false">'Aug 8'!$A$28</f>
        <v>0</v>
      </c>
      <c r="G273" s="41" t="n">
        <f aca="false">'Aug 8'!$F$28</f>
        <v>0</v>
      </c>
      <c r="H273" s="41" t="n">
        <f aca="false">'Aug 8'!$G$28</f>
        <v>0</v>
      </c>
      <c r="I273" s="41" t="str">
        <f aca="false">'Aug 8'!$M$28</f>
        <v/>
      </c>
      <c r="J273" s="42" t="str">
        <f aca="false">'Aug 8'!$S$28</f>
        <v/>
      </c>
      <c r="K273" s="40" t="n">
        <f aca="false">'Aug 8'!$AG$28</f>
        <v>0</v>
      </c>
      <c r="L273" s="40" t="n">
        <f aca="false">'Aug 8'!$N$28</f>
        <v>0</v>
      </c>
    </row>
    <row r="274" customFormat="false" ht="15" hidden="false" customHeight="false" outlineLevel="0" collapsed="false">
      <c r="A274" s="38" t="str">
        <f aca="false">IF(OR(C274="",C274=0),"",IF(AND(OR($B$5="",G274=$B$5,H274=$B$5),OR($D$5="",F274=$D$5),OR($E$5="",K274=$E$5),OR($G$5="",L274=$G$5),OR($H$5="",N(J274)&gt;=$H$5),OR($I$5="",ISNUMBER(SEARCH($I$5,C274&amp;" "&amp;D274&amp;" "&amp;E274&amp;" "&amp;I274)))),"✓",""))</f>
        <v/>
      </c>
      <c r="B274" s="39" t="n">
        <v>46242</v>
      </c>
      <c r="C274" s="40" t="n">
        <f aca="false">'Aug 8'!$D$29</f>
        <v>0</v>
      </c>
      <c r="D274" s="40" t="n">
        <f aca="false">'Aug 8'!$B$29</f>
        <v>0</v>
      </c>
      <c r="E274" s="41" t="n">
        <f aca="false">'Aug 8'!$E$29</f>
        <v>0</v>
      </c>
      <c r="F274" s="40" t="n">
        <f aca="false">'Aug 8'!$A$29</f>
        <v>0</v>
      </c>
      <c r="G274" s="41" t="n">
        <f aca="false">'Aug 8'!$F$29</f>
        <v>0</v>
      </c>
      <c r="H274" s="41" t="n">
        <f aca="false">'Aug 8'!$G$29</f>
        <v>0</v>
      </c>
      <c r="I274" s="41" t="str">
        <f aca="false">'Aug 8'!$M$29</f>
        <v/>
      </c>
      <c r="J274" s="42" t="str">
        <f aca="false">'Aug 8'!$S$29</f>
        <v/>
      </c>
      <c r="K274" s="40" t="n">
        <f aca="false">'Aug 8'!$AG$29</f>
        <v>0</v>
      </c>
      <c r="L274" s="40" t="n">
        <f aca="false">'Aug 8'!$N$29</f>
        <v>0</v>
      </c>
    </row>
    <row r="275" customFormat="false" ht="15" hidden="false" customHeight="false" outlineLevel="0" collapsed="false">
      <c r="A275" s="38" t="str">
        <f aca="false">IF(OR(C275="",C275=0),"",IF(AND(OR($B$5="",G275=$B$5,H275=$B$5),OR($D$5="",F275=$D$5),OR($E$5="",K275=$E$5),OR($G$5="",L275=$G$5),OR($H$5="",N(J275)&gt;=$H$5),OR($I$5="",ISNUMBER(SEARCH($I$5,C275&amp;" "&amp;D275&amp;" "&amp;E275&amp;" "&amp;I275)))),"✓",""))</f>
        <v/>
      </c>
      <c r="B275" s="39" t="n">
        <v>46242</v>
      </c>
      <c r="C275" s="40" t="n">
        <f aca="false">'Aug 8'!$D$30</f>
        <v>0</v>
      </c>
      <c r="D275" s="40" t="n">
        <f aca="false">'Aug 8'!$B$30</f>
        <v>0</v>
      </c>
      <c r="E275" s="41" t="n">
        <f aca="false">'Aug 8'!$E$30</f>
        <v>0</v>
      </c>
      <c r="F275" s="40" t="n">
        <f aca="false">'Aug 8'!$A$30</f>
        <v>0</v>
      </c>
      <c r="G275" s="41" t="n">
        <f aca="false">'Aug 8'!$F$30</f>
        <v>0</v>
      </c>
      <c r="H275" s="41" t="n">
        <f aca="false">'Aug 8'!$G$30</f>
        <v>0</v>
      </c>
      <c r="I275" s="41" t="str">
        <f aca="false">'Aug 8'!$M$30</f>
        <v/>
      </c>
      <c r="J275" s="42" t="str">
        <f aca="false">'Aug 8'!$S$30</f>
        <v/>
      </c>
      <c r="K275" s="40" t="n">
        <f aca="false">'Aug 8'!$AG$30</f>
        <v>0</v>
      </c>
      <c r="L275" s="40" t="n">
        <f aca="false">'Aug 8'!$N$30</f>
        <v>0</v>
      </c>
    </row>
    <row r="276" customFormat="false" ht="15" hidden="false" customHeight="false" outlineLevel="0" collapsed="false">
      <c r="A276" s="38" t="str">
        <f aca="false">IF(OR(C276="",C276=0),"",IF(AND(OR($B$5="",G276=$B$5,H276=$B$5),OR($D$5="",F276=$D$5),OR($E$5="",K276=$E$5),OR($G$5="",L276=$G$5),OR($H$5="",N(J276)&gt;=$H$5),OR($I$5="",ISNUMBER(SEARCH($I$5,C276&amp;" "&amp;D276&amp;" "&amp;E276&amp;" "&amp;I276)))),"✓",""))</f>
        <v/>
      </c>
      <c r="B276" s="39" t="n">
        <v>46242</v>
      </c>
      <c r="C276" s="40" t="n">
        <f aca="false">'Aug 8'!$D$31</f>
        <v>0</v>
      </c>
      <c r="D276" s="40" t="n">
        <f aca="false">'Aug 8'!$B$31</f>
        <v>0</v>
      </c>
      <c r="E276" s="41" t="n">
        <f aca="false">'Aug 8'!$E$31</f>
        <v>0</v>
      </c>
      <c r="F276" s="40" t="n">
        <f aca="false">'Aug 8'!$A$31</f>
        <v>0</v>
      </c>
      <c r="G276" s="41" t="n">
        <f aca="false">'Aug 8'!$F$31</f>
        <v>0</v>
      </c>
      <c r="H276" s="41" t="n">
        <f aca="false">'Aug 8'!$G$31</f>
        <v>0</v>
      </c>
      <c r="I276" s="41" t="str">
        <f aca="false">'Aug 8'!$M$31</f>
        <v/>
      </c>
      <c r="J276" s="42" t="str">
        <f aca="false">'Aug 8'!$S$31</f>
        <v/>
      </c>
      <c r="K276" s="40" t="n">
        <f aca="false">'Aug 8'!$AG$31</f>
        <v>0</v>
      </c>
      <c r="L276" s="40" t="n">
        <f aca="false">'Aug 8'!$N$31</f>
        <v>0</v>
      </c>
    </row>
    <row r="277" customFormat="false" ht="15" hidden="false" customHeight="false" outlineLevel="0" collapsed="false">
      <c r="A277" s="38" t="str">
        <f aca="false">IF(OR(C277="",C277=0),"",IF(AND(OR($B$5="",G277=$B$5,H277=$B$5),OR($D$5="",F277=$D$5),OR($E$5="",K277=$E$5),OR($G$5="",L277=$G$5),OR($H$5="",N(J277)&gt;=$H$5),OR($I$5="",ISNUMBER(SEARCH($I$5,C277&amp;" "&amp;D277&amp;" "&amp;E277&amp;" "&amp;I277)))),"✓",""))</f>
        <v/>
      </c>
      <c r="B277" s="39" t="n">
        <v>46242</v>
      </c>
      <c r="C277" s="40" t="n">
        <f aca="false">'Aug 8'!$D$32</f>
        <v>0</v>
      </c>
      <c r="D277" s="40" t="n">
        <f aca="false">'Aug 8'!$B$32</f>
        <v>0</v>
      </c>
      <c r="E277" s="41" t="n">
        <f aca="false">'Aug 8'!$E$32</f>
        <v>0</v>
      </c>
      <c r="F277" s="40" t="n">
        <f aca="false">'Aug 8'!$A$32</f>
        <v>0</v>
      </c>
      <c r="G277" s="41" t="n">
        <f aca="false">'Aug 8'!$F$32</f>
        <v>0</v>
      </c>
      <c r="H277" s="41" t="n">
        <f aca="false">'Aug 8'!$G$32</f>
        <v>0</v>
      </c>
      <c r="I277" s="41" t="str">
        <f aca="false">'Aug 8'!$M$32</f>
        <v/>
      </c>
      <c r="J277" s="42" t="str">
        <f aca="false">'Aug 8'!$S$32</f>
        <v/>
      </c>
      <c r="K277" s="40" t="n">
        <f aca="false">'Aug 8'!$AG$32</f>
        <v>0</v>
      </c>
      <c r="L277" s="40" t="n">
        <f aca="false">'Aug 8'!$N$32</f>
        <v>0</v>
      </c>
    </row>
    <row r="278" customFormat="false" ht="15" hidden="false" customHeight="false" outlineLevel="0" collapsed="false">
      <c r="A278" s="38" t="str">
        <f aca="false">IF(OR(C278="",C278=0),"",IF(AND(OR($B$5="",G278=$B$5,H278=$B$5),OR($D$5="",F278=$D$5),OR($E$5="",K278=$E$5),OR($G$5="",L278=$G$5),OR($H$5="",N(J278)&gt;=$H$5),OR($I$5="",ISNUMBER(SEARCH($I$5,C278&amp;" "&amp;D278&amp;" "&amp;E278&amp;" "&amp;I278)))),"✓",""))</f>
        <v/>
      </c>
      <c r="B278" s="39" t="n">
        <v>46242</v>
      </c>
      <c r="C278" s="40" t="n">
        <f aca="false">'Aug 8'!$D$33</f>
        <v>0</v>
      </c>
      <c r="D278" s="40" t="n">
        <f aca="false">'Aug 8'!$B$33</f>
        <v>0</v>
      </c>
      <c r="E278" s="41" t="n">
        <f aca="false">'Aug 8'!$E$33</f>
        <v>0</v>
      </c>
      <c r="F278" s="40" t="n">
        <f aca="false">'Aug 8'!$A$33</f>
        <v>0</v>
      </c>
      <c r="G278" s="41" t="n">
        <f aca="false">'Aug 8'!$F$33</f>
        <v>0</v>
      </c>
      <c r="H278" s="41" t="n">
        <f aca="false">'Aug 8'!$G$33</f>
        <v>0</v>
      </c>
      <c r="I278" s="41" t="str">
        <f aca="false">'Aug 8'!$M$33</f>
        <v/>
      </c>
      <c r="J278" s="42" t="str">
        <f aca="false">'Aug 8'!$S$33</f>
        <v/>
      </c>
      <c r="K278" s="40" t="n">
        <f aca="false">'Aug 8'!$AG$33</f>
        <v>0</v>
      </c>
      <c r="L278" s="40" t="n">
        <f aca="false">'Aug 8'!$N$33</f>
        <v>0</v>
      </c>
    </row>
    <row r="279" customFormat="false" ht="15" hidden="false" customHeight="false" outlineLevel="0" collapsed="false">
      <c r="A279" s="38" t="str">
        <f aca="false">IF(OR(C279="",C279=0),"",IF(AND(OR($B$5="",G279=$B$5,H279=$B$5),OR($D$5="",F279=$D$5),OR($E$5="",K279=$E$5),OR($G$5="",L279=$G$5),OR($H$5="",N(J279)&gt;=$H$5),OR($I$5="",ISNUMBER(SEARCH($I$5,C279&amp;" "&amp;D279&amp;" "&amp;E279&amp;" "&amp;I279)))),"✓",""))</f>
        <v/>
      </c>
      <c r="B279" s="39" t="n">
        <v>46242</v>
      </c>
      <c r="C279" s="40" t="n">
        <f aca="false">'Aug 8'!$D$34</f>
        <v>0</v>
      </c>
      <c r="D279" s="40" t="n">
        <f aca="false">'Aug 8'!$B$34</f>
        <v>0</v>
      </c>
      <c r="E279" s="41" t="n">
        <f aca="false">'Aug 8'!$E$34</f>
        <v>0</v>
      </c>
      <c r="F279" s="40" t="n">
        <f aca="false">'Aug 8'!$A$34</f>
        <v>0</v>
      </c>
      <c r="G279" s="41" t="n">
        <f aca="false">'Aug 8'!$F$34</f>
        <v>0</v>
      </c>
      <c r="H279" s="41" t="n">
        <f aca="false">'Aug 8'!$G$34</f>
        <v>0</v>
      </c>
      <c r="I279" s="41" t="str">
        <f aca="false">'Aug 8'!$M$34</f>
        <v/>
      </c>
      <c r="J279" s="42" t="str">
        <f aca="false">'Aug 8'!$S$34</f>
        <v/>
      </c>
      <c r="K279" s="40" t="n">
        <f aca="false">'Aug 8'!$AG$34</f>
        <v>0</v>
      </c>
      <c r="L279" s="40" t="n">
        <f aca="false">'Aug 8'!$N$34</f>
        <v>0</v>
      </c>
    </row>
    <row r="280" customFormat="false" ht="15" hidden="false" customHeight="false" outlineLevel="0" collapsed="false">
      <c r="A280" s="38" t="str">
        <f aca="false">IF(OR(C280="",C280=0),"",IF(AND(OR($B$5="",G280=$B$5,H280=$B$5),OR($D$5="",F280=$D$5),OR($E$5="",K280=$E$5),OR($G$5="",L280=$G$5),OR($H$5="",N(J280)&gt;=$H$5),OR($I$5="",ISNUMBER(SEARCH($I$5,C280&amp;" "&amp;D280&amp;" "&amp;E280&amp;" "&amp;I280)))),"✓",""))</f>
        <v/>
      </c>
      <c r="B280" s="39" t="n">
        <v>46242</v>
      </c>
      <c r="C280" s="40" t="n">
        <f aca="false">'Aug 8'!$D$35</f>
        <v>0</v>
      </c>
      <c r="D280" s="40" t="n">
        <f aca="false">'Aug 8'!$B$35</f>
        <v>0</v>
      </c>
      <c r="E280" s="41" t="n">
        <f aca="false">'Aug 8'!$E$35</f>
        <v>0</v>
      </c>
      <c r="F280" s="40" t="n">
        <f aca="false">'Aug 8'!$A$35</f>
        <v>0</v>
      </c>
      <c r="G280" s="41" t="n">
        <f aca="false">'Aug 8'!$F$35</f>
        <v>0</v>
      </c>
      <c r="H280" s="41" t="n">
        <f aca="false">'Aug 8'!$G$35</f>
        <v>0</v>
      </c>
      <c r="I280" s="41" t="str">
        <f aca="false">'Aug 8'!$M$35</f>
        <v/>
      </c>
      <c r="J280" s="42" t="str">
        <f aca="false">'Aug 8'!$S$35</f>
        <v/>
      </c>
      <c r="K280" s="40" t="n">
        <f aca="false">'Aug 8'!$AG$35</f>
        <v>0</v>
      </c>
      <c r="L280" s="40" t="n">
        <f aca="false">'Aug 8'!$N$35</f>
        <v>0</v>
      </c>
    </row>
    <row r="281" customFormat="false" ht="15" hidden="false" customHeight="false" outlineLevel="0" collapsed="false">
      <c r="A281" s="38" t="str">
        <f aca="false">IF(OR(C281="",C281=0),"",IF(AND(OR($B$5="",G281=$B$5,H281=$B$5),OR($D$5="",F281=$D$5),OR($E$5="",K281=$E$5),OR($G$5="",L281=$G$5),OR($H$5="",N(J281)&gt;=$H$5),OR($I$5="",ISNUMBER(SEARCH($I$5,C281&amp;" "&amp;D281&amp;" "&amp;E281&amp;" "&amp;I281)))),"✓",""))</f>
        <v/>
      </c>
      <c r="B281" s="39" t="n">
        <v>46242</v>
      </c>
      <c r="C281" s="40" t="n">
        <f aca="false">'Aug 8'!$D$36</f>
        <v>0</v>
      </c>
      <c r="D281" s="40" t="n">
        <f aca="false">'Aug 8'!$B$36</f>
        <v>0</v>
      </c>
      <c r="E281" s="41" t="n">
        <f aca="false">'Aug 8'!$E$36</f>
        <v>0</v>
      </c>
      <c r="F281" s="40" t="n">
        <f aca="false">'Aug 8'!$A$36</f>
        <v>0</v>
      </c>
      <c r="G281" s="41" t="n">
        <f aca="false">'Aug 8'!$F$36</f>
        <v>0</v>
      </c>
      <c r="H281" s="41" t="n">
        <f aca="false">'Aug 8'!$G$36</f>
        <v>0</v>
      </c>
      <c r="I281" s="41" t="str">
        <f aca="false">'Aug 8'!$M$36</f>
        <v/>
      </c>
      <c r="J281" s="42" t="str">
        <f aca="false">'Aug 8'!$S$36</f>
        <v/>
      </c>
      <c r="K281" s="40" t="n">
        <f aca="false">'Aug 8'!$AG$36</f>
        <v>0</v>
      </c>
      <c r="L281" s="40" t="n">
        <f aca="false">'Aug 8'!$N$36</f>
        <v>0</v>
      </c>
    </row>
    <row r="282" customFormat="false" ht="15" hidden="false" customHeight="false" outlineLevel="0" collapsed="false">
      <c r="A282" s="38" t="str">
        <f aca="false">IF(OR(C282="",C282=0),"",IF(AND(OR($B$5="",G282=$B$5,H282=$B$5),OR($D$5="",F282=$D$5),OR($E$5="",K282=$E$5),OR($G$5="",L282=$G$5),OR($H$5="",N(J282)&gt;=$H$5),OR($I$5="",ISNUMBER(SEARCH($I$5,C282&amp;" "&amp;D282&amp;" "&amp;E282&amp;" "&amp;I282)))),"✓",""))</f>
        <v/>
      </c>
      <c r="B282" s="39" t="n">
        <v>46242</v>
      </c>
      <c r="C282" s="40" t="n">
        <f aca="false">'Aug 8'!$D$37</f>
        <v>0</v>
      </c>
      <c r="D282" s="40" t="n">
        <f aca="false">'Aug 8'!$B$37</f>
        <v>0</v>
      </c>
      <c r="E282" s="41" t="n">
        <f aca="false">'Aug 8'!$E$37</f>
        <v>0</v>
      </c>
      <c r="F282" s="40" t="n">
        <f aca="false">'Aug 8'!$A$37</f>
        <v>0</v>
      </c>
      <c r="G282" s="41" t="n">
        <f aca="false">'Aug 8'!$F$37</f>
        <v>0</v>
      </c>
      <c r="H282" s="41" t="n">
        <f aca="false">'Aug 8'!$G$37</f>
        <v>0</v>
      </c>
      <c r="I282" s="41" t="str">
        <f aca="false">'Aug 8'!$M$37</f>
        <v/>
      </c>
      <c r="J282" s="42" t="str">
        <f aca="false">'Aug 8'!$S$37</f>
        <v/>
      </c>
      <c r="K282" s="40" t="n">
        <f aca="false">'Aug 8'!$AG$37</f>
        <v>0</v>
      </c>
      <c r="L282" s="40" t="n">
        <f aca="false">'Aug 8'!$N$37</f>
        <v>0</v>
      </c>
    </row>
    <row r="283" customFormat="false" ht="15" hidden="false" customHeight="false" outlineLevel="0" collapsed="false">
      <c r="A283" s="38" t="str">
        <f aca="false">IF(OR(C283="",C283=0),"",IF(AND(OR($B$5="",G283=$B$5,H283=$B$5),OR($D$5="",F283=$D$5),OR($E$5="",K283=$E$5),OR($G$5="",L283=$G$5),OR($H$5="",N(J283)&gt;=$H$5),OR($I$5="",ISNUMBER(SEARCH($I$5,C283&amp;" "&amp;D283&amp;" "&amp;E283&amp;" "&amp;I283)))),"✓",""))</f>
        <v/>
      </c>
      <c r="B283" s="39" t="n">
        <v>46242</v>
      </c>
      <c r="C283" s="40" t="n">
        <f aca="false">'Aug 8'!$D$38</f>
        <v>0</v>
      </c>
      <c r="D283" s="40" t="n">
        <f aca="false">'Aug 8'!$B$38</f>
        <v>0</v>
      </c>
      <c r="E283" s="41" t="n">
        <f aca="false">'Aug 8'!$E$38</f>
        <v>0</v>
      </c>
      <c r="F283" s="40" t="n">
        <f aca="false">'Aug 8'!$A$38</f>
        <v>0</v>
      </c>
      <c r="G283" s="41" t="n">
        <f aca="false">'Aug 8'!$F$38</f>
        <v>0</v>
      </c>
      <c r="H283" s="41" t="n">
        <f aca="false">'Aug 8'!$G$38</f>
        <v>0</v>
      </c>
      <c r="I283" s="41" t="str">
        <f aca="false">'Aug 8'!$M$38</f>
        <v/>
      </c>
      <c r="J283" s="42" t="str">
        <f aca="false">'Aug 8'!$S$38</f>
        <v/>
      </c>
      <c r="K283" s="40" t="n">
        <f aca="false">'Aug 8'!$AG$38</f>
        <v>0</v>
      </c>
      <c r="L283" s="40" t="n">
        <f aca="false">'Aug 8'!$N$38</f>
        <v>0</v>
      </c>
    </row>
    <row r="284" customFormat="false" ht="15" hidden="false" customHeight="false" outlineLevel="0" collapsed="false">
      <c r="A284" s="38" t="str">
        <f aca="false">IF(OR(C284="",C284=0),"",IF(AND(OR($B$5="",G284=$B$5,H284=$B$5),OR($D$5="",F284=$D$5),OR($E$5="",K284=$E$5),OR($G$5="",L284=$G$5),OR($H$5="",N(J284)&gt;=$H$5),OR($I$5="",ISNUMBER(SEARCH($I$5,C284&amp;" "&amp;D284&amp;" "&amp;E284&amp;" "&amp;I284)))),"✓",""))</f>
        <v/>
      </c>
      <c r="B284" s="39" t="n">
        <v>46242</v>
      </c>
      <c r="C284" s="40" t="n">
        <f aca="false">'Aug 8'!$D$39</f>
        <v>0</v>
      </c>
      <c r="D284" s="40" t="n">
        <f aca="false">'Aug 8'!$B$39</f>
        <v>0</v>
      </c>
      <c r="E284" s="41" t="n">
        <f aca="false">'Aug 8'!$E$39</f>
        <v>0</v>
      </c>
      <c r="F284" s="40" t="n">
        <f aca="false">'Aug 8'!$A$39</f>
        <v>0</v>
      </c>
      <c r="G284" s="41" t="n">
        <f aca="false">'Aug 8'!$F$39</f>
        <v>0</v>
      </c>
      <c r="H284" s="41" t="n">
        <f aca="false">'Aug 8'!$G$39</f>
        <v>0</v>
      </c>
      <c r="I284" s="41" t="str">
        <f aca="false">'Aug 8'!$M$39</f>
        <v/>
      </c>
      <c r="J284" s="42" t="str">
        <f aca="false">'Aug 8'!$S$39</f>
        <v/>
      </c>
      <c r="K284" s="40" t="n">
        <f aca="false">'Aug 8'!$AG$39</f>
        <v>0</v>
      </c>
      <c r="L284" s="40" t="n">
        <f aca="false">'Aug 8'!$N$39</f>
        <v>0</v>
      </c>
    </row>
    <row r="285" customFormat="false" ht="15" hidden="false" customHeight="false" outlineLevel="0" collapsed="false">
      <c r="A285" s="38" t="str">
        <f aca="false">IF(OR(C285="",C285=0),"",IF(AND(OR($B$5="",G285=$B$5,H285=$B$5),OR($D$5="",F285=$D$5),OR($E$5="",K285=$E$5),OR($G$5="",L285=$G$5),OR($H$5="",N(J285)&gt;=$H$5),OR($I$5="",ISNUMBER(SEARCH($I$5,C285&amp;" "&amp;D285&amp;" "&amp;E285&amp;" "&amp;I285)))),"✓",""))</f>
        <v/>
      </c>
      <c r="B285" s="39" t="n">
        <v>46242</v>
      </c>
      <c r="C285" s="40" t="n">
        <f aca="false">'Aug 8'!$D$40</f>
        <v>0</v>
      </c>
      <c r="D285" s="40" t="n">
        <f aca="false">'Aug 8'!$B$40</f>
        <v>0</v>
      </c>
      <c r="E285" s="41" t="n">
        <f aca="false">'Aug 8'!$E$40</f>
        <v>0</v>
      </c>
      <c r="F285" s="40" t="n">
        <f aca="false">'Aug 8'!$A$40</f>
        <v>0</v>
      </c>
      <c r="G285" s="41" t="n">
        <f aca="false">'Aug 8'!$F$40</f>
        <v>0</v>
      </c>
      <c r="H285" s="41" t="n">
        <f aca="false">'Aug 8'!$G$40</f>
        <v>0</v>
      </c>
      <c r="I285" s="41" t="str">
        <f aca="false">'Aug 8'!$M$40</f>
        <v/>
      </c>
      <c r="J285" s="42" t="str">
        <f aca="false">'Aug 8'!$S$40</f>
        <v/>
      </c>
      <c r="K285" s="40" t="n">
        <f aca="false">'Aug 8'!$AG$40</f>
        <v>0</v>
      </c>
      <c r="L285" s="40" t="n">
        <f aca="false">'Aug 8'!$N$40</f>
        <v>0</v>
      </c>
    </row>
    <row r="286" customFormat="false" ht="15" hidden="false" customHeight="false" outlineLevel="0" collapsed="false">
      <c r="A286" s="38" t="str">
        <f aca="false">IF(OR(C286="",C286=0),"",IF(AND(OR($B$5="",G286=$B$5,H286=$B$5),OR($D$5="",F286=$D$5),OR($E$5="",K286=$E$5),OR($G$5="",L286=$G$5),OR($H$5="",N(J286)&gt;=$H$5),OR($I$5="",ISNUMBER(SEARCH($I$5,C286&amp;" "&amp;D286&amp;" "&amp;E286&amp;" "&amp;I286)))),"✓",""))</f>
        <v/>
      </c>
      <c r="B286" s="39" t="n">
        <v>46242</v>
      </c>
      <c r="C286" s="40" t="n">
        <f aca="false">'Aug 8'!$D$41</f>
        <v>0</v>
      </c>
      <c r="D286" s="40" t="n">
        <f aca="false">'Aug 8'!$B$41</f>
        <v>0</v>
      </c>
      <c r="E286" s="41" t="n">
        <f aca="false">'Aug 8'!$E$41</f>
        <v>0</v>
      </c>
      <c r="F286" s="40" t="n">
        <f aca="false">'Aug 8'!$A$41</f>
        <v>0</v>
      </c>
      <c r="G286" s="41" t="n">
        <f aca="false">'Aug 8'!$F$41</f>
        <v>0</v>
      </c>
      <c r="H286" s="41" t="n">
        <f aca="false">'Aug 8'!$G$41</f>
        <v>0</v>
      </c>
      <c r="I286" s="41" t="str">
        <f aca="false">'Aug 8'!$M$41</f>
        <v/>
      </c>
      <c r="J286" s="42" t="str">
        <f aca="false">'Aug 8'!$S$41</f>
        <v/>
      </c>
      <c r="K286" s="40" t="n">
        <f aca="false">'Aug 8'!$AG$41</f>
        <v>0</v>
      </c>
      <c r="L286" s="40" t="n">
        <f aca="false">'Aug 8'!$N$41</f>
        <v>0</v>
      </c>
    </row>
    <row r="287" customFormat="false" ht="15" hidden="false" customHeight="false" outlineLevel="0" collapsed="false">
      <c r="A287" s="38" t="str">
        <f aca="false">IF(OR(C287="",C287=0),"",IF(AND(OR($B$5="",G287=$B$5,H287=$B$5),OR($D$5="",F287=$D$5),OR($E$5="",K287=$E$5),OR($G$5="",L287=$G$5),OR($H$5="",N(J287)&gt;=$H$5),OR($I$5="",ISNUMBER(SEARCH($I$5,C287&amp;" "&amp;D287&amp;" "&amp;E287&amp;" "&amp;I287)))),"✓",""))</f>
        <v/>
      </c>
      <c r="B287" s="39" t="n">
        <v>46242</v>
      </c>
      <c r="C287" s="40" t="n">
        <f aca="false">'Aug 8'!$D$42</f>
        <v>0</v>
      </c>
      <c r="D287" s="40" t="n">
        <f aca="false">'Aug 8'!$B$42</f>
        <v>0</v>
      </c>
      <c r="E287" s="41" t="n">
        <f aca="false">'Aug 8'!$E$42</f>
        <v>0</v>
      </c>
      <c r="F287" s="40" t="n">
        <f aca="false">'Aug 8'!$A$42</f>
        <v>0</v>
      </c>
      <c r="G287" s="41" t="n">
        <f aca="false">'Aug 8'!$F$42</f>
        <v>0</v>
      </c>
      <c r="H287" s="41" t="n">
        <f aca="false">'Aug 8'!$G$42</f>
        <v>0</v>
      </c>
      <c r="I287" s="41" t="str">
        <f aca="false">'Aug 8'!$M$42</f>
        <v/>
      </c>
      <c r="J287" s="42" t="str">
        <f aca="false">'Aug 8'!$S$42</f>
        <v/>
      </c>
      <c r="K287" s="40" t="n">
        <f aca="false">'Aug 8'!$AG$42</f>
        <v>0</v>
      </c>
      <c r="L287" s="40" t="n">
        <f aca="false">'Aug 8'!$N$42</f>
        <v>0</v>
      </c>
    </row>
    <row r="288" customFormat="false" ht="15" hidden="false" customHeight="false" outlineLevel="0" collapsed="false">
      <c r="A288" s="38" t="str">
        <f aca="false">IF(OR(C288="",C288=0),"",IF(AND(OR($B$5="",G288=$B$5,H288=$B$5),OR($D$5="",F288=$D$5),OR($E$5="",K288=$E$5),OR($G$5="",L288=$G$5),OR($H$5="",N(J288)&gt;=$H$5),OR($I$5="",ISNUMBER(SEARCH($I$5,C288&amp;" "&amp;D288&amp;" "&amp;E288&amp;" "&amp;I288)))),"✓",""))</f>
        <v/>
      </c>
      <c r="B288" s="39" t="n">
        <v>46243</v>
      </c>
      <c r="C288" s="40" t="n">
        <f aca="false">'Aug 9'!$D$8</f>
        <v>0</v>
      </c>
      <c r="D288" s="40" t="n">
        <f aca="false">'Aug 9'!$B$8</f>
        <v>0</v>
      </c>
      <c r="E288" s="41" t="n">
        <f aca="false">'Aug 9'!$E$8</f>
        <v>0</v>
      </c>
      <c r="F288" s="40" t="n">
        <f aca="false">'Aug 9'!$A$8</f>
        <v>0</v>
      </c>
      <c r="G288" s="41" t="n">
        <f aca="false">'Aug 9'!$F$8</f>
        <v>0</v>
      </c>
      <c r="H288" s="41" t="n">
        <f aca="false">'Aug 9'!$G$8</f>
        <v>0</v>
      </c>
      <c r="I288" s="41" t="str">
        <f aca="false">'Aug 9'!$M$8</f>
        <v/>
      </c>
      <c r="J288" s="42" t="str">
        <f aca="false">'Aug 9'!$S$8</f>
        <v/>
      </c>
      <c r="K288" s="40" t="n">
        <f aca="false">'Aug 9'!$AG$8</f>
        <v>0</v>
      </c>
      <c r="L288" s="40" t="n">
        <f aca="false">'Aug 9'!$N$8</f>
        <v>0</v>
      </c>
    </row>
    <row r="289" customFormat="false" ht="15" hidden="false" customHeight="false" outlineLevel="0" collapsed="false">
      <c r="A289" s="38" t="str">
        <f aca="false">IF(OR(C289="",C289=0),"",IF(AND(OR($B$5="",G289=$B$5,H289=$B$5),OR($D$5="",F289=$D$5),OR($E$5="",K289=$E$5),OR($G$5="",L289=$G$5),OR($H$5="",N(J289)&gt;=$H$5),OR($I$5="",ISNUMBER(SEARCH($I$5,C289&amp;" "&amp;D289&amp;" "&amp;E289&amp;" "&amp;I289)))),"✓",""))</f>
        <v/>
      </c>
      <c r="B289" s="39" t="n">
        <v>46243</v>
      </c>
      <c r="C289" s="40" t="n">
        <f aca="false">'Aug 9'!$D$9</f>
        <v>0</v>
      </c>
      <c r="D289" s="40" t="n">
        <f aca="false">'Aug 9'!$B$9</f>
        <v>0</v>
      </c>
      <c r="E289" s="41" t="n">
        <f aca="false">'Aug 9'!$E$9</f>
        <v>0</v>
      </c>
      <c r="F289" s="40" t="n">
        <f aca="false">'Aug 9'!$A$9</f>
        <v>0</v>
      </c>
      <c r="G289" s="41" t="n">
        <f aca="false">'Aug 9'!$F$9</f>
        <v>0</v>
      </c>
      <c r="H289" s="41" t="n">
        <f aca="false">'Aug 9'!$G$9</f>
        <v>0</v>
      </c>
      <c r="I289" s="41" t="str">
        <f aca="false">'Aug 9'!$M$9</f>
        <v/>
      </c>
      <c r="J289" s="42" t="str">
        <f aca="false">'Aug 9'!$S$9</f>
        <v/>
      </c>
      <c r="K289" s="40" t="n">
        <f aca="false">'Aug 9'!$AG$9</f>
        <v>0</v>
      </c>
      <c r="L289" s="40" t="n">
        <f aca="false">'Aug 9'!$N$9</f>
        <v>0</v>
      </c>
    </row>
    <row r="290" customFormat="false" ht="15" hidden="false" customHeight="false" outlineLevel="0" collapsed="false">
      <c r="A290" s="38" t="str">
        <f aca="false">IF(OR(C290="",C290=0),"",IF(AND(OR($B$5="",G290=$B$5,H290=$B$5),OR($D$5="",F290=$D$5),OR($E$5="",K290=$E$5),OR($G$5="",L290=$G$5),OR($H$5="",N(J290)&gt;=$H$5),OR($I$5="",ISNUMBER(SEARCH($I$5,C290&amp;" "&amp;D290&amp;" "&amp;E290&amp;" "&amp;I290)))),"✓",""))</f>
        <v/>
      </c>
      <c r="B290" s="39" t="n">
        <v>46243</v>
      </c>
      <c r="C290" s="40" t="n">
        <f aca="false">'Aug 9'!$D$10</f>
        <v>0</v>
      </c>
      <c r="D290" s="40" t="n">
        <f aca="false">'Aug 9'!$B$10</f>
        <v>0</v>
      </c>
      <c r="E290" s="41" t="n">
        <f aca="false">'Aug 9'!$E$10</f>
        <v>0</v>
      </c>
      <c r="F290" s="40" t="n">
        <f aca="false">'Aug 9'!$A$10</f>
        <v>0</v>
      </c>
      <c r="G290" s="41" t="n">
        <f aca="false">'Aug 9'!$F$10</f>
        <v>0</v>
      </c>
      <c r="H290" s="41" t="n">
        <f aca="false">'Aug 9'!$G$10</f>
        <v>0</v>
      </c>
      <c r="I290" s="41" t="str">
        <f aca="false">'Aug 9'!$M$10</f>
        <v/>
      </c>
      <c r="J290" s="42" t="str">
        <f aca="false">'Aug 9'!$S$10</f>
        <v/>
      </c>
      <c r="K290" s="40" t="n">
        <f aca="false">'Aug 9'!$AG$10</f>
        <v>0</v>
      </c>
      <c r="L290" s="40" t="n">
        <f aca="false">'Aug 9'!$N$10</f>
        <v>0</v>
      </c>
    </row>
    <row r="291" customFormat="false" ht="15" hidden="false" customHeight="false" outlineLevel="0" collapsed="false">
      <c r="A291" s="38" t="str">
        <f aca="false">IF(OR(C291="",C291=0),"",IF(AND(OR($B$5="",G291=$B$5,H291=$B$5),OR($D$5="",F291=$D$5),OR($E$5="",K291=$E$5),OR($G$5="",L291=$G$5),OR($H$5="",N(J291)&gt;=$H$5),OR($I$5="",ISNUMBER(SEARCH($I$5,C291&amp;" "&amp;D291&amp;" "&amp;E291&amp;" "&amp;I291)))),"✓",""))</f>
        <v/>
      </c>
      <c r="B291" s="39" t="n">
        <v>46243</v>
      </c>
      <c r="C291" s="40" t="n">
        <f aca="false">'Aug 9'!$D$11</f>
        <v>0</v>
      </c>
      <c r="D291" s="40" t="n">
        <f aca="false">'Aug 9'!$B$11</f>
        <v>0</v>
      </c>
      <c r="E291" s="41" t="n">
        <f aca="false">'Aug 9'!$E$11</f>
        <v>0</v>
      </c>
      <c r="F291" s="40" t="n">
        <f aca="false">'Aug 9'!$A$11</f>
        <v>0</v>
      </c>
      <c r="G291" s="41" t="n">
        <f aca="false">'Aug 9'!$F$11</f>
        <v>0</v>
      </c>
      <c r="H291" s="41" t="n">
        <f aca="false">'Aug 9'!$G$11</f>
        <v>0</v>
      </c>
      <c r="I291" s="41" t="str">
        <f aca="false">'Aug 9'!$M$11</f>
        <v/>
      </c>
      <c r="J291" s="42" t="str">
        <f aca="false">'Aug 9'!$S$11</f>
        <v/>
      </c>
      <c r="K291" s="40" t="n">
        <f aca="false">'Aug 9'!$AG$11</f>
        <v>0</v>
      </c>
      <c r="L291" s="40" t="n">
        <f aca="false">'Aug 9'!$N$11</f>
        <v>0</v>
      </c>
    </row>
    <row r="292" customFormat="false" ht="15" hidden="false" customHeight="false" outlineLevel="0" collapsed="false">
      <c r="A292" s="38" t="str">
        <f aca="false">IF(OR(C292="",C292=0),"",IF(AND(OR($B$5="",G292=$B$5,H292=$B$5),OR($D$5="",F292=$D$5),OR($E$5="",K292=$E$5),OR($G$5="",L292=$G$5),OR($H$5="",N(J292)&gt;=$H$5),OR($I$5="",ISNUMBER(SEARCH($I$5,C292&amp;" "&amp;D292&amp;" "&amp;E292&amp;" "&amp;I292)))),"✓",""))</f>
        <v/>
      </c>
      <c r="B292" s="39" t="n">
        <v>46243</v>
      </c>
      <c r="C292" s="40" t="n">
        <f aca="false">'Aug 9'!$D$12</f>
        <v>0</v>
      </c>
      <c r="D292" s="40" t="n">
        <f aca="false">'Aug 9'!$B$12</f>
        <v>0</v>
      </c>
      <c r="E292" s="41" t="n">
        <f aca="false">'Aug 9'!$E$12</f>
        <v>0</v>
      </c>
      <c r="F292" s="40" t="n">
        <f aca="false">'Aug 9'!$A$12</f>
        <v>0</v>
      </c>
      <c r="G292" s="41" t="n">
        <f aca="false">'Aug 9'!$F$12</f>
        <v>0</v>
      </c>
      <c r="H292" s="41" t="n">
        <f aca="false">'Aug 9'!$G$12</f>
        <v>0</v>
      </c>
      <c r="I292" s="41" t="str">
        <f aca="false">'Aug 9'!$M$12</f>
        <v/>
      </c>
      <c r="J292" s="42" t="str">
        <f aca="false">'Aug 9'!$S$12</f>
        <v/>
      </c>
      <c r="K292" s="40" t="n">
        <f aca="false">'Aug 9'!$AG$12</f>
        <v>0</v>
      </c>
      <c r="L292" s="40" t="n">
        <f aca="false">'Aug 9'!$N$12</f>
        <v>0</v>
      </c>
    </row>
    <row r="293" customFormat="false" ht="15" hidden="false" customHeight="false" outlineLevel="0" collapsed="false">
      <c r="A293" s="38" t="str">
        <f aca="false">IF(OR(C293="",C293=0),"",IF(AND(OR($B$5="",G293=$B$5,H293=$B$5),OR($D$5="",F293=$D$5),OR($E$5="",K293=$E$5),OR($G$5="",L293=$G$5),OR($H$5="",N(J293)&gt;=$H$5),OR($I$5="",ISNUMBER(SEARCH($I$5,C293&amp;" "&amp;D293&amp;" "&amp;E293&amp;" "&amp;I293)))),"✓",""))</f>
        <v/>
      </c>
      <c r="B293" s="39" t="n">
        <v>46243</v>
      </c>
      <c r="C293" s="40" t="n">
        <f aca="false">'Aug 9'!$D$13</f>
        <v>0</v>
      </c>
      <c r="D293" s="40" t="n">
        <f aca="false">'Aug 9'!$B$13</f>
        <v>0</v>
      </c>
      <c r="E293" s="41" t="n">
        <f aca="false">'Aug 9'!$E$13</f>
        <v>0</v>
      </c>
      <c r="F293" s="40" t="n">
        <f aca="false">'Aug 9'!$A$13</f>
        <v>0</v>
      </c>
      <c r="G293" s="41" t="n">
        <f aca="false">'Aug 9'!$F$13</f>
        <v>0</v>
      </c>
      <c r="H293" s="41" t="n">
        <f aca="false">'Aug 9'!$G$13</f>
        <v>0</v>
      </c>
      <c r="I293" s="41" t="str">
        <f aca="false">'Aug 9'!$M$13</f>
        <v/>
      </c>
      <c r="J293" s="42" t="str">
        <f aca="false">'Aug 9'!$S$13</f>
        <v/>
      </c>
      <c r="K293" s="40" t="n">
        <f aca="false">'Aug 9'!$AG$13</f>
        <v>0</v>
      </c>
      <c r="L293" s="40" t="n">
        <f aca="false">'Aug 9'!$N$13</f>
        <v>0</v>
      </c>
    </row>
    <row r="294" customFormat="false" ht="15" hidden="false" customHeight="false" outlineLevel="0" collapsed="false">
      <c r="A294" s="38" t="str">
        <f aca="false">IF(OR(C294="",C294=0),"",IF(AND(OR($B$5="",G294=$B$5,H294=$B$5),OR($D$5="",F294=$D$5),OR($E$5="",K294=$E$5),OR($G$5="",L294=$G$5),OR($H$5="",N(J294)&gt;=$H$5),OR($I$5="",ISNUMBER(SEARCH($I$5,C294&amp;" "&amp;D294&amp;" "&amp;E294&amp;" "&amp;I294)))),"✓",""))</f>
        <v/>
      </c>
      <c r="B294" s="39" t="n">
        <v>46243</v>
      </c>
      <c r="C294" s="40" t="n">
        <f aca="false">'Aug 9'!$D$14</f>
        <v>0</v>
      </c>
      <c r="D294" s="40" t="n">
        <f aca="false">'Aug 9'!$B$14</f>
        <v>0</v>
      </c>
      <c r="E294" s="41" t="n">
        <f aca="false">'Aug 9'!$E$14</f>
        <v>0</v>
      </c>
      <c r="F294" s="40" t="n">
        <f aca="false">'Aug 9'!$A$14</f>
        <v>0</v>
      </c>
      <c r="G294" s="41" t="n">
        <f aca="false">'Aug 9'!$F$14</f>
        <v>0</v>
      </c>
      <c r="H294" s="41" t="n">
        <f aca="false">'Aug 9'!$G$14</f>
        <v>0</v>
      </c>
      <c r="I294" s="41" t="str">
        <f aca="false">'Aug 9'!$M$14</f>
        <v/>
      </c>
      <c r="J294" s="42" t="str">
        <f aca="false">'Aug 9'!$S$14</f>
        <v/>
      </c>
      <c r="K294" s="40" t="n">
        <f aca="false">'Aug 9'!$AG$14</f>
        <v>0</v>
      </c>
      <c r="L294" s="40" t="n">
        <f aca="false">'Aug 9'!$N$14</f>
        <v>0</v>
      </c>
    </row>
    <row r="295" customFormat="false" ht="15" hidden="false" customHeight="false" outlineLevel="0" collapsed="false">
      <c r="A295" s="38" t="str">
        <f aca="false">IF(OR(C295="",C295=0),"",IF(AND(OR($B$5="",G295=$B$5,H295=$B$5),OR($D$5="",F295=$D$5),OR($E$5="",K295=$E$5),OR($G$5="",L295=$G$5),OR($H$5="",N(J295)&gt;=$H$5),OR($I$5="",ISNUMBER(SEARCH($I$5,C295&amp;" "&amp;D295&amp;" "&amp;E295&amp;" "&amp;I295)))),"✓",""))</f>
        <v/>
      </c>
      <c r="B295" s="39" t="n">
        <v>46243</v>
      </c>
      <c r="C295" s="40" t="n">
        <f aca="false">'Aug 9'!$D$15</f>
        <v>0</v>
      </c>
      <c r="D295" s="40" t="n">
        <f aca="false">'Aug 9'!$B$15</f>
        <v>0</v>
      </c>
      <c r="E295" s="41" t="n">
        <f aca="false">'Aug 9'!$E$15</f>
        <v>0</v>
      </c>
      <c r="F295" s="40" t="n">
        <f aca="false">'Aug 9'!$A$15</f>
        <v>0</v>
      </c>
      <c r="G295" s="41" t="n">
        <f aca="false">'Aug 9'!$F$15</f>
        <v>0</v>
      </c>
      <c r="H295" s="41" t="n">
        <f aca="false">'Aug 9'!$G$15</f>
        <v>0</v>
      </c>
      <c r="I295" s="41" t="str">
        <f aca="false">'Aug 9'!$M$15</f>
        <v/>
      </c>
      <c r="J295" s="42" t="str">
        <f aca="false">'Aug 9'!$S$15</f>
        <v/>
      </c>
      <c r="K295" s="40" t="n">
        <f aca="false">'Aug 9'!$AG$15</f>
        <v>0</v>
      </c>
      <c r="L295" s="40" t="n">
        <f aca="false">'Aug 9'!$N$15</f>
        <v>0</v>
      </c>
    </row>
    <row r="296" customFormat="false" ht="15" hidden="false" customHeight="false" outlineLevel="0" collapsed="false">
      <c r="A296" s="38" t="str">
        <f aca="false">IF(OR(C296="",C296=0),"",IF(AND(OR($B$5="",G296=$B$5,H296=$B$5),OR($D$5="",F296=$D$5),OR($E$5="",K296=$E$5),OR($G$5="",L296=$G$5),OR($H$5="",N(J296)&gt;=$H$5),OR($I$5="",ISNUMBER(SEARCH($I$5,C296&amp;" "&amp;D296&amp;" "&amp;E296&amp;" "&amp;I296)))),"✓",""))</f>
        <v/>
      </c>
      <c r="B296" s="39" t="n">
        <v>46243</v>
      </c>
      <c r="C296" s="40" t="n">
        <f aca="false">'Aug 9'!$D$16</f>
        <v>0</v>
      </c>
      <c r="D296" s="40" t="n">
        <f aca="false">'Aug 9'!$B$16</f>
        <v>0</v>
      </c>
      <c r="E296" s="41" t="n">
        <f aca="false">'Aug 9'!$E$16</f>
        <v>0</v>
      </c>
      <c r="F296" s="40" t="n">
        <f aca="false">'Aug 9'!$A$16</f>
        <v>0</v>
      </c>
      <c r="G296" s="41" t="n">
        <f aca="false">'Aug 9'!$F$16</f>
        <v>0</v>
      </c>
      <c r="H296" s="41" t="n">
        <f aca="false">'Aug 9'!$G$16</f>
        <v>0</v>
      </c>
      <c r="I296" s="41" t="str">
        <f aca="false">'Aug 9'!$M$16</f>
        <v/>
      </c>
      <c r="J296" s="42" t="str">
        <f aca="false">'Aug 9'!$S$16</f>
        <v/>
      </c>
      <c r="K296" s="40" t="n">
        <f aca="false">'Aug 9'!$AG$16</f>
        <v>0</v>
      </c>
      <c r="L296" s="40" t="n">
        <f aca="false">'Aug 9'!$N$16</f>
        <v>0</v>
      </c>
    </row>
    <row r="297" customFormat="false" ht="15" hidden="false" customHeight="false" outlineLevel="0" collapsed="false">
      <c r="A297" s="38" t="str">
        <f aca="false">IF(OR(C297="",C297=0),"",IF(AND(OR($B$5="",G297=$B$5,H297=$B$5),OR($D$5="",F297=$D$5),OR($E$5="",K297=$E$5),OR($G$5="",L297=$G$5),OR($H$5="",N(J297)&gt;=$H$5),OR($I$5="",ISNUMBER(SEARCH($I$5,C297&amp;" "&amp;D297&amp;" "&amp;E297&amp;" "&amp;I297)))),"✓",""))</f>
        <v/>
      </c>
      <c r="B297" s="39" t="n">
        <v>46243</v>
      </c>
      <c r="C297" s="40" t="n">
        <f aca="false">'Aug 9'!$D$17</f>
        <v>0</v>
      </c>
      <c r="D297" s="40" t="n">
        <f aca="false">'Aug 9'!$B$17</f>
        <v>0</v>
      </c>
      <c r="E297" s="41" t="n">
        <f aca="false">'Aug 9'!$E$17</f>
        <v>0</v>
      </c>
      <c r="F297" s="40" t="n">
        <f aca="false">'Aug 9'!$A$17</f>
        <v>0</v>
      </c>
      <c r="G297" s="41" t="n">
        <f aca="false">'Aug 9'!$F$17</f>
        <v>0</v>
      </c>
      <c r="H297" s="41" t="n">
        <f aca="false">'Aug 9'!$G$17</f>
        <v>0</v>
      </c>
      <c r="I297" s="41" t="str">
        <f aca="false">'Aug 9'!$M$17</f>
        <v/>
      </c>
      <c r="J297" s="42" t="str">
        <f aca="false">'Aug 9'!$S$17</f>
        <v/>
      </c>
      <c r="K297" s="40" t="n">
        <f aca="false">'Aug 9'!$AG$17</f>
        <v>0</v>
      </c>
      <c r="L297" s="40" t="n">
        <f aca="false">'Aug 9'!$N$17</f>
        <v>0</v>
      </c>
    </row>
    <row r="298" customFormat="false" ht="15" hidden="false" customHeight="false" outlineLevel="0" collapsed="false">
      <c r="A298" s="38" t="str">
        <f aca="false">IF(OR(C298="",C298=0),"",IF(AND(OR($B$5="",G298=$B$5,H298=$B$5),OR($D$5="",F298=$D$5),OR($E$5="",K298=$E$5),OR($G$5="",L298=$G$5),OR($H$5="",N(J298)&gt;=$H$5),OR($I$5="",ISNUMBER(SEARCH($I$5,C298&amp;" "&amp;D298&amp;" "&amp;E298&amp;" "&amp;I298)))),"✓",""))</f>
        <v/>
      </c>
      <c r="B298" s="39" t="n">
        <v>46243</v>
      </c>
      <c r="C298" s="40" t="n">
        <f aca="false">'Aug 9'!$D$18</f>
        <v>0</v>
      </c>
      <c r="D298" s="40" t="n">
        <f aca="false">'Aug 9'!$B$18</f>
        <v>0</v>
      </c>
      <c r="E298" s="41" t="n">
        <f aca="false">'Aug 9'!$E$18</f>
        <v>0</v>
      </c>
      <c r="F298" s="40" t="n">
        <f aca="false">'Aug 9'!$A$18</f>
        <v>0</v>
      </c>
      <c r="G298" s="41" t="n">
        <f aca="false">'Aug 9'!$F$18</f>
        <v>0</v>
      </c>
      <c r="H298" s="41" t="n">
        <f aca="false">'Aug 9'!$G$18</f>
        <v>0</v>
      </c>
      <c r="I298" s="41" t="str">
        <f aca="false">'Aug 9'!$M$18</f>
        <v/>
      </c>
      <c r="J298" s="42" t="str">
        <f aca="false">'Aug 9'!$S$18</f>
        <v/>
      </c>
      <c r="K298" s="40" t="n">
        <f aca="false">'Aug 9'!$AG$18</f>
        <v>0</v>
      </c>
      <c r="L298" s="40" t="n">
        <f aca="false">'Aug 9'!$N$18</f>
        <v>0</v>
      </c>
    </row>
    <row r="299" customFormat="false" ht="15" hidden="false" customHeight="false" outlineLevel="0" collapsed="false">
      <c r="A299" s="38" t="str">
        <f aca="false">IF(OR(C299="",C299=0),"",IF(AND(OR($B$5="",G299=$B$5,H299=$B$5),OR($D$5="",F299=$D$5),OR($E$5="",K299=$E$5),OR($G$5="",L299=$G$5),OR($H$5="",N(J299)&gt;=$H$5),OR($I$5="",ISNUMBER(SEARCH($I$5,C299&amp;" "&amp;D299&amp;" "&amp;E299&amp;" "&amp;I299)))),"✓",""))</f>
        <v/>
      </c>
      <c r="B299" s="39" t="n">
        <v>46243</v>
      </c>
      <c r="C299" s="40" t="n">
        <f aca="false">'Aug 9'!$D$19</f>
        <v>0</v>
      </c>
      <c r="D299" s="40" t="n">
        <f aca="false">'Aug 9'!$B$19</f>
        <v>0</v>
      </c>
      <c r="E299" s="41" t="n">
        <f aca="false">'Aug 9'!$E$19</f>
        <v>0</v>
      </c>
      <c r="F299" s="40" t="n">
        <f aca="false">'Aug 9'!$A$19</f>
        <v>0</v>
      </c>
      <c r="G299" s="41" t="n">
        <f aca="false">'Aug 9'!$F$19</f>
        <v>0</v>
      </c>
      <c r="H299" s="41" t="n">
        <f aca="false">'Aug 9'!$G$19</f>
        <v>0</v>
      </c>
      <c r="I299" s="41" t="str">
        <f aca="false">'Aug 9'!$M$19</f>
        <v/>
      </c>
      <c r="J299" s="42" t="str">
        <f aca="false">'Aug 9'!$S$19</f>
        <v/>
      </c>
      <c r="K299" s="40" t="n">
        <f aca="false">'Aug 9'!$AG$19</f>
        <v>0</v>
      </c>
      <c r="L299" s="40" t="n">
        <f aca="false">'Aug 9'!$N$19</f>
        <v>0</v>
      </c>
    </row>
    <row r="300" customFormat="false" ht="15" hidden="false" customHeight="false" outlineLevel="0" collapsed="false">
      <c r="A300" s="38" t="str">
        <f aca="false">IF(OR(C300="",C300=0),"",IF(AND(OR($B$5="",G300=$B$5,H300=$B$5),OR($D$5="",F300=$D$5),OR($E$5="",K300=$E$5),OR($G$5="",L300=$G$5),OR($H$5="",N(J300)&gt;=$H$5),OR($I$5="",ISNUMBER(SEARCH($I$5,C300&amp;" "&amp;D300&amp;" "&amp;E300&amp;" "&amp;I300)))),"✓",""))</f>
        <v/>
      </c>
      <c r="B300" s="39" t="n">
        <v>46243</v>
      </c>
      <c r="C300" s="40" t="n">
        <f aca="false">'Aug 9'!$D$20</f>
        <v>0</v>
      </c>
      <c r="D300" s="40" t="n">
        <f aca="false">'Aug 9'!$B$20</f>
        <v>0</v>
      </c>
      <c r="E300" s="41" t="n">
        <f aca="false">'Aug 9'!$E$20</f>
        <v>0</v>
      </c>
      <c r="F300" s="40" t="n">
        <f aca="false">'Aug 9'!$A$20</f>
        <v>0</v>
      </c>
      <c r="G300" s="41" t="n">
        <f aca="false">'Aug 9'!$F$20</f>
        <v>0</v>
      </c>
      <c r="H300" s="41" t="n">
        <f aca="false">'Aug 9'!$G$20</f>
        <v>0</v>
      </c>
      <c r="I300" s="41" t="str">
        <f aca="false">'Aug 9'!$M$20</f>
        <v/>
      </c>
      <c r="J300" s="42" t="str">
        <f aca="false">'Aug 9'!$S$20</f>
        <v/>
      </c>
      <c r="K300" s="40" t="n">
        <f aca="false">'Aug 9'!$AG$20</f>
        <v>0</v>
      </c>
      <c r="L300" s="40" t="n">
        <f aca="false">'Aug 9'!$N$20</f>
        <v>0</v>
      </c>
    </row>
    <row r="301" customFormat="false" ht="15" hidden="false" customHeight="false" outlineLevel="0" collapsed="false">
      <c r="A301" s="38" t="str">
        <f aca="false">IF(OR(C301="",C301=0),"",IF(AND(OR($B$5="",G301=$B$5,H301=$B$5),OR($D$5="",F301=$D$5),OR($E$5="",K301=$E$5),OR($G$5="",L301=$G$5),OR($H$5="",N(J301)&gt;=$H$5),OR($I$5="",ISNUMBER(SEARCH($I$5,C301&amp;" "&amp;D301&amp;" "&amp;E301&amp;" "&amp;I301)))),"✓",""))</f>
        <v/>
      </c>
      <c r="B301" s="39" t="n">
        <v>46243</v>
      </c>
      <c r="C301" s="40" t="n">
        <f aca="false">'Aug 9'!$D$21</f>
        <v>0</v>
      </c>
      <c r="D301" s="40" t="n">
        <f aca="false">'Aug 9'!$B$21</f>
        <v>0</v>
      </c>
      <c r="E301" s="41" t="n">
        <f aca="false">'Aug 9'!$E$21</f>
        <v>0</v>
      </c>
      <c r="F301" s="40" t="n">
        <f aca="false">'Aug 9'!$A$21</f>
        <v>0</v>
      </c>
      <c r="G301" s="41" t="n">
        <f aca="false">'Aug 9'!$F$21</f>
        <v>0</v>
      </c>
      <c r="H301" s="41" t="n">
        <f aca="false">'Aug 9'!$G$21</f>
        <v>0</v>
      </c>
      <c r="I301" s="41" t="str">
        <f aca="false">'Aug 9'!$M$21</f>
        <v/>
      </c>
      <c r="J301" s="42" t="str">
        <f aca="false">'Aug 9'!$S$21</f>
        <v/>
      </c>
      <c r="K301" s="40" t="n">
        <f aca="false">'Aug 9'!$AG$21</f>
        <v>0</v>
      </c>
      <c r="L301" s="40" t="n">
        <f aca="false">'Aug 9'!$N$21</f>
        <v>0</v>
      </c>
    </row>
    <row r="302" customFormat="false" ht="15" hidden="false" customHeight="false" outlineLevel="0" collapsed="false">
      <c r="A302" s="38" t="str">
        <f aca="false">IF(OR(C302="",C302=0),"",IF(AND(OR($B$5="",G302=$B$5,H302=$B$5),OR($D$5="",F302=$D$5),OR($E$5="",K302=$E$5),OR($G$5="",L302=$G$5),OR($H$5="",N(J302)&gt;=$H$5),OR($I$5="",ISNUMBER(SEARCH($I$5,C302&amp;" "&amp;D302&amp;" "&amp;E302&amp;" "&amp;I302)))),"✓",""))</f>
        <v/>
      </c>
      <c r="B302" s="39" t="n">
        <v>46243</v>
      </c>
      <c r="C302" s="40" t="n">
        <f aca="false">'Aug 9'!$D$22</f>
        <v>0</v>
      </c>
      <c r="D302" s="40" t="n">
        <f aca="false">'Aug 9'!$B$22</f>
        <v>0</v>
      </c>
      <c r="E302" s="41" t="n">
        <f aca="false">'Aug 9'!$E$22</f>
        <v>0</v>
      </c>
      <c r="F302" s="40" t="n">
        <f aca="false">'Aug 9'!$A$22</f>
        <v>0</v>
      </c>
      <c r="G302" s="41" t="n">
        <f aca="false">'Aug 9'!$F$22</f>
        <v>0</v>
      </c>
      <c r="H302" s="41" t="n">
        <f aca="false">'Aug 9'!$G$22</f>
        <v>0</v>
      </c>
      <c r="I302" s="41" t="str">
        <f aca="false">'Aug 9'!$M$22</f>
        <v/>
      </c>
      <c r="J302" s="42" t="str">
        <f aca="false">'Aug 9'!$S$22</f>
        <v/>
      </c>
      <c r="K302" s="40" t="n">
        <f aca="false">'Aug 9'!$AG$22</f>
        <v>0</v>
      </c>
      <c r="L302" s="40" t="n">
        <f aca="false">'Aug 9'!$N$22</f>
        <v>0</v>
      </c>
    </row>
    <row r="303" customFormat="false" ht="15" hidden="false" customHeight="false" outlineLevel="0" collapsed="false">
      <c r="A303" s="38" t="str">
        <f aca="false">IF(OR(C303="",C303=0),"",IF(AND(OR($B$5="",G303=$B$5,H303=$B$5),OR($D$5="",F303=$D$5),OR($E$5="",K303=$E$5),OR($G$5="",L303=$G$5),OR($H$5="",N(J303)&gt;=$H$5),OR($I$5="",ISNUMBER(SEARCH($I$5,C303&amp;" "&amp;D303&amp;" "&amp;E303&amp;" "&amp;I303)))),"✓",""))</f>
        <v/>
      </c>
      <c r="B303" s="39" t="n">
        <v>46243</v>
      </c>
      <c r="C303" s="40" t="n">
        <f aca="false">'Aug 9'!$D$23</f>
        <v>0</v>
      </c>
      <c r="D303" s="40" t="n">
        <f aca="false">'Aug 9'!$B$23</f>
        <v>0</v>
      </c>
      <c r="E303" s="41" t="n">
        <f aca="false">'Aug 9'!$E$23</f>
        <v>0</v>
      </c>
      <c r="F303" s="40" t="n">
        <f aca="false">'Aug 9'!$A$23</f>
        <v>0</v>
      </c>
      <c r="G303" s="41" t="n">
        <f aca="false">'Aug 9'!$F$23</f>
        <v>0</v>
      </c>
      <c r="H303" s="41" t="n">
        <f aca="false">'Aug 9'!$G$23</f>
        <v>0</v>
      </c>
      <c r="I303" s="41" t="str">
        <f aca="false">'Aug 9'!$M$23</f>
        <v/>
      </c>
      <c r="J303" s="42" t="str">
        <f aca="false">'Aug 9'!$S$23</f>
        <v/>
      </c>
      <c r="K303" s="40" t="n">
        <f aca="false">'Aug 9'!$AG$23</f>
        <v>0</v>
      </c>
      <c r="L303" s="40" t="n">
        <f aca="false">'Aug 9'!$N$23</f>
        <v>0</v>
      </c>
    </row>
    <row r="304" customFormat="false" ht="15" hidden="false" customHeight="false" outlineLevel="0" collapsed="false">
      <c r="A304" s="38" t="str">
        <f aca="false">IF(OR(C304="",C304=0),"",IF(AND(OR($B$5="",G304=$B$5,H304=$B$5),OR($D$5="",F304=$D$5),OR($E$5="",K304=$E$5),OR($G$5="",L304=$G$5),OR($H$5="",N(J304)&gt;=$H$5),OR($I$5="",ISNUMBER(SEARCH($I$5,C304&amp;" "&amp;D304&amp;" "&amp;E304&amp;" "&amp;I304)))),"✓",""))</f>
        <v/>
      </c>
      <c r="B304" s="39" t="n">
        <v>46243</v>
      </c>
      <c r="C304" s="40" t="n">
        <f aca="false">'Aug 9'!$D$24</f>
        <v>0</v>
      </c>
      <c r="D304" s="40" t="n">
        <f aca="false">'Aug 9'!$B$24</f>
        <v>0</v>
      </c>
      <c r="E304" s="41" t="n">
        <f aca="false">'Aug 9'!$E$24</f>
        <v>0</v>
      </c>
      <c r="F304" s="40" t="n">
        <f aca="false">'Aug 9'!$A$24</f>
        <v>0</v>
      </c>
      <c r="G304" s="41" t="n">
        <f aca="false">'Aug 9'!$F$24</f>
        <v>0</v>
      </c>
      <c r="H304" s="41" t="n">
        <f aca="false">'Aug 9'!$G$24</f>
        <v>0</v>
      </c>
      <c r="I304" s="41" t="str">
        <f aca="false">'Aug 9'!$M$24</f>
        <v/>
      </c>
      <c r="J304" s="42" t="str">
        <f aca="false">'Aug 9'!$S$24</f>
        <v/>
      </c>
      <c r="K304" s="40" t="n">
        <f aca="false">'Aug 9'!$AG$24</f>
        <v>0</v>
      </c>
      <c r="L304" s="40" t="n">
        <f aca="false">'Aug 9'!$N$24</f>
        <v>0</v>
      </c>
    </row>
    <row r="305" customFormat="false" ht="15" hidden="false" customHeight="false" outlineLevel="0" collapsed="false">
      <c r="A305" s="38" t="str">
        <f aca="false">IF(OR(C305="",C305=0),"",IF(AND(OR($B$5="",G305=$B$5,H305=$B$5),OR($D$5="",F305=$D$5),OR($E$5="",K305=$E$5),OR($G$5="",L305=$G$5),OR($H$5="",N(J305)&gt;=$H$5),OR($I$5="",ISNUMBER(SEARCH($I$5,C305&amp;" "&amp;D305&amp;" "&amp;E305&amp;" "&amp;I305)))),"✓",""))</f>
        <v/>
      </c>
      <c r="B305" s="39" t="n">
        <v>46243</v>
      </c>
      <c r="C305" s="40" t="n">
        <f aca="false">'Aug 9'!$D$25</f>
        <v>0</v>
      </c>
      <c r="D305" s="40" t="n">
        <f aca="false">'Aug 9'!$B$25</f>
        <v>0</v>
      </c>
      <c r="E305" s="41" t="n">
        <f aca="false">'Aug 9'!$E$25</f>
        <v>0</v>
      </c>
      <c r="F305" s="40" t="n">
        <f aca="false">'Aug 9'!$A$25</f>
        <v>0</v>
      </c>
      <c r="G305" s="41" t="n">
        <f aca="false">'Aug 9'!$F$25</f>
        <v>0</v>
      </c>
      <c r="H305" s="41" t="n">
        <f aca="false">'Aug 9'!$G$25</f>
        <v>0</v>
      </c>
      <c r="I305" s="41" t="str">
        <f aca="false">'Aug 9'!$M$25</f>
        <v/>
      </c>
      <c r="J305" s="42" t="str">
        <f aca="false">'Aug 9'!$S$25</f>
        <v/>
      </c>
      <c r="K305" s="40" t="n">
        <f aca="false">'Aug 9'!$AG$25</f>
        <v>0</v>
      </c>
      <c r="L305" s="40" t="n">
        <f aca="false">'Aug 9'!$N$25</f>
        <v>0</v>
      </c>
    </row>
    <row r="306" customFormat="false" ht="15" hidden="false" customHeight="false" outlineLevel="0" collapsed="false">
      <c r="A306" s="38" t="str">
        <f aca="false">IF(OR(C306="",C306=0),"",IF(AND(OR($B$5="",G306=$B$5,H306=$B$5),OR($D$5="",F306=$D$5),OR($E$5="",K306=$E$5),OR($G$5="",L306=$G$5),OR($H$5="",N(J306)&gt;=$H$5),OR($I$5="",ISNUMBER(SEARCH($I$5,C306&amp;" "&amp;D306&amp;" "&amp;E306&amp;" "&amp;I306)))),"✓",""))</f>
        <v/>
      </c>
      <c r="B306" s="39" t="n">
        <v>46243</v>
      </c>
      <c r="C306" s="40" t="n">
        <f aca="false">'Aug 9'!$D$26</f>
        <v>0</v>
      </c>
      <c r="D306" s="40" t="n">
        <f aca="false">'Aug 9'!$B$26</f>
        <v>0</v>
      </c>
      <c r="E306" s="41" t="n">
        <f aca="false">'Aug 9'!$E$26</f>
        <v>0</v>
      </c>
      <c r="F306" s="40" t="n">
        <f aca="false">'Aug 9'!$A$26</f>
        <v>0</v>
      </c>
      <c r="G306" s="41" t="n">
        <f aca="false">'Aug 9'!$F$26</f>
        <v>0</v>
      </c>
      <c r="H306" s="41" t="n">
        <f aca="false">'Aug 9'!$G$26</f>
        <v>0</v>
      </c>
      <c r="I306" s="41" t="str">
        <f aca="false">'Aug 9'!$M$26</f>
        <v/>
      </c>
      <c r="J306" s="42" t="str">
        <f aca="false">'Aug 9'!$S$26</f>
        <v/>
      </c>
      <c r="K306" s="40" t="n">
        <f aca="false">'Aug 9'!$AG$26</f>
        <v>0</v>
      </c>
      <c r="L306" s="40" t="n">
        <f aca="false">'Aug 9'!$N$26</f>
        <v>0</v>
      </c>
    </row>
    <row r="307" customFormat="false" ht="15" hidden="false" customHeight="false" outlineLevel="0" collapsed="false">
      <c r="A307" s="38" t="str">
        <f aca="false">IF(OR(C307="",C307=0),"",IF(AND(OR($B$5="",G307=$B$5,H307=$B$5),OR($D$5="",F307=$D$5),OR($E$5="",K307=$E$5),OR($G$5="",L307=$G$5),OR($H$5="",N(J307)&gt;=$H$5),OR($I$5="",ISNUMBER(SEARCH($I$5,C307&amp;" "&amp;D307&amp;" "&amp;E307&amp;" "&amp;I307)))),"✓",""))</f>
        <v/>
      </c>
      <c r="B307" s="39" t="n">
        <v>46243</v>
      </c>
      <c r="C307" s="40" t="n">
        <f aca="false">'Aug 9'!$D$27</f>
        <v>0</v>
      </c>
      <c r="D307" s="40" t="n">
        <f aca="false">'Aug 9'!$B$27</f>
        <v>0</v>
      </c>
      <c r="E307" s="41" t="n">
        <f aca="false">'Aug 9'!$E$27</f>
        <v>0</v>
      </c>
      <c r="F307" s="40" t="n">
        <f aca="false">'Aug 9'!$A$27</f>
        <v>0</v>
      </c>
      <c r="G307" s="41" t="n">
        <f aca="false">'Aug 9'!$F$27</f>
        <v>0</v>
      </c>
      <c r="H307" s="41" t="n">
        <f aca="false">'Aug 9'!$G$27</f>
        <v>0</v>
      </c>
      <c r="I307" s="41" t="str">
        <f aca="false">'Aug 9'!$M$27</f>
        <v/>
      </c>
      <c r="J307" s="42" t="str">
        <f aca="false">'Aug 9'!$S$27</f>
        <v/>
      </c>
      <c r="K307" s="40" t="n">
        <f aca="false">'Aug 9'!$AG$27</f>
        <v>0</v>
      </c>
      <c r="L307" s="40" t="n">
        <f aca="false">'Aug 9'!$N$27</f>
        <v>0</v>
      </c>
    </row>
    <row r="308" customFormat="false" ht="15" hidden="false" customHeight="false" outlineLevel="0" collapsed="false">
      <c r="A308" s="38" t="str">
        <f aca="false">IF(OR(C308="",C308=0),"",IF(AND(OR($B$5="",G308=$B$5,H308=$B$5),OR($D$5="",F308=$D$5),OR($E$5="",K308=$E$5),OR($G$5="",L308=$G$5),OR($H$5="",N(J308)&gt;=$H$5),OR($I$5="",ISNUMBER(SEARCH($I$5,C308&amp;" "&amp;D308&amp;" "&amp;E308&amp;" "&amp;I308)))),"✓",""))</f>
        <v/>
      </c>
      <c r="B308" s="39" t="n">
        <v>46243</v>
      </c>
      <c r="C308" s="40" t="n">
        <f aca="false">'Aug 9'!$D$28</f>
        <v>0</v>
      </c>
      <c r="D308" s="40" t="n">
        <f aca="false">'Aug 9'!$B$28</f>
        <v>0</v>
      </c>
      <c r="E308" s="41" t="n">
        <f aca="false">'Aug 9'!$E$28</f>
        <v>0</v>
      </c>
      <c r="F308" s="40" t="n">
        <f aca="false">'Aug 9'!$A$28</f>
        <v>0</v>
      </c>
      <c r="G308" s="41" t="n">
        <f aca="false">'Aug 9'!$F$28</f>
        <v>0</v>
      </c>
      <c r="H308" s="41" t="n">
        <f aca="false">'Aug 9'!$G$28</f>
        <v>0</v>
      </c>
      <c r="I308" s="41" t="str">
        <f aca="false">'Aug 9'!$M$28</f>
        <v/>
      </c>
      <c r="J308" s="42" t="str">
        <f aca="false">'Aug 9'!$S$28</f>
        <v/>
      </c>
      <c r="K308" s="40" t="n">
        <f aca="false">'Aug 9'!$AG$28</f>
        <v>0</v>
      </c>
      <c r="L308" s="40" t="n">
        <f aca="false">'Aug 9'!$N$28</f>
        <v>0</v>
      </c>
    </row>
    <row r="309" customFormat="false" ht="15" hidden="false" customHeight="false" outlineLevel="0" collapsed="false">
      <c r="A309" s="38" t="str">
        <f aca="false">IF(OR(C309="",C309=0),"",IF(AND(OR($B$5="",G309=$B$5,H309=$B$5),OR($D$5="",F309=$D$5),OR($E$5="",K309=$E$5),OR($G$5="",L309=$G$5),OR($H$5="",N(J309)&gt;=$H$5),OR($I$5="",ISNUMBER(SEARCH($I$5,C309&amp;" "&amp;D309&amp;" "&amp;E309&amp;" "&amp;I309)))),"✓",""))</f>
        <v/>
      </c>
      <c r="B309" s="39" t="n">
        <v>46243</v>
      </c>
      <c r="C309" s="40" t="n">
        <f aca="false">'Aug 9'!$D$29</f>
        <v>0</v>
      </c>
      <c r="D309" s="40" t="n">
        <f aca="false">'Aug 9'!$B$29</f>
        <v>0</v>
      </c>
      <c r="E309" s="41" t="n">
        <f aca="false">'Aug 9'!$E$29</f>
        <v>0</v>
      </c>
      <c r="F309" s="40" t="n">
        <f aca="false">'Aug 9'!$A$29</f>
        <v>0</v>
      </c>
      <c r="G309" s="41" t="n">
        <f aca="false">'Aug 9'!$F$29</f>
        <v>0</v>
      </c>
      <c r="H309" s="41" t="n">
        <f aca="false">'Aug 9'!$G$29</f>
        <v>0</v>
      </c>
      <c r="I309" s="41" t="str">
        <f aca="false">'Aug 9'!$M$29</f>
        <v/>
      </c>
      <c r="J309" s="42" t="str">
        <f aca="false">'Aug 9'!$S$29</f>
        <v/>
      </c>
      <c r="K309" s="40" t="n">
        <f aca="false">'Aug 9'!$AG$29</f>
        <v>0</v>
      </c>
      <c r="L309" s="40" t="n">
        <f aca="false">'Aug 9'!$N$29</f>
        <v>0</v>
      </c>
    </row>
    <row r="310" customFormat="false" ht="15" hidden="false" customHeight="false" outlineLevel="0" collapsed="false">
      <c r="A310" s="38" t="str">
        <f aca="false">IF(OR(C310="",C310=0),"",IF(AND(OR($B$5="",G310=$B$5,H310=$B$5),OR($D$5="",F310=$D$5),OR($E$5="",K310=$E$5),OR($G$5="",L310=$G$5),OR($H$5="",N(J310)&gt;=$H$5),OR($I$5="",ISNUMBER(SEARCH($I$5,C310&amp;" "&amp;D310&amp;" "&amp;E310&amp;" "&amp;I310)))),"✓",""))</f>
        <v/>
      </c>
      <c r="B310" s="39" t="n">
        <v>46243</v>
      </c>
      <c r="C310" s="40" t="n">
        <f aca="false">'Aug 9'!$D$30</f>
        <v>0</v>
      </c>
      <c r="D310" s="40" t="n">
        <f aca="false">'Aug 9'!$B$30</f>
        <v>0</v>
      </c>
      <c r="E310" s="41" t="n">
        <f aca="false">'Aug 9'!$E$30</f>
        <v>0</v>
      </c>
      <c r="F310" s="40" t="n">
        <f aca="false">'Aug 9'!$A$30</f>
        <v>0</v>
      </c>
      <c r="G310" s="41" t="n">
        <f aca="false">'Aug 9'!$F$30</f>
        <v>0</v>
      </c>
      <c r="H310" s="41" t="n">
        <f aca="false">'Aug 9'!$G$30</f>
        <v>0</v>
      </c>
      <c r="I310" s="41" t="str">
        <f aca="false">'Aug 9'!$M$30</f>
        <v/>
      </c>
      <c r="J310" s="42" t="str">
        <f aca="false">'Aug 9'!$S$30</f>
        <v/>
      </c>
      <c r="K310" s="40" t="n">
        <f aca="false">'Aug 9'!$AG$30</f>
        <v>0</v>
      </c>
      <c r="L310" s="40" t="n">
        <f aca="false">'Aug 9'!$N$30</f>
        <v>0</v>
      </c>
    </row>
    <row r="311" customFormat="false" ht="15" hidden="false" customHeight="false" outlineLevel="0" collapsed="false">
      <c r="A311" s="38" t="str">
        <f aca="false">IF(OR(C311="",C311=0),"",IF(AND(OR($B$5="",G311=$B$5,H311=$B$5),OR($D$5="",F311=$D$5),OR($E$5="",K311=$E$5),OR($G$5="",L311=$G$5),OR($H$5="",N(J311)&gt;=$H$5),OR($I$5="",ISNUMBER(SEARCH($I$5,C311&amp;" "&amp;D311&amp;" "&amp;E311&amp;" "&amp;I311)))),"✓",""))</f>
        <v/>
      </c>
      <c r="B311" s="39" t="n">
        <v>46243</v>
      </c>
      <c r="C311" s="40" t="n">
        <f aca="false">'Aug 9'!$D$31</f>
        <v>0</v>
      </c>
      <c r="D311" s="40" t="n">
        <f aca="false">'Aug 9'!$B$31</f>
        <v>0</v>
      </c>
      <c r="E311" s="41" t="n">
        <f aca="false">'Aug 9'!$E$31</f>
        <v>0</v>
      </c>
      <c r="F311" s="40" t="n">
        <f aca="false">'Aug 9'!$A$31</f>
        <v>0</v>
      </c>
      <c r="G311" s="41" t="n">
        <f aca="false">'Aug 9'!$F$31</f>
        <v>0</v>
      </c>
      <c r="H311" s="41" t="n">
        <f aca="false">'Aug 9'!$G$31</f>
        <v>0</v>
      </c>
      <c r="I311" s="41" t="str">
        <f aca="false">'Aug 9'!$M$31</f>
        <v/>
      </c>
      <c r="J311" s="42" t="str">
        <f aca="false">'Aug 9'!$S$31</f>
        <v/>
      </c>
      <c r="K311" s="40" t="n">
        <f aca="false">'Aug 9'!$AG$31</f>
        <v>0</v>
      </c>
      <c r="L311" s="40" t="n">
        <f aca="false">'Aug 9'!$N$31</f>
        <v>0</v>
      </c>
    </row>
    <row r="312" customFormat="false" ht="15" hidden="false" customHeight="false" outlineLevel="0" collapsed="false">
      <c r="A312" s="38" t="str">
        <f aca="false">IF(OR(C312="",C312=0),"",IF(AND(OR($B$5="",G312=$B$5,H312=$B$5),OR($D$5="",F312=$D$5),OR($E$5="",K312=$E$5),OR($G$5="",L312=$G$5),OR($H$5="",N(J312)&gt;=$H$5),OR($I$5="",ISNUMBER(SEARCH($I$5,C312&amp;" "&amp;D312&amp;" "&amp;E312&amp;" "&amp;I312)))),"✓",""))</f>
        <v/>
      </c>
      <c r="B312" s="39" t="n">
        <v>46243</v>
      </c>
      <c r="C312" s="40" t="n">
        <f aca="false">'Aug 9'!$D$32</f>
        <v>0</v>
      </c>
      <c r="D312" s="40" t="n">
        <f aca="false">'Aug 9'!$B$32</f>
        <v>0</v>
      </c>
      <c r="E312" s="41" t="n">
        <f aca="false">'Aug 9'!$E$32</f>
        <v>0</v>
      </c>
      <c r="F312" s="40" t="n">
        <f aca="false">'Aug 9'!$A$32</f>
        <v>0</v>
      </c>
      <c r="G312" s="41" t="n">
        <f aca="false">'Aug 9'!$F$32</f>
        <v>0</v>
      </c>
      <c r="H312" s="41" t="n">
        <f aca="false">'Aug 9'!$G$32</f>
        <v>0</v>
      </c>
      <c r="I312" s="41" t="str">
        <f aca="false">'Aug 9'!$M$32</f>
        <v/>
      </c>
      <c r="J312" s="42" t="str">
        <f aca="false">'Aug 9'!$S$32</f>
        <v/>
      </c>
      <c r="K312" s="40" t="n">
        <f aca="false">'Aug 9'!$AG$32</f>
        <v>0</v>
      </c>
      <c r="L312" s="40" t="n">
        <f aca="false">'Aug 9'!$N$32</f>
        <v>0</v>
      </c>
    </row>
    <row r="313" customFormat="false" ht="15" hidden="false" customHeight="false" outlineLevel="0" collapsed="false">
      <c r="A313" s="38" t="str">
        <f aca="false">IF(OR(C313="",C313=0),"",IF(AND(OR($B$5="",G313=$B$5,H313=$B$5),OR($D$5="",F313=$D$5),OR($E$5="",K313=$E$5),OR($G$5="",L313=$G$5),OR($H$5="",N(J313)&gt;=$H$5),OR($I$5="",ISNUMBER(SEARCH($I$5,C313&amp;" "&amp;D313&amp;" "&amp;E313&amp;" "&amp;I313)))),"✓",""))</f>
        <v/>
      </c>
      <c r="B313" s="39" t="n">
        <v>46243</v>
      </c>
      <c r="C313" s="40" t="n">
        <f aca="false">'Aug 9'!$D$33</f>
        <v>0</v>
      </c>
      <c r="D313" s="40" t="n">
        <f aca="false">'Aug 9'!$B$33</f>
        <v>0</v>
      </c>
      <c r="E313" s="41" t="n">
        <f aca="false">'Aug 9'!$E$33</f>
        <v>0</v>
      </c>
      <c r="F313" s="40" t="n">
        <f aca="false">'Aug 9'!$A$33</f>
        <v>0</v>
      </c>
      <c r="G313" s="41" t="n">
        <f aca="false">'Aug 9'!$F$33</f>
        <v>0</v>
      </c>
      <c r="H313" s="41" t="n">
        <f aca="false">'Aug 9'!$G$33</f>
        <v>0</v>
      </c>
      <c r="I313" s="41" t="str">
        <f aca="false">'Aug 9'!$M$33</f>
        <v/>
      </c>
      <c r="J313" s="42" t="str">
        <f aca="false">'Aug 9'!$S$33</f>
        <v/>
      </c>
      <c r="K313" s="40" t="n">
        <f aca="false">'Aug 9'!$AG$33</f>
        <v>0</v>
      </c>
      <c r="L313" s="40" t="n">
        <f aca="false">'Aug 9'!$N$33</f>
        <v>0</v>
      </c>
    </row>
    <row r="314" customFormat="false" ht="15" hidden="false" customHeight="false" outlineLevel="0" collapsed="false">
      <c r="A314" s="38" t="str">
        <f aca="false">IF(OR(C314="",C314=0),"",IF(AND(OR($B$5="",G314=$B$5,H314=$B$5),OR($D$5="",F314=$D$5),OR($E$5="",K314=$E$5),OR($G$5="",L314=$G$5),OR($H$5="",N(J314)&gt;=$H$5),OR($I$5="",ISNUMBER(SEARCH($I$5,C314&amp;" "&amp;D314&amp;" "&amp;E314&amp;" "&amp;I314)))),"✓",""))</f>
        <v/>
      </c>
      <c r="B314" s="39" t="n">
        <v>46243</v>
      </c>
      <c r="C314" s="40" t="n">
        <f aca="false">'Aug 9'!$D$34</f>
        <v>0</v>
      </c>
      <c r="D314" s="40" t="n">
        <f aca="false">'Aug 9'!$B$34</f>
        <v>0</v>
      </c>
      <c r="E314" s="41" t="n">
        <f aca="false">'Aug 9'!$E$34</f>
        <v>0</v>
      </c>
      <c r="F314" s="40" t="n">
        <f aca="false">'Aug 9'!$A$34</f>
        <v>0</v>
      </c>
      <c r="G314" s="41" t="n">
        <f aca="false">'Aug 9'!$F$34</f>
        <v>0</v>
      </c>
      <c r="H314" s="41" t="n">
        <f aca="false">'Aug 9'!$G$34</f>
        <v>0</v>
      </c>
      <c r="I314" s="41" t="str">
        <f aca="false">'Aug 9'!$M$34</f>
        <v/>
      </c>
      <c r="J314" s="42" t="str">
        <f aca="false">'Aug 9'!$S$34</f>
        <v/>
      </c>
      <c r="K314" s="40" t="n">
        <f aca="false">'Aug 9'!$AG$34</f>
        <v>0</v>
      </c>
      <c r="L314" s="40" t="n">
        <f aca="false">'Aug 9'!$N$34</f>
        <v>0</v>
      </c>
    </row>
    <row r="315" customFormat="false" ht="15" hidden="false" customHeight="false" outlineLevel="0" collapsed="false">
      <c r="A315" s="38" t="str">
        <f aca="false">IF(OR(C315="",C315=0),"",IF(AND(OR($B$5="",G315=$B$5,H315=$B$5),OR($D$5="",F315=$D$5),OR($E$5="",K315=$E$5),OR($G$5="",L315=$G$5),OR($H$5="",N(J315)&gt;=$H$5),OR($I$5="",ISNUMBER(SEARCH($I$5,C315&amp;" "&amp;D315&amp;" "&amp;E315&amp;" "&amp;I315)))),"✓",""))</f>
        <v/>
      </c>
      <c r="B315" s="39" t="n">
        <v>46243</v>
      </c>
      <c r="C315" s="40" t="n">
        <f aca="false">'Aug 9'!$D$35</f>
        <v>0</v>
      </c>
      <c r="D315" s="40" t="n">
        <f aca="false">'Aug 9'!$B$35</f>
        <v>0</v>
      </c>
      <c r="E315" s="41" t="n">
        <f aca="false">'Aug 9'!$E$35</f>
        <v>0</v>
      </c>
      <c r="F315" s="40" t="n">
        <f aca="false">'Aug 9'!$A$35</f>
        <v>0</v>
      </c>
      <c r="G315" s="41" t="n">
        <f aca="false">'Aug 9'!$F$35</f>
        <v>0</v>
      </c>
      <c r="H315" s="41" t="n">
        <f aca="false">'Aug 9'!$G$35</f>
        <v>0</v>
      </c>
      <c r="I315" s="41" t="str">
        <f aca="false">'Aug 9'!$M$35</f>
        <v/>
      </c>
      <c r="J315" s="42" t="str">
        <f aca="false">'Aug 9'!$S$35</f>
        <v/>
      </c>
      <c r="K315" s="40" t="n">
        <f aca="false">'Aug 9'!$AG$35</f>
        <v>0</v>
      </c>
      <c r="L315" s="40" t="n">
        <f aca="false">'Aug 9'!$N$35</f>
        <v>0</v>
      </c>
    </row>
    <row r="316" customFormat="false" ht="15" hidden="false" customHeight="false" outlineLevel="0" collapsed="false">
      <c r="A316" s="38" t="str">
        <f aca="false">IF(OR(C316="",C316=0),"",IF(AND(OR($B$5="",G316=$B$5,H316=$B$5),OR($D$5="",F316=$D$5),OR($E$5="",K316=$E$5),OR($G$5="",L316=$G$5),OR($H$5="",N(J316)&gt;=$H$5),OR($I$5="",ISNUMBER(SEARCH($I$5,C316&amp;" "&amp;D316&amp;" "&amp;E316&amp;" "&amp;I316)))),"✓",""))</f>
        <v/>
      </c>
      <c r="B316" s="39" t="n">
        <v>46243</v>
      </c>
      <c r="C316" s="40" t="n">
        <f aca="false">'Aug 9'!$D$36</f>
        <v>0</v>
      </c>
      <c r="D316" s="40" t="n">
        <f aca="false">'Aug 9'!$B$36</f>
        <v>0</v>
      </c>
      <c r="E316" s="41" t="n">
        <f aca="false">'Aug 9'!$E$36</f>
        <v>0</v>
      </c>
      <c r="F316" s="40" t="n">
        <f aca="false">'Aug 9'!$A$36</f>
        <v>0</v>
      </c>
      <c r="G316" s="41" t="n">
        <f aca="false">'Aug 9'!$F$36</f>
        <v>0</v>
      </c>
      <c r="H316" s="41" t="n">
        <f aca="false">'Aug 9'!$G$36</f>
        <v>0</v>
      </c>
      <c r="I316" s="41" t="str">
        <f aca="false">'Aug 9'!$M$36</f>
        <v/>
      </c>
      <c r="J316" s="42" t="str">
        <f aca="false">'Aug 9'!$S$36</f>
        <v/>
      </c>
      <c r="K316" s="40" t="n">
        <f aca="false">'Aug 9'!$AG$36</f>
        <v>0</v>
      </c>
      <c r="L316" s="40" t="n">
        <f aca="false">'Aug 9'!$N$36</f>
        <v>0</v>
      </c>
    </row>
    <row r="317" customFormat="false" ht="15" hidden="false" customHeight="false" outlineLevel="0" collapsed="false">
      <c r="A317" s="38" t="str">
        <f aca="false">IF(OR(C317="",C317=0),"",IF(AND(OR($B$5="",G317=$B$5,H317=$B$5),OR($D$5="",F317=$D$5),OR($E$5="",K317=$E$5),OR($G$5="",L317=$G$5),OR($H$5="",N(J317)&gt;=$H$5),OR($I$5="",ISNUMBER(SEARCH($I$5,C317&amp;" "&amp;D317&amp;" "&amp;E317&amp;" "&amp;I317)))),"✓",""))</f>
        <v/>
      </c>
      <c r="B317" s="39" t="n">
        <v>46243</v>
      </c>
      <c r="C317" s="40" t="n">
        <f aca="false">'Aug 9'!$D$37</f>
        <v>0</v>
      </c>
      <c r="D317" s="40" t="n">
        <f aca="false">'Aug 9'!$B$37</f>
        <v>0</v>
      </c>
      <c r="E317" s="41" t="n">
        <f aca="false">'Aug 9'!$E$37</f>
        <v>0</v>
      </c>
      <c r="F317" s="40" t="n">
        <f aca="false">'Aug 9'!$A$37</f>
        <v>0</v>
      </c>
      <c r="G317" s="41" t="n">
        <f aca="false">'Aug 9'!$F$37</f>
        <v>0</v>
      </c>
      <c r="H317" s="41" t="n">
        <f aca="false">'Aug 9'!$G$37</f>
        <v>0</v>
      </c>
      <c r="I317" s="41" t="str">
        <f aca="false">'Aug 9'!$M$37</f>
        <v/>
      </c>
      <c r="J317" s="42" t="str">
        <f aca="false">'Aug 9'!$S$37</f>
        <v/>
      </c>
      <c r="K317" s="40" t="n">
        <f aca="false">'Aug 9'!$AG$37</f>
        <v>0</v>
      </c>
      <c r="L317" s="40" t="n">
        <f aca="false">'Aug 9'!$N$37</f>
        <v>0</v>
      </c>
    </row>
    <row r="318" customFormat="false" ht="15" hidden="false" customHeight="false" outlineLevel="0" collapsed="false">
      <c r="A318" s="38" t="str">
        <f aca="false">IF(OR(C318="",C318=0),"",IF(AND(OR($B$5="",G318=$B$5,H318=$B$5),OR($D$5="",F318=$D$5),OR($E$5="",K318=$E$5),OR($G$5="",L318=$G$5),OR($H$5="",N(J318)&gt;=$H$5),OR($I$5="",ISNUMBER(SEARCH($I$5,C318&amp;" "&amp;D318&amp;" "&amp;E318&amp;" "&amp;I318)))),"✓",""))</f>
        <v/>
      </c>
      <c r="B318" s="39" t="n">
        <v>46243</v>
      </c>
      <c r="C318" s="40" t="n">
        <f aca="false">'Aug 9'!$D$38</f>
        <v>0</v>
      </c>
      <c r="D318" s="40" t="n">
        <f aca="false">'Aug 9'!$B$38</f>
        <v>0</v>
      </c>
      <c r="E318" s="41" t="n">
        <f aca="false">'Aug 9'!$E$38</f>
        <v>0</v>
      </c>
      <c r="F318" s="40" t="n">
        <f aca="false">'Aug 9'!$A$38</f>
        <v>0</v>
      </c>
      <c r="G318" s="41" t="n">
        <f aca="false">'Aug 9'!$F$38</f>
        <v>0</v>
      </c>
      <c r="H318" s="41" t="n">
        <f aca="false">'Aug 9'!$G$38</f>
        <v>0</v>
      </c>
      <c r="I318" s="41" t="str">
        <f aca="false">'Aug 9'!$M$38</f>
        <v/>
      </c>
      <c r="J318" s="42" t="str">
        <f aca="false">'Aug 9'!$S$38</f>
        <v/>
      </c>
      <c r="K318" s="40" t="n">
        <f aca="false">'Aug 9'!$AG$38</f>
        <v>0</v>
      </c>
      <c r="L318" s="40" t="n">
        <f aca="false">'Aug 9'!$N$38</f>
        <v>0</v>
      </c>
    </row>
    <row r="319" customFormat="false" ht="15" hidden="false" customHeight="false" outlineLevel="0" collapsed="false">
      <c r="A319" s="38" t="str">
        <f aca="false">IF(OR(C319="",C319=0),"",IF(AND(OR($B$5="",G319=$B$5,H319=$B$5),OR($D$5="",F319=$D$5),OR($E$5="",K319=$E$5),OR($G$5="",L319=$G$5),OR($H$5="",N(J319)&gt;=$H$5),OR($I$5="",ISNUMBER(SEARCH($I$5,C319&amp;" "&amp;D319&amp;" "&amp;E319&amp;" "&amp;I319)))),"✓",""))</f>
        <v/>
      </c>
      <c r="B319" s="39" t="n">
        <v>46243</v>
      </c>
      <c r="C319" s="40" t="n">
        <f aca="false">'Aug 9'!$D$39</f>
        <v>0</v>
      </c>
      <c r="D319" s="40" t="n">
        <f aca="false">'Aug 9'!$B$39</f>
        <v>0</v>
      </c>
      <c r="E319" s="41" t="n">
        <f aca="false">'Aug 9'!$E$39</f>
        <v>0</v>
      </c>
      <c r="F319" s="40" t="n">
        <f aca="false">'Aug 9'!$A$39</f>
        <v>0</v>
      </c>
      <c r="G319" s="41" t="n">
        <f aca="false">'Aug 9'!$F$39</f>
        <v>0</v>
      </c>
      <c r="H319" s="41" t="n">
        <f aca="false">'Aug 9'!$G$39</f>
        <v>0</v>
      </c>
      <c r="I319" s="41" t="str">
        <f aca="false">'Aug 9'!$M$39</f>
        <v/>
      </c>
      <c r="J319" s="42" t="str">
        <f aca="false">'Aug 9'!$S$39</f>
        <v/>
      </c>
      <c r="K319" s="40" t="n">
        <f aca="false">'Aug 9'!$AG$39</f>
        <v>0</v>
      </c>
      <c r="L319" s="40" t="n">
        <f aca="false">'Aug 9'!$N$39</f>
        <v>0</v>
      </c>
    </row>
    <row r="320" customFormat="false" ht="15" hidden="false" customHeight="false" outlineLevel="0" collapsed="false">
      <c r="A320" s="38" t="str">
        <f aca="false">IF(OR(C320="",C320=0),"",IF(AND(OR($B$5="",G320=$B$5,H320=$B$5),OR($D$5="",F320=$D$5),OR($E$5="",K320=$E$5),OR($G$5="",L320=$G$5),OR($H$5="",N(J320)&gt;=$H$5),OR($I$5="",ISNUMBER(SEARCH($I$5,C320&amp;" "&amp;D320&amp;" "&amp;E320&amp;" "&amp;I320)))),"✓",""))</f>
        <v/>
      </c>
      <c r="B320" s="39" t="n">
        <v>46243</v>
      </c>
      <c r="C320" s="40" t="n">
        <f aca="false">'Aug 9'!$D$40</f>
        <v>0</v>
      </c>
      <c r="D320" s="40" t="n">
        <f aca="false">'Aug 9'!$B$40</f>
        <v>0</v>
      </c>
      <c r="E320" s="41" t="n">
        <f aca="false">'Aug 9'!$E$40</f>
        <v>0</v>
      </c>
      <c r="F320" s="40" t="n">
        <f aca="false">'Aug 9'!$A$40</f>
        <v>0</v>
      </c>
      <c r="G320" s="41" t="n">
        <f aca="false">'Aug 9'!$F$40</f>
        <v>0</v>
      </c>
      <c r="H320" s="41" t="n">
        <f aca="false">'Aug 9'!$G$40</f>
        <v>0</v>
      </c>
      <c r="I320" s="41" t="str">
        <f aca="false">'Aug 9'!$M$40</f>
        <v/>
      </c>
      <c r="J320" s="42" t="str">
        <f aca="false">'Aug 9'!$S$40</f>
        <v/>
      </c>
      <c r="K320" s="40" t="n">
        <f aca="false">'Aug 9'!$AG$40</f>
        <v>0</v>
      </c>
      <c r="L320" s="40" t="n">
        <f aca="false">'Aug 9'!$N$40</f>
        <v>0</v>
      </c>
    </row>
    <row r="321" customFormat="false" ht="15" hidden="false" customHeight="false" outlineLevel="0" collapsed="false">
      <c r="A321" s="38" t="str">
        <f aca="false">IF(OR(C321="",C321=0),"",IF(AND(OR($B$5="",G321=$B$5,H321=$B$5),OR($D$5="",F321=$D$5),OR($E$5="",K321=$E$5),OR($G$5="",L321=$G$5),OR($H$5="",N(J321)&gt;=$H$5),OR($I$5="",ISNUMBER(SEARCH($I$5,C321&amp;" "&amp;D321&amp;" "&amp;E321&amp;" "&amp;I321)))),"✓",""))</f>
        <v/>
      </c>
      <c r="B321" s="39" t="n">
        <v>46243</v>
      </c>
      <c r="C321" s="40" t="n">
        <f aca="false">'Aug 9'!$D$41</f>
        <v>0</v>
      </c>
      <c r="D321" s="40" t="n">
        <f aca="false">'Aug 9'!$B$41</f>
        <v>0</v>
      </c>
      <c r="E321" s="41" t="n">
        <f aca="false">'Aug 9'!$E$41</f>
        <v>0</v>
      </c>
      <c r="F321" s="40" t="n">
        <f aca="false">'Aug 9'!$A$41</f>
        <v>0</v>
      </c>
      <c r="G321" s="41" t="n">
        <f aca="false">'Aug 9'!$F$41</f>
        <v>0</v>
      </c>
      <c r="H321" s="41" t="n">
        <f aca="false">'Aug 9'!$G$41</f>
        <v>0</v>
      </c>
      <c r="I321" s="41" t="str">
        <f aca="false">'Aug 9'!$M$41</f>
        <v/>
      </c>
      <c r="J321" s="42" t="str">
        <f aca="false">'Aug 9'!$S$41</f>
        <v/>
      </c>
      <c r="K321" s="40" t="n">
        <f aca="false">'Aug 9'!$AG$41</f>
        <v>0</v>
      </c>
      <c r="L321" s="40" t="n">
        <f aca="false">'Aug 9'!$N$41</f>
        <v>0</v>
      </c>
    </row>
    <row r="322" customFormat="false" ht="15" hidden="false" customHeight="false" outlineLevel="0" collapsed="false">
      <c r="A322" s="38" t="str">
        <f aca="false">IF(OR(C322="",C322=0),"",IF(AND(OR($B$5="",G322=$B$5,H322=$B$5),OR($D$5="",F322=$D$5),OR($E$5="",K322=$E$5),OR($G$5="",L322=$G$5),OR($H$5="",N(J322)&gt;=$H$5),OR($I$5="",ISNUMBER(SEARCH($I$5,C322&amp;" "&amp;D322&amp;" "&amp;E322&amp;" "&amp;I322)))),"✓",""))</f>
        <v/>
      </c>
      <c r="B322" s="39" t="n">
        <v>46243</v>
      </c>
      <c r="C322" s="40" t="n">
        <f aca="false">'Aug 9'!$D$42</f>
        <v>0</v>
      </c>
      <c r="D322" s="40" t="n">
        <f aca="false">'Aug 9'!$B$42</f>
        <v>0</v>
      </c>
      <c r="E322" s="41" t="n">
        <f aca="false">'Aug 9'!$E$42</f>
        <v>0</v>
      </c>
      <c r="F322" s="40" t="n">
        <f aca="false">'Aug 9'!$A$42</f>
        <v>0</v>
      </c>
      <c r="G322" s="41" t="n">
        <f aca="false">'Aug 9'!$F$42</f>
        <v>0</v>
      </c>
      <c r="H322" s="41" t="n">
        <f aca="false">'Aug 9'!$G$42</f>
        <v>0</v>
      </c>
      <c r="I322" s="41" t="str">
        <f aca="false">'Aug 9'!$M$42</f>
        <v/>
      </c>
      <c r="J322" s="42" t="str">
        <f aca="false">'Aug 9'!$S$42</f>
        <v/>
      </c>
      <c r="K322" s="40" t="n">
        <f aca="false">'Aug 9'!$AG$42</f>
        <v>0</v>
      </c>
      <c r="L322" s="40" t="n">
        <f aca="false">'Aug 9'!$N$42</f>
        <v>0</v>
      </c>
    </row>
    <row r="323" customFormat="false" ht="15" hidden="false" customHeight="false" outlineLevel="0" collapsed="false">
      <c r="A323" s="38" t="str">
        <f aca="false">IF(OR(C323="",C323=0),"",IF(AND(OR($B$5="",G323=$B$5,H323=$B$5),OR($D$5="",F323=$D$5),OR($E$5="",K323=$E$5),OR($G$5="",L323=$G$5),OR($H$5="",N(J323)&gt;=$H$5),OR($I$5="",ISNUMBER(SEARCH($I$5,C323&amp;" "&amp;D323&amp;" "&amp;E323&amp;" "&amp;I323)))),"✓",""))</f>
        <v/>
      </c>
      <c r="B323" s="39" t="n">
        <v>46244</v>
      </c>
      <c r="C323" s="40" t="n">
        <f aca="false">'Aug 10'!$D$8</f>
        <v>0</v>
      </c>
      <c r="D323" s="40" t="n">
        <f aca="false">'Aug 10'!$B$8</f>
        <v>0</v>
      </c>
      <c r="E323" s="41" t="n">
        <f aca="false">'Aug 10'!$E$8</f>
        <v>0</v>
      </c>
      <c r="F323" s="40" t="n">
        <f aca="false">'Aug 10'!$A$8</f>
        <v>0</v>
      </c>
      <c r="G323" s="41" t="n">
        <f aca="false">'Aug 10'!$F$8</f>
        <v>0</v>
      </c>
      <c r="H323" s="41" t="n">
        <f aca="false">'Aug 10'!$G$8</f>
        <v>0</v>
      </c>
      <c r="I323" s="41" t="str">
        <f aca="false">'Aug 10'!$M$8</f>
        <v/>
      </c>
      <c r="J323" s="42" t="str">
        <f aca="false">'Aug 10'!$S$8</f>
        <v/>
      </c>
      <c r="K323" s="40" t="n">
        <f aca="false">'Aug 10'!$AG$8</f>
        <v>0</v>
      </c>
      <c r="L323" s="40" t="n">
        <f aca="false">'Aug 10'!$N$8</f>
        <v>0</v>
      </c>
    </row>
    <row r="324" customFormat="false" ht="15" hidden="false" customHeight="false" outlineLevel="0" collapsed="false">
      <c r="A324" s="38" t="str">
        <f aca="false">IF(OR(C324="",C324=0),"",IF(AND(OR($B$5="",G324=$B$5,H324=$B$5),OR($D$5="",F324=$D$5),OR($E$5="",K324=$E$5),OR($G$5="",L324=$G$5),OR($H$5="",N(J324)&gt;=$H$5),OR($I$5="",ISNUMBER(SEARCH($I$5,C324&amp;" "&amp;D324&amp;" "&amp;E324&amp;" "&amp;I324)))),"✓",""))</f>
        <v/>
      </c>
      <c r="B324" s="39" t="n">
        <v>46244</v>
      </c>
      <c r="C324" s="40" t="n">
        <f aca="false">'Aug 10'!$D$9</f>
        <v>0</v>
      </c>
      <c r="D324" s="40" t="n">
        <f aca="false">'Aug 10'!$B$9</f>
        <v>0</v>
      </c>
      <c r="E324" s="41" t="n">
        <f aca="false">'Aug 10'!$E$9</f>
        <v>0</v>
      </c>
      <c r="F324" s="40" t="n">
        <f aca="false">'Aug 10'!$A$9</f>
        <v>0</v>
      </c>
      <c r="G324" s="41" t="n">
        <f aca="false">'Aug 10'!$F$9</f>
        <v>0</v>
      </c>
      <c r="H324" s="41" t="n">
        <f aca="false">'Aug 10'!$G$9</f>
        <v>0</v>
      </c>
      <c r="I324" s="41" t="str">
        <f aca="false">'Aug 10'!$M$9</f>
        <v/>
      </c>
      <c r="J324" s="42" t="str">
        <f aca="false">'Aug 10'!$S$9</f>
        <v/>
      </c>
      <c r="K324" s="40" t="n">
        <f aca="false">'Aug 10'!$AG$9</f>
        <v>0</v>
      </c>
      <c r="L324" s="40" t="n">
        <f aca="false">'Aug 10'!$N$9</f>
        <v>0</v>
      </c>
    </row>
    <row r="325" customFormat="false" ht="15" hidden="false" customHeight="false" outlineLevel="0" collapsed="false">
      <c r="A325" s="38" t="str">
        <f aca="false">IF(OR(C325="",C325=0),"",IF(AND(OR($B$5="",G325=$B$5,H325=$B$5),OR($D$5="",F325=$D$5),OR($E$5="",K325=$E$5),OR($G$5="",L325=$G$5),OR($H$5="",N(J325)&gt;=$H$5),OR($I$5="",ISNUMBER(SEARCH($I$5,C325&amp;" "&amp;D325&amp;" "&amp;E325&amp;" "&amp;I325)))),"✓",""))</f>
        <v/>
      </c>
      <c r="B325" s="39" t="n">
        <v>46244</v>
      </c>
      <c r="C325" s="40" t="n">
        <f aca="false">'Aug 10'!$D$10</f>
        <v>0</v>
      </c>
      <c r="D325" s="40" t="n">
        <f aca="false">'Aug 10'!$B$10</f>
        <v>0</v>
      </c>
      <c r="E325" s="41" t="n">
        <f aca="false">'Aug 10'!$E$10</f>
        <v>0</v>
      </c>
      <c r="F325" s="40" t="n">
        <f aca="false">'Aug 10'!$A$10</f>
        <v>0</v>
      </c>
      <c r="G325" s="41" t="n">
        <f aca="false">'Aug 10'!$F$10</f>
        <v>0</v>
      </c>
      <c r="H325" s="41" t="n">
        <f aca="false">'Aug 10'!$G$10</f>
        <v>0</v>
      </c>
      <c r="I325" s="41" t="str">
        <f aca="false">'Aug 10'!$M$10</f>
        <v/>
      </c>
      <c r="J325" s="42" t="str">
        <f aca="false">'Aug 10'!$S$10</f>
        <v/>
      </c>
      <c r="K325" s="40" t="n">
        <f aca="false">'Aug 10'!$AG$10</f>
        <v>0</v>
      </c>
      <c r="L325" s="40" t="n">
        <f aca="false">'Aug 10'!$N$10</f>
        <v>0</v>
      </c>
    </row>
    <row r="326" customFormat="false" ht="15" hidden="false" customHeight="false" outlineLevel="0" collapsed="false">
      <c r="A326" s="38" t="str">
        <f aca="false">IF(OR(C326="",C326=0),"",IF(AND(OR($B$5="",G326=$B$5,H326=$B$5),OR($D$5="",F326=$D$5),OR($E$5="",K326=$E$5),OR($G$5="",L326=$G$5),OR($H$5="",N(J326)&gt;=$H$5),OR($I$5="",ISNUMBER(SEARCH($I$5,C326&amp;" "&amp;D326&amp;" "&amp;E326&amp;" "&amp;I326)))),"✓",""))</f>
        <v/>
      </c>
      <c r="B326" s="39" t="n">
        <v>46244</v>
      </c>
      <c r="C326" s="40" t="n">
        <f aca="false">'Aug 10'!$D$11</f>
        <v>0</v>
      </c>
      <c r="D326" s="40" t="n">
        <f aca="false">'Aug 10'!$B$11</f>
        <v>0</v>
      </c>
      <c r="E326" s="41" t="n">
        <f aca="false">'Aug 10'!$E$11</f>
        <v>0</v>
      </c>
      <c r="F326" s="40" t="n">
        <f aca="false">'Aug 10'!$A$11</f>
        <v>0</v>
      </c>
      <c r="G326" s="41" t="n">
        <f aca="false">'Aug 10'!$F$11</f>
        <v>0</v>
      </c>
      <c r="H326" s="41" t="n">
        <f aca="false">'Aug 10'!$G$11</f>
        <v>0</v>
      </c>
      <c r="I326" s="41" t="str">
        <f aca="false">'Aug 10'!$M$11</f>
        <v/>
      </c>
      <c r="J326" s="42" t="str">
        <f aca="false">'Aug 10'!$S$11</f>
        <v/>
      </c>
      <c r="K326" s="40" t="n">
        <f aca="false">'Aug 10'!$AG$11</f>
        <v>0</v>
      </c>
      <c r="L326" s="40" t="n">
        <f aca="false">'Aug 10'!$N$11</f>
        <v>0</v>
      </c>
    </row>
    <row r="327" customFormat="false" ht="15" hidden="false" customHeight="false" outlineLevel="0" collapsed="false">
      <c r="A327" s="38" t="str">
        <f aca="false">IF(OR(C327="",C327=0),"",IF(AND(OR($B$5="",G327=$B$5,H327=$B$5),OR($D$5="",F327=$D$5),OR($E$5="",K327=$E$5),OR($G$5="",L327=$G$5),OR($H$5="",N(J327)&gt;=$H$5),OR($I$5="",ISNUMBER(SEARCH($I$5,C327&amp;" "&amp;D327&amp;" "&amp;E327&amp;" "&amp;I327)))),"✓",""))</f>
        <v/>
      </c>
      <c r="B327" s="39" t="n">
        <v>46244</v>
      </c>
      <c r="C327" s="40" t="n">
        <f aca="false">'Aug 10'!$D$12</f>
        <v>0</v>
      </c>
      <c r="D327" s="40" t="n">
        <f aca="false">'Aug 10'!$B$12</f>
        <v>0</v>
      </c>
      <c r="E327" s="41" t="n">
        <f aca="false">'Aug 10'!$E$12</f>
        <v>0</v>
      </c>
      <c r="F327" s="40" t="n">
        <f aca="false">'Aug 10'!$A$12</f>
        <v>0</v>
      </c>
      <c r="G327" s="41" t="n">
        <f aca="false">'Aug 10'!$F$12</f>
        <v>0</v>
      </c>
      <c r="H327" s="41" t="n">
        <f aca="false">'Aug 10'!$G$12</f>
        <v>0</v>
      </c>
      <c r="I327" s="41" t="str">
        <f aca="false">'Aug 10'!$M$12</f>
        <v/>
      </c>
      <c r="J327" s="42" t="str">
        <f aca="false">'Aug 10'!$S$12</f>
        <v/>
      </c>
      <c r="K327" s="40" t="n">
        <f aca="false">'Aug 10'!$AG$12</f>
        <v>0</v>
      </c>
      <c r="L327" s="40" t="n">
        <f aca="false">'Aug 10'!$N$12</f>
        <v>0</v>
      </c>
    </row>
    <row r="328" customFormat="false" ht="15" hidden="false" customHeight="false" outlineLevel="0" collapsed="false">
      <c r="A328" s="38" t="str">
        <f aca="false">IF(OR(C328="",C328=0),"",IF(AND(OR($B$5="",G328=$B$5,H328=$B$5),OR($D$5="",F328=$D$5),OR($E$5="",K328=$E$5),OR($G$5="",L328=$G$5),OR($H$5="",N(J328)&gt;=$H$5),OR($I$5="",ISNUMBER(SEARCH($I$5,C328&amp;" "&amp;D328&amp;" "&amp;E328&amp;" "&amp;I328)))),"✓",""))</f>
        <v/>
      </c>
      <c r="B328" s="39" t="n">
        <v>46244</v>
      </c>
      <c r="C328" s="40" t="n">
        <f aca="false">'Aug 10'!$D$13</f>
        <v>0</v>
      </c>
      <c r="D328" s="40" t="n">
        <f aca="false">'Aug 10'!$B$13</f>
        <v>0</v>
      </c>
      <c r="E328" s="41" t="n">
        <f aca="false">'Aug 10'!$E$13</f>
        <v>0</v>
      </c>
      <c r="F328" s="40" t="n">
        <f aca="false">'Aug 10'!$A$13</f>
        <v>0</v>
      </c>
      <c r="G328" s="41" t="n">
        <f aca="false">'Aug 10'!$F$13</f>
        <v>0</v>
      </c>
      <c r="H328" s="41" t="n">
        <f aca="false">'Aug 10'!$G$13</f>
        <v>0</v>
      </c>
      <c r="I328" s="41" t="str">
        <f aca="false">'Aug 10'!$M$13</f>
        <v/>
      </c>
      <c r="J328" s="42" t="str">
        <f aca="false">'Aug 10'!$S$13</f>
        <v/>
      </c>
      <c r="K328" s="40" t="n">
        <f aca="false">'Aug 10'!$AG$13</f>
        <v>0</v>
      </c>
      <c r="L328" s="40" t="n">
        <f aca="false">'Aug 10'!$N$13</f>
        <v>0</v>
      </c>
    </row>
    <row r="329" customFormat="false" ht="15" hidden="false" customHeight="false" outlineLevel="0" collapsed="false">
      <c r="A329" s="38" t="str">
        <f aca="false">IF(OR(C329="",C329=0),"",IF(AND(OR($B$5="",G329=$B$5,H329=$B$5),OR($D$5="",F329=$D$5),OR($E$5="",K329=$E$5),OR($G$5="",L329=$G$5),OR($H$5="",N(J329)&gt;=$H$5),OR($I$5="",ISNUMBER(SEARCH($I$5,C329&amp;" "&amp;D329&amp;" "&amp;E329&amp;" "&amp;I329)))),"✓",""))</f>
        <v/>
      </c>
      <c r="B329" s="39" t="n">
        <v>46244</v>
      </c>
      <c r="C329" s="40" t="n">
        <f aca="false">'Aug 10'!$D$14</f>
        <v>0</v>
      </c>
      <c r="D329" s="40" t="n">
        <f aca="false">'Aug 10'!$B$14</f>
        <v>0</v>
      </c>
      <c r="E329" s="41" t="n">
        <f aca="false">'Aug 10'!$E$14</f>
        <v>0</v>
      </c>
      <c r="F329" s="40" t="n">
        <f aca="false">'Aug 10'!$A$14</f>
        <v>0</v>
      </c>
      <c r="G329" s="41" t="n">
        <f aca="false">'Aug 10'!$F$14</f>
        <v>0</v>
      </c>
      <c r="H329" s="41" t="n">
        <f aca="false">'Aug 10'!$G$14</f>
        <v>0</v>
      </c>
      <c r="I329" s="41" t="str">
        <f aca="false">'Aug 10'!$M$14</f>
        <v/>
      </c>
      <c r="J329" s="42" t="str">
        <f aca="false">'Aug 10'!$S$14</f>
        <v/>
      </c>
      <c r="K329" s="40" t="n">
        <f aca="false">'Aug 10'!$AG$14</f>
        <v>0</v>
      </c>
      <c r="L329" s="40" t="n">
        <f aca="false">'Aug 10'!$N$14</f>
        <v>0</v>
      </c>
    </row>
    <row r="330" customFormat="false" ht="15" hidden="false" customHeight="false" outlineLevel="0" collapsed="false">
      <c r="A330" s="38" t="str">
        <f aca="false">IF(OR(C330="",C330=0),"",IF(AND(OR($B$5="",G330=$B$5,H330=$B$5),OR($D$5="",F330=$D$5),OR($E$5="",K330=$E$5),OR($G$5="",L330=$G$5),OR($H$5="",N(J330)&gt;=$H$5),OR($I$5="",ISNUMBER(SEARCH($I$5,C330&amp;" "&amp;D330&amp;" "&amp;E330&amp;" "&amp;I330)))),"✓",""))</f>
        <v/>
      </c>
      <c r="B330" s="39" t="n">
        <v>46244</v>
      </c>
      <c r="C330" s="40" t="n">
        <f aca="false">'Aug 10'!$D$15</f>
        <v>0</v>
      </c>
      <c r="D330" s="40" t="n">
        <f aca="false">'Aug 10'!$B$15</f>
        <v>0</v>
      </c>
      <c r="E330" s="41" t="n">
        <f aca="false">'Aug 10'!$E$15</f>
        <v>0</v>
      </c>
      <c r="F330" s="40" t="n">
        <f aca="false">'Aug 10'!$A$15</f>
        <v>0</v>
      </c>
      <c r="G330" s="41" t="n">
        <f aca="false">'Aug 10'!$F$15</f>
        <v>0</v>
      </c>
      <c r="H330" s="41" t="n">
        <f aca="false">'Aug 10'!$G$15</f>
        <v>0</v>
      </c>
      <c r="I330" s="41" t="str">
        <f aca="false">'Aug 10'!$M$15</f>
        <v/>
      </c>
      <c r="J330" s="42" t="str">
        <f aca="false">'Aug 10'!$S$15</f>
        <v/>
      </c>
      <c r="K330" s="40" t="n">
        <f aca="false">'Aug 10'!$AG$15</f>
        <v>0</v>
      </c>
      <c r="L330" s="40" t="n">
        <f aca="false">'Aug 10'!$N$15</f>
        <v>0</v>
      </c>
    </row>
    <row r="331" customFormat="false" ht="15" hidden="false" customHeight="false" outlineLevel="0" collapsed="false">
      <c r="A331" s="38" t="str">
        <f aca="false">IF(OR(C331="",C331=0),"",IF(AND(OR($B$5="",G331=$B$5,H331=$B$5),OR($D$5="",F331=$D$5),OR($E$5="",K331=$E$5),OR($G$5="",L331=$G$5),OR($H$5="",N(J331)&gt;=$H$5),OR($I$5="",ISNUMBER(SEARCH($I$5,C331&amp;" "&amp;D331&amp;" "&amp;E331&amp;" "&amp;I331)))),"✓",""))</f>
        <v/>
      </c>
      <c r="B331" s="39" t="n">
        <v>46244</v>
      </c>
      <c r="C331" s="40" t="n">
        <f aca="false">'Aug 10'!$D$16</f>
        <v>0</v>
      </c>
      <c r="D331" s="40" t="n">
        <f aca="false">'Aug 10'!$B$16</f>
        <v>0</v>
      </c>
      <c r="E331" s="41" t="n">
        <f aca="false">'Aug 10'!$E$16</f>
        <v>0</v>
      </c>
      <c r="F331" s="40" t="n">
        <f aca="false">'Aug 10'!$A$16</f>
        <v>0</v>
      </c>
      <c r="G331" s="41" t="n">
        <f aca="false">'Aug 10'!$F$16</f>
        <v>0</v>
      </c>
      <c r="H331" s="41" t="n">
        <f aca="false">'Aug 10'!$G$16</f>
        <v>0</v>
      </c>
      <c r="I331" s="41" t="str">
        <f aca="false">'Aug 10'!$M$16</f>
        <v/>
      </c>
      <c r="J331" s="42" t="str">
        <f aca="false">'Aug 10'!$S$16</f>
        <v/>
      </c>
      <c r="K331" s="40" t="n">
        <f aca="false">'Aug 10'!$AG$16</f>
        <v>0</v>
      </c>
      <c r="L331" s="40" t="n">
        <f aca="false">'Aug 10'!$N$16</f>
        <v>0</v>
      </c>
    </row>
    <row r="332" customFormat="false" ht="15" hidden="false" customHeight="false" outlineLevel="0" collapsed="false">
      <c r="A332" s="38" t="str">
        <f aca="false">IF(OR(C332="",C332=0),"",IF(AND(OR($B$5="",G332=$B$5,H332=$B$5),OR($D$5="",F332=$D$5),OR($E$5="",K332=$E$5),OR($G$5="",L332=$G$5),OR($H$5="",N(J332)&gt;=$H$5),OR($I$5="",ISNUMBER(SEARCH($I$5,C332&amp;" "&amp;D332&amp;" "&amp;E332&amp;" "&amp;I332)))),"✓",""))</f>
        <v/>
      </c>
      <c r="B332" s="39" t="n">
        <v>46244</v>
      </c>
      <c r="C332" s="40" t="n">
        <f aca="false">'Aug 10'!$D$17</f>
        <v>0</v>
      </c>
      <c r="D332" s="40" t="n">
        <f aca="false">'Aug 10'!$B$17</f>
        <v>0</v>
      </c>
      <c r="E332" s="41" t="n">
        <f aca="false">'Aug 10'!$E$17</f>
        <v>0</v>
      </c>
      <c r="F332" s="40" t="n">
        <f aca="false">'Aug 10'!$A$17</f>
        <v>0</v>
      </c>
      <c r="G332" s="41" t="n">
        <f aca="false">'Aug 10'!$F$17</f>
        <v>0</v>
      </c>
      <c r="H332" s="41" t="n">
        <f aca="false">'Aug 10'!$G$17</f>
        <v>0</v>
      </c>
      <c r="I332" s="41" t="str">
        <f aca="false">'Aug 10'!$M$17</f>
        <v/>
      </c>
      <c r="J332" s="42" t="str">
        <f aca="false">'Aug 10'!$S$17</f>
        <v/>
      </c>
      <c r="K332" s="40" t="n">
        <f aca="false">'Aug 10'!$AG$17</f>
        <v>0</v>
      </c>
      <c r="L332" s="40" t="n">
        <f aca="false">'Aug 10'!$N$17</f>
        <v>0</v>
      </c>
    </row>
    <row r="333" customFormat="false" ht="15" hidden="false" customHeight="false" outlineLevel="0" collapsed="false">
      <c r="A333" s="38" t="str">
        <f aca="false">IF(OR(C333="",C333=0),"",IF(AND(OR($B$5="",G333=$B$5,H333=$B$5),OR($D$5="",F333=$D$5),OR($E$5="",K333=$E$5),OR($G$5="",L333=$G$5),OR($H$5="",N(J333)&gt;=$H$5),OR($I$5="",ISNUMBER(SEARCH($I$5,C333&amp;" "&amp;D333&amp;" "&amp;E333&amp;" "&amp;I333)))),"✓",""))</f>
        <v/>
      </c>
      <c r="B333" s="39" t="n">
        <v>46244</v>
      </c>
      <c r="C333" s="40" t="n">
        <f aca="false">'Aug 10'!$D$18</f>
        <v>0</v>
      </c>
      <c r="D333" s="40" t="n">
        <f aca="false">'Aug 10'!$B$18</f>
        <v>0</v>
      </c>
      <c r="E333" s="41" t="n">
        <f aca="false">'Aug 10'!$E$18</f>
        <v>0</v>
      </c>
      <c r="F333" s="40" t="n">
        <f aca="false">'Aug 10'!$A$18</f>
        <v>0</v>
      </c>
      <c r="G333" s="41" t="n">
        <f aca="false">'Aug 10'!$F$18</f>
        <v>0</v>
      </c>
      <c r="H333" s="41" t="n">
        <f aca="false">'Aug 10'!$G$18</f>
        <v>0</v>
      </c>
      <c r="I333" s="41" t="str">
        <f aca="false">'Aug 10'!$M$18</f>
        <v/>
      </c>
      <c r="J333" s="42" t="str">
        <f aca="false">'Aug 10'!$S$18</f>
        <v/>
      </c>
      <c r="K333" s="40" t="n">
        <f aca="false">'Aug 10'!$AG$18</f>
        <v>0</v>
      </c>
      <c r="L333" s="40" t="n">
        <f aca="false">'Aug 10'!$N$18</f>
        <v>0</v>
      </c>
    </row>
    <row r="334" customFormat="false" ht="15" hidden="false" customHeight="false" outlineLevel="0" collapsed="false">
      <c r="A334" s="38" t="str">
        <f aca="false">IF(OR(C334="",C334=0),"",IF(AND(OR($B$5="",G334=$B$5,H334=$B$5),OR($D$5="",F334=$D$5),OR($E$5="",K334=$E$5),OR($G$5="",L334=$G$5),OR($H$5="",N(J334)&gt;=$H$5),OR($I$5="",ISNUMBER(SEARCH($I$5,C334&amp;" "&amp;D334&amp;" "&amp;E334&amp;" "&amp;I334)))),"✓",""))</f>
        <v/>
      </c>
      <c r="B334" s="39" t="n">
        <v>46244</v>
      </c>
      <c r="C334" s="40" t="n">
        <f aca="false">'Aug 10'!$D$19</f>
        <v>0</v>
      </c>
      <c r="D334" s="40" t="n">
        <f aca="false">'Aug 10'!$B$19</f>
        <v>0</v>
      </c>
      <c r="E334" s="41" t="n">
        <f aca="false">'Aug 10'!$E$19</f>
        <v>0</v>
      </c>
      <c r="F334" s="40" t="n">
        <f aca="false">'Aug 10'!$A$19</f>
        <v>0</v>
      </c>
      <c r="G334" s="41" t="n">
        <f aca="false">'Aug 10'!$F$19</f>
        <v>0</v>
      </c>
      <c r="H334" s="41" t="n">
        <f aca="false">'Aug 10'!$G$19</f>
        <v>0</v>
      </c>
      <c r="I334" s="41" t="str">
        <f aca="false">'Aug 10'!$M$19</f>
        <v/>
      </c>
      <c r="J334" s="42" t="str">
        <f aca="false">'Aug 10'!$S$19</f>
        <v/>
      </c>
      <c r="K334" s="40" t="n">
        <f aca="false">'Aug 10'!$AG$19</f>
        <v>0</v>
      </c>
      <c r="L334" s="40" t="n">
        <f aca="false">'Aug 10'!$N$19</f>
        <v>0</v>
      </c>
    </row>
    <row r="335" customFormat="false" ht="15" hidden="false" customHeight="false" outlineLevel="0" collapsed="false">
      <c r="A335" s="38" t="str">
        <f aca="false">IF(OR(C335="",C335=0),"",IF(AND(OR($B$5="",G335=$B$5,H335=$B$5),OR($D$5="",F335=$D$5),OR($E$5="",K335=$E$5),OR($G$5="",L335=$G$5),OR($H$5="",N(J335)&gt;=$H$5),OR($I$5="",ISNUMBER(SEARCH($I$5,C335&amp;" "&amp;D335&amp;" "&amp;E335&amp;" "&amp;I335)))),"✓",""))</f>
        <v/>
      </c>
      <c r="B335" s="39" t="n">
        <v>46244</v>
      </c>
      <c r="C335" s="40" t="n">
        <f aca="false">'Aug 10'!$D$20</f>
        <v>0</v>
      </c>
      <c r="D335" s="40" t="n">
        <f aca="false">'Aug 10'!$B$20</f>
        <v>0</v>
      </c>
      <c r="E335" s="41" t="n">
        <f aca="false">'Aug 10'!$E$20</f>
        <v>0</v>
      </c>
      <c r="F335" s="40" t="n">
        <f aca="false">'Aug 10'!$A$20</f>
        <v>0</v>
      </c>
      <c r="G335" s="41" t="n">
        <f aca="false">'Aug 10'!$F$20</f>
        <v>0</v>
      </c>
      <c r="H335" s="41" t="n">
        <f aca="false">'Aug 10'!$G$20</f>
        <v>0</v>
      </c>
      <c r="I335" s="41" t="str">
        <f aca="false">'Aug 10'!$M$20</f>
        <v/>
      </c>
      <c r="J335" s="42" t="str">
        <f aca="false">'Aug 10'!$S$20</f>
        <v/>
      </c>
      <c r="K335" s="40" t="n">
        <f aca="false">'Aug 10'!$AG$20</f>
        <v>0</v>
      </c>
      <c r="L335" s="40" t="n">
        <f aca="false">'Aug 10'!$N$20</f>
        <v>0</v>
      </c>
    </row>
    <row r="336" customFormat="false" ht="15" hidden="false" customHeight="false" outlineLevel="0" collapsed="false">
      <c r="A336" s="38" t="str">
        <f aca="false">IF(OR(C336="",C336=0),"",IF(AND(OR($B$5="",G336=$B$5,H336=$B$5),OR($D$5="",F336=$D$5),OR($E$5="",K336=$E$5),OR($G$5="",L336=$G$5),OR($H$5="",N(J336)&gt;=$H$5),OR($I$5="",ISNUMBER(SEARCH($I$5,C336&amp;" "&amp;D336&amp;" "&amp;E336&amp;" "&amp;I336)))),"✓",""))</f>
        <v/>
      </c>
      <c r="B336" s="39" t="n">
        <v>46244</v>
      </c>
      <c r="C336" s="40" t="n">
        <f aca="false">'Aug 10'!$D$21</f>
        <v>0</v>
      </c>
      <c r="D336" s="40" t="n">
        <f aca="false">'Aug 10'!$B$21</f>
        <v>0</v>
      </c>
      <c r="E336" s="41" t="n">
        <f aca="false">'Aug 10'!$E$21</f>
        <v>0</v>
      </c>
      <c r="F336" s="40" t="n">
        <f aca="false">'Aug 10'!$A$21</f>
        <v>0</v>
      </c>
      <c r="G336" s="41" t="n">
        <f aca="false">'Aug 10'!$F$21</f>
        <v>0</v>
      </c>
      <c r="H336" s="41" t="n">
        <f aca="false">'Aug 10'!$G$21</f>
        <v>0</v>
      </c>
      <c r="I336" s="41" t="str">
        <f aca="false">'Aug 10'!$M$21</f>
        <v/>
      </c>
      <c r="J336" s="42" t="str">
        <f aca="false">'Aug 10'!$S$21</f>
        <v/>
      </c>
      <c r="K336" s="40" t="n">
        <f aca="false">'Aug 10'!$AG$21</f>
        <v>0</v>
      </c>
      <c r="L336" s="40" t="n">
        <f aca="false">'Aug 10'!$N$21</f>
        <v>0</v>
      </c>
    </row>
    <row r="337" customFormat="false" ht="15" hidden="false" customHeight="false" outlineLevel="0" collapsed="false">
      <c r="A337" s="38" t="str">
        <f aca="false">IF(OR(C337="",C337=0),"",IF(AND(OR($B$5="",G337=$B$5,H337=$B$5),OR($D$5="",F337=$D$5),OR($E$5="",K337=$E$5),OR($G$5="",L337=$G$5),OR($H$5="",N(J337)&gt;=$H$5),OR($I$5="",ISNUMBER(SEARCH($I$5,C337&amp;" "&amp;D337&amp;" "&amp;E337&amp;" "&amp;I337)))),"✓",""))</f>
        <v/>
      </c>
      <c r="B337" s="39" t="n">
        <v>46244</v>
      </c>
      <c r="C337" s="40" t="n">
        <f aca="false">'Aug 10'!$D$22</f>
        <v>0</v>
      </c>
      <c r="D337" s="40" t="n">
        <f aca="false">'Aug 10'!$B$22</f>
        <v>0</v>
      </c>
      <c r="E337" s="41" t="n">
        <f aca="false">'Aug 10'!$E$22</f>
        <v>0</v>
      </c>
      <c r="F337" s="40" t="n">
        <f aca="false">'Aug 10'!$A$22</f>
        <v>0</v>
      </c>
      <c r="G337" s="41" t="n">
        <f aca="false">'Aug 10'!$F$22</f>
        <v>0</v>
      </c>
      <c r="H337" s="41" t="n">
        <f aca="false">'Aug 10'!$G$22</f>
        <v>0</v>
      </c>
      <c r="I337" s="41" t="str">
        <f aca="false">'Aug 10'!$M$22</f>
        <v/>
      </c>
      <c r="J337" s="42" t="str">
        <f aca="false">'Aug 10'!$S$22</f>
        <v/>
      </c>
      <c r="K337" s="40" t="n">
        <f aca="false">'Aug 10'!$AG$22</f>
        <v>0</v>
      </c>
      <c r="L337" s="40" t="n">
        <f aca="false">'Aug 10'!$N$22</f>
        <v>0</v>
      </c>
    </row>
    <row r="338" customFormat="false" ht="15" hidden="false" customHeight="false" outlineLevel="0" collapsed="false">
      <c r="A338" s="38" t="str">
        <f aca="false">IF(OR(C338="",C338=0),"",IF(AND(OR($B$5="",G338=$B$5,H338=$B$5),OR($D$5="",F338=$D$5),OR($E$5="",K338=$E$5),OR($G$5="",L338=$G$5),OR($H$5="",N(J338)&gt;=$H$5),OR($I$5="",ISNUMBER(SEARCH($I$5,C338&amp;" "&amp;D338&amp;" "&amp;E338&amp;" "&amp;I338)))),"✓",""))</f>
        <v/>
      </c>
      <c r="B338" s="39" t="n">
        <v>46244</v>
      </c>
      <c r="C338" s="40" t="n">
        <f aca="false">'Aug 10'!$D$23</f>
        <v>0</v>
      </c>
      <c r="D338" s="40" t="n">
        <f aca="false">'Aug 10'!$B$23</f>
        <v>0</v>
      </c>
      <c r="E338" s="41" t="n">
        <f aca="false">'Aug 10'!$E$23</f>
        <v>0</v>
      </c>
      <c r="F338" s="40" t="n">
        <f aca="false">'Aug 10'!$A$23</f>
        <v>0</v>
      </c>
      <c r="G338" s="41" t="n">
        <f aca="false">'Aug 10'!$F$23</f>
        <v>0</v>
      </c>
      <c r="H338" s="41" t="n">
        <f aca="false">'Aug 10'!$G$23</f>
        <v>0</v>
      </c>
      <c r="I338" s="41" t="str">
        <f aca="false">'Aug 10'!$M$23</f>
        <v/>
      </c>
      <c r="J338" s="42" t="str">
        <f aca="false">'Aug 10'!$S$23</f>
        <v/>
      </c>
      <c r="K338" s="40" t="n">
        <f aca="false">'Aug 10'!$AG$23</f>
        <v>0</v>
      </c>
      <c r="L338" s="40" t="n">
        <f aca="false">'Aug 10'!$N$23</f>
        <v>0</v>
      </c>
    </row>
    <row r="339" customFormat="false" ht="15" hidden="false" customHeight="false" outlineLevel="0" collapsed="false">
      <c r="A339" s="38" t="str">
        <f aca="false">IF(OR(C339="",C339=0),"",IF(AND(OR($B$5="",G339=$B$5,H339=$B$5),OR($D$5="",F339=$D$5),OR($E$5="",K339=$E$5),OR($G$5="",L339=$G$5),OR($H$5="",N(J339)&gt;=$H$5),OR($I$5="",ISNUMBER(SEARCH($I$5,C339&amp;" "&amp;D339&amp;" "&amp;E339&amp;" "&amp;I339)))),"✓",""))</f>
        <v/>
      </c>
      <c r="B339" s="39" t="n">
        <v>46244</v>
      </c>
      <c r="C339" s="40" t="n">
        <f aca="false">'Aug 10'!$D$24</f>
        <v>0</v>
      </c>
      <c r="D339" s="40" t="n">
        <f aca="false">'Aug 10'!$B$24</f>
        <v>0</v>
      </c>
      <c r="E339" s="41" t="n">
        <f aca="false">'Aug 10'!$E$24</f>
        <v>0</v>
      </c>
      <c r="F339" s="40" t="n">
        <f aca="false">'Aug 10'!$A$24</f>
        <v>0</v>
      </c>
      <c r="G339" s="41" t="n">
        <f aca="false">'Aug 10'!$F$24</f>
        <v>0</v>
      </c>
      <c r="H339" s="41" t="n">
        <f aca="false">'Aug 10'!$G$24</f>
        <v>0</v>
      </c>
      <c r="I339" s="41" t="str">
        <f aca="false">'Aug 10'!$M$24</f>
        <v/>
      </c>
      <c r="J339" s="42" t="str">
        <f aca="false">'Aug 10'!$S$24</f>
        <v/>
      </c>
      <c r="K339" s="40" t="n">
        <f aca="false">'Aug 10'!$AG$24</f>
        <v>0</v>
      </c>
      <c r="L339" s="40" t="n">
        <f aca="false">'Aug 10'!$N$24</f>
        <v>0</v>
      </c>
    </row>
    <row r="340" customFormat="false" ht="15" hidden="false" customHeight="false" outlineLevel="0" collapsed="false">
      <c r="A340" s="38" t="str">
        <f aca="false">IF(OR(C340="",C340=0),"",IF(AND(OR($B$5="",G340=$B$5,H340=$B$5),OR($D$5="",F340=$D$5),OR($E$5="",K340=$E$5),OR($G$5="",L340=$G$5),OR($H$5="",N(J340)&gt;=$H$5),OR($I$5="",ISNUMBER(SEARCH($I$5,C340&amp;" "&amp;D340&amp;" "&amp;E340&amp;" "&amp;I340)))),"✓",""))</f>
        <v/>
      </c>
      <c r="B340" s="39" t="n">
        <v>46244</v>
      </c>
      <c r="C340" s="40" t="n">
        <f aca="false">'Aug 10'!$D$25</f>
        <v>0</v>
      </c>
      <c r="D340" s="40" t="n">
        <f aca="false">'Aug 10'!$B$25</f>
        <v>0</v>
      </c>
      <c r="E340" s="41" t="n">
        <f aca="false">'Aug 10'!$E$25</f>
        <v>0</v>
      </c>
      <c r="F340" s="40" t="n">
        <f aca="false">'Aug 10'!$A$25</f>
        <v>0</v>
      </c>
      <c r="G340" s="41" t="n">
        <f aca="false">'Aug 10'!$F$25</f>
        <v>0</v>
      </c>
      <c r="H340" s="41" t="n">
        <f aca="false">'Aug 10'!$G$25</f>
        <v>0</v>
      </c>
      <c r="I340" s="41" t="str">
        <f aca="false">'Aug 10'!$M$25</f>
        <v/>
      </c>
      <c r="J340" s="42" t="str">
        <f aca="false">'Aug 10'!$S$25</f>
        <v/>
      </c>
      <c r="K340" s="40" t="n">
        <f aca="false">'Aug 10'!$AG$25</f>
        <v>0</v>
      </c>
      <c r="L340" s="40" t="n">
        <f aca="false">'Aug 10'!$N$25</f>
        <v>0</v>
      </c>
    </row>
    <row r="341" customFormat="false" ht="15" hidden="false" customHeight="false" outlineLevel="0" collapsed="false">
      <c r="A341" s="38" t="str">
        <f aca="false">IF(OR(C341="",C341=0),"",IF(AND(OR($B$5="",G341=$B$5,H341=$B$5),OR($D$5="",F341=$D$5),OR($E$5="",K341=$E$5),OR($G$5="",L341=$G$5),OR($H$5="",N(J341)&gt;=$H$5),OR($I$5="",ISNUMBER(SEARCH($I$5,C341&amp;" "&amp;D341&amp;" "&amp;E341&amp;" "&amp;I341)))),"✓",""))</f>
        <v/>
      </c>
      <c r="B341" s="39" t="n">
        <v>46244</v>
      </c>
      <c r="C341" s="40" t="n">
        <f aca="false">'Aug 10'!$D$26</f>
        <v>0</v>
      </c>
      <c r="D341" s="40" t="n">
        <f aca="false">'Aug 10'!$B$26</f>
        <v>0</v>
      </c>
      <c r="E341" s="41" t="n">
        <f aca="false">'Aug 10'!$E$26</f>
        <v>0</v>
      </c>
      <c r="F341" s="40" t="n">
        <f aca="false">'Aug 10'!$A$26</f>
        <v>0</v>
      </c>
      <c r="G341" s="41" t="n">
        <f aca="false">'Aug 10'!$F$26</f>
        <v>0</v>
      </c>
      <c r="H341" s="41" t="n">
        <f aca="false">'Aug 10'!$G$26</f>
        <v>0</v>
      </c>
      <c r="I341" s="41" t="str">
        <f aca="false">'Aug 10'!$M$26</f>
        <v/>
      </c>
      <c r="J341" s="42" t="str">
        <f aca="false">'Aug 10'!$S$26</f>
        <v/>
      </c>
      <c r="K341" s="40" t="n">
        <f aca="false">'Aug 10'!$AG$26</f>
        <v>0</v>
      </c>
      <c r="L341" s="40" t="n">
        <f aca="false">'Aug 10'!$N$26</f>
        <v>0</v>
      </c>
    </row>
    <row r="342" customFormat="false" ht="15" hidden="false" customHeight="false" outlineLevel="0" collapsed="false">
      <c r="A342" s="38" t="str">
        <f aca="false">IF(OR(C342="",C342=0),"",IF(AND(OR($B$5="",G342=$B$5,H342=$B$5),OR($D$5="",F342=$D$5),OR($E$5="",K342=$E$5),OR($G$5="",L342=$G$5),OR($H$5="",N(J342)&gt;=$H$5),OR($I$5="",ISNUMBER(SEARCH($I$5,C342&amp;" "&amp;D342&amp;" "&amp;E342&amp;" "&amp;I342)))),"✓",""))</f>
        <v/>
      </c>
      <c r="B342" s="39" t="n">
        <v>46244</v>
      </c>
      <c r="C342" s="40" t="n">
        <f aca="false">'Aug 10'!$D$27</f>
        <v>0</v>
      </c>
      <c r="D342" s="40" t="n">
        <f aca="false">'Aug 10'!$B$27</f>
        <v>0</v>
      </c>
      <c r="E342" s="41" t="n">
        <f aca="false">'Aug 10'!$E$27</f>
        <v>0</v>
      </c>
      <c r="F342" s="40" t="n">
        <f aca="false">'Aug 10'!$A$27</f>
        <v>0</v>
      </c>
      <c r="G342" s="41" t="n">
        <f aca="false">'Aug 10'!$F$27</f>
        <v>0</v>
      </c>
      <c r="H342" s="41" t="n">
        <f aca="false">'Aug 10'!$G$27</f>
        <v>0</v>
      </c>
      <c r="I342" s="41" t="str">
        <f aca="false">'Aug 10'!$M$27</f>
        <v/>
      </c>
      <c r="J342" s="42" t="str">
        <f aca="false">'Aug 10'!$S$27</f>
        <v/>
      </c>
      <c r="K342" s="40" t="n">
        <f aca="false">'Aug 10'!$AG$27</f>
        <v>0</v>
      </c>
      <c r="L342" s="40" t="n">
        <f aca="false">'Aug 10'!$N$27</f>
        <v>0</v>
      </c>
    </row>
    <row r="343" customFormat="false" ht="15" hidden="false" customHeight="false" outlineLevel="0" collapsed="false">
      <c r="A343" s="38" t="str">
        <f aca="false">IF(OR(C343="",C343=0),"",IF(AND(OR($B$5="",G343=$B$5,H343=$B$5),OR($D$5="",F343=$D$5),OR($E$5="",K343=$E$5),OR($G$5="",L343=$G$5),OR($H$5="",N(J343)&gt;=$H$5),OR($I$5="",ISNUMBER(SEARCH($I$5,C343&amp;" "&amp;D343&amp;" "&amp;E343&amp;" "&amp;I343)))),"✓",""))</f>
        <v/>
      </c>
      <c r="B343" s="39" t="n">
        <v>46244</v>
      </c>
      <c r="C343" s="40" t="n">
        <f aca="false">'Aug 10'!$D$28</f>
        <v>0</v>
      </c>
      <c r="D343" s="40" t="n">
        <f aca="false">'Aug 10'!$B$28</f>
        <v>0</v>
      </c>
      <c r="E343" s="41" t="n">
        <f aca="false">'Aug 10'!$E$28</f>
        <v>0</v>
      </c>
      <c r="F343" s="40" t="n">
        <f aca="false">'Aug 10'!$A$28</f>
        <v>0</v>
      </c>
      <c r="G343" s="41" t="n">
        <f aca="false">'Aug 10'!$F$28</f>
        <v>0</v>
      </c>
      <c r="H343" s="41" t="n">
        <f aca="false">'Aug 10'!$G$28</f>
        <v>0</v>
      </c>
      <c r="I343" s="41" t="str">
        <f aca="false">'Aug 10'!$M$28</f>
        <v/>
      </c>
      <c r="J343" s="42" t="str">
        <f aca="false">'Aug 10'!$S$28</f>
        <v/>
      </c>
      <c r="K343" s="40" t="n">
        <f aca="false">'Aug 10'!$AG$28</f>
        <v>0</v>
      </c>
      <c r="L343" s="40" t="n">
        <f aca="false">'Aug 10'!$N$28</f>
        <v>0</v>
      </c>
    </row>
    <row r="344" customFormat="false" ht="15" hidden="false" customHeight="false" outlineLevel="0" collapsed="false">
      <c r="A344" s="38" t="str">
        <f aca="false">IF(OR(C344="",C344=0),"",IF(AND(OR($B$5="",G344=$B$5,H344=$B$5),OR($D$5="",F344=$D$5),OR($E$5="",K344=$E$5),OR($G$5="",L344=$G$5),OR($H$5="",N(J344)&gt;=$H$5),OR($I$5="",ISNUMBER(SEARCH($I$5,C344&amp;" "&amp;D344&amp;" "&amp;E344&amp;" "&amp;I344)))),"✓",""))</f>
        <v/>
      </c>
      <c r="B344" s="39" t="n">
        <v>46244</v>
      </c>
      <c r="C344" s="40" t="n">
        <f aca="false">'Aug 10'!$D$29</f>
        <v>0</v>
      </c>
      <c r="D344" s="40" t="n">
        <f aca="false">'Aug 10'!$B$29</f>
        <v>0</v>
      </c>
      <c r="E344" s="41" t="n">
        <f aca="false">'Aug 10'!$E$29</f>
        <v>0</v>
      </c>
      <c r="F344" s="40" t="n">
        <f aca="false">'Aug 10'!$A$29</f>
        <v>0</v>
      </c>
      <c r="G344" s="41" t="n">
        <f aca="false">'Aug 10'!$F$29</f>
        <v>0</v>
      </c>
      <c r="H344" s="41" t="n">
        <f aca="false">'Aug 10'!$G$29</f>
        <v>0</v>
      </c>
      <c r="I344" s="41" t="str">
        <f aca="false">'Aug 10'!$M$29</f>
        <v/>
      </c>
      <c r="J344" s="42" t="str">
        <f aca="false">'Aug 10'!$S$29</f>
        <v/>
      </c>
      <c r="K344" s="40" t="n">
        <f aca="false">'Aug 10'!$AG$29</f>
        <v>0</v>
      </c>
      <c r="L344" s="40" t="n">
        <f aca="false">'Aug 10'!$N$29</f>
        <v>0</v>
      </c>
    </row>
    <row r="345" customFormat="false" ht="15" hidden="false" customHeight="false" outlineLevel="0" collapsed="false">
      <c r="A345" s="38" t="str">
        <f aca="false">IF(OR(C345="",C345=0),"",IF(AND(OR($B$5="",G345=$B$5,H345=$B$5),OR($D$5="",F345=$D$5),OR($E$5="",K345=$E$5),OR($G$5="",L345=$G$5),OR($H$5="",N(J345)&gt;=$H$5),OR($I$5="",ISNUMBER(SEARCH($I$5,C345&amp;" "&amp;D345&amp;" "&amp;E345&amp;" "&amp;I345)))),"✓",""))</f>
        <v/>
      </c>
      <c r="B345" s="39" t="n">
        <v>46244</v>
      </c>
      <c r="C345" s="40" t="n">
        <f aca="false">'Aug 10'!$D$30</f>
        <v>0</v>
      </c>
      <c r="D345" s="40" t="n">
        <f aca="false">'Aug 10'!$B$30</f>
        <v>0</v>
      </c>
      <c r="E345" s="41" t="n">
        <f aca="false">'Aug 10'!$E$30</f>
        <v>0</v>
      </c>
      <c r="F345" s="40" t="n">
        <f aca="false">'Aug 10'!$A$30</f>
        <v>0</v>
      </c>
      <c r="G345" s="41" t="n">
        <f aca="false">'Aug 10'!$F$30</f>
        <v>0</v>
      </c>
      <c r="H345" s="41" t="n">
        <f aca="false">'Aug 10'!$G$30</f>
        <v>0</v>
      </c>
      <c r="I345" s="41" t="str">
        <f aca="false">'Aug 10'!$M$30</f>
        <v/>
      </c>
      <c r="J345" s="42" t="str">
        <f aca="false">'Aug 10'!$S$30</f>
        <v/>
      </c>
      <c r="K345" s="40" t="n">
        <f aca="false">'Aug 10'!$AG$30</f>
        <v>0</v>
      </c>
      <c r="L345" s="40" t="n">
        <f aca="false">'Aug 10'!$N$30</f>
        <v>0</v>
      </c>
    </row>
    <row r="346" customFormat="false" ht="15" hidden="false" customHeight="false" outlineLevel="0" collapsed="false">
      <c r="A346" s="38" t="str">
        <f aca="false">IF(OR(C346="",C346=0),"",IF(AND(OR($B$5="",G346=$B$5,H346=$B$5),OR($D$5="",F346=$D$5),OR($E$5="",K346=$E$5),OR($G$5="",L346=$G$5),OR($H$5="",N(J346)&gt;=$H$5),OR($I$5="",ISNUMBER(SEARCH($I$5,C346&amp;" "&amp;D346&amp;" "&amp;E346&amp;" "&amp;I346)))),"✓",""))</f>
        <v/>
      </c>
      <c r="B346" s="39" t="n">
        <v>46244</v>
      </c>
      <c r="C346" s="40" t="n">
        <f aca="false">'Aug 10'!$D$31</f>
        <v>0</v>
      </c>
      <c r="D346" s="40" t="n">
        <f aca="false">'Aug 10'!$B$31</f>
        <v>0</v>
      </c>
      <c r="E346" s="41" t="n">
        <f aca="false">'Aug 10'!$E$31</f>
        <v>0</v>
      </c>
      <c r="F346" s="40" t="n">
        <f aca="false">'Aug 10'!$A$31</f>
        <v>0</v>
      </c>
      <c r="G346" s="41" t="n">
        <f aca="false">'Aug 10'!$F$31</f>
        <v>0</v>
      </c>
      <c r="H346" s="41" t="n">
        <f aca="false">'Aug 10'!$G$31</f>
        <v>0</v>
      </c>
      <c r="I346" s="41" t="str">
        <f aca="false">'Aug 10'!$M$31</f>
        <v/>
      </c>
      <c r="J346" s="42" t="str">
        <f aca="false">'Aug 10'!$S$31</f>
        <v/>
      </c>
      <c r="K346" s="40" t="n">
        <f aca="false">'Aug 10'!$AG$31</f>
        <v>0</v>
      </c>
      <c r="L346" s="40" t="n">
        <f aca="false">'Aug 10'!$N$31</f>
        <v>0</v>
      </c>
    </row>
    <row r="347" customFormat="false" ht="15" hidden="false" customHeight="false" outlineLevel="0" collapsed="false">
      <c r="A347" s="38" t="str">
        <f aca="false">IF(OR(C347="",C347=0),"",IF(AND(OR($B$5="",G347=$B$5,H347=$B$5),OR($D$5="",F347=$D$5),OR($E$5="",K347=$E$5),OR($G$5="",L347=$G$5),OR($H$5="",N(J347)&gt;=$H$5),OR($I$5="",ISNUMBER(SEARCH($I$5,C347&amp;" "&amp;D347&amp;" "&amp;E347&amp;" "&amp;I347)))),"✓",""))</f>
        <v/>
      </c>
      <c r="B347" s="39" t="n">
        <v>46244</v>
      </c>
      <c r="C347" s="40" t="n">
        <f aca="false">'Aug 10'!$D$32</f>
        <v>0</v>
      </c>
      <c r="D347" s="40" t="n">
        <f aca="false">'Aug 10'!$B$32</f>
        <v>0</v>
      </c>
      <c r="E347" s="41" t="n">
        <f aca="false">'Aug 10'!$E$32</f>
        <v>0</v>
      </c>
      <c r="F347" s="40" t="n">
        <f aca="false">'Aug 10'!$A$32</f>
        <v>0</v>
      </c>
      <c r="G347" s="41" t="n">
        <f aca="false">'Aug 10'!$F$32</f>
        <v>0</v>
      </c>
      <c r="H347" s="41" t="n">
        <f aca="false">'Aug 10'!$G$32</f>
        <v>0</v>
      </c>
      <c r="I347" s="41" t="str">
        <f aca="false">'Aug 10'!$M$32</f>
        <v/>
      </c>
      <c r="J347" s="42" t="str">
        <f aca="false">'Aug 10'!$S$32</f>
        <v/>
      </c>
      <c r="K347" s="40" t="n">
        <f aca="false">'Aug 10'!$AG$32</f>
        <v>0</v>
      </c>
      <c r="L347" s="40" t="n">
        <f aca="false">'Aug 10'!$N$32</f>
        <v>0</v>
      </c>
    </row>
    <row r="348" customFormat="false" ht="15" hidden="false" customHeight="false" outlineLevel="0" collapsed="false">
      <c r="A348" s="38" t="str">
        <f aca="false">IF(OR(C348="",C348=0),"",IF(AND(OR($B$5="",G348=$B$5,H348=$B$5),OR($D$5="",F348=$D$5),OR($E$5="",K348=$E$5),OR($G$5="",L348=$G$5),OR($H$5="",N(J348)&gt;=$H$5),OR($I$5="",ISNUMBER(SEARCH($I$5,C348&amp;" "&amp;D348&amp;" "&amp;E348&amp;" "&amp;I348)))),"✓",""))</f>
        <v/>
      </c>
      <c r="B348" s="39" t="n">
        <v>46244</v>
      </c>
      <c r="C348" s="40" t="n">
        <f aca="false">'Aug 10'!$D$33</f>
        <v>0</v>
      </c>
      <c r="D348" s="40" t="n">
        <f aca="false">'Aug 10'!$B$33</f>
        <v>0</v>
      </c>
      <c r="E348" s="41" t="n">
        <f aca="false">'Aug 10'!$E$33</f>
        <v>0</v>
      </c>
      <c r="F348" s="40" t="n">
        <f aca="false">'Aug 10'!$A$33</f>
        <v>0</v>
      </c>
      <c r="G348" s="41" t="n">
        <f aca="false">'Aug 10'!$F$33</f>
        <v>0</v>
      </c>
      <c r="H348" s="41" t="n">
        <f aca="false">'Aug 10'!$G$33</f>
        <v>0</v>
      </c>
      <c r="I348" s="41" t="str">
        <f aca="false">'Aug 10'!$M$33</f>
        <v/>
      </c>
      <c r="J348" s="42" t="str">
        <f aca="false">'Aug 10'!$S$33</f>
        <v/>
      </c>
      <c r="K348" s="40" t="n">
        <f aca="false">'Aug 10'!$AG$33</f>
        <v>0</v>
      </c>
      <c r="L348" s="40" t="n">
        <f aca="false">'Aug 10'!$N$33</f>
        <v>0</v>
      </c>
    </row>
    <row r="349" customFormat="false" ht="15" hidden="false" customHeight="false" outlineLevel="0" collapsed="false">
      <c r="A349" s="38" t="str">
        <f aca="false">IF(OR(C349="",C349=0),"",IF(AND(OR($B$5="",G349=$B$5,H349=$B$5),OR($D$5="",F349=$D$5),OR($E$5="",K349=$E$5),OR($G$5="",L349=$G$5),OR($H$5="",N(J349)&gt;=$H$5),OR($I$5="",ISNUMBER(SEARCH($I$5,C349&amp;" "&amp;D349&amp;" "&amp;E349&amp;" "&amp;I349)))),"✓",""))</f>
        <v/>
      </c>
      <c r="B349" s="39" t="n">
        <v>46244</v>
      </c>
      <c r="C349" s="40" t="n">
        <f aca="false">'Aug 10'!$D$34</f>
        <v>0</v>
      </c>
      <c r="D349" s="40" t="n">
        <f aca="false">'Aug 10'!$B$34</f>
        <v>0</v>
      </c>
      <c r="E349" s="41" t="n">
        <f aca="false">'Aug 10'!$E$34</f>
        <v>0</v>
      </c>
      <c r="F349" s="40" t="n">
        <f aca="false">'Aug 10'!$A$34</f>
        <v>0</v>
      </c>
      <c r="G349" s="41" t="n">
        <f aca="false">'Aug 10'!$F$34</f>
        <v>0</v>
      </c>
      <c r="H349" s="41" t="n">
        <f aca="false">'Aug 10'!$G$34</f>
        <v>0</v>
      </c>
      <c r="I349" s="41" t="str">
        <f aca="false">'Aug 10'!$M$34</f>
        <v/>
      </c>
      <c r="J349" s="42" t="str">
        <f aca="false">'Aug 10'!$S$34</f>
        <v/>
      </c>
      <c r="K349" s="40" t="n">
        <f aca="false">'Aug 10'!$AG$34</f>
        <v>0</v>
      </c>
      <c r="L349" s="40" t="n">
        <f aca="false">'Aug 10'!$N$34</f>
        <v>0</v>
      </c>
    </row>
    <row r="350" customFormat="false" ht="15" hidden="false" customHeight="false" outlineLevel="0" collapsed="false">
      <c r="A350" s="38" t="str">
        <f aca="false">IF(OR(C350="",C350=0),"",IF(AND(OR($B$5="",G350=$B$5,H350=$B$5),OR($D$5="",F350=$D$5),OR($E$5="",K350=$E$5),OR($G$5="",L350=$G$5),OR($H$5="",N(J350)&gt;=$H$5),OR($I$5="",ISNUMBER(SEARCH($I$5,C350&amp;" "&amp;D350&amp;" "&amp;E350&amp;" "&amp;I350)))),"✓",""))</f>
        <v/>
      </c>
      <c r="B350" s="39" t="n">
        <v>46244</v>
      </c>
      <c r="C350" s="40" t="n">
        <f aca="false">'Aug 10'!$D$35</f>
        <v>0</v>
      </c>
      <c r="D350" s="40" t="n">
        <f aca="false">'Aug 10'!$B$35</f>
        <v>0</v>
      </c>
      <c r="E350" s="41" t="n">
        <f aca="false">'Aug 10'!$E$35</f>
        <v>0</v>
      </c>
      <c r="F350" s="40" t="n">
        <f aca="false">'Aug 10'!$A$35</f>
        <v>0</v>
      </c>
      <c r="G350" s="41" t="n">
        <f aca="false">'Aug 10'!$F$35</f>
        <v>0</v>
      </c>
      <c r="H350" s="41" t="n">
        <f aca="false">'Aug 10'!$G$35</f>
        <v>0</v>
      </c>
      <c r="I350" s="41" t="str">
        <f aca="false">'Aug 10'!$M$35</f>
        <v/>
      </c>
      <c r="J350" s="42" t="str">
        <f aca="false">'Aug 10'!$S$35</f>
        <v/>
      </c>
      <c r="K350" s="40" t="n">
        <f aca="false">'Aug 10'!$AG$35</f>
        <v>0</v>
      </c>
      <c r="L350" s="40" t="n">
        <f aca="false">'Aug 10'!$N$35</f>
        <v>0</v>
      </c>
    </row>
    <row r="351" customFormat="false" ht="15" hidden="false" customHeight="false" outlineLevel="0" collapsed="false">
      <c r="A351" s="38" t="str">
        <f aca="false">IF(OR(C351="",C351=0),"",IF(AND(OR($B$5="",G351=$B$5,H351=$B$5),OR($D$5="",F351=$D$5),OR($E$5="",K351=$E$5),OR($G$5="",L351=$G$5),OR($H$5="",N(J351)&gt;=$H$5),OR($I$5="",ISNUMBER(SEARCH($I$5,C351&amp;" "&amp;D351&amp;" "&amp;E351&amp;" "&amp;I351)))),"✓",""))</f>
        <v/>
      </c>
      <c r="B351" s="39" t="n">
        <v>46244</v>
      </c>
      <c r="C351" s="40" t="n">
        <f aca="false">'Aug 10'!$D$36</f>
        <v>0</v>
      </c>
      <c r="D351" s="40" t="n">
        <f aca="false">'Aug 10'!$B$36</f>
        <v>0</v>
      </c>
      <c r="E351" s="41" t="n">
        <f aca="false">'Aug 10'!$E$36</f>
        <v>0</v>
      </c>
      <c r="F351" s="40" t="n">
        <f aca="false">'Aug 10'!$A$36</f>
        <v>0</v>
      </c>
      <c r="G351" s="41" t="n">
        <f aca="false">'Aug 10'!$F$36</f>
        <v>0</v>
      </c>
      <c r="H351" s="41" t="n">
        <f aca="false">'Aug 10'!$G$36</f>
        <v>0</v>
      </c>
      <c r="I351" s="41" t="str">
        <f aca="false">'Aug 10'!$M$36</f>
        <v/>
      </c>
      <c r="J351" s="42" t="str">
        <f aca="false">'Aug 10'!$S$36</f>
        <v/>
      </c>
      <c r="K351" s="40" t="n">
        <f aca="false">'Aug 10'!$AG$36</f>
        <v>0</v>
      </c>
      <c r="L351" s="40" t="n">
        <f aca="false">'Aug 10'!$N$36</f>
        <v>0</v>
      </c>
    </row>
    <row r="352" customFormat="false" ht="15" hidden="false" customHeight="false" outlineLevel="0" collapsed="false">
      <c r="A352" s="38" t="str">
        <f aca="false">IF(OR(C352="",C352=0),"",IF(AND(OR($B$5="",G352=$B$5,H352=$B$5),OR($D$5="",F352=$D$5),OR($E$5="",K352=$E$5),OR($G$5="",L352=$G$5),OR($H$5="",N(J352)&gt;=$H$5),OR($I$5="",ISNUMBER(SEARCH($I$5,C352&amp;" "&amp;D352&amp;" "&amp;E352&amp;" "&amp;I352)))),"✓",""))</f>
        <v/>
      </c>
      <c r="B352" s="39" t="n">
        <v>46244</v>
      </c>
      <c r="C352" s="40" t="n">
        <f aca="false">'Aug 10'!$D$37</f>
        <v>0</v>
      </c>
      <c r="D352" s="40" t="n">
        <f aca="false">'Aug 10'!$B$37</f>
        <v>0</v>
      </c>
      <c r="E352" s="41" t="n">
        <f aca="false">'Aug 10'!$E$37</f>
        <v>0</v>
      </c>
      <c r="F352" s="40" t="n">
        <f aca="false">'Aug 10'!$A$37</f>
        <v>0</v>
      </c>
      <c r="G352" s="41" t="n">
        <f aca="false">'Aug 10'!$F$37</f>
        <v>0</v>
      </c>
      <c r="H352" s="41" t="n">
        <f aca="false">'Aug 10'!$G$37</f>
        <v>0</v>
      </c>
      <c r="I352" s="41" t="str">
        <f aca="false">'Aug 10'!$M$37</f>
        <v/>
      </c>
      <c r="J352" s="42" t="str">
        <f aca="false">'Aug 10'!$S$37</f>
        <v/>
      </c>
      <c r="K352" s="40" t="n">
        <f aca="false">'Aug 10'!$AG$37</f>
        <v>0</v>
      </c>
      <c r="L352" s="40" t="n">
        <f aca="false">'Aug 10'!$N$37</f>
        <v>0</v>
      </c>
    </row>
    <row r="353" customFormat="false" ht="15" hidden="false" customHeight="false" outlineLevel="0" collapsed="false">
      <c r="A353" s="38" t="str">
        <f aca="false">IF(OR(C353="",C353=0),"",IF(AND(OR($B$5="",G353=$B$5,H353=$B$5),OR($D$5="",F353=$D$5),OR($E$5="",K353=$E$5),OR($G$5="",L353=$G$5),OR($H$5="",N(J353)&gt;=$H$5),OR($I$5="",ISNUMBER(SEARCH($I$5,C353&amp;" "&amp;D353&amp;" "&amp;E353&amp;" "&amp;I353)))),"✓",""))</f>
        <v/>
      </c>
      <c r="B353" s="39" t="n">
        <v>46244</v>
      </c>
      <c r="C353" s="40" t="n">
        <f aca="false">'Aug 10'!$D$38</f>
        <v>0</v>
      </c>
      <c r="D353" s="40" t="n">
        <f aca="false">'Aug 10'!$B$38</f>
        <v>0</v>
      </c>
      <c r="E353" s="41" t="n">
        <f aca="false">'Aug 10'!$E$38</f>
        <v>0</v>
      </c>
      <c r="F353" s="40" t="n">
        <f aca="false">'Aug 10'!$A$38</f>
        <v>0</v>
      </c>
      <c r="G353" s="41" t="n">
        <f aca="false">'Aug 10'!$F$38</f>
        <v>0</v>
      </c>
      <c r="H353" s="41" t="n">
        <f aca="false">'Aug 10'!$G$38</f>
        <v>0</v>
      </c>
      <c r="I353" s="41" t="str">
        <f aca="false">'Aug 10'!$M$38</f>
        <v/>
      </c>
      <c r="J353" s="42" t="str">
        <f aca="false">'Aug 10'!$S$38</f>
        <v/>
      </c>
      <c r="K353" s="40" t="n">
        <f aca="false">'Aug 10'!$AG$38</f>
        <v>0</v>
      </c>
      <c r="L353" s="40" t="n">
        <f aca="false">'Aug 10'!$N$38</f>
        <v>0</v>
      </c>
    </row>
    <row r="354" customFormat="false" ht="15" hidden="false" customHeight="false" outlineLevel="0" collapsed="false">
      <c r="A354" s="38" t="str">
        <f aca="false">IF(OR(C354="",C354=0),"",IF(AND(OR($B$5="",G354=$B$5,H354=$B$5),OR($D$5="",F354=$D$5),OR($E$5="",K354=$E$5),OR($G$5="",L354=$G$5),OR($H$5="",N(J354)&gt;=$H$5),OR($I$5="",ISNUMBER(SEARCH($I$5,C354&amp;" "&amp;D354&amp;" "&amp;E354&amp;" "&amp;I354)))),"✓",""))</f>
        <v/>
      </c>
      <c r="B354" s="39" t="n">
        <v>46244</v>
      </c>
      <c r="C354" s="40" t="n">
        <f aca="false">'Aug 10'!$D$39</f>
        <v>0</v>
      </c>
      <c r="D354" s="40" t="n">
        <f aca="false">'Aug 10'!$B$39</f>
        <v>0</v>
      </c>
      <c r="E354" s="41" t="n">
        <f aca="false">'Aug 10'!$E$39</f>
        <v>0</v>
      </c>
      <c r="F354" s="40" t="n">
        <f aca="false">'Aug 10'!$A$39</f>
        <v>0</v>
      </c>
      <c r="G354" s="41" t="n">
        <f aca="false">'Aug 10'!$F$39</f>
        <v>0</v>
      </c>
      <c r="H354" s="41" t="n">
        <f aca="false">'Aug 10'!$G$39</f>
        <v>0</v>
      </c>
      <c r="I354" s="41" t="str">
        <f aca="false">'Aug 10'!$M$39</f>
        <v/>
      </c>
      <c r="J354" s="42" t="str">
        <f aca="false">'Aug 10'!$S$39</f>
        <v/>
      </c>
      <c r="K354" s="40" t="n">
        <f aca="false">'Aug 10'!$AG$39</f>
        <v>0</v>
      </c>
      <c r="L354" s="40" t="n">
        <f aca="false">'Aug 10'!$N$39</f>
        <v>0</v>
      </c>
    </row>
    <row r="355" customFormat="false" ht="15" hidden="false" customHeight="false" outlineLevel="0" collapsed="false">
      <c r="A355" s="38" t="str">
        <f aca="false">IF(OR(C355="",C355=0),"",IF(AND(OR($B$5="",G355=$B$5,H355=$B$5),OR($D$5="",F355=$D$5),OR($E$5="",K355=$E$5),OR($G$5="",L355=$G$5),OR($H$5="",N(J355)&gt;=$H$5),OR($I$5="",ISNUMBER(SEARCH($I$5,C355&amp;" "&amp;D355&amp;" "&amp;E355&amp;" "&amp;I355)))),"✓",""))</f>
        <v/>
      </c>
      <c r="B355" s="39" t="n">
        <v>46244</v>
      </c>
      <c r="C355" s="40" t="n">
        <f aca="false">'Aug 10'!$D$40</f>
        <v>0</v>
      </c>
      <c r="D355" s="40" t="n">
        <f aca="false">'Aug 10'!$B$40</f>
        <v>0</v>
      </c>
      <c r="E355" s="41" t="n">
        <f aca="false">'Aug 10'!$E$40</f>
        <v>0</v>
      </c>
      <c r="F355" s="40" t="n">
        <f aca="false">'Aug 10'!$A$40</f>
        <v>0</v>
      </c>
      <c r="G355" s="41" t="n">
        <f aca="false">'Aug 10'!$F$40</f>
        <v>0</v>
      </c>
      <c r="H355" s="41" t="n">
        <f aca="false">'Aug 10'!$G$40</f>
        <v>0</v>
      </c>
      <c r="I355" s="41" t="str">
        <f aca="false">'Aug 10'!$M$40</f>
        <v/>
      </c>
      <c r="J355" s="42" t="str">
        <f aca="false">'Aug 10'!$S$40</f>
        <v/>
      </c>
      <c r="K355" s="40" t="n">
        <f aca="false">'Aug 10'!$AG$40</f>
        <v>0</v>
      </c>
      <c r="L355" s="40" t="n">
        <f aca="false">'Aug 10'!$N$40</f>
        <v>0</v>
      </c>
    </row>
    <row r="356" customFormat="false" ht="15" hidden="false" customHeight="false" outlineLevel="0" collapsed="false">
      <c r="A356" s="38" t="str">
        <f aca="false">IF(OR(C356="",C356=0),"",IF(AND(OR($B$5="",G356=$B$5,H356=$B$5),OR($D$5="",F356=$D$5),OR($E$5="",K356=$E$5),OR($G$5="",L356=$G$5),OR($H$5="",N(J356)&gt;=$H$5),OR($I$5="",ISNUMBER(SEARCH($I$5,C356&amp;" "&amp;D356&amp;" "&amp;E356&amp;" "&amp;I356)))),"✓",""))</f>
        <v/>
      </c>
      <c r="B356" s="39" t="n">
        <v>46244</v>
      </c>
      <c r="C356" s="40" t="n">
        <f aca="false">'Aug 10'!$D$41</f>
        <v>0</v>
      </c>
      <c r="D356" s="40" t="n">
        <f aca="false">'Aug 10'!$B$41</f>
        <v>0</v>
      </c>
      <c r="E356" s="41" t="n">
        <f aca="false">'Aug 10'!$E$41</f>
        <v>0</v>
      </c>
      <c r="F356" s="40" t="n">
        <f aca="false">'Aug 10'!$A$41</f>
        <v>0</v>
      </c>
      <c r="G356" s="41" t="n">
        <f aca="false">'Aug 10'!$F$41</f>
        <v>0</v>
      </c>
      <c r="H356" s="41" t="n">
        <f aca="false">'Aug 10'!$G$41</f>
        <v>0</v>
      </c>
      <c r="I356" s="41" t="str">
        <f aca="false">'Aug 10'!$M$41</f>
        <v/>
      </c>
      <c r="J356" s="42" t="str">
        <f aca="false">'Aug 10'!$S$41</f>
        <v/>
      </c>
      <c r="K356" s="40" t="n">
        <f aca="false">'Aug 10'!$AG$41</f>
        <v>0</v>
      </c>
      <c r="L356" s="40" t="n">
        <f aca="false">'Aug 10'!$N$41</f>
        <v>0</v>
      </c>
    </row>
    <row r="357" customFormat="false" ht="15" hidden="false" customHeight="false" outlineLevel="0" collapsed="false">
      <c r="A357" s="38" t="str">
        <f aca="false">IF(OR(C357="",C357=0),"",IF(AND(OR($B$5="",G357=$B$5,H357=$B$5),OR($D$5="",F357=$D$5),OR($E$5="",K357=$E$5),OR($G$5="",L357=$G$5),OR($H$5="",N(J357)&gt;=$H$5),OR($I$5="",ISNUMBER(SEARCH($I$5,C357&amp;" "&amp;D357&amp;" "&amp;E357&amp;" "&amp;I357)))),"✓",""))</f>
        <v/>
      </c>
      <c r="B357" s="39" t="n">
        <v>46244</v>
      </c>
      <c r="C357" s="40" t="n">
        <f aca="false">'Aug 10'!$D$42</f>
        <v>0</v>
      </c>
      <c r="D357" s="40" t="n">
        <f aca="false">'Aug 10'!$B$42</f>
        <v>0</v>
      </c>
      <c r="E357" s="41" t="n">
        <f aca="false">'Aug 10'!$E$42</f>
        <v>0</v>
      </c>
      <c r="F357" s="40" t="n">
        <f aca="false">'Aug 10'!$A$42</f>
        <v>0</v>
      </c>
      <c r="G357" s="41" t="n">
        <f aca="false">'Aug 10'!$F$42</f>
        <v>0</v>
      </c>
      <c r="H357" s="41" t="n">
        <f aca="false">'Aug 10'!$G$42</f>
        <v>0</v>
      </c>
      <c r="I357" s="41" t="str">
        <f aca="false">'Aug 10'!$M$42</f>
        <v/>
      </c>
      <c r="J357" s="42" t="str">
        <f aca="false">'Aug 10'!$S$42</f>
        <v/>
      </c>
      <c r="K357" s="40" t="n">
        <f aca="false">'Aug 10'!$AG$42</f>
        <v>0</v>
      </c>
      <c r="L357" s="40" t="n">
        <f aca="false">'Aug 10'!$N$42</f>
        <v>0</v>
      </c>
    </row>
    <row r="358" customFormat="false" ht="15" hidden="false" customHeight="false" outlineLevel="0" collapsed="false">
      <c r="A358" s="38" t="str">
        <f aca="false">IF(OR(C358="",C358=0),"",IF(AND(OR($B$5="",G358=$B$5,H358=$B$5),OR($D$5="",F358=$D$5),OR($E$5="",K358=$E$5),OR($G$5="",L358=$G$5),OR($H$5="",N(J358)&gt;=$H$5),OR($I$5="",ISNUMBER(SEARCH($I$5,C358&amp;" "&amp;D358&amp;" "&amp;E358&amp;" "&amp;I358)))),"✓",""))</f>
        <v/>
      </c>
      <c r="B358" s="39" t="n">
        <v>46245</v>
      </c>
      <c r="C358" s="40" t="n">
        <f aca="false">'Aug 11'!$D$8</f>
        <v>0</v>
      </c>
      <c r="D358" s="40" t="n">
        <f aca="false">'Aug 11'!$B$8</f>
        <v>0</v>
      </c>
      <c r="E358" s="41" t="n">
        <f aca="false">'Aug 11'!$E$8</f>
        <v>0</v>
      </c>
      <c r="F358" s="40" t="n">
        <f aca="false">'Aug 11'!$A$8</f>
        <v>0</v>
      </c>
      <c r="G358" s="41" t="n">
        <f aca="false">'Aug 11'!$F$8</f>
        <v>0</v>
      </c>
      <c r="H358" s="41" t="n">
        <f aca="false">'Aug 11'!$G$8</f>
        <v>0</v>
      </c>
      <c r="I358" s="41" t="str">
        <f aca="false">'Aug 11'!$M$8</f>
        <v/>
      </c>
      <c r="J358" s="42" t="str">
        <f aca="false">'Aug 11'!$S$8</f>
        <v/>
      </c>
      <c r="K358" s="40" t="n">
        <f aca="false">'Aug 11'!$AG$8</f>
        <v>0</v>
      </c>
      <c r="L358" s="40" t="n">
        <f aca="false">'Aug 11'!$N$8</f>
        <v>0</v>
      </c>
    </row>
    <row r="359" customFormat="false" ht="15" hidden="false" customHeight="false" outlineLevel="0" collapsed="false">
      <c r="A359" s="38" t="str">
        <f aca="false">IF(OR(C359="",C359=0),"",IF(AND(OR($B$5="",G359=$B$5,H359=$B$5),OR($D$5="",F359=$D$5),OR($E$5="",K359=$E$5),OR($G$5="",L359=$G$5),OR($H$5="",N(J359)&gt;=$H$5),OR($I$5="",ISNUMBER(SEARCH($I$5,C359&amp;" "&amp;D359&amp;" "&amp;E359&amp;" "&amp;I359)))),"✓",""))</f>
        <v/>
      </c>
      <c r="B359" s="39" t="n">
        <v>46245</v>
      </c>
      <c r="C359" s="40" t="n">
        <f aca="false">'Aug 11'!$D$9</f>
        <v>0</v>
      </c>
      <c r="D359" s="40" t="n">
        <f aca="false">'Aug 11'!$B$9</f>
        <v>0</v>
      </c>
      <c r="E359" s="41" t="n">
        <f aca="false">'Aug 11'!$E$9</f>
        <v>0</v>
      </c>
      <c r="F359" s="40" t="n">
        <f aca="false">'Aug 11'!$A$9</f>
        <v>0</v>
      </c>
      <c r="G359" s="41" t="n">
        <f aca="false">'Aug 11'!$F$9</f>
        <v>0</v>
      </c>
      <c r="H359" s="41" t="n">
        <f aca="false">'Aug 11'!$G$9</f>
        <v>0</v>
      </c>
      <c r="I359" s="41" t="str">
        <f aca="false">'Aug 11'!$M$9</f>
        <v/>
      </c>
      <c r="J359" s="42" t="str">
        <f aca="false">'Aug 11'!$S$9</f>
        <v/>
      </c>
      <c r="K359" s="40" t="n">
        <f aca="false">'Aug 11'!$AG$9</f>
        <v>0</v>
      </c>
      <c r="L359" s="40" t="n">
        <f aca="false">'Aug 11'!$N$9</f>
        <v>0</v>
      </c>
    </row>
    <row r="360" customFormat="false" ht="15" hidden="false" customHeight="false" outlineLevel="0" collapsed="false">
      <c r="A360" s="38" t="str">
        <f aca="false">IF(OR(C360="",C360=0),"",IF(AND(OR($B$5="",G360=$B$5,H360=$B$5),OR($D$5="",F360=$D$5),OR($E$5="",K360=$E$5),OR($G$5="",L360=$G$5),OR($H$5="",N(J360)&gt;=$H$5),OR($I$5="",ISNUMBER(SEARCH($I$5,C360&amp;" "&amp;D360&amp;" "&amp;E360&amp;" "&amp;I360)))),"✓",""))</f>
        <v/>
      </c>
      <c r="B360" s="39" t="n">
        <v>46245</v>
      </c>
      <c r="C360" s="40" t="n">
        <f aca="false">'Aug 11'!$D$10</f>
        <v>0</v>
      </c>
      <c r="D360" s="40" t="n">
        <f aca="false">'Aug 11'!$B$10</f>
        <v>0</v>
      </c>
      <c r="E360" s="41" t="n">
        <f aca="false">'Aug 11'!$E$10</f>
        <v>0</v>
      </c>
      <c r="F360" s="40" t="n">
        <f aca="false">'Aug 11'!$A$10</f>
        <v>0</v>
      </c>
      <c r="G360" s="41" t="n">
        <f aca="false">'Aug 11'!$F$10</f>
        <v>0</v>
      </c>
      <c r="H360" s="41" t="n">
        <f aca="false">'Aug 11'!$G$10</f>
        <v>0</v>
      </c>
      <c r="I360" s="41" t="str">
        <f aca="false">'Aug 11'!$M$10</f>
        <v/>
      </c>
      <c r="J360" s="42" t="str">
        <f aca="false">'Aug 11'!$S$10</f>
        <v/>
      </c>
      <c r="K360" s="40" t="n">
        <f aca="false">'Aug 11'!$AG$10</f>
        <v>0</v>
      </c>
      <c r="L360" s="40" t="n">
        <f aca="false">'Aug 11'!$N$10</f>
        <v>0</v>
      </c>
    </row>
    <row r="361" customFormat="false" ht="15" hidden="false" customHeight="false" outlineLevel="0" collapsed="false">
      <c r="A361" s="38" t="str">
        <f aca="false">IF(OR(C361="",C361=0),"",IF(AND(OR($B$5="",G361=$B$5,H361=$B$5),OR($D$5="",F361=$D$5),OR($E$5="",K361=$E$5),OR($G$5="",L361=$G$5),OR($H$5="",N(J361)&gt;=$H$5),OR($I$5="",ISNUMBER(SEARCH($I$5,C361&amp;" "&amp;D361&amp;" "&amp;E361&amp;" "&amp;I361)))),"✓",""))</f>
        <v/>
      </c>
      <c r="B361" s="39" t="n">
        <v>46245</v>
      </c>
      <c r="C361" s="40" t="n">
        <f aca="false">'Aug 11'!$D$11</f>
        <v>0</v>
      </c>
      <c r="D361" s="40" t="n">
        <f aca="false">'Aug 11'!$B$11</f>
        <v>0</v>
      </c>
      <c r="E361" s="41" t="n">
        <f aca="false">'Aug 11'!$E$11</f>
        <v>0</v>
      </c>
      <c r="F361" s="40" t="n">
        <f aca="false">'Aug 11'!$A$11</f>
        <v>0</v>
      </c>
      <c r="G361" s="41" t="n">
        <f aca="false">'Aug 11'!$F$11</f>
        <v>0</v>
      </c>
      <c r="H361" s="41" t="n">
        <f aca="false">'Aug 11'!$G$11</f>
        <v>0</v>
      </c>
      <c r="I361" s="41" t="str">
        <f aca="false">'Aug 11'!$M$11</f>
        <v/>
      </c>
      <c r="J361" s="42" t="str">
        <f aca="false">'Aug 11'!$S$11</f>
        <v/>
      </c>
      <c r="K361" s="40" t="n">
        <f aca="false">'Aug 11'!$AG$11</f>
        <v>0</v>
      </c>
      <c r="L361" s="40" t="n">
        <f aca="false">'Aug 11'!$N$11</f>
        <v>0</v>
      </c>
    </row>
    <row r="362" customFormat="false" ht="15" hidden="false" customHeight="false" outlineLevel="0" collapsed="false">
      <c r="A362" s="38" t="str">
        <f aca="false">IF(OR(C362="",C362=0),"",IF(AND(OR($B$5="",G362=$B$5,H362=$B$5),OR($D$5="",F362=$D$5),OR($E$5="",K362=$E$5),OR($G$5="",L362=$G$5),OR($H$5="",N(J362)&gt;=$H$5),OR($I$5="",ISNUMBER(SEARCH($I$5,C362&amp;" "&amp;D362&amp;" "&amp;E362&amp;" "&amp;I362)))),"✓",""))</f>
        <v/>
      </c>
      <c r="B362" s="39" t="n">
        <v>46245</v>
      </c>
      <c r="C362" s="40" t="n">
        <f aca="false">'Aug 11'!$D$12</f>
        <v>0</v>
      </c>
      <c r="D362" s="40" t="n">
        <f aca="false">'Aug 11'!$B$12</f>
        <v>0</v>
      </c>
      <c r="E362" s="41" t="n">
        <f aca="false">'Aug 11'!$E$12</f>
        <v>0</v>
      </c>
      <c r="F362" s="40" t="n">
        <f aca="false">'Aug 11'!$A$12</f>
        <v>0</v>
      </c>
      <c r="G362" s="41" t="n">
        <f aca="false">'Aug 11'!$F$12</f>
        <v>0</v>
      </c>
      <c r="H362" s="41" t="n">
        <f aca="false">'Aug 11'!$G$12</f>
        <v>0</v>
      </c>
      <c r="I362" s="41" t="str">
        <f aca="false">'Aug 11'!$M$12</f>
        <v/>
      </c>
      <c r="J362" s="42" t="str">
        <f aca="false">'Aug 11'!$S$12</f>
        <v/>
      </c>
      <c r="K362" s="40" t="n">
        <f aca="false">'Aug 11'!$AG$12</f>
        <v>0</v>
      </c>
      <c r="L362" s="40" t="n">
        <f aca="false">'Aug 11'!$N$12</f>
        <v>0</v>
      </c>
    </row>
    <row r="363" customFormat="false" ht="15" hidden="false" customHeight="false" outlineLevel="0" collapsed="false">
      <c r="A363" s="38" t="str">
        <f aca="false">IF(OR(C363="",C363=0),"",IF(AND(OR($B$5="",G363=$B$5,H363=$B$5),OR($D$5="",F363=$D$5),OR($E$5="",K363=$E$5),OR($G$5="",L363=$G$5),OR($H$5="",N(J363)&gt;=$H$5),OR($I$5="",ISNUMBER(SEARCH($I$5,C363&amp;" "&amp;D363&amp;" "&amp;E363&amp;" "&amp;I363)))),"✓",""))</f>
        <v/>
      </c>
      <c r="B363" s="39" t="n">
        <v>46245</v>
      </c>
      <c r="C363" s="40" t="n">
        <f aca="false">'Aug 11'!$D$13</f>
        <v>0</v>
      </c>
      <c r="D363" s="40" t="n">
        <f aca="false">'Aug 11'!$B$13</f>
        <v>0</v>
      </c>
      <c r="E363" s="41" t="n">
        <f aca="false">'Aug 11'!$E$13</f>
        <v>0</v>
      </c>
      <c r="F363" s="40" t="n">
        <f aca="false">'Aug 11'!$A$13</f>
        <v>0</v>
      </c>
      <c r="G363" s="41" t="n">
        <f aca="false">'Aug 11'!$F$13</f>
        <v>0</v>
      </c>
      <c r="H363" s="41" t="n">
        <f aca="false">'Aug 11'!$G$13</f>
        <v>0</v>
      </c>
      <c r="I363" s="41" t="str">
        <f aca="false">'Aug 11'!$M$13</f>
        <v/>
      </c>
      <c r="J363" s="42" t="str">
        <f aca="false">'Aug 11'!$S$13</f>
        <v/>
      </c>
      <c r="K363" s="40" t="n">
        <f aca="false">'Aug 11'!$AG$13</f>
        <v>0</v>
      </c>
      <c r="L363" s="40" t="n">
        <f aca="false">'Aug 11'!$N$13</f>
        <v>0</v>
      </c>
    </row>
    <row r="364" customFormat="false" ht="15" hidden="false" customHeight="false" outlineLevel="0" collapsed="false">
      <c r="A364" s="38" t="str">
        <f aca="false">IF(OR(C364="",C364=0),"",IF(AND(OR($B$5="",G364=$B$5,H364=$B$5),OR($D$5="",F364=$D$5),OR($E$5="",K364=$E$5),OR($G$5="",L364=$G$5),OR($H$5="",N(J364)&gt;=$H$5),OR($I$5="",ISNUMBER(SEARCH($I$5,C364&amp;" "&amp;D364&amp;" "&amp;E364&amp;" "&amp;I364)))),"✓",""))</f>
        <v/>
      </c>
      <c r="B364" s="39" t="n">
        <v>46245</v>
      </c>
      <c r="C364" s="40" t="n">
        <f aca="false">'Aug 11'!$D$14</f>
        <v>0</v>
      </c>
      <c r="D364" s="40" t="n">
        <f aca="false">'Aug 11'!$B$14</f>
        <v>0</v>
      </c>
      <c r="E364" s="41" t="n">
        <f aca="false">'Aug 11'!$E$14</f>
        <v>0</v>
      </c>
      <c r="F364" s="40" t="n">
        <f aca="false">'Aug 11'!$A$14</f>
        <v>0</v>
      </c>
      <c r="G364" s="41" t="n">
        <f aca="false">'Aug 11'!$F$14</f>
        <v>0</v>
      </c>
      <c r="H364" s="41" t="n">
        <f aca="false">'Aug 11'!$G$14</f>
        <v>0</v>
      </c>
      <c r="I364" s="41" t="str">
        <f aca="false">'Aug 11'!$M$14</f>
        <v/>
      </c>
      <c r="J364" s="42" t="str">
        <f aca="false">'Aug 11'!$S$14</f>
        <v/>
      </c>
      <c r="K364" s="40" t="n">
        <f aca="false">'Aug 11'!$AG$14</f>
        <v>0</v>
      </c>
      <c r="L364" s="40" t="n">
        <f aca="false">'Aug 11'!$N$14</f>
        <v>0</v>
      </c>
    </row>
    <row r="365" customFormat="false" ht="15" hidden="false" customHeight="false" outlineLevel="0" collapsed="false">
      <c r="A365" s="38" t="str">
        <f aca="false">IF(OR(C365="",C365=0),"",IF(AND(OR($B$5="",G365=$B$5,H365=$B$5),OR($D$5="",F365=$D$5),OR($E$5="",K365=$E$5),OR($G$5="",L365=$G$5),OR($H$5="",N(J365)&gt;=$H$5),OR($I$5="",ISNUMBER(SEARCH($I$5,C365&amp;" "&amp;D365&amp;" "&amp;E365&amp;" "&amp;I365)))),"✓",""))</f>
        <v/>
      </c>
      <c r="B365" s="39" t="n">
        <v>46245</v>
      </c>
      <c r="C365" s="40" t="n">
        <f aca="false">'Aug 11'!$D$15</f>
        <v>0</v>
      </c>
      <c r="D365" s="40" t="n">
        <f aca="false">'Aug 11'!$B$15</f>
        <v>0</v>
      </c>
      <c r="E365" s="41" t="n">
        <f aca="false">'Aug 11'!$E$15</f>
        <v>0</v>
      </c>
      <c r="F365" s="40" t="n">
        <f aca="false">'Aug 11'!$A$15</f>
        <v>0</v>
      </c>
      <c r="G365" s="41" t="n">
        <f aca="false">'Aug 11'!$F$15</f>
        <v>0</v>
      </c>
      <c r="H365" s="41" t="n">
        <f aca="false">'Aug 11'!$G$15</f>
        <v>0</v>
      </c>
      <c r="I365" s="41" t="str">
        <f aca="false">'Aug 11'!$M$15</f>
        <v/>
      </c>
      <c r="J365" s="42" t="str">
        <f aca="false">'Aug 11'!$S$15</f>
        <v/>
      </c>
      <c r="K365" s="40" t="n">
        <f aca="false">'Aug 11'!$AG$15</f>
        <v>0</v>
      </c>
      <c r="L365" s="40" t="n">
        <f aca="false">'Aug 11'!$N$15</f>
        <v>0</v>
      </c>
    </row>
    <row r="366" customFormat="false" ht="15" hidden="false" customHeight="false" outlineLevel="0" collapsed="false">
      <c r="A366" s="38" t="str">
        <f aca="false">IF(OR(C366="",C366=0),"",IF(AND(OR($B$5="",G366=$B$5,H366=$B$5),OR($D$5="",F366=$D$5),OR($E$5="",K366=$E$5),OR($G$5="",L366=$G$5),OR($H$5="",N(J366)&gt;=$H$5),OR($I$5="",ISNUMBER(SEARCH($I$5,C366&amp;" "&amp;D366&amp;" "&amp;E366&amp;" "&amp;I366)))),"✓",""))</f>
        <v/>
      </c>
      <c r="B366" s="39" t="n">
        <v>46245</v>
      </c>
      <c r="C366" s="40" t="n">
        <f aca="false">'Aug 11'!$D$16</f>
        <v>0</v>
      </c>
      <c r="D366" s="40" t="n">
        <f aca="false">'Aug 11'!$B$16</f>
        <v>0</v>
      </c>
      <c r="E366" s="41" t="n">
        <f aca="false">'Aug 11'!$E$16</f>
        <v>0</v>
      </c>
      <c r="F366" s="40" t="n">
        <f aca="false">'Aug 11'!$A$16</f>
        <v>0</v>
      </c>
      <c r="G366" s="41" t="n">
        <f aca="false">'Aug 11'!$F$16</f>
        <v>0</v>
      </c>
      <c r="H366" s="41" t="n">
        <f aca="false">'Aug 11'!$G$16</f>
        <v>0</v>
      </c>
      <c r="I366" s="41" t="str">
        <f aca="false">'Aug 11'!$M$16</f>
        <v/>
      </c>
      <c r="J366" s="42" t="str">
        <f aca="false">'Aug 11'!$S$16</f>
        <v/>
      </c>
      <c r="K366" s="40" t="n">
        <f aca="false">'Aug 11'!$AG$16</f>
        <v>0</v>
      </c>
      <c r="L366" s="40" t="n">
        <f aca="false">'Aug 11'!$N$16</f>
        <v>0</v>
      </c>
    </row>
    <row r="367" customFormat="false" ht="15" hidden="false" customHeight="false" outlineLevel="0" collapsed="false">
      <c r="A367" s="38" t="str">
        <f aca="false">IF(OR(C367="",C367=0),"",IF(AND(OR($B$5="",G367=$B$5,H367=$B$5),OR($D$5="",F367=$D$5),OR($E$5="",K367=$E$5),OR($G$5="",L367=$G$5),OR($H$5="",N(J367)&gt;=$H$5),OR($I$5="",ISNUMBER(SEARCH($I$5,C367&amp;" "&amp;D367&amp;" "&amp;E367&amp;" "&amp;I367)))),"✓",""))</f>
        <v/>
      </c>
      <c r="B367" s="39" t="n">
        <v>46245</v>
      </c>
      <c r="C367" s="40" t="n">
        <f aca="false">'Aug 11'!$D$17</f>
        <v>0</v>
      </c>
      <c r="D367" s="40" t="n">
        <f aca="false">'Aug 11'!$B$17</f>
        <v>0</v>
      </c>
      <c r="E367" s="41" t="n">
        <f aca="false">'Aug 11'!$E$17</f>
        <v>0</v>
      </c>
      <c r="F367" s="40" t="n">
        <f aca="false">'Aug 11'!$A$17</f>
        <v>0</v>
      </c>
      <c r="G367" s="41" t="n">
        <f aca="false">'Aug 11'!$F$17</f>
        <v>0</v>
      </c>
      <c r="H367" s="41" t="n">
        <f aca="false">'Aug 11'!$G$17</f>
        <v>0</v>
      </c>
      <c r="I367" s="41" t="str">
        <f aca="false">'Aug 11'!$M$17</f>
        <v/>
      </c>
      <c r="J367" s="42" t="str">
        <f aca="false">'Aug 11'!$S$17</f>
        <v/>
      </c>
      <c r="K367" s="40" t="n">
        <f aca="false">'Aug 11'!$AG$17</f>
        <v>0</v>
      </c>
      <c r="L367" s="40" t="n">
        <f aca="false">'Aug 11'!$N$17</f>
        <v>0</v>
      </c>
    </row>
    <row r="368" customFormat="false" ht="15" hidden="false" customHeight="false" outlineLevel="0" collapsed="false">
      <c r="A368" s="38" t="str">
        <f aca="false">IF(OR(C368="",C368=0),"",IF(AND(OR($B$5="",G368=$B$5,H368=$B$5),OR($D$5="",F368=$D$5),OR($E$5="",K368=$E$5),OR($G$5="",L368=$G$5),OR($H$5="",N(J368)&gt;=$H$5),OR($I$5="",ISNUMBER(SEARCH($I$5,C368&amp;" "&amp;D368&amp;" "&amp;E368&amp;" "&amp;I368)))),"✓",""))</f>
        <v/>
      </c>
      <c r="B368" s="39" t="n">
        <v>46245</v>
      </c>
      <c r="C368" s="40" t="n">
        <f aca="false">'Aug 11'!$D$18</f>
        <v>0</v>
      </c>
      <c r="D368" s="40" t="n">
        <f aca="false">'Aug 11'!$B$18</f>
        <v>0</v>
      </c>
      <c r="E368" s="41" t="n">
        <f aca="false">'Aug 11'!$E$18</f>
        <v>0</v>
      </c>
      <c r="F368" s="40" t="n">
        <f aca="false">'Aug 11'!$A$18</f>
        <v>0</v>
      </c>
      <c r="G368" s="41" t="n">
        <f aca="false">'Aug 11'!$F$18</f>
        <v>0</v>
      </c>
      <c r="H368" s="41" t="n">
        <f aca="false">'Aug 11'!$G$18</f>
        <v>0</v>
      </c>
      <c r="I368" s="41" t="str">
        <f aca="false">'Aug 11'!$M$18</f>
        <v/>
      </c>
      <c r="J368" s="42" t="str">
        <f aca="false">'Aug 11'!$S$18</f>
        <v/>
      </c>
      <c r="K368" s="40" t="n">
        <f aca="false">'Aug 11'!$AG$18</f>
        <v>0</v>
      </c>
      <c r="L368" s="40" t="n">
        <f aca="false">'Aug 11'!$N$18</f>
        <v>0</v>
      </c>
    </row>
    <row r="369" customFormat="false" ht="15" hidden="false" customHeight="false" outlineLevel="0" collapsed="false">
      <c r="A369" s="38" t="str">
        <f aca="false">IF(OR(C369="",C369=0),"",IF(AND(OR($B$5="",G369=$B$5,H369=$B$5),OR($D$5="",F369=$D$5),OR($E$5="",K369=$E$5),OR($G$5="",L369=$G$5),OR($H$5="",N(J369)&gt;=$H$5),OR($I$5="",ISNUMBER(SEARCH($I$5,C369&amp;" "&amp;D369&amp;" "&amp;E369&amp;" "&amp;I369)))),"✓",""))</f>
        <v/>
      </c>
      <c r="B369" s="39" t="n">
        <v>46245</v>
      </c>
      <c r="C369" s="40" t="n">
        <f aca="false">'Aug 11'!$D$19</f>
        <v>0</v>
      </c>
      <c r="D369" s="40" t="n">
        <f aca="false">'Aug 11'!$B$19</f>
        <v>0</v>
      </c>
      <c r="E369" s="41" t="n">
        <f aca="false">'Aug 11'!$E$19</f>
        <v>0</v>
      </c>
      <c r="F369" s="40" t="n">
        <f aca="false">'Aug 11'!$A$19</f>
        <v>0</v>
      </c>
      <c r="G369" s="41" t="n">
        <f aca="false">'Aug 11'!$F$19</f>
        <v>0</v>
      </c>
      <c r="H369" s="41" t="n">
        <f aca="false">'Aug 11'!$G$19</f>
        <v>0</v>
      </c>
      <c r="I369" s="41" t="str">
        <f aca="false">'Aug 11'!$M$19</f>
        <v/>
      </c>
      <c r="J369" s="42" t="str">
        <f aca="false">'Aug 11'!$S$19</f>
        <v/>
      </c>
      <c r="K369" s="40" t="n">
        <f aca="false">'Aug 11'!$AG$19</f>
        <v>0</v>
      </c>
      <c r="L369" s="40" t="n">
        <f aca="false">'Aug 11'!$N$19</f>
        <v>0</v>
      </c>
    </row>
    <row r="370" customFormat="false" ht="15" hidden="false" customHeight="false" outlineLevel="0" collapsed="false">
      <c r="A370" s="38" t="str">
        <f aca="false">IF(OR(C370="",C370=0),"",IF(AND(OR($B$5="",G370=$B$5,H370=$B$5),OR($D$5="",F370=$D$5),OR($E$5="",K370=$E$5),OR($G$5="",L370=$G$5),OR($H$5="",N(J370)&gt;=$H$5),OR($I$5="",ISNUMBER(SEARCH($I$5,C370&amp;" "&amp;D370&amp;" "&amp;E370&amp;" "&amp;I370)))),"✓",""))</f>
        <v/>
      </c>
      <c r="B370" s="39" t="n">
        <v>46245</v>
      </c>
      <c r="C370" s="40" t="n">
        <f aca="false">'Aug 11'!$D$20</f>
        <v>0</v>
      </c>
      <c r="D370" s="40" t="n">
        <f aca="false">'Aug 11'!$B$20</f>
        <v>0</v>
      </c>
      <c r="E370" s="41" t="n">
        <f aca="false">'Aug 11'!$E$20</f>
        <v>0</v>
      </c>
      <c r="F370" s="40" t="n">
        <f aca="false">'Aug 11'!$A$20</f>
        <v>0</v>
      </c>
      <c r="G370" s="41" t="n">
        <f aca="false">'Aug 11'!$F$20</f>
        <v>0</v>
      </c>
      <c r="H370" s="41" t="n">
        <f aca="false">'Aug 11'!$G$20</f>
        <v>0</v>
      </c>
      <c r="I370" s="41" t="str">
        <f aca="false">'Aug 11'!$M$20</f>
        <v/>
      </c>
      <c r="J370" s="42" t="str">
        <f aca="false">'Aug 11'!$S$20</f>
        <v/>
      </c>
      <c r="K370" s="40" t="n">
        <f aca="false">'Aug 11'!$AG$20</f>
        <v>0</v>
      </c>
      <c r="L370" s="40" t="n">
        <f aca="false">'Aug 11'!$N$20</f>
        <v>0</v>
      </c>
    </row>
    <row r="371" customFormat="false" ht="15" hidden="false" customHeight="false" outlineLevel="0" collapsed="false">
      <c r="A371" s="38" t="str">
        <f aca="false">IF(OR(C371="",C371=0),"",IF(AND(OR($B$5="",G371=$B$5,H371=$B$5),OR($D$5="",F371=$D$5),OR($E$5="",K371=$E$5),OR($G$5="",L371=$G$5),OR($H$5="",N(J371)&gt;=$H$5),OR($I$5="",ISNUMBER(SEARCH($I$5,C371&amp;" "&amp;D371&amp;" "&amp;E371&amp;" "&amp;I371)))),"✓",""))</f>
        <v/>
      </c>
      <c r="B371" s="39" t="n">
        <v>46245</v>
      </c>
      <c r="C371" s="40" t="n">
        <f aca="false">'Aug 11'!$D$21</f>
        <v>0</v>
      </c>
      <c r="D371" s="40" t="n">
        <f aca="false">'Aug 11'!$B$21</f>
        <v>0</v>
      </c>
      <c r="E371" s="41" t="n">
        <f aca="false">'Aug 11'!$E$21</f>
        <v>0</v>
      </c>
      <c r="F371" s="40" t="n">
        <f aca="false">'Aug 11'!$A$21</f>
        <v>0</v>
      </c>
      <c r="G371" s="41" t="n">
        <f aca="false">'Aug 11'!$F$21</f>
        <v>0</v>
      </c>
      <c r="H371" s="41" t="n">
        <f aca="false">'Aug 11'!$G$21</f>
        <v>0</v>
      </c>
      <c r="I371" s="41" t="str">
        <f aca="false">'Aug 11'!$M$21</f>
        <v/>
      </c>
      <c r="J371" s="42" t="str">
        <f aca="false">'Aug 11'!$S$21</f>
        <v/>
      </c>
      <c r="K371" s="40" t="n">
        <f aca="false">'Aug 11'!$AG$21</f>
        <v>0</v>
      </c>
      <c r="L371" s="40" t="n">
        <f aca="false">'Aug 11'!$N$21</f>
        <v>0</v>
      </c>
    </row>
    <row r="372" customFormat="false" ht="15" hidden="false" customHeight="false" outlineLevel="0" collapsed="false">
      <c r="A372" s="38" t="str">
        <f aca="false">IF(OR(C372="",C372=0),"",IF(AND(OR($B$5="",G372=$B$5,H372=$B$5),OR($D$5="",F372=$D$5),OR($E$5="",K372=$E$5),OR($G$5="",L372=$G$5),OR($H$5="",N(J372)&gt;=$H$5),OR($I$5="",ISNUMBER(SEARCH($I$5,C372&amp;" "&amp;D372&amp;" "&amp;E372&amp;" "&amp;I372)))),"✓",""))</f>
        <v/>
      </c>
      <c r="B372" s="39" t="n">
        <v>46245</v>
      </c>
      <c r="C372" s="40" t="n">
        <f aca="false">'Aug 11'!$D$22</f>
        <v>0</v>
      </c>
      <c r="D372" s="40" t="n">
        <f aca="false">'Aug 11'!$B$22</f>
        <v>0</v>
      </c>
      <c r="E372" s="41" t="n">
        <f aca="false">'Aug 11'!$E$22</f>
        <v>0</v>
      </c>
      <c r="F372" s="40" t="n">
        <f aca="false">'Aug 11'!$A$22</f>
        <v>0</v>
      </c>
      <c r="G372" s="41" t="n">
        <f aca="false">'Aug 11'!$F$22</f>
        <v>0</v>
      </c>
      <c r="H372" s="41" t="n">
        <f aca="false">'Aug 11'!$G$22</f>
        <v>0</v>
      </c>
      <c r="I372" s="41" t="str">
        <f aca="false">'Aug 11'!$M$22</f>
        <v/>
      </c>
      <c r="J372" s="42" t="str">
        <f aca="false">'Aug 11'!$S$22</f>
        <v/>
      </c>
      <c r="K372" s="40" t="n">
        <f aca="false">'Aug 11'!$AG$22</f>
        <v>0</v>
      </c>
      <c r="L372" s="40" t="n">
        <f aca="false">'Aug 11'!$N$22</f>
        <v>0</v>
      </c>
    </row>
    <row r="373" customFormat="false" ht="15" hidden="false" customHeight="false" outlineLevel="0" collapsed="false">
      <c r="A373" s="38" t="str">
        <f aca="false">IF(OR(C373="",C373=0),"",IF(AND(OR($B$5="",G373=$B$5,H373=$B$5),OR($D$5="",F373=$D$5),OR($E$5="",K373=$E$5),OR($G$5="",L373=$G$5),OR($H$5="",N(J373)&gt;=$H$5),OR($I$5="",ISNUMBER(SEARCH($I$5,C373&amp;" "&amp;D373&amp;" "&amp;E373&amp;" "&amp;I373)))),"✓",""))</f>
        <v/>
      </c>
      <c r="B373" s="39" t="n">
        <v>46245</v>
      </c>
      <c r="C373" s="40" t="n">
        <f aca="false">'Aug 11'!$D$23</f>
        <v>0</v>
      </c>
      <c r="D373" s="40" t="n">
        <f aca="false">'Aug 11'!$B$23</f>
        <v>0</v>
      </c>
      <c r="E373" s="41" t="n">
        <f aca="false">'Aug 11'!$E$23</f>
        <v>0</v>
      </c>
      <c r="F373" s="40" t="n">
        <f aca="false">'Aug 11'!$A$23</f>
        <v>0</v>
      </c>
      <c r="G373" s="41" t="n">
        <f aca="false">'Aug 11'!$F$23</f>
        <v>0</v>
      </c>
      <c r="H373" s="41" t="n">
        <f aca="false">'Aug 11'!$G$23</f>
        <v>0</v>
      </c>
      <c r="I373" s="41" t="str">
        <f aca="false">'Aug 11'!$M$23</f>
        <v/>
      </c>
      <c r="J373" s="42" t="str">
        <f aca="false">'Aug 11'!$S$23</f>
        <v/>
      </c>
      <c r="K373" s="40" t="n">
        <f aca="false">'Aug 11'!$AG$23</f>
        <v>0</v>
      </c>
      <c r="L373" s="40" t="n">
        <f aca="false">'Aug 11'!$N$23</f>
        <v>0</v>
      </c>
    </row>
    <row r="374" customFormat="false" ht="15" hidden="false" customHeight="false" outlineLevel="0" collapsed="false">
      <c r="A374" s="38" t="str">
        <f aca="false">IF(OR(C374="",C374=0),"",IF(AND(OR($B$5="",G374=$B$5,H374=$B$5),OR($D$5="",F374=$D$5),OR($E$5="",K374=$E$5),OR($G$5="",L374=$G$5),OR($H$5="",N(J374)&gt;=$H$5),OR($I$5="",ISNUMBER(SEARCH($I$5,C374&amp;" "&amp;D374&amp;" "&amp;E374&amp;" "&amp;I374)))),"✓",""))</f>
        <v/>
      </c>
      <c r="B374" s="39" t="n">
        <v>46245</v>
      </c>
      <c r="C374" s="40" t="n">
        <f aca="false">'Aug 11'!$D$24</f>
        <v>0</v>
      </c>
      <c r="D374" s="40" t="n">
        <f aca="false">'Aug 11'!$B$24</f>
        <v>0</v>
      </c>
      <c r="E374" s="41" t="n">
        <f aca="false">'Aug 11'!$E$24</f>
        <v>0</v>
      </c>
      <c r="F374" s="40" t="n">
        <f aca="false">'Aug 11'!$A$24</f>
        <v>0</v>
      </c>
      <c r="G374" s="41" t="n">
        <f aca="false">'Aug 11'!$F$24</f>
        <v>0</v>
      </c>
      <c r="H374" s="41" t="n">
        <f aca="false">'Aug 11'!$G$24</f>
        <v>0</v>
      </c>
      <c r="I374" s="41" t="str">
        <f aca="false">'Aug 11'!$M$24</f>
        <v/>
      </c>
      <c r="J374" s="42" t="str">
        <f aca="false">'Aug 11'!$S$24</f>
        <v/>
      </c>
      <c r="K374" s="40" t="n">
        <f aca="false">'Aug 11'!$AG$24</f>
        <v>0</v>
      </c>
      <c r="L374" s="40" t="n">
        <f aca="false">'Aug 11'!$N$24</f>
        <v>0</v>
      </c>
    </row>
    <row r="375" customFormat="false" ht="15" hidden="false" customHeight="false" outlineLevel="0" collapsed="false">
      <c r="A375" s="38" t="str">
        <f aca="false">IF(OR(C375="",C375=0),"",IF(AND(OR($B$5="",G375=$B$5,H375=$B$5),OR($D$5="",F375=$D$5),OR($E$5="",K375=$E$5),OR($G$5="",L375=$G$5),OR($H$5="",N(J375)&gt;=$H$5),OR($I$5="",ISNUMBER(SEARCH($I$5,C375&amp;" "&amp;D375&amp;" "&amp;E375&amp;" "&amp;I375)))),"✓",""))</f>
        <v/>
      </c>
      <c r="B375" s="39" t="n">
        <v>46245</v>
      </c>
      <c r="C375" s="40" t="n">
        <f aca="false">'Aug 11'!$D$25</f>
        <v>0</v>
      </c>
      <c r="D375" s="40" t="n">
        <f aca="false">'Aug 11'!$B$25</f>
        <v>0</v>
      </c>
      <c r="E375" s="41" t="n">
        <f aca="false">'Aug 11'!$E$25</f>
        <v>0</v>
      </c>
      <c r="F375" s="40" t="n">
        <f aca="false">'Aug 11'!$A$25</f>
        <v>0</v>
      </c>
      <c r="G375" s="41" t="n">
        <f aca="false">'Aug 11'!$F$25</f>
        <v>0</v>
      </c>
      <c r="H375" s="41" t="n">
        <f aca="false">'Aug 11'!$G$25</f>
        <v>0</v>
      </c>
      <c r="I375" s="41" t="str">
        <f aca="false">'Aug 11'!$M$25</f>
        <v/>
      </c>
      <c r="J375" s="42" t="str">
        <f aca="false">'Aug 11'!$S$25</f>
        <v/>
      </c>
      <c r="K375" s="40" t="n">
        <f aca="false">'Aug 11'!$AG$25</f>
        <v>0</v>
      </c>
      <c r="L375" s="40" t="n">
        <f aca="false">'Aug 11'!$N$25</f>
        <v>0</v>
      </c>
    </row>
    <row r="376" customFormat="false" ht="15" hidden="false" customHeight="false" outlineLevel="0" collapsed="false">
      <c r="A376" s="38" t="str">
        <f aca="false">IF(OR(C376="",C376=0),"",IF(AND(OR($B$5="",G376=$B$5,H376=$B$5),OR($D$5="",F376=$D$5),OR($E$5="",K376=$E$5),OR($G$5="",L376=$G$5),OR($H$5="",N(J376)&gt;=$H$5),OR($I$5="",ISNUMBER(SEARCH($I$5,C376&amp;" "&amp;D376&amp;" "&amp;E376&amp;" "&amp;I376)))),"✓",""))</f>
        <v/>
      </c>
      <c r="B376" s="39" t="n">
        <v>46245</v>
      </c>
      <c r="C376" s="40" t="n">
        <f aca="false">'Aug 11'!$D$26</f>
        <v>0</v>
      </c>
      <c r="D376" s="40" t="n">
        <f aca="false">'Aug 11'!$B$26</f>
        <v>0</v>
      </c>
      <c r="E376" s="41" t="n">
        <f aca="false">'Aug 11'!$E$26</f>
        <v>0</v>
      </c>
      <c r="F376" s="40" t="n">
        <f aca="false">'Aug 11'!$A$26</f>
        <v>0</v>
      </c>
      <c r="G376" s="41" t="n">
        <f aca="false">'Aug 11'!$F$26</f>
        <v>0</v>
      </c>
      <c r="H376" s="41" t="n">
        <f aca="false">'Aug 11'!$G$26</f>
        <v>0</v>
      </c>
      <c r="I376" s="41" t="str">
        <f aca="false">'Aug 11'!$M$26</f>
        <v/>
      </c>
      <c r="J376" s="42" t="str">
        <f aca="false">'Aug 11'!$S$26</f>
        <v/>
      </c>
      <c r="K376" s="40" t="n">
        <f aca="false">'Aug 11'!$AG$26</f>
        <v>0</v>
      </c>
      <c r="L376" s="40" t="n">
        <f aca="false">'Aug 11'!$N$26</f>
        <v>0</v>
      </c>
    </row>
    <row r="377" customFormat="false" ht="15" hidden="false" customHeight="false" outlineLevel="0" collapsed="false">
      <c r="A377" s="38" t="str">
        <f aca="false">IF(OR(C377="",C377=0),"",IF(AND(OR($B$5="",G377=$B$5,H377=$B$5),OR($D$5="",F377=$D$5),OR($E$5="",K377=$E$5),OR($G$5="",L377=$G$5),OR($H$5="",N(J377)&gt;=$H$5),OR($I$5="",ISNUMBER(SEARCH($I$5,C377&amp;" "&amp;D377&amp;" "&amp;E377&amp;" "&amp;I377)))),"✓",""))</f>
        <v/>
      </c>
      <c r="B377" s="39" t="n">
        <v>46245</v>
      </c>
      <c r="C377" s="40" t="n">
        <f aca="false">'Aug 11'!$D$27</f>
        <v>0</v>
      </c>
      <c r="D377" s="40" t="n">
        <f aca="false">'Aug 11'!$B$27</f>
        <v>0</v>
      </c>
      <c r="E377" s="41" t="n">
        <f aca="false">'Aug 11'!$E$27</f>
        <v>0</v>
      </c>
      <c r="F377" s="40" t="n">
        <f aca="false">'Aug 11'!$A$27</f>
        <v>0</v>
      </c>
      <c r="G377" s="41" t="n">
        <f aca="false">'Aug 11'!$F$27</f>
        <v>0</v>
      </c>
      <c r="H377" s="41" t="n">
        <f aca="false">'Aug 11'!$G$27</f>
        <v>0</v>
      </c>
      <c r="I377" s="41" t="str">
        <f aca="false">'Aug 11'!$M$27</f>
        <v/>
      </c>
      <c r="J377" s="42" t="str">
        <f aca="false">'Aug 11'!$S$27</f>
        <v/>
      </c>
      <c r="K377" s="40" t="n">
        <f aca="false">'Aug 11'!$AG$27</f>
        <v>0</v>
      </c>
      <c r="L377" s="40" t="n">
        <f aca="false">'Aug 11'!$N$27</f>
        <v>0</v>
      </c>
    </row>
    <row r="378" customFormat="false" ht="15" hidden="false" customHeight="false" outlineLevel="0" collapsed="false">
      <c r="A378" s="38" t="str">
        <f aca="false">IF(OR(C378="",C378=0),"",IF(AND(OR($B$5="",G378=$B$5,H378=$B$5),OR($D$5="",F378=$D$5),OR($E$5="",K378=$E$5),OR($G$5="",L378=$G$5),OR($H$5="",N(J378)&gt;=$H$5),OR($I$5="",ISNUMBER(SEARCH($I$5,C378&amp;" "&amp;D378&amp;" "&amp;E378&amp;" "&amp;I378)))),"✓",""))</f>
        <v/>
      </c>
      <c r="B378" s="39" t="n">
        <v>46245</v>
      </c>
      <c r="C378" s="40" t="n">
        <f aca="false">'Aug 11'!$D$28</f>
        <v>0</v>
      </c>
      <c r="D378" s="40" t="n">
        <f aca="false">'Aug 11'!$B$28</f>
        <v>0</v>
      </c>
      <c r="E378" s="41" t="n">
        <f aca="false">'Aug 11'!$E$28</f>
        <v>0</v>
      </c>
      <c r="F378" s="40" t="n">
        <f aca="false">'Aug 11'!$A$28</f>
        <v>0</v>
      </c>
      <c r="G378" s="41" t="n">
        <f aca="false">'Aug 11'!$F$28</f>
        <v>0</v>
      </c>
      <c r="H378" s="41" t="n">
        <f aca="false">'Aug 11'!$G$28</f>
        <v>0</v>
      </c>
      <c r="I378" s="41" t="str">
        <f aca="false">'Aug 11'!$M$28</f>
        <v/>
      </c>
      <c r="J378" s="42" t="str">
        <f aca="false">'Aug 11'!$S$28</f>
        <v/>
      </c>
      <c r="K378" s="40" t="n">
        <f aca="false">'Aug 11'!$AG$28</f>
        <v>0</v>
      </c>
      <c r="L378" s="40" t="n">
        <f aca="false">'Aug 11'!$N$28</f>
        <v>0</v>
      </c>
    </row>
    <row r="379" customFormat="false" ht="15" hidden="false" customHeight="false" outlineLevel="0" collapsed="false">
      <c r="A379" s="38" t="str">
        <f aca="false">IF(OR(C379="",C379=0),"",IF(AND(OR($B$5="",G379=$B$5,H379=$B$5),OR($D$5="",F379=$D$5),OR($E$5="",K379=$E$5),OR($G$5="",L379=$G$5),OR($H$5="",N(J379)&gt;=$H$5),OR($I$5="",ISNUMBER(SEARCH($I$5,C379&amp;" "&amp;D379&amp;" "&amp;E379&amp;" "&amp;I379)))),"✓",""))</f>
        <v/>
      </c>
      <c r="B379" s="39" t="n">
        <v>46245</v>
      </c>
      <c r="C379" s="40" t="n">
        <f aca="false">'Aug 11'!$D$29</f>
        <v>0</v>
      </c>
      <c r="D379" s="40" t="n">
        <f aca="false">'Aug 11'!$B$29</f>
        <v>0</v>
      </c>
      <c r="E379" s="41" t="n">
        <f aca="false">'Aug 11'!$E$29</f>
        <v>0</v>
      </c>
      <c r="F379" s="40" t="n">
        <f aca="false">'Aug 11'!$A$29</f>
        <v>0</v>
      </c>
      <c r="G379" s="41" t="n">
        <f aca="false">'Aug 11'!$F$29</f>
        <v>0</v>
      </c>
      <c r="H379" s="41" t="n">
        <f aca="false">'Aug 11'!$G$29</f>
        <v>0</v>
      </c>
      <c r="I379" s="41" t="str">
        <f aca="false">'Aug 11'!$M$29</f>
        <v/>
      </c>
      <c r="J379" s="42" t="str">
        <f aca="false">'Aug 11'!$S$29</f>
        <v/>
      </c>
      <c r="K379" s="40" t="n">
        <f aca="false">'Aug 11'!$AG$29</f>
        <v>0</v>
      </c>
      <c r="L379" s="40" t="n">
        <f aca="false">'Aug 11'!$N$29</f>
        <v>0</v>
      </c>
    </row>
    <row r="380" customFormat="false" ht="15" hidden="false" customHeight="false" outlineLevel="0" collapsed="false">
      <c r="A380" s="38" t="str">
        <f aca="false">IF(OR(C380="",C380=0),"",IF(AND(OR($B$5="",G380=$B$5,H380=$B$5),OR($D$5="",F380=$D$5),OR($E$5="",K380=$E$5),OR($G$5="",L380=$G$5),OR($H$5="",N(J380)&gt;=$H$5),OR($I$5="",ISNUMBER(SEARCH($I$5,C380&amp;" "&amp;D380&amp;" "&amp;E380&amp;" "&amp;I380)))),"✓",""))</f>
        <v/>
      </c>
      <c r="B380" s="39" t="n">
        <v>46245</v>
      </c>
      <c r="C380" s="40" t="n">
        <f aca="false">'Aug 11'!$D$30</f>
        <v>0</v>
      </c>
      <c r="D380" s="40" t="n">
        <f aca="false">'Aug 11'!$B$30</f>
        <v>0</v>
      </c>
      <c r="E380" s="41" t="n">
        <f aca="false">'Aug 11'!$E$30</f>
        <v>0</v>
      </c>
      <c r="F380" s="40" t="n">
        <f aca="false">'Aug 11'!$A$30</f>
        <v>0</v>
      </c>
      <c r="G380" s="41" t="n">
        <f aca="false">'Aug 11'!$F$30</f>
        <v>0</v>
      </c>
      <c r="H380" s="41" t="n">
        <f aca="false">'Aug 11'!$G$30</f>
        <v>0</v>
      </c>
      <c r="I380" s="41" t="str">
        <f aca="false">'Aug 11'!$M$30</f>
        <v/>
      </c>
      <c r="J380" s="42" t="str">
        <f aca="false">'Aug 11'!$S$30</f>
        <v/>
      </c>
      <c r="K380" s="40" t="n">
        <f aca="false">'Aug 11'!$AG$30</f>
        <v>0</v>
      </c>
      <c r="L380" s="40" t="n">
        <f aca="false">'Aug 11'!$N$30</f>
        <v>0</v>
      </c>
    </row>
    <row r="381" customFormat="false" ht="15" hidden="false" customHeight="false" outlineLevel="0" collapsed="false">
      <c r="A381" s="38" t="str">
        <f aca="false">IF(OR(C381="",C381=0),"",IF(AND(OR($B$5="",G381=$B$5,H381=$B$5),OR($D$5="",F381=$D$5),OR($E$5="",K381=$E$5),OR($G$5="",L381=$G$5),OR($H$5="",N(J381)&gt;=$H$5),OR($I$5="",ISNUMBER(SEARCH($I$5,C381&amp;" "&amp;D381&amp;" "&amp;E381&amp;" "&amp;I381)))),"✓",""))</f>
        <v/>
      </c>
      <c r="B381" s="39" t="n">
        <v>46245</v>
      </c>
      <c r="C381" s="40" t="n">
        <f aca="false">'Aug 11'!$D$31</f>
        <v>0</v>
      </c>
      <c r="D381" s="40" t="n">
        <f aca="false">'Aug 11'!$B$31</f>
        <v>0</v>
      </c>
      <c r="E381" s="41" t="n">
        <f aca="false">'Aug 11'!$E$31</f>
        <v>0</v>
      </c>
      <c r="F381" s="40" t="n">
        <f aca="false">'Aug 11'!$A$31</f>
        <v>0</v>
      </c>
      <c r="G381" s="41" t="n">
        <f aca="false">'Aug 11'!$F$31</f>
        <v>0</v>
      </c>
      <c r="H381" s="41" t="n">
        <f aca="false">'Aug 11'!$G$31</f>
        <v>0</v>
      </c>
      <c r="I381" s="41" t="str">
        <f aca="false">'Aug 11'!$M$31</f>
        <v/>
      </c>
      <c r="J381" s="42" t="str">
        <f aca="false">'Aug 11'!$S$31</f>
        <v/>
      </c>
      <c r="K381" s="40" t="n">
        <f aca="false">'Aug 11'!$AG$31</f>
        <v>0</v>
      </c>
      <c r="L381" s="40" t="n">
        <f aca="false">'Aug 11'!$N$31</f>
        <v>0</v>
      </c>
    </row>
    <row r="382" customFormat="false" ht="15" hidden="false" customHeight="false" outlineLevel="0" collapsed="false">
      <c r="A382" s="38" t="str">
        <f aca="false">IF(OR(C382="",C382=0),"",IF(AND(OR($B$5="",G382=$B$5,H382=$B$5),OR($D$5="",F382=$D$5),OR($E$5="",K382=$E$5),OR($G$5="",L382=$G$5),OR($H$5="",N(J382)&gt;=$H$5),OR($I$5="",ISNUMBER(SEARCH($I$5,C382&amp;" "&amp;D382&amp;" "&amp;E382&amp;" "&amp;I382)))),"✓",""))</f>
        <v/>
      </c>
      <c r="B382" s="39" t="n">
        <v>46245</v>
      </c>
      <c r="C382" s="40" t="n">
        <f aca="false">'Aug 11'!$D$32</f>
        <v>0</v>
      </c>
      <c r="D382" s="40" t="n">
        <f aca="false">'Aug 11'!$B$32</f>
        <v>0</v>
      </c>
      <c r="E382" s="41" t="n">
        <f aca="false">'Aug 11'!$E$32</f>
        <v>0</v>
      </c>
      <c r="F382" s="40" t="n">
        <f aca="false">'Aug 11'!$A$32</f>
        <v>0</v>
      </c>
      <c r="G382" s="41" t="n">
        <f aca="false">'Aug 11'!$F$32</f>
        <v>0</v>
      </c>
      <c r="H382" s="41" t="n">
        <f aca="false">'Aug 11'!$G$32</f>
        <v>0</v>
      </c>
      <c r="I382" s="41" t="str">
        <f aca="false">'Aug 11'!$M$32</f>
        <v/>
      </c>
      <c r="J382" s="42" t="str">
        <f aca="false">'Aug 11'!$S$32</f>
        <v/>
      </c>
      <c r="K382" s="40" t="n">
        <f aca="false">'Aug 11'!$AG$32</f>
        <v>0</v>
      </c>
      <c r="L382" s="40" t="n">
        <f aca="false">'Aug 11'!$N$32</f>
        <v>0</v>
      </c>
    </row>
    <row r="383" customFormat="false" ht="15" hidden="false" customHeight="false" outlineLevel="0" collapsed="false">
      <c r="A383" s="38" t="str">
        <f aca="false">IF(OR(C383="",C383=0),"",IF(AND(OR($B$5="",G383=$B$5,H383=$B$5),OR($D$5="",F383=$D$5),OR($E$5="",K383=$E$5),OR($G$5="",L383=$G$5),OR($H$5="",N(J383)&gt;=$H$5),OR($I$5="",ISNUMBER(SEARCH($I$5,C383&amp;" "&amp;D383&amp;" "&amp;E383&amp;" "&amp;I383)))),"✓",""))</f>
        <v/>
      </c>
      <c r="B383" s="39" t="n">
        <v>46245</v>
      </c>
      <c r="C383" s="40" t="n">
        <f aca="false">'Aug 11'!$D$33</f>
        <v>0</v>
      </c>
      <c r="D383" s="40" t="n">
        <f aca="false">'Aug 11'!$B$33</f>
        <v>0</v>
      </c>
      <c r="E383" s="41" t="n">
        <f aca="false">'Aug 11'!$E$33</f>
        <v>0</v>
      </c>
      <c r="F383" s="40" t="n">
        <f aca="false">'Aug 11'!$A$33</f>
        <v>0</v>
      </c>
      <c r="G383" s="41" t="n">
        <f aca="false">'Aug 11'!$F$33</f>
        <v>0</v>
      </c>
      <c r="H383" s="41" t="n">
        <f aca="false">'Aug 11'!$G$33</f>
        <v>0</v>
      </c>
      <c r="I383" s="41" t="str">
        <f aca="false">'Aug 11'!$M$33</f>
        <v/>
      </c>
      <c r="J383" s="42" t="str">
        <f aca="false">'Aug 11'!$S$33</f>
        <v/>
      </c>
      <c r="K383" s="40" t="n">
        <f aca="false">'Aug 11'!$AG$33</f>
        <v>0</v>
      </c>
      <c r="L383" s="40" t="n">
        <f aca="false">'Aug 11'!$N$33</f>
        <v>0</v>
      </c>
    </row>
    <row r="384" customFormat="false" ht="15" hidden="false" customHeight="false" outlineLevel="0" collapsed="false">
      <c r="A384" s="38" t="str">
        <f aca="false">IF(OR(C384="",C384=0),"",IF(AND(OR($B$5="",G384=$B$5,H384=$B$5),OR($D$5="",F384=$D$5),OR($E$5="",K384=$E$5),OR($G$5="",L384=$G$5),OR($H$5="",N(J384)&gt;=$H$5),OR($I$5="",ISNUMBER(SEARCH($I$5,C384&amp;" "&amp;D384&amp;" "&amp;E384&amp;" "&amp;I384)))),"✓",""))</f>
        <v/>
      </c>
      <c r="B384" s="39" t="n">
        <v>46245</v>
      </c>
      <c r="C384" s="40" t="n">
        <f aca="false">'Aug 11'!$D$34</f>
        <v>0</v>
      </c>
      <c r="D384" s="40" t="n">
        <f aca="false">'Aug 11'!$B$34</f>
        <v>0</v>
      </c>
      <c r="E384" s="41" t="n">
        <f aca="false">'Aug 11'!$E$34</f>
        <v>0</v>
      </c>
      <c r="F384" s="40" t="n">
        <f aca="false">'Aug 11'!$A$34</f>
        <v>0</v>
      </c>
      <c r="G384" s="41" t="n">
        <f aca="false">'Aug 11'!$F$34</f>
        <v>0</v>
      </c>
      <c r="H384" s="41" t="n">
        <f aca="false">'Aug 11'!$G$34</f>
        <v>0</v>
      </c>
      <c r="I384" s="41" t="str">
        <f aca="false">'Aug 11'!$M$34</f>
        <v/>
      </c>
      <c r="J384" s="42" t="str">
        <f aca="false">'Aug 11'!$S$34</f>
        <v/>
      </c>
      <c r="K384" s="40" t="n">
        <f aca="false">'Aug 11'!$AG$34</f>
        <v>0</v>
      </c>
      <c r="L384" s="40" t="n">
        <f aca="false">'Aug 11'!$N$34</f>
        <v>0</v>
      </c>
    </row>
    <row r="385" customFormat="false" ht="15" hidden="false" customHeight="false" outlineLevel="0" collapsed="false">
      <c r="A385" s="38" t="str">
        <f aca="false">IF(OR(C385="",C385=0),"",IF(AND(OR($B$5="",G385=$B$5,H385=$B$5),OR($D$5="",F385=$D$5),OR($E$5="",K385=$E$5),OR($G$5="",L385=$G$5),OR($H$5="",N(J385)&gt;=$H$5),OR($I$5="",ISNUMBER(SEARCH($I$5,C385&amp;" "&amp;D385&amp;" "&amp;E385&amp;" "&amp;I385)))),"✓",""))</f>
        <v/>
      </c>
      <c r="B385" s="39" t="n">
        <v>46245</v>
      </c>
      <c r="C385" s="40" t="n">
        <f aca="false">'Aug 11'!$D$35</f>
        <v>0</v>
      </c>
      <c r="D385" s="40" t="n">
        <f aca="false">'Aug 11'!$B$35</f>
        <v>0</v>
      </c>
      <c r="E385" s="41" t="n">
        <f aca="false">'Aug 11'!$E$35</f>
        <v>0</v>
      </c>
      <c r="F385" s="40" t="n">
        <f aca="false">'Aug 11'!$A$35</f>
        <v>0</v>
      </c>
      <c r="G385" s="41" t="n">
        <f aca="false">'Aug 11'!$F$35</f>
        <v>0</v>
      </c>
      <c r="H385" s="41" t="n">
        <f aca="false">'Aug 11'!$G$35</f>
        <v>0</v>
      </c>
      <c r="I385" s="41" t="str">
        <f aca="false">'Aug 11'!$M$35</f>
        <v/>
      </c>
      <c r="J385" s="42" t="str">
        <f aca="false">'Aug 11'!$S$35</f>
        <v/>
      </c>
      <c r="K385" s="40" t="n">
        <f aca="false">'Aug 11'!$AG$35</f>
        <v>0</v>
      </c>
      <c r="L385" s="40" t="n">
        <f aca="false">'Aug 11'!$N$35</f>
        <v>0</v>
      </c>
    </row>
    <row r="386" customFormat="false" ht="15" hidden="false" customHeight="false" outlineLevel="0" collapsed="false">
      <c r="A386" s="38" t="str">
        <f aca="false">IF(OR(C386="",C386=0),"",IF(AND(OR($B$5="",G386=$B$5,H386=$B$5),OR($D$5="",F386=$D$5),OR($E$5="",K386=$E$5),OR($G$5="",L386=$G$5),OR($H$5="",N(J386)&gt;=$H$5),OR($I$5="",ISNUMBER(SEARCH($I$5,C386&amp;" "&amp;D386&amp;" "&amp;E386&amp;" "&amp;I386)))),"✓",""))</f>
        <v/>
      </c>
      <c r="B386" s="39" t="n">
        <v>46245</v>
      </c>
      <c r="C386" s="40" t="n">
        <f aca="false">'Aug 11'!$D$36</f>
        <v>0</v>
      </c>
      <c r="D386" s="40" t="n">
        <f aca="false">'Aug 11'!$B$36</f>
        <v>0</v>
      </c>
      <c r="E386" s="41" t="n">
        <f aca="false">'Aug 11'!$E$36</f>
        <v>0</v>
      </c>
      <c r="F386" s="40" t="n">
        <f aca="false">'Aug 11'!$A$36</f>
        <v>0</v>
      </c>
      <c r="G386" s="41" t="n">
        <f aca="false">'Aug 11'!$F$36</f>
        <v>0</v>
      </c>
      <c r="H386" s="41" t="n">
        <f aca="false">'Aug 11'!$G$36</f>
        <v>0</v>
      </c>
      <c r="I386" s="41" t="str">
        <f aca="false">'Aug 11'!$M$36</f>
        <v/>
      </c>
      <c r="J386" s="42" t="str">
        <f aca="false">'Aug 11'!$S$36</f>
        <v/>
      </c>
      <c r="K386" s="40" t="n">
        <f aca="false">'Aug 11'!$AG$36</f>
        <v>0</v>
      </c>
      <c r="L386" s="40" t="n">
        <f aca="false">'Aug 11'!$N$36</f>
        <v>0</v>
      </c>
    </row>
    <row r="387" customFormat="false" ht="15" hidden="false" customHeight="false" outlineLevel="0" collapsed="false">
      <c r="A387" s="38" t="str">
        <f aca="false">IF(OR(C387="",C387=0),"",IF(AND(OR($B$5="",G387=$B$5,H387=$B$5),OR($D$5="",F387=$D$5),OR($E$5="",K387=$E$5),OR($G$5="",L387=$G$5),OR($H$5="",N(J387)&gt;=$H$5),OR($I$5="",ISNUMBER(SEARCH($I$5,C387&amp;" "&amp;D387&amp;" "&amp;E387&amp;" "&amp;I387)))),"✓",""))</f>
        <v/>
      </c>
      <c r="B387" s="39" t="n">
        <v>46245</v>
      </c>
      <c r="C387" s="40" t="n">
        <f aca="false">'Aug 11'!$D$37</f>
        <v>0</v>
      </c>
      <c r="D387" s="40" t="n">
        <f aca="false">'Aug 11'!$B$37</f>
        <v>0</v>
      </c>
      <c r="E387" s="41" t="n">
        <f aca="false">'Aug 11'!$E$37</f>
        <v>0</v>
      </c>
      <c r="F387" s="40" t="n">
        <f aca="false">'Aug 11'!$A$37</f>
        <v>0</v>
      </c>
      <c r="G387" s="41" t="n">
        <f aca="false">'Aug 11'!$F$37</f>
        <v>0</v>
      </c>
      <c r="H387" s="41" t="n">
        <f aca="false">'Aug 11'!$G$37</f>
        <v>0</v>
      </c>
      <c r="I387" s="41" t="str">
        <f aca="false">'Aug 11'!$M$37</f>
        <v/>
      </c>
      <c r="J387" s="42" t="str">
        <f aca="false">'Aug 11'!$S$37</f>
        <v/>
      </c>
      <c r="K387" s="40" t="n">
        <f aca="false">'Aug 11'!$AG$37</f>
        <v>0</v>
      </c>
      <c r="L387" s="40" t="n">
        <f aca="false">'Aug 11'!$N$37</f>
        <v>0</v>
      </c>
    </row>
    <row r="388" customFormat="false" ht="15" hidden="false" customHeight="false" outlineLevel="0" collapsed="false">
      <c r="A388" s="38" t="str">
        <f aca="false">IF(OR(C388="",C388=0),"",IF(AND(OR($B$5="",G388=$B$5,H388=$B$5),OR($D$5="",F388=$D$5),OR($E$5="",K388=$E$5),OR($G$5="",L388=$G$5),OR($H$5="",N(J388)&gt;=$H$5),OR($I$5="",ISNUMBER(SEARCH($I$5,C388&amp;" "&amp;D388&amp;" "&amp;E388&amp;" "&amp;I388)))),"✓",""))</f>
        <v/>
      </c>
      <c r="B388" s="39" t="n">
        <v>46245</v>
      </c>
      <c r="C388" s="40" t="n">
        <f aca="false">'Aug 11'!$D$38</f>
        <v>0</v>
      </c>
      <c r="D388" s="40" t="n">
        <f aca="false">'Aug 11'!$B$38</f>
        <v>0</v>
      </c>
      <c r="E388" s="41" t="n">
        <f aca="false">'Aug 11'!$E$38</f>
        <v>0</v>
      </c>
      <c r="F388" s="40" t="n">
        <f aca="false">'Aug 11'!$A$38</f>
        <v>0</v>
      </c>
      <c r="G388" s="41" t="n">
        <f aca="false">'Aug 11'!$F$38</f>
        <v>0</v>
      </c>
      <c r="H388" s="41" t="n">
        <f aca="false">'Aug 11'!$G$38</f>
        <v>0</v>
      </c>
      <c r="I388" s="41" t="str">
        <f aca="false">'Aug 11'!$M$38</f>
        <v/>
      </c>
      <c r="J388" s="42" t="str">
        <f aca="false">'Aug 11'!$S$38</f>
        <v/>
      </c>
      <c r="K388" s="40" t="n">
        <f aca="false">'Aug 11'!$AG$38</f>
        <v>0</v>
      </c>
      <c r="L388" s="40" t="n">
        <f aca="false">'Aug 11'!$N$38</f>
        <v>0</v>
      </c>
    </row>
    <row r="389" customFormat="false" ht="15" hidden="false" customHeight="false" outlineLevel="0" collapsed="false">
      <c r="A389" s="38" t="str">
        <f aca="false">IF(OR(C389="",C389=0),"",IF(AND(OR($B$5="",G389=$B$5,H389=$B$5),OR($D$5="",F389=$D$5),OR($E$5="",K389=$E$5),OR($G$5="",L389=$G$5),OR($H$5="",N(J389)&gt;=$H$5),OR($I$5="",ISNUMBER(SEARCH($I$5,C389&amp;" "&amp;D389&amp;" "&amp;E389&amp;" "&amp;I389)))),"✓",""))</f>
        <v/>
      </c>
      <c r="B389" s="39" t="n">
        <v>46245</v>
      </c>
      <c r="C389" s="40" t="n">
        <f aca="false">'Aug 11'!$D$39</f>
        <v>0</v>
      </c>
      <c r="D389" s="40" t="n">
        <f aca="false">'Aug 11'!$B$39</f>
        <v>0</v>
      </c>
      <c r="E389" s="41" t="n">
        <f aca="false">'Aug 11'!$E$39</f>
        <v>0</v>
      </c>
      <c r="F389" s="40" t="n">
        <f aca="false">'Aug 11'!$A$39</f>
        <v>0</v>
      </c>
      <c r="G389" s="41" t="n">
        <f aca="false">'Aug 11'!$F$39</f>
        <v>0</v>
      </c>
      <c r="H389" s="41" t="n">
        <f aca="false">'Aug 11'!$G$39</f>
        <v>0</v>
      </c>
      <c r="I389" s="41" t="str">
        <f aca="false">'Aug 11'!$M$39</f>
        <v/>
      </c>
      <c r="J389" s="42" t="str">
        <f aca="false">'Aug 11'!$S$39</f>
        <v/>
      </c>
      <c r="K389" s="40" t="n">
        <f aca="false">'Aug 11'!$AG$39</f>
        <v>0</v>
      </c>
      <c r="L389" s="40" t="n">
        <f aca="false">'Aug 11'!$N$39</f>
        <v>0</v>
      </c>
    </row>
    <row r="390" customFormat="false" ht="15" hidden="false" customHeight="false" outlineLevel="0" collapsed="false">
      <c r="A390" s="38" t="str">
        <f aca="false">IF(OR(C390="",C390=0),"",IF(AND(OR($B$5="",G390=$B$5,H390=$B$5),OR($D$5="",F390=$D$5),OR($E$5="",K390=$E$5),OR($G$5="",L390=$G$5),OR($H$5="",N(J390)&gt;=$H$5),OR($I$5="",ISNUMBER(SEARCH($I$5,C390&amp;" "&amp;D390&amp;" "&amp;E390&amp;" "&amp;I390)))),"✓",""))</f>
        <v/>
      </c>
      <c r="B390" s="39" t="n">
        <v>46245</v>
      </c>
      <c r="C390" s="40" t="n">
        <f aca="false">'Aug 11'!$D$40</f>
        <v>0</v>
      </c>
      <c r="D390" s="40" t="n">
        <f aca="false">'Aug 11'!$B$40</f>
        <v>0</v>
      </c>
      <c r="E390" s="41" t="n">
        <f aca="false">'Aug 11'!$E$40</f>
        <v>0</v>
      </c>
      <c r="F390" s="40" t="n">
        <f aca="false">'Aug 11'!$A$40</f>
        <v>0</v>
      </c>
      <c r="G390" s="41" t="n">
        <f aca="false">'Aug 11'!$F$40</f>
        <v>0</v>
      </c>
      <c r="H390" s="41" t="n">
        <f aca="false">'Aug 11'!$G$40</f>
        <v>0</v>
      </c>
      <c r="I390" s="41" t="str">
        <f aca="false">'Aug 11'!$M$40</f>
        <v/>
      </c>
      <c r="J390" s="42" t="str">
        <f aca="false">'Aug 11'!$S$40</f>
        <v/>
      </c>
      <c r="K390" s="40" t="n">
        <f aca="false">'Aug 11'!$AG$40</f>
        <v>0</v>
      </c>
      <c r="L390" s="40" t="n">
        <f aca="false">'Aug 11'!$N$40</f>
        <v>0</v>
      </c>
    </row>
    <row r="391" customFormat="false" ht="15" hidden="false" customHeight="false" outlineLevel="0" collapsed="false">
      <c r="A391" s="38" t="str">
        <f aca="false">IF(OR(C391="",C391=0),"",IF(AND(OR($B$5="",G391=$B$5,H391=$B$5),OR($D$5="",F391=$D$5),OR($E$5="",K391=$E$5),OR($G$5="",L391=$G$5),OR($H$5="",N(J391)&gt;=$H$5),OR($I$5="",ISNUMBER(SEARCH($I$5,C391&amp;" "&amp;D391&amp;" "&amp;E391&amp;" "&amp;I391)))),"✓",""))</f>
        <v/>
      </c>
      <c r="B391" s="39" t="n">
        <v>46245</v>
      </c>
      <c r="C391" s="40" t="n">
        <f aca="false">'Aug 11'!$D$41</f>
        <v>0</v>
      </c>
      <c r="D391" s="40" t="n">
        <f aca="false">'Aug 11'!$B$41</f>
        <v>0</v>
      </c>
      <c r="E391" s="41" t="n">
        <f aca="false">'Aug 11'!$E$41</f>
        <v>0</v>
      </c>
      <c r="F391" s="40" t="n">
        <f aca="false">'Aug 11'!$A$41</f>
        <v>0</v>
      </c>
      <c r="G391" s="41" t="n">
        <f aca="false">'Aug 11'!$F$41</f>
        <v>0</v>
      </c>
      <c r="H391" s="41" t="n">
        <f aca="false">'Aug 11'!$G$41</f>
        <v>0</v>
      </c>
      <c r="I391" s="41" t="str">
        <f aca="false">'Aug 11'!$M$41</f>
        <v/>
      </c>
      <c r="J391" s="42" t="str">
        <f aca="false">'Aug 11'!$S$41</f>
        <v/>
      </c>
      <c r="K391" s="40" t="n">
        <f aca="false">'Aug 11'!$AG$41</f>
        <v>0</v>
      </c>
      <c r="L391" s="40" t="n">
        <f aca="false">'Aug 11'!$N$41</f>
        <v>0</v>
      </c>
    </row>
    <row r="392" customFormat="false" ht="15" hidden="false" customHeight="false" outlineLevel="0" collapsed="false">
      <c r="A392" s="38" t="str">
        <f aca="false">IF(OR(C392="",C392=0),"",IF(AND(OR($B$5="",G392=$B$5,H392=$B$5),OR($D$5="",F392=$D$5),OR($E$5="",K392=$E$5),OR($G$5="",L392=$G$5),OR($H$5="",N(J392)&gt;=$H$5),OR($I$5="",ISNUMBER(SEARCH($I$5,C392&amp;" "&amp;D392&amp;" "&amp;E392&amp;" "&amp;I392)))),"✓",""))</f>
        <v/>
      </c>
      <c r="B392" s="39" t="n">
        <v>46245</v>
      </c>
      <c r="C392" s="40" t="n">
        <f aca="false">'Aug 11'!$D$42</f>
        <v>0</v>
      </c>
      <c r="D392" s="40" t="n">
        <f aca="false">'Aug 11'!$B$42</f>
        <v>0</v>
      </c>
      <c r="E392" s="41" t="n">
        <f aca="false">'Aug 11'!$E$42</f>
        <v>0</v>
      </c>
      <c r="F392" s="40" t="n">
        <f aca="false">'Aug 11'!$A$42</f>
        <v>0</v>
      </c>
      <c r="G392" s="41" t="n">
        <f aca="false">'Aug 11'!$F$42</f>
        <v>0</v>
      </c>
      <c r="H392" s="41" t="n">
        <f aca="false">'Aug 11'!$G$42</f>
        <v>0</v>
      </c>
      <c r="I392" s="41" t="str">
        <f aca="false">'Aug 11'!$M$42</f>
        <v/>
      </c>
      <c r="J392" s="42" t="str">
        <f aca="false">'Aug 11'!$S$42</f>
        <v/>
      </c>
      <c r="K392" s="40" t="n">
        <f aca="false">'Aug 11'!$AG$42</f>
        <v>0</v>
      </c>
      <c r="L392" s="40" t="n">
        <f aca="false">'Aug 11'!$N$42</f>
        <v>0</v>
      </c>
    </row>
    <row r="393" customFormat="false" ht="15" hidden="false" customHeight="false" outlineLevel="0" collapsed="false">
      <c r="A393" s="38" t="str">
        <f aca="false">IF(OR(C393="",C393=0),"",IF(AND(OR($B$5="",G393=$B$5,H393=$B$5),OR($D$5="",F393=$D$5),OR($E$5="",K393=$E$5),OR($G$5="",L393=$G$5),OR($H$5="",N(J393)&gt;=$H$5),OR($I$5="",ISNUMBER(SEARCH($I$5,C393&amp;" "&amp;D393&amp;" "&amp;E393&amp;" "&amp;I393)))),"✓",""))</f>
        <v/>
      </c>
      <c r="B393" s="39" t="n">
        <v>46246</v>
      </c>
      <c r="C393" s="40" t="n">
        <f aca="false">'Aug 12'!$D$8</f>
        <v>0</v>
      </c>
      <c r="D393" s="40" t="n">
        <f aca="false">'Aug 12'!$B$8</f>
        <v>0</v>
      </c>
      <c r="E393" s="41" t="n">
        <f aca="false">'Aug 12'!$E$8</f>
        <v>0</v>
      </c>
      <c r="F393" s="40" t="n">
        <f aca="false">'Aug 12'!$A$8</f>
        <v>0</v>
      </c>
      <c r="G393" s="41" t="n">
        <f aca="false">'Aug 12'!$F$8</f>
        <v>0</v>
      </c>
      <c r="H393" s="41" t="n">
        <f aca="false">'Aug 12'!$G$8</f>
        <v>0</v>
      </c>
      <c r="I393" s="41" t="str">
        <f aca="false">'Aug 12'!$M$8</f>
        <v/>
      </c>
      <c r="J393" s="42" t="str">
        <f aca="false">'Aug 12'!$S$8</f>
        <v/>
      </c>
      <c r="K393" s="40" t="n">
        <f aca="false">'Aug 12'!$AG$8</f>
        <v>0</v>
      </c>
      <c r="L393" s="40" t="n">
        <f aca="false">'Aug 12'!$N$8</f>
        <v>0</v>
      </c>
    </row>
    <row r="394" customFormat="false" ht="15" hidden="false" customHeight="false" outlineLevel="0" collapsed="false">
      <c r="A394" s="38" t="str">
        <f aca="false">IF(OR(C394="",C394=0),"",IF(AND(OR($B$5="",G394=$B$5,H394=$B$5),OR($D$5="",F394=$D$5),OR($E$5="",K394=$E$5),OR($G$5="",L394=$G$5),OR($H$5="",N(J394)&gt;=$H$5),OR($I$5="",ISNUMBER(SEARCH($I$5,C394&amp;" "&amp;D394&amp;" "&amp;E394&amp;" "&amp;I394)))),"✓",""))</f>
        <v/>
      </c>
      <c r="B394" s="39" t="n">
        <v>46246</v>
      </c>
      <c r="C394" s="40" t="n">
        <f aca="false">'Aug 12'!$D$9</f>
        <v>0</v>
      </c>
      <c r="D394" s="40" t="n">
        <f aca="false">'Aug 12'!$B$9</f>
        <v>0</v>
      </c>
      <c r="E394" s="41" t="n">
        <f aca="false">'Aug 12'!$E$9</f>
        <v>0</v>
      </c>
      <c r="F394" s="40" t="n">
        <f aca="false">'Aug 12'!$A$9</f>
        <v>0</v>
      </c>
      <c r="G394" s="41" t="n">
        <f aca="false">'Aug 12'!$F$9</f>
        <v>0</v>
      </c>
      <c r="H394" s="41" t="n">
        <f aca="false">'Aug 12'!$G$9</f>
        <v>0</v>
      </c>
      <c r="I394" s="41" t="str">
        <f aca="false">'Aug 12'!$M$9</f>
        <v/>
      </c>
      <c r="J394" s="42" t="str">
        <f aca="false">'Aug 12'!$S$9</f>
        <v/>
      </c>
      <c r="K394" s="40" t="n">
        <f aca="false">'Aug 12'!$AG$9</f>
        <v>0</v>
      </c>
      <c r="L394" s="40" t="n">
        <f aca="false">'Aug 12'!$N$9</f>
        <v>0</v>
      </c>
    </row>
    <row r="395" customFormat="false" ht="15" hidden="false" customHeight="false" outlineLevel="0" collapsed="false">
      <c r="A395" s="38" t="str">
        <f aca="false">IF(OR(C395="",C395=0),"",IF(AND(OR($B$5="",G395=$B$5,H395=$B$5),OR($D$5="",F395=$D$5),OR($E$5="",K395=$E$5),OR($G$5="",L395=$G$5),OR($H$5="",N(J395)&gt;=$H$5),OR($I$5="",ISNUMBER(SEARCH($I$5,C395&amp;" "&amp;D395&amp;" "&amp;E395&amp;" "&amp;I395)))),"✓",""))</f>
        <v/>
      </c>
      <c r="B395" s="39" t="n">
        <v>46246</v>
      </c>
      <c r="C395" s="40" t="n">
        <f aca="false">'Aug 12'!$D$10</f>
        <v>0</v>
      </c>
      <c r="D395" s="40" t="n">
        <f aca="false">'Aug 12'!$B$10</f>
        <v>0</v>
      </c>
      <c r="E395" s="41" t="n">
        <f aca="false">'Aug 12'!$E$10</f>
        <v>0</v>
      </c>
      <c r="F395" s="40" t="n">
        <f aca="false">'Aug 12'!$A$10</f>
        <v>0</v>
      </c>
      <c r="G395" s="41" t="n">
        <f aca="false">'Aug 12'!$F$10</f>
        <v>0</v>
      </c>
      <c r="H395" s="41" t="n">
        <f aca="false">'Aug 12'!$G$10</f>
        <v>0</v>
      </c>
      <c r="I395" s="41" t="str">
        <f aca="false">'Aug 12'!$M$10</f>
        <v/>
      </c>
      <c r="J395" s="42" t="str">
        <f aca="false">'Aug 12'!$S$10</f>
        <v/>
      </c>
      <c r="K395" s="40" t="n">
        <f aca="false">'Aug 12'!$AG$10</f>
        <v>0</v>
      </c>
      <c r="L395" s="40" t="n">
        <f aca="false">'Aug 12'!$N$10</f>
        <v>0</v>
      </c>
    </row>
    <row r="396" customFormat="false" ht="15" hidden="false" customHeight="false" outlineLevel="0" collapsed="false">
      <c r="A396" s="38" t="str">
        <f aca="false">IF(OR(C396="",C396=0),"",IF(AND(OR($B$5="",G396=$B$5,H396=$B$5),OR($D$5="",F396=$D$5),OR($E$5="",K396=$E$5),OR($G$5="",L396=$G$5),OR($H$5="",N(J396)&gt;=$H$5),OR($I$5="",ISNUMBER(SEARCH($I$5,C396&amp;" "&amp;D396&amp;" "&amp;E396&amp;" "&amp;I396)))),"✓",""))</f>
        <v/>
      </c>
      <c r="B396" s="39" t="n">
        <v>46246</v>
      </c>
      <c r="C396" s="40" t="n">
        <f aca="false">'Aug 12'!$D$11</f>
        <v>0</v>
      </c>
      <c r="D396" s="40" t="n">
        <f aca="false">'Aug 12'!$B$11</f>
        <v>0</v>
      </c>
      <c r="E396" s="41" t="n">
        <f aca="false">'Aug 12'!$E$11</f>
        <v>0</v>
      </c>
      <c r="F396" s="40" t="n">
        <f aca="false">'Aug 12'!$A$11</f>
        <v>0</v>
      </c>
      <c r="G396" s="41" t="n">
        <f aca="false">'Aug 12'!$F$11</f>
        <v>0</v>
      </c>
      <c r="H396" s="41" t="n">
        <f aca="false">'Aug 12'!$G$11</f>
        <v>0</v>
      </c>
      <c r="I396" s="41" t="str">
        <f aca="false">'Aug 12'!$M$11</f>
        <v/>
      </c>
      <c r="J396" s="42" t="str">
        <f aca="false">'Aug 12'!$S$11</f>
        <v/>
      </c>
      <c r="K396" s="40" t="n">
        <f aca="false">'Aug 12'!$AG$11</f>
        <v>0</v>
      </c>
      <c r="L396" s="40" t="n">
        <f aca="false">'Aug 12'!$N$11</f>
        <v>0</v>
      </c>
    </row>
    <row r="397" customFormat="false" ht="15" hidden="false" customHeight="false" outlineLevel="0" collapsed="false">
      <c r="A397" s="38" t="str">
        <f aca="false">IF(OR(C397="",C397=0),"",IF(AND(OR($B$5="",G397=$B$5,H397=$B$5),OR($D$5="",F397=$D$5),OR($E$5="",K397=$E$5),OR($G$5="",L397=$G$5),OR($H$5="",N(J397)&gt;=$H$5),OR($I$5="",ISNUMBER(SEARCH($I$5,C397&amp;" "&amp;D397&amp;" "&amp;E397&amp;" "&amp;I397)))),"✓",""))</f>
        <v/>
      </c>
      <c r="B397" s="39" t="n">
        <v>46246</v>
      </c>
      <c r="C397" s="40" t="n">
        <f aca="false">'Aug 12'!$D$12</f>
        <v>0</v>
      </c>
      <c r="D397" s="40" t="n">
        <f aca="false">'Aug 12'!$B$12</f>
        <v>0</v>
      </c>
      <c r="E397" s="41" t="n">
        <f aca="false">'Aug 12'!$E$12</f>
        <v>0</v>
      </c>
      <c r="F397" s="40" t="n">
        <f aca="false">'Aug 12'!$A$12</f>
        <v>0</v>
      </c>
      <c r="G397" s="41" t="n">
        <f aca="false">'Aug 12'!$F$12</f>
        <v>0</v>
      </c>
      <c r="H397" s="41" t="n">
        <f aca="false">'Aug 12'!$G$12</f>
        <v>0</v>
      </c>
      <c r="I397" s="41" t="str">
        <f aca="false">'Aug 12'!$M$12</f>
        <v/>
      </c>
      <c r="J397" s="42" t="str">
        <f aca="false">'Aug 12'!$S$12</f>
        <v/>
      </c>
      <c r="K397" s="40" t="n">
        <f aca="false">'Aug 12'!$AG$12</f>
        <v>0</v>
      </c>
      <c r="L397" s="40" t="n">
        <f aca="false">'Aug 12'!$N$12</f>
        <v>0</v>
      </c>
    </row>
    <row r="398" customFormat="false" ht="15" hidden="false" customHeight="false" outlineLevel="0" collapsed="false">
      <c r="A398" s="38" t="str">
        <f aca="false">IF(OR(C398="",C398=0),"",IF(AND(OR($B$5="",G398=$B$5,H398=$B$5),OR($D$5="",F398=$D$5),OR($E$5="",K398=$E$5),OR($G$5="",L398=$G$5),OR($H$5="",N(J398)&gt;=$H$5),OR($I$5="",ISNUMBER(SEARCH($I$5,C398&amp;" "&amp;D398&amp;" "&amp;E398&amp;" "&amp;I398)))),"✓",""))</f>
        <v/>
      </c>
      <c r="B398" s="39" t="n">
        <v>46246</v>
      </c>
      <c r="C398" s="40" t="n">
        <f aca="false">'Aug 12'!$D$13</f>
        <v>0</v>
      </c>
      <c r="D398" s="40" t="n">
        <f aca="false">'Aug 12'!$B$13</f>
        <v>0</v>
      </c>
      <c r="E398" s="41" t="n">
        <f aca="false">'Aug 12'!$E$13</f>
        <v>0</v>
      </c>
      <c r="F398" s="40" t="n">
        <f aca="false">'Aug 12'!$A$13</f>
        <v>0</v>
      </c>
      <c r="G398" s="41" t="n">
        <f aca="false">'Aug 12'!$F$13</f>
        <v>0</v>
      </c>
      <c r="H398" s="41" t="n">
        <f aca="false">'Aug 12'!$G$13</f>
        <v>0</v>
      </c>
      <c r="I398" s="41" t="str">
        <f aca="false">'Aug 12'!$M$13</f>
        <v/>
      </c>
      <c r="J398" s="42" t="str">
        <f aca="false">'Aug 12'!$S$13</f>
        <v/>
      </c>
      <c r="K398" s="40" t="n">
        <f aca="false">'Aug 12'!$AG$13</f>
        <v>0</v>
      </c>
      <c r="L398" s="40" t="n">
        <f aca="false">'Aug 12'!$N$13</f>
        <v>0</v>
      </c>
    </row>
    <row r="399" customFormat="false" ht="15" hidden="false" customHeight="false" outlineLevel="0" collapsed="false">
      <c r="A399" s="38" t="str">
        <f aca="false">IF(OR(C399="",C399=0),"",IF(AND(OR($B$5="",G399=$B$5,H399=$B$5),OR($D$5="",F399=$D$5),OR($E$5="",K399=$E$5),OR($G$5="",L399=$G$5),OR($H$5="",N(J399)&gt;=$H$5),OR($I$5="",ISNUMBER(SEARCH($I$5,C399&amp;" "&amp;D399&amp;" "&amp;E399&amp;" "&amp;I399)))),"✓",""))</f>
        <v/>
      </c>
      <c r="B399" s="39" t="n">
        <v>46246</v>
      </c>
      <c r="C399" s="40" t="n">
        <f aca="false">'Aug 12'!$D$14</f>
        <v>0</v>
      </c>
      <c r="D399" s="40" t="n">
        <f aca="false">'Aug 12'!$B$14</f>
        <v>0</v>
      </c>
      <c r="E399" s="41" t="n">
        <f aca="false">'Aug 12'!$E$14</f>
        <v>0</v>
      </c>
      <c r="F399" s="40" t="n">
        <f aca="false">'Aug 12'!$A$14</f>
        <v>0</v>
      </c>
      <c r="G399" s="41" t="n">
        <f aca="false">'Aug 12'!$F$14</f>
        <v>0</v>
      </c>
      <c r="H399" s="41" t="n">
        <f aca="false">'Aug 12'!$G$14</f>
        <v>0</v>
      </c>
      <c r="I399" s="41" t="str">
        <f aca="false">'Aug 12'!$M$14</f>
        <v/>
      </c>
      <c r="J399" s="42" t="str">
        <f aca="false">'Aug 12'!$S$14</f>
        <v/>
      </c>
      <c r="K399" s="40" t="n">
        <f aca="false">'Aug 12'!$AG$14</f>
        <v>0</v>
      </c>
      <c r="L399" s="40" t="n">
        <f aca="false">'Aug 12'!$N$14</f>
        <v>0</v>
      </c>
    </row>
    <row r="400" customFormat="false" ht="15" hidden="false" customHeight="false" outlineLevel="0" collapsed="false">
      <c r="A400" s="38" t="str">
        <f aca="false">IF(OR(C400="",C400=0),"",IF(AND(OR($B$5="",G400=$B$5,H400=$B$5),OR($D$5="",F400=$D$5),OR($E$5="",K400=$E$5),OR($G$5="",L400=$G$5),OR($H$5="",N(J400)&gt;=$H$5),OR($I$5="",ISNUMBER(SEARCH($I$5,C400&amp;" "&amp;D400&amp;" "&amp;E400&amp;" "&amp;I400)))),"✓",""))</f>
        <v/>
      </c>
      <c r="B400" s="39" t="n">
        <v>46246</v>
      </c>
      <c r="C400" s="40" t="n">
        <f aca="false">'Aug 12'!$D$15</f>
        <v>0</v>
      </c>
      <c r="D400" s="40" t="n">
        <f aca="false">'Aug 12'!$B$15</f>
        <v>0</v>
      </c>
      <c r="E400" s="41" t="n">
        <f aca="false">'Aug 12'!$E$15</f>
        <v>0</v>
      </c>
      <c r="F400" s="40" t="n">
        <f aca="false">'Aug 12'!$A$15</f>
        <v>0</v>
      </c>
      <c r="G400" s="41" t="n">
        <f aca="false">'Aug 12'!$F$15</f>
        <v>0</v>
      </c>
      <c r="H400" s="41" t="n">
        <f aca="false">'Aug 12'!$G$15</f>
        <v>0</v>
      </c>
      <c r="I400" s="41" t="str">
        <f aca="false">'Aug 12'!$M$15</f>
        <v/>
      </c>
      <c r="J400" s="42" t="str">
        <f aca="false">'Aug 12'!$S$15</f>
        <v/>
      </c>
      <c r="K400" s="40" t="n">
        <f aca="false">'Aug 12'!$AG$15</f>
        <v>0</v>
      </c>
      <c r="L400" s="40" t="n">
        <f aca="false">'Aug 12'!$N$15</f>
        <v>0</v>
      </c>
    </row>
    <row r="401" customFormat="false" ht="15" hidden="false" customHeight="false" outlineLevel="0" collapsed="false">
      <c r="A401" s="38" t="str">
        <f aca="false">IF(OR(C401="",C401=0),"",IF(AND(OR($B$5="",G401=$B$5,H401=$B$5),OR($D$5="",F401=$D$5),OR($E$5="",K401=$E$5),OR($G$5="",L401=$G$5),OR($H$5="",N(J401)&gt;=$H$5),OR($I$5="",ISNUMBER(SEARCH($I$5,C401&amp;" "&amp;D401&amp;" "&amp;E401&amp;" "&amp;I401)))),"✓",""))</f>
        <v/>
      </c>
      <c r="B401" s="39" t="n">
        <v>46246</v>
      </c>
      <c r="C401" s="40" t="n">
        <f aca="false">'Aug 12'!$D$16</f>
        <v>0</v>
      </c>
      <c r="D401" s="40" t="n">
        <f aca="false">'Aug 12'!$B$16</f>
        <v>0</v>
      </c>
      <c r="E401" s="41" t="n">
        <f aca="false">'Aug 12'!$E$16</f>
        <v>0</v>
      </c>
      <c r="F401" s="40" t="n">
        <f aca="false">'Aug 12'!$A$16</f>
        <v>0</v>
      </c>
      <c r="G401" s="41" t="n">
        <f aca="false">'Aug 12'!$F$16</f>
        <v>0</v>
      </c>
      <c r="H401" s="41" t="n">
        <f aca="false">'Aug 12'!$G$16</f>
        <v>0</v>
      </c>
      <c r="I401" s="41" t="str">
        <f aca="false">'Aug 12'!$M$16</f>
        <v/>
      </c>
      <c r="J401" s="42" t="str">
        <f aca="false">'Aug 12'!$S$16</f>
        <v/>
      </c>
      <c r="K401" s="40" t="n">
        <f aca="false">'Aug 12'!$AG$16</f>
        <v>0</v>
      </c>
      <c r="L401" s="40" t="n">
        <f aca="false">'Aug 12'!$N$16</f>
        <v>0</v>
      </c>
    </row>
    <row r="402" customFormat="false" ht="15" hidden="false" customHeight="false" outlineLevel="0" collapsed="false">
      <c r="A402" s="38" t="str">
        <f aca="false">IF(OR(C402="",C402=0),"",IF(AND(OR($B$5="",G402=$B$5,H402=$B$5),OR($D$5="",F402=$D$5),OR($E$5="",K402=$E$5),OR($G$5="",L402=$G$5),OR($H$5="",N(J402)&gt;=$H$5),OR($I$5="",ISNUMBER(SEARCH($I$5,C402&amp;" "&amp;D402&amp;" "&amp;E402&amp;" "&amp;I402)))),"✓",""))</f>
        <v/>
      </c>
      <c r="B402" s="39" t="n">
        <v>46246</v>
      </c>
      <c r="C402" s="40" t="n">
        <f aca="false">'Aug 12'!$D$17</f>
        <v>0</v>
      </c>
      <c r="D402" s="40" t="n">
        <f aca="false">'Aug 12'!$B$17</f>
        <v>0</v>
      </c>
      <c r="E402" s="41" t="n">
        <f aca="false">'Aug 12'!$E$17</f>
        <v>0</v>
      </c>
      <c r="F402" s="40" t="n">
        <f aca="false">'Aug 12'!$A$17</f>
        <v>0</v>
      </c>
      <c r="G402" s="41" t="n">
        <f aca="false">'Aug 12'!$F$17</f>
        <v>0</v>
      </c>
      <c r="H402" s="41" t="n">
        <f aca="false">'Aug 12'!$G$17</f>
        <v>0</v>
      </c>
      <c r="I402" s="41" t="str">
        <f aca="false">'Aug 12'!$M$17</f>
        <v/>
      </c>
      <c r="J402" s="42" t="str">
        <f aca="false">'Aug 12'!$S$17</f>
        <v/>
      </c>
      <c r="K402" s="40" t="n">
        <f aca="false">'Aug 12'!$AG$17</f>
        <v>0</v>
      </c>
      <c r="L402" s="40" t="n">
        <f aca="false">'Aug 12'!$N$17</f>
        <v>0</v>
      </c>
    </row>
    <row r="403" customFormat="false" ht="15" hidden="false" customHeight="false" outlineLevel="0" collapsed="false">
      <c r="A403" s="38" t="str">
        <f aca="false">IF(OR(C403="",C403=0),"",IF(AND(OR($B$5="",G403=$B$5,H403=$B$5),OR($D$5="",F403=$D$5),OR($E$5="",K403=$E$5),OR($G$5="",L403=$G$5),OR($H$5="",N(J403)&gt;=$H$5),OR($I$5="",ISNUMBER(SEARCH($I$5,C403&amp;" "&amp;D403&amp;" "&amp;E403&amp;" "&amp;I403)))),"✓",""))</f>
        <v/>
      </c>
      <c r="B403" s="39" t="n">
        <v>46246</v>
      </c>
      <c r="C403" s="40" t="n">
        <f aca="false">'Aug 12'!$D$18</f>
        <v>0</v>
      </c>
      <c r="D403" s="40" t="n">
        <f aca="false">'Aug 12'!$B$18</f>
        <v>0</v>
      </c>
      <c r="E403" s="41" t="n">
        <f aca="false">'Aug 12'!$E$18</f>
        <v>0</v>
      </c>
      <c r="F403" s="40" t="n">
        <f aca="false">'Aug 12'!$A$18</f>
        <v>0</v>
      </c>
      <c r="G403" s="41" t="n">
        <f aca="false">'Aug 12'!$F$18</f>
        <v>0</v>
      </c>
      <c r="H403" s="41" t="n">
        <f aca="false">'Aug 12'!$G$18</f>
        <v>0</v>
      </c>
      <c r="I403" s="41" t="str">
        <f aca="false">'Aug 12'!$M$18</f>
        <v/>
      </c>
      <c r="J403" s="42" t="str">
        <f aca="false">'Aug 12'!$S$18</f>
        <v/>
      </c>
      <c r="K403" s="40" t="n">
        <f aca="false">'Aug 12'!$AG$18</f>
        <v>0</v>
      </c>
      <c r="L403" s="40" t="n">
        <f aca="false">'Aug 12'!$N$18</f>
        <v>0</v>
      </c>
    </row>
    <row r="404" customFormat="false" ht="15" hidden="false" customHeight="false" outlineLevel="0" collapsed="false">
      <c r="A404" s="38" t="str">
        <f aca="false">IF(OR(C404="",C404=0),"",IF(AND(OR($B$5="",G404=$B$5,H404=$B$5),OR($D$5="",F404=$D$5),OR($E$5="",K404=$E$5),OR($G$5="",L404=$G$5),OR($H$5="",N(J404)&gt;=$H$5),OR($I$5="",ISNUMBER(SEARCH($I$5,C404&amp;" "&amp;D404&amp;" "&amp;E404&amp;" "&amp;I404)))),"✓",""))</f>
        <v/>
      </c>
      <c r="B404" s="39" t="n">
        <v>46246</v>
      </c>
      <c r="C404" s="40" t="n">
        <f aca="false">'Aug 12'!$D$19</f>
        <v>0</v>
      </c>
      <c r="D404" s="40" t="n">
        <f aca="false">'Aug 12'!$B$19</f>
        <v>0</v>
      </c>
      <c r="E404" s="41" t="n">
        <f aca="false">'Aug 12'!$E$19</f>
        <v>0</v>
      </c>
      <c r="F404" s="40" t="n">
        <f aca="false">'Aug 12'!$A$19</f>
        <v>0</v>
      </c>
      <c r="G404" s="41" t="n">
        <f aca="false">'Aug 12'!$F$19</f>
        <v>0</v>
      </c>
      <c r="H404" s="41" t="n">
        <f aca="false">'Aug 12'!$G$19</f>
        <v>0</v>
      </c>
      <c r="I404" s="41" t="str">
        <f aca="false">'Aug 12'!$M$19</f>
        <v/>
      </c>
      <c r="J404" s="42" t="str">
        <f aca="false">'Aug 12'!$S$19</f>
        <v/>
      </c>
      <c r="K404" s="40" t="n">
        <f aca="false">'Aug 12'!$AG$19</f>
        <v>0</v>
      </c>
      <c r="L404" s="40" t="n">
        <f aca="false">'Aug 12'!$N$19</f>
        <v>0</v>
      </c>
    </row>
    <row r="405" customFormat="false" ht="15" hidden="false" customHeight="false" outlineLevel="0" collapsed="false">
      <c r="A405" s="38" t="str">
        <f aca="false">IF(OR(C405="",C405=0),"",IF(AND(OR($B$5="",G405=$B$5,H405=$B$5),OR($D$5="",F405=$D$5),OR($E$5="",K405=$E$5),OR($G$5="",L405=$G$5),OR($H$5="",N(J405)&gt;=$H$5),OR($I$5="",ISNUMBER(SEARCH($I$5,C405&amp;" "&amp;D405&amp;" "&amp;E405&amp;" "&amp;I405)))),"✓",""))</f>
        <v/>
      </c>
      <c r="B405" s="39" t="n">
        <v>46246</v>
      </c>
      <c r="C405" s="40" t="n">
        <f aca="false">'Aug 12'!$D$20</f>
        <v>0</v>
      </c>
      <c r="D405" s="40" t="n">
        <f aca="false">'Aug 12'!$B$20</f>
        <v>0</v>
      </c>
      <c r="E405" s="41" t="n">
        <f aca="false">'Aug 12'!$E$20</f>
        <v>0</v>
      </c>
      <c r="F405" s="40" t="n">
        <f aca="false">'Aug 12'!$A$20</f>
        <v>0</v>
      </c>
      <c r="G405" s="41" t="n">
        <f aca="false">'Aug 12'!$F$20</f>
        <v>0</v>
      </c>
      <c r="H405" s="41" t="n">
        <f aca="false">'Aug 12'!$G$20</f>
        <v>0</v>
      </c>
      <c r="I405" s="41" t="str">
        <f aca="false">'Aug 12'!$M$20</f>
        <v/>
      </c>
      <c r="J405" s="42" t="str">
        <f aca="false">'Aug 12'!$S$20</f>
        <v/>
      </c>
      <c r="K405" s="40" t="n">
        <f aca="false">'Aug 12'!$AG$20</f>
        <v>0</v>
      </c>
      <c r="L405" s="40" t="n">
        <f aca="false">'Aug 12'!$N$20</f>
        <v>0</v>
      </c>
    </row>
    <row r="406" customFormat="false" ht="15" hidden="false" customHeight="false" outlineLevel="0" collapsed="false">
      <c r="A406" s="38" t="str">
        <f aca="false">IF(OR(C406="",C406=0),"",IF(AND(OR($B$5="",G406=$B$5,H406=$B$5),OR($D$5="",F406=$D$5),OR($E$5="",K406=$E$5),OR($G$5="",L406=$G$5),OR($H$5="",N(J406)&gt;=$H$5),OR($I$5="",ISNUMBER(SEARCH($I$5,C406&amp;" "&amp;D406&amp;" "&amp;E406&amp;" "&amp;I406)))),"✓",""))</f>
        <v/>
      </c>
      <c r="B406" s="39" t="n">
        <v>46246</v>
      </c>
      <c r="C406" s="40" t="n">
        <f aca="false">'Aug 12'!$D$21</f>
        <v>0</v>
      </c>
      <c r="D406" s="40" t="n">
        <f aca="false">'Aug 12'!$B$21</f>
        <v>0</v>
      </c>
      <c r="E406" s="41" t="n">
        <f aca="false">'Aug 12'!$E$21</f>
        <v>0</v>
      </c>
      <c r="F406" s="40" t="n">
        <f aca="false">'Aug 12'!$A$21</f>
        <v>0</v>
      </c>
      <c r="G406" s="41" t="n">
        <f aca="false">'Aug 12'!$F$21</f>
        <v>0</v>
      </c>
      <c r="H406" s="41" t="n">
        <f aca="false">'Aug 12'!$G$21</f>
        <v>0</v>
      </c>
      <c r="I406" s="41" t="str">
        <f aca="false">'Aug 12'!$M$21</f>
        <v/>
      </c>
      <c r="J406" s="42" t="str">
        <f aca="false">'Aug 12'!$S$21</f>
        <v/>
      </c>
      <c r="K406" s="40" t="n">
        <f aca="false">'Aug 12'!$AG$21</f>
        <v>0</v>
      </c>
      <c r="L406" s="40" t="n">
        <f aca="false">'Aug 12'!$N$21</f>
        <v>0</v>
      </c>
    </row>
    <row r="407" customFormat="false" ht="15" hidden="false" customHeight="false" outlineLevel="0" collapsed="false">
      <c r="A407" s="38" t="str">
        <f aca="false">IF(OR(C407="",C407=0),"",IF(AND(OR($B$5="",G407=$B$5,H407=$B$5),OR($D$5="",F407=$D$5),OR($E$5="",K407=$E$5),OR($G$5="",L407=$G$5),OR($H$5="",N(J407)&gt;=$H$5),OR($I$5="",ISNUMBER(SEARCH($I$5,C407&amp;" "&amp;D407&amp;" "&amp;E407&amp;" "&amp;I407)))),"✓",""))</f>
        <v/>
      </c>
      <c r="B407" s="39" t="n">
        <v>46246</v>
      </c>
      <c r="C407" s="40" t="n">
        <f aca="false">'Aug 12'!$D$22</f>
        <v>0</v>
      </c>
      <c r="D407" s="40" t="n">
        <f aca="false">'Aug 12'!$B$22</f>
        <v>0</v>
      </c>
      <c r="E407" s="41" t="n">
        <f aca="false">'Aug 12'!$E$22</f>
        <v>0</v>
      </c>
      <c r="F407" s="40" t="n">
        <f aca="false">'Aug 12'!$A$22</f>
        <v>0</v>
      </c>
      <c r="G407" s="41" t="n">
        <f aca="false">'Aug 12'!$F$22</f>
        <v>0</v>
      </c>
      <c r="H407" s="41" t="n">
        <f aca="false">'Aug 12'!$G$22</f>
        <v>0</v>
      </c>
      <c r="I407" s="41" t="str">
        <f aca="false">'Aug 12'!$M$22</f>
        <v/>
      </c>
      <c r="J407" s="42" t="str">
        <f aca="false">'Aug 12'!$S$22</f>
        <v/>
      </c>
      <c r="K407" s="40" t="n">
        <f aca="false">'Aug 12'!$AG$22</f>
        <v>0</v>
      </c>
      <c r="L407" s="40" t="n">
        <f aca="false">'Aug 12'!$N$22</f>
        <v>0</v>
      </c>
    </row>
    <row r="408" customFormat="false" ht="15" hidden="false" customHeight="false" outlineLevel="0" collapsed="false">
      <c r="A408" s="38" t="str">
        <f aca="false">IF(OR(C408="",C408=0),"",IF(AND(OR($B$5="",G408=$B$5,H408=$B$5),OR($D$5="",F408=$D$5),OR($E$5="",K408=$E$5),OR($G$5="",L408=$G$5),OR($H$5="",N(J408)&gt;=$H$5),OR($I$5="",ISNUMBER(SEARCH($I$5,C408&amp;" "&amp;D408&amp;" "&amp;E408&amp;" "&amp;I408)))),"✓",""))</f>
        <v/>
      </c>
      <c r="B408" s="39" t="n">
        <v>46246</v>
      </c>
      <c r="C408" s="40" t="n">
        <f aca="false">'Aug 12'!$D$23</f>
        <v>0</v>
      </c>
      <c r="D408" s="40" t="n">
        <f aca="false">'Aug 12'!$B$23</f>
        <v>0</v>
      </c>
      <c r="E408" s="41" t="n">
        <f aca="false">'Aug 12'!$E$23</f>
        <v>0</v>
      </c>
      <c r="F408" s="40" t="n">
        <f aca="false">'Aug 12'!$A$23</f>
        <v>0</v>
      </c>
      <c r="G408" s="41" t="n">
        <f aca="false">'Aug 12'!$F$23</f>
        <v>0</v>
      </c>
      <c r="H408" s="41" t="n">
        <f aca="false">'Aug 12'!$G$23</f>
        <v>0</v>
      </c>
      <c r="I408" s="41" t="str">
        <f aca="false">'Aug 12'!$M$23</f>
        <v/>
      </c>
      <c r="J408" s="42" t="str">
        <f aca="false">'Aug 12'!$S$23</f>
        <v/>
      </c>
      <c r="K408" s="40" t="n">
        <f aca="false">'Aug 12'!$AG$23</f>
        <v>0</v>
      </c>
      <c r="L408" s="40" t="n">
        <f aca="false">'Aug 12'!$N$23</f>
        <v>0</v>
      </c>
    </row>
    <row r="409" customFormat="false" ht="15" hidden="false" customHeight="false" outlineLevel="0" collapsed="false">
      <c r="A409" s="38" t="str">
        <f aca="false">IF(OR(C409="",C409=0),"",IF(AND(OR($B$5="",G409=$B$5,H409=$B$5),OR($D$5="",F409=$D$5),OR($E$5="",K409=$E$5),OR($G$5="",L409=$G$5),OR($H$5="",N(J409)&gt;=$H$5),OR($I$5="",ISNUMBER(SEARCH($I$5,C409&amp;" "&amp;D409&amp;" "&amp;E409&amp;" "&amp;I409)))),"✓",""))</f>
        <v/>
      </c>
      <c r="B409" s="39" t="n">
        <v>46246</v>
      </c>
      <c r="C409" s="40" t="n">
        <f aca="false">'Aug 12'!$D$24</f>
        <v>0</v>
      </c>
      <c r="D409" s="40" t="n">
        <f aca="false">'Aug 12'!$B$24</f>
        <v>0</v>
      </c>
      <c r="E409" s="41" t="n">
        <f aca="false">'Aug 12'!$E$24</f>
        <v>0</v>
      </c>
      <c r="F409" s="40" t="n">
        <f aca="false">'Aug 12'!$A$24</f>
        <v>0</v>
      </c>
      <c r="G409" s="41" t="n">
        <f aca="false">'Aug 12'!$F$24</f>
        <v>0</v>
      </c>
      <c r="H409" s="41" t="n">
        <f aca="false">'Aug 12'!$G$24</f>
        <v>0</v>
      </c>
      <c r="I409" s="41" t="str">
        <f aca="false">'Aug 12'!$M$24</f>
        <v/>
      </c>
      <c r="J409" s="42" t="str">
        <f aca="false">'Aug 12'!$S$24</f>
        <v/>
      </c>
      <c r="K409" s="40" t="n">
        <f aca="false">'Aug 12'!$AG$24</f>
        <v>0</v>
      </c>
      <c r="L409" s="40" t="n">
        <f aca="false">'Aug 12'!$N$24</f>
        <v>0</v>
      </c>
    </row>
    <row r="410" customFormat="false" ht="15" hidden="false" customHeight="false" outlineLevel="0" collapsed="false">
      <c r="A410" s="38" t="str">
        <f aca="false">IF(OR(C410="",C410=0),"",IF(AND(OR($B$5="",G410=$B$5,H410=$B$5),OR($D$5="",F410=$D$5),OR($E$5="",K410=$E$5),OR($G$5="",L410=$G$5),OR($H$5="",N(J410)&gt;=$H$5),OR($I$5="",ISNUMBER(SEARCH($I$5,C410&amp;" "&amp;D410&amp;" "&amp;E410&amp;" "&amp;I410)))),"✓",""))</f>
        <v/>
      </c>
      <c r="B410" s="39" t="n">
        <v>46246</v>
      </c>
      <c r="C410" s="40" t="n">
        <f aca="false">'Aug 12'!$D$25</f>
        <v>0</v>
      </c>
      <c r="D410" s="40" t="n">
        <f aca="false">'Aug 12'!$B$25</f>
        <v>0</v>
      </c>
      <c r="E410" s="41" t="n">
        <f aca="false">'Aug 12'!$E$25</f>
        <v>0</v>
      </c>
      <c r="F410" s="40" t="n">
        <f aca="false">'Aug 12'!$A$25</f>
        <v>0</v>
      </c>
      <c r="G410" s="41" t="n">
        <f aca="false">'Aug 12'!$F$25</f>
        <v>0</v>
      </c>
      <c r="H410" s="41" t="n">
        <f aca="false">'Aug 12'!$G$25</f>
        <v>0</v>
      </c>
      <c r="I410" s="41" t="str">
        <f aca="false">'Aug 12'!$M$25</f>
        <v/>
      </c>
      <c r="J410" s="42" t="str">
        <f aca="false">'Aug 12'!$S$25</f>
        <v/>
      </c>
      <c r="K410" s="40" t="n">
        <f aca="false">'Aug 12'!$AG$25</f>
        <v>0</v>
      </c>
      <c r="L410" s="40" t="n">
        <f aca="false">'Aug 12'!$N$25</f>
        <v>0</v>
      </c>
    </row>
    <row r="411" customFormat="false" ht="15" hidden="false" customHeight="false" outlineLevel="0" collapsed="false">
      <c r="A411" s="38" t="str">
        <f aca="false">IF(OR(C411="",C411=0),"",IF(AND(OR($B$5="",G411=$B$5,H411=$B$5),OR($D$5="",F411=$D$5),OR($E$5="",K411=$E$5),OR($G$5="",L411=$G$5),OR($H$5="",N(J411)&gt;=$H$5),OR($I$5="",ISNUMBER(SEARCH($I$5,C411&amp;" "&amp;D411&amp;" "&amp;E411&amp;" "&amp;I411)))),"✓",""))</f>
        <v/>
      </c>
      <c r="B411" s="39" t="n">
        <v>46246</v>
      </c>
      <c r="C411" s="40" t="n">
        <f aca="false">'Aug 12'!$D$26</f>
        <v>0</v>
      </c>
      <c r="D411" s="40" t="n">
        <f aca="false">'Aug 12'!$B$26</f>
        <v>0</v>
      </c>
      <c r="E411" s="41" t="n">
        <f aca="false">'Aug 12'!$E$26</f>
        <v>0</v>
      </c>
      <c r="F411" s="40" t="n">
        <f aca="false">'Aug 12'!$A$26</f>
        <v>0</v>
      </c>
      <c r="G411" s="41" t="n">
        <f aca="false">'Aug 12'!$F$26</f>
        <v>0</v>
      </c>
      <c r="H411" s="41" t="n">
        <f aca="false">'Aug 12'!$G$26</f>
        <v>0</v>
      </c>
      <c r="I411" s="41" t="str">
        <f aca="false">'Aug 12'!$M$26</f>
        <v/>
      </c>
      <c r="J411" s="42" t="str">
        <f aca="false">'Aug 12'!$S$26</f>
        <v/>
      </c>
      <c r="K411" s="40" t="n">
        <f aca="false">'Aug 12'!$AG$26</f>
        <v>0</v>
      </c>
      <c r="L411" s="40" t="n">
        <f aca="false">'Aug 12'!$N$26</f>
        <v>0</v>
      </c>
    </row>
    <row r="412" customFormat="false" ht="15" hidden="false" customHeight="false" outlineLevel="0" collapsed="false">
      <c r="A412" s="38" t="str">
        <f aca="false">IF(OR(C412="",C412=0),"",IF(AND(OR($B$5="",G412=$B$5,H412=$B$5),OR($D$5="",F412=$D$5),OR($E$5="",K412=$E$5),OR($G$5="",L412=$G$5),OR($H$5="",N(J412)&gt;=$H$5),OR($I$5="",ISNUMBER(SEARCH($I$5,C412&amp;" "&amp;D412&amp;" "&amp;E412&amp;" "&amp;I412)))),"✓",""))</f>
        <v/>
      </c>
      <c r="B412" s="39" t="n">
        <v>46246</v>
      </c>
      <c r="C412" s="40" t="n">
        <f aca="false">'Aug 12'!$D$27</f>
        <v>0</v>
      </c>
      <c r="D412" s="40" t="n">
        <f aca="false">'Aug 12'!$B$27</f>
        <v>0</v>
      </c>
      <c r="E412" s="41" t="n">
        <f aca="false">'Aug 12'!$E$27</f>
        <v>0</v>
      </c>
      <c r="F412" s="40" t="n">
        <f aca="false">'Aug 12'!$A$27</f>
        <v>0</v>
      </c>
      <c r="G412" s="41" t="n">
        <f aca="false">'Aug 12'!$F$27</f>
        <v>0</v>
      </c>
      <c r="H412" s="41" t="n">
        <f aca="false">'Aug 12'!$G$27</f>
        <v>0</v>
      </c>
      <c r="I412" s="41" t="str">
        <f aca="false">'Aug 12'!$M$27</f>
        <v/>
      </c>
      <c r="J412" s="42" t="str">
        <f aca="false">'Aug 12'!$S$27</f>
        <v/>
      </c>
      <c r="K412" s="40" t="n">
        <f aca="false">'Aug 12'!$AG$27</f>
        <v>0</v>
      </c>
      <c r="L412" s="40" t="n">
        <f aca="false">'Aug 12'!$N$27</f>
        <v>0</v>
      </c>
    </row>
    <row r="413" customFormat="false" ht="15" hidden="false" customHeight="false" outlineLevel="0" collapsed="false">
      <c r="A413" s="38" t="str">
        <f aca="false">IF(OR(C413="",C413=0),"",IF(AND(OR($B$5="",G413=$B$5,H413=$B$5),OR($D$5="",F413=$D$5),OR($E$5="",K413=$E$5),OR($G$5="",L413=$G$5),OR($H$5="",N(J413)&gt;=$H$5),OR($I$5="",ISNUMBER(SEARCH($I$5,C413&amp;" "&amp;D413&amp;" "&amp;E413&amp;" "&amp;I413)))),"✓",""))</f>
        <v/>
      </c>
      <c r="B413" s="39" t="n">
        <v>46246</v>
      </c>
      <c r="C413" s="40" t="n">
        <f aca="false">'Aug 12'!$D$28</f>
        <v>0</v>
      </c>
      <c r="D413" s="40" t="n">
        <f aca="false">'Aug 12'!$B$28</f>
        <v>0</v>
      </c>
      <c r="E413" s="41" t="n">
        <f aca="false">'Aug 12'!$E$28</f>
        <v>0</v>
      </c>
      <c r="F413" s="40" t="n">
        <f aca="false">'Aug 12'!$A$28</f>
        <v>0</v>
      </c>
      <c r="G413" s="41" t="n">
        <f aca="false">'Aug 12'!$F$28</f>
        <v>0</v>
      </c>
      <c r="H413" s="41" t="n">
        <f aca="false">'Aug 12'!$G$28</f>
        <v>0</v>
      </c>
      <c r="I413" s="41" t="str">
        <f aca="false">'Aug 12'!$M$28</f>
        <v/>
      </c>
      <c r="J413" s="42" t="str">
        <f aca="false">'Aug 12'!$S$28</f>
        <v/>
      </c>
      <c r="K413" s="40" t="n">
        <f aca="false">'Aug 12'!$AG$28</f>
        <v>0</v>
      </c>
      <c r="L413" s="40" t="n">
        <f aca="false">'Aug 12'!$N$28</f>
        <v>0</v>
      </c>
    </row>
    <row r="414" customFormat="false" ht="15" hidden="false" customHeight="false" outlineLevel="0" collapsed="false">
      <c r="A414" s="38" t="str">
        <f aca="false">IF(OR(C414="",C414=0),"",IF(AND(OR($B$5="",G414=$B$5,H414=$B$5),OR($D$5="",F414=$D$5),OR($E$5="",K414=$E$5),OR($G$5="",L414=$G$5),OR($H$5="",N(J414)&gt;=$H$5),OR($I$5="",ISNUMBER(SEARCH($I$5,C414&amp;" "&amp;D414&amp;" "&amp;E414&amp;" "&amp;I414)))),"✓",""))</f>
        <v/>
      </c>
      <c r="B414" s="39" t="n">
        <v>46246</v>
      </c>
      <c r="C414" s="40" t="n">
        <f aca="false">'Aug 12'!$D$29</f>
        <v>0</v>
      </c>
      <c r="D414" s="40" t="n">
        <f aca="false">'Aug 12'!$B$29</f>
        <v>0</v>
      </c>
      <c r="E414" s="41" t="n">
        <f aca="false">'Aug 12'!$E$29</f>
        <v>0</v>
      </c>
      <c r="F414" s="40" t="n">
        <f aca="false">'Aug 12'!$A$29</f>
        <v>0</v>
      </c>
      <c r="G414" s="41" t="n">
        <f aca="false">'Aug 12'!$F$29</f>
        <v>0</v>
      </c>
      <c r="H414" s="41" t="n">
        <f aca="false">'Aug 12'!$G$29</f>
        <v>0</v>
      </c>
      <c r="I414" s="41" t="str">
        <f aca="false">'Aug 12'!$M$29</f>
        <v/>
      </c>
      <c r="J414" s="42" t="str">
        <f aca="false">'Aug 12'!$S$29</f>
        <v/>
      </c>
      <c r="K414" s="40" t="n">
        <f aca="false">'Aug 12'!$AG$29</f>
        <v>0</v>
      </c>
      <c r="L414" s="40" t="n">
        <f aca="false">'Aug 12'!$N$29</f>
        <v>0</v>
      </c>
    </row>
    <row r="415" customFormat="false" ht="15" hidden="false" customHeight="false" outlineLevel="0" collapsed="false">
      <c r="A415" s="38" t="str">
        <f aca="false">IF(OR(C415="",C415=0),"",IF(AND(OR($B$5="",G415=$B$5,H415=$B$5),OR($D$5="",F415=$D$5),OR($E$5="",K415=$E$5),OR($G$5="",L415=$G$5),OR($H$5="",N(J415)&gt;=$H$5),OR($I$5="",ISNUMBER(SEARCH($I$5,C415&amp;" "&amp;D415&amp;" "&amp;E415&amp;" "&amp;I415)))),"✓",""))</f>
        <v/>
      </c>
      <c r="B415" s="39" t="n">
        <v>46246</v>
      </c>
      <c r="C415" s="40" t="n">
        <f aca="false">'Aug 12'!$D$30</f>
        <v>0</v>
      </c>
      <c r="D415" s="40" t="n">
        <f aca="false">'Aug 12'!$B$30</f>
        <v>0</v>
      </c>
      <c r="E415" s="41" t="n">
        <f aca="false">'Aug 12'!$E$30</f>
        <v>0</v>
      </c>
      <c r="F415" s="40" t="n">
        <f aca="false">'Aug 12'!$A$30</f>
        <v>0</v>
      </c>
      <c r="G415" s="41" t="n">
        <f aca="false">'Aug 12'!$F$30</f>
        <v>0</v>
      </c>
      <c r="H415" s="41" t="n">
        <f aca="false">'Aug 12'!$G$30</f>
        <v>0</v>
      </c>
      <c r="I415" s="41" t="str">
        <f aca="false">'Aug 12'!$M$30</f>
        <v/>
      </c>
      <c r="J415" s="42" t="str">
        <f aca="false">'Aug 12'!$S$30</f>
        <v/>
      </c>
      <c r="K415" s="40" t="n">
        <f aca="false">'Aug 12'!$AG$30</f>
        <v>0</v>
      </c>
      <c r="L415" s="40" t="n">
        <f aca="false">'Aug 12'!$N$30</f>
        <v>0</v>
      </c>
    </row>
    <row r="416" customFormat="false" ht="15" hidden="false" customHeight="false" outlineLevel="0" collapsed="false">
      <c r="A416" s="38" t="str">
        <f aca="false">IF(OR(C416="",C416=0),"",IF(AND(OR($B$5="",G416=$B$5,H416=$B$5),OR($D$5="",F416=$D$5),OR($E$5="",K416=$E$5),OR($G$5="",L416=$G$5),OR($H$5="",N(J416)&gt;=$H$5),OR($I$5="",ISNUMBER(SEARCH($I$5,C416&amp;" "&amp;D416&amp;" "&amp;E416&amp;" "&amp;I416)))),"✓",""))</f>
        <v/>
      </c>
      <c r="B416" s="39" t="n">
        <v>46246</v>
      </c>
      <c r="C416" s="40" t="n">
        <f aca="false">'Aug 12'!$D$31</f>
        <v>0</v>
      </c>
      <c r="D416" s="40" t="n">
        <f aca="false">'Aug 12'!$B$31</f>
        <v>0</v>
      </c>
      <c r="E416" s="41" t="n">
        <f aca="false">'Aug 12'!$E$31</f>
        <v>0</v>
      </c>
      <c r="F416" s="40" t="n">
        <f aca="false">'Aug 12'!$A$31</f>
        <v>0</v>
      </c>
      <c r="G416" s="41" t="n">
        <f aca="false">'Aug 12'!$F$31</f>
        <v>0</v>
      </c>
      <c r="H416" s="41" t="n">
        <f aca="false">'Aug 12'!$G$31</f>
        <v>0</v>
      </c>
      <c r="I416" s="41" t="str">
        <f aca="false">'Aug 12'!$M$31</f>
        <v/>
      </c>
      <c r="J416" s="42" t="str">
        <f aca="false">'Aug 12'!$S$31</f>
        <v/>
      </c>
      <c r="K416" s="40" t="n">
        <f aca="false">'Aug 12'!$AG$31</f>
        <v>0</v>
      </c>
      <c r="L416" s="40" t="n">
        <f aca="false">'Aug 12'!$N$31</f>
        <v>0</v>
      </c>
    </row>
    <row r="417" customFormat="false" ht="15" hidden="false" customHeight="false" outlineLevel="0" collapsed="false">
      <c r="A417" s="38" t="str">
        <f aca="false">IF(OR(C417="",C417=0),"",IF(AND(OR($B$5="",G417=$B$5,H417=$B$5),OR($D$5="",F417=$D$5),OR($E$5="",K417=$E$5),OR($G$5="",L417=$G$5),OR($H$5="",N(J417)&gt;=$H$5),OR($I$5="",ISNUMBER(SEARCH($I$5,C417&amp;" "&amp;D417&amp;" "&amp;E417&amp;" "&amp;I417)))),"✓",""))</f>
        <v/>
      </c>
      <c r="B417" s="39" t="n">
        <v>46246</v>
      </c>
      <c r="C417" s="40" t="n">
        <f aca="false">'Aug 12'!$D$32</f>
        <v>0</v>
      </c>
      <c r="D417" s="40" t="n">
        <f aca="false">'Aug 12'!$B$32</f>
        <v>0</v>
      </c>
      <c r="E417" s="41" t="n">
        <f aca="false">'Aug 12'!$E$32</f>
        <v>0</v>
      </c>
      <c r="F417" s="40" t="n">
        <f aca="false">'Aug 12'!$A$32</f>
        <v>0</v>
      </c>
      <c r="G417" s="41" t="n">
        <f aca="false">'Aug 12'!$F$32</f>
        <v>0</v>
      </c>
      <c r="H417" s="41" t="n">
        <f aca="false">'Aug 12'!$G$32</f>
        <v>0</v>
      </c>
      <c r="I417" s="41" t="str">
        <f aca="false">'Aug 12'!$M$32</f>
        <v/>
      </c>
      <c r="J417" s="42" t="str">
        <f aca="false">'Aug 12'!$S$32</f>
        <v/>
      </c>
      <c r="K417" s="40" t="n">
        <f aca="false">'Aug 12'!$AG$32</f>
        <v>0</v>
      </c>
      <c r="L417" s="40" t="n">
        <f aca="false">'Aug 12'!$N$32</f>
        <v>0</v>
      </c>
    </row>
    <row r="418" customFormat="false" ht="15" hidden="false" customHeight="false" outlineLevel="0" collapsed="false">
      <c r="A418" s="38" t="str">
        <f aca="false">IF(OR(C418="",C418=0),"",IF(AND(OR($B$5="",G418=$B$5,H418=$B$5),OR($D$5="",F418=$D$5),OR($E$5="",K418=$E$5),OR($G$5="",L418=$G$5),OR($H$5="",N(J418)&gt;=$H$5),OR($I$5="",ISNUMBER(SEARCH($I$5,C418&amp;" "&amp;D418&amp;" "&amp;E418&amp;" "&amp;I418)))),"✓",""))</f>
        <v/>
      </c>
      <c r="B418" s="39" t="n">
        <v>46246</v>
      </c>
      <c r="C418" s="40" t="n">
        <f aca="false">'Aug 12'!$D$33</f>
        <v>0</v>
      </c>
      <c r="D418" s="40" t="n">
        <f aca="false">'Aug 12'!$B$33</f>
        <v>0</v>
      </c>
      <c r="E418" s="41" t="n">
        <f aca="false">'Aug 12'!$E$33</f>
        <v>0</v>
      </c>
      <c r="F418" s="40" t="n">
        <f aca="false">'Aug 12'!$A$33</f>
        <v>0</v>
      </c>
      <c r="G418" s="41" t="n">
        <f aca="false">'Aug 12'!$F$33</f>
        <v>0</v>
      </c>
      <c r="H418" s="41" t="n">
        <f aca="false">'Aug 12'!$G$33</f>
        <v>0</v>
      </c>
      <c r="I418" s="41" t="str">
        <f aca="false">'Aug 12'!$M$33</f>
        <v/>
      </c>
      <c r="J418" s="42" t="str">
        <f aca="false">'Aug 12'!$S$33</f>
        <v/>
      </c>
      <c r="K418" s="40" t="n">
        <f aca="false">'Aug 12'!$AG$33</f>
        <v>0</v>
      </c>
      <c r="L418" s="40" t="n">
        <f aca="false">'Aug 12'!$N$33</f>
        <v>0</v>
      </c>
    </row>
    <row r="419" customFormat="false" ht="15" hidden="false" customHeight="false" outlineLevel="0" collapsed="false">
      <c r="A419" s="38" t="str">
        <f aca="false">IF(OR(C419="",C419=0),"",IF(AND(OR($B$5="",G419=$B$5,H419=$B$5),OR($D$5="",F419=$D$5),OR($E$5="",K419=$E$5),OR($G$5="",L419=$G$5),OR($H$5="",N(J419)&gt;=$H$5),OR($I$5="",ISNUMBER(SEARCH($I$5,C419&amp;" "&amp;D419&amp;" "&amp;E419&amp;" "&amp;I419)))),"✓",""))</f>
        <v/>
      </c>
      <c r="B419" s="39" t="n">
        <v>46246</v>
      </c>
      <c r="C419" s="40" t="n">
        <f aca="false">'Aug 12'!$D$34</f>
        <v>0</v>
      </c>
      <c r="D419" s="40" t="n">
        <f aca="false">'Aug 12'!$B$34</f>
        <v>0</v>
      </c>
      <c r="E419" s="41" t="n">
        <f aca="false">'Aug 12'!$E$34</f>
        <v>0</v>
      </c>
      <c r="F419" s="40" t="n">
        <f aca="false">'Aug 12'!$A$34</f>
        <v>0</v>
      </c>
      <c r="G419" s="41" t="n">
        <f aca="false">'Aug 12'!$F$34</f>
        <v>0</v>
      </c>
      <c r="H419" s="41" t="n">
        <f aca="false">'Aug 12'!$G$34</f>
        <v>0</v>
      </c>
      <c r="I419" s="41" t="str">
        <f aca="false">'Aug 12'!$M$34</f>
        <v/>
      </c>
      <c r="J419" s="42" t="str">
        <f aca="false">'Aug 12'!$S$34</f>
        <v/>
      </c>
      <c r="K419" s="40" t="n">
        <f aca="false">'Aug 12'!$AG$34</f>
        <v>0</v>
      </c>
      <c r="L419" s="40" t="n">
        <f aca="false">'Aug 12'!$N$34</f>
        <v>0</v>
      </c>
    </row>
    <row r="420" customFormat="false" ht="15" hidden="false" customHeight="false" outlineLevel="0" collapsed="false">
      <c r="A420" s="38" t="str">
        <f aca="false">IF(OR(C420="",C420=0),"",IF(AND(OR($B$5="",G420=$B$5,H420=$B$5),OR($D$5="",F420=$D$5),OR($E$5="",K420=$E$5),OR($G$5="",L420=$G$5),OR($H$5="",N(J420)&gt;=$H$5),OR($I$5="",ISNUMBER(SEARCH($I$5,C420&amp;" "&amp;D420&amp;" "&amp;E420&amp;" "&amp;I420)))),"✓",""))</f>
        <v/>
      </c>
      <c r="B420" s="39" t="n">
        <v>46246</v>
      </c>
      <c r="C420" s="40" t="n">
        <f aca="false">'Aug 12'!$D$35</f>
        <v>0</v>
      </c>
      <c r="D420" s="40" t="n">
        <f aca="false">'Aug 12'!$B$35</f>
        <v>0</v>
      </c>
      <c r="E420" s="41" t="n">
        <f aca="false">'Aug 12'!$E$35</f>
        <v>0</v>
      </c>
      <c r="F420" s="40" t="n">
        <f aca="false">'Aug 12'!$A$35</f>
        <v>0</v>
      </c>
      <c r="G420" s="41" t="n">
        <f aca="false">'Aug 12'!$F$35</f>
        <v>0</v>
      </c>
      <c r="H420" s="41" t="n">
        <f aca="false">'Aug 12'!$G$35</f>
        <v>0</v>
      </c>
      <c r="I420" s="41" t="str">
        <f aca="false">'Aug 12'!$M$35</f>
        <v/>
      </c>
      <c r="J420" s="42" t="str">
        <f aca="false">'Aug 12'!$S$35</f>
        <v/>
      </c>
      <c r="K420" s="40" t="n">
        <f aca="false">'Aug 12'!$AG$35</f>
        <v>0</v>
      </c>
      <c r="L420" s="40" t="n">
        <f aca="false">'Aug 12'!$N$35</f>
        <v>0</v>
      </c>
    </row>
    <row r="421" customFormat="false" ht="15" hidden="false" customHeight="false" outlineLevel="0" collapsed="false">
      <c r="A421" s="38" t="str">
        <f aca="false">IF(OR(C421="",C421=0),"",IF(AND(OR($B$5="",G421=$B$5,H421=$B$5),OR($D$5="",F421=$D$5),OR($E$5="",K421=$E$5),OR($G$5="",L421=$G$5),OR($H$5="",N(J421)&gt;=$H$5),OR($I$5="",ISNUMBER(SEARCH($I$5,C421&amp;" "&amp;D421&amp;" "&amp;E421&amp;" "&amp;I421)))),"✓",""))</f>
        <v/>
      </c>
      <c r="B421" s="39" t="n">
        <v>46246</v>
      </c>
      <c r="C421" s="40" t="n">
        <f aca="false">'Aug 12'!$D$36</f>
        <v>0</v>
      </c>
      <c r="D421" s="40" t="n">
        <f aca="false">'Aug 12'!$B$36</f>
        <v>0</v>
      </c>
      <c r="E421" s="41" t="n">
        <f aca="false">'Aug 12'!$E$36</f>
        <v>0</v>
      </c>
      <c r="F421" s="40" t="n">
        <f aca="false">'Aug 12'!$A$36</f>
        <v>0</v>
      </c>
      <c r="G421" s="41" t="n">
        <f aca="false">'Aug 12'!$F$36</f>
        <v>0</v>
      </c>
      <c r="H421" s="41" t="n">
        <f aca="false">'Aug 12'!$G$36</f>
        <v>0</v>
      </c>
      <c r="I421" s="41" t="str">
        <f aca="false">'Aug 12'!$M$36</f>
        <v/>
      </c>
      <c r="J421" s="42" t="str">
        <f aca="false">'Aug 12'!$S$36</f>
        <v/>
      </c>
      <c r="K421" s="40" t="n">
        <f aca="false">'Aug 12'!$AG$36</f>
        <v>0</v>
      </c>
      <c r="L421" s="40" t="n">
        <f aca="false">'Aug 12'!$N$36</f>
        <v>0</v>
      </c>
    </row>
    <row r="422" customFormat="false" ht="15" hidden="false" customHeight="false" outlineLevel="0" collapsed="false">
      <c r="A422" s="38" t="str">
        <f aca="false">IF(OR(C422="",C422=0),"",IF(AND(OR($B$5="",G422=$B$5,H422=$B$5),OR($D$5="",F422=$D$5),OR($E$5="",K422=$E$5),OR($G$5="",L422=$G$5),OR($H$5="",N(J422)&gt;=$H$5),OR($I$5="",ISNUMBER(SEARCH($I$5,C422&amp;" "&amp;D422&amp;" "&amp;E422&amp;" "&amp;I422)))),"✓",""))</f>
        <v/>
      </c>
      <c r="B422" s="39" t="n">
        <v>46246</v>
      </c>
      <c r="C422" s="40" t="n">
        <f aca="false">'Aug 12'!$D$37</f>
        <v>0</v>
      </c>
      <c r="D422" s="40" t="n">
        <f aca="false">'Aug 12'!$B$37</f>
        <v>0</v>
      </c>
      <c r="E422" s="41" t="n">
        <f aca="false">'Aug 12'!$E$37</f>
        <v>0</v>
      </c>
      <c r="F422" s="40" t="n">
        <f aca="false">'Aug 12'!$A$37</f>
        <v>0</v>
      </c>
      <c r="G422" s="41" t="n">
        <f aca="false">'Aug 12'!$F$37</f>
        <v>0</v>
      </c>
      <c r="H422" s="41" t="n">
        <f aca="false">'Aug 12'!$G$37</f>
        <v>0</v>
      </c>
      <c r="I422" s="41" t="str">
        <f aca="false">'Aug 12'!$M$37</f>
        <v/>
      </c>
      <c r="J422" s="42" t="str">
        <f aca="false">'Aug 12'!$S$37</f>
        <v/>
      </c>
      <c r="K422" s="40" t="n">
        <f aca="false">'Aug 12'!$AG$37</f>
        <v>0</v>
      </c>
      <c r="L422" s="40" t="n">
        <f aca="false">'Aug 12'!$N$37</f>
        <v>0</v>
      </c>
    </row>
    <row r="423" customFormat="false" ht="15" hidden="false" customHeight="false" outlineLevel="0" collapsed="false">
      <c r="A423" s="38" t="str">
        <f aca="false">IF(OR(C423="",C423=0),"",IF(AND(OR($B$5="",G423=$B$5,H423=$B$5),OR($D$5="",F423=$D$5),OR($E$5="",K423=$E$5),OR($G$5="",L423=$G$5),OR($H$5="",N(J423)&gt;=$H$5),OR($I$5="",ISNUMBER(SEARCH($I$5,C423&amp;" "&amp;D423&amp;" "&amp;E423&amp;" "&amp;I423)))),"✓",""))</f>
        <v/>
      </c>
      <c r="B423" s="39" t="n">
        <v>46246</v>
      </c>
      <c r="C423" s="40" t="n">
        <f aca="false">'Aug 12'!$D$38</f>
        <v>0</v>
      </c>
      <c r="D423" s="40" t="n">
        <f aca="false">'Aug 12'!$B$38</f>
        <v>0</v>
      </c>
      <c r="E423" s="41" t="n">
        <f aca="false">'Aug 12'!$E$38</f>
        <v>0</v>
      </c>
      <c r="F423" s="40" t="n">
        <f aca="false">'Aug 12'!$A$38</f>
        <v>0</v>
      </c>
      <c r="G423" s="41" t="n">
        <f aca="false">'Aug 12'!$F$38</f>
        <v>0</v>
      </c>
      <c r="H423" s="41" t="n">
        <f aca="false">'Aug 12'!$G$38</f>
        <v>0</v>
      </c>
      <c r="I423" s="41" t="str">
        <f aca="false">'Aug 12'!$M$38</f>
        <v/>
      </c>
      <c r="J423" s="42" t="str">
        <f aca="false">'Aug 12'!$S$38</f>
        <v/>
      </c>
      <c r="K423" s="40" t="n">
        <f aca="false">'Aug 12'!$AG$38</f>
        <v>0</v>
      </c>
      <c r="L423" s="40" t="n">
        <f aca="false">'Aug 12'!$N$38</f>
        <v>0</v>
      </c>
    </row>
    <row r="424" customFormat="false" ht="15" hidden="false" customHeight="false" outlineLevel="0" collapsed="false">
      <c r="A424" s="38" t="str">
        <f aca="false">IF(OR(C424="",C424=0),"",IF(AND(OR($B$5="",G424=$B$5,H424=$B$5),OR($D$5="",F424=$D$5),OR($E$5="",K424=$E$5),OR($G$5="",L424=$G$5),OR($H$5="",N(J424)&gt;=$H$5),OR($I$5="",ISNUMBER(SEARCH($I$5,C424&amp;" "&amp;D424&amp;" "&amp;E424&amp;" "&amp;I424)))),"✓",""))</f>
        <v/>
      </c>
      <c r="B424" s="39" t="n">
        <v>46246</v>
      </c>
      <c r="C424" s="40" t="n">
        <f aca="false">'Aug 12'!$D$39</f>
        <v>0</v>
      </c>
      <c r="D424" s="40" t="n">
        <f aca="false">'Aug 12'!$B$39</f>
        <v>0</v>
      </c>
      <c r="E424" s="41" t="n">
        <f aca="false">'Aug 12'!$E$39</f>
        <v>0</v>
      </c>
      <c r="F424" s="40" t="n">
        <f aca="false">'Aug 12'!$A$39</f>
        <v>0</v>
      </c>
      <c r="G424" s="41" t="n">
        <f aca="false">'Aug 12'!$F$39</f>
        <v>0</v>
      </c>
      <c r="H424" s="41" t="n">
        <f aca="false">'Aug 12'!$G$39</f>
        <v>0</v>
      </c>
      <c r="I424" s="41" t="str">
        <f aca="false">'Aug 12'!$M$39</f>
        <v/>
      </c>
      <c r="J424" s="42" t="str">
        <f aca="false">'Aug 12'!$S$39</f>
        <v/>
      </c>
      <c r="K424" s="40" t="n">
        <f aca="false">'Aug 12'!$AG$39</f>
        <v>0</v>
      </c>
      <c r="L424" s="40" t="n">
        <f aca="false">'Aug 12'!$N$39</f>
        <v>0</v>
      </c>
    </row>
    <row r="425" customFormat="false" ht="15" hidden="false" customHeight="false" outlineLevel="0" collapsed="false">
      <c r="A425" s="38" t="str">
        <f aca="false">IF(OR(C425="",C425=0),"",IF(AND(OR($B$5="",G425=$B$5,H425=$B$5),OR($D$5="",F425=$D$5),OR($E$5="",K425=$E$5),OR($G$5="",L425=$G$5),OR($H$5="",N(J425)&gt;=$H$5),OR($I$5="",ISNUMBER(SEARCH($I$5,C425&amp;" "&amp;D425&amp;" "&amp;E425&amp;" "&amp;I425)))),"✓",""))</f>
        <v/>
      </c>
      <c r="B425" s="39" t="n">
        <v>46246</v>
      </c>
      <c r="C425" s="40" t="n">
        <f aca="false">'Aug 12'!$D$40</f>
        <v>0</v>
      </c>
      <c r="D425" s="40" t="n">
        <f aca="false">'Aug 12'!$B$40</f>
        <v>0</v>
      </c>
      <c r="E425" s="41" t="n">
        <f aca="false">'Aug 12'!$E$40</f>
        <v>0</v>
      </c>
      <c r="F425" s="40" t="n">
        <f aca="false">'Aug 12'!$A$40</f>
        <v>0</v>
      </c>
      <c r="G425" s="41" t="n">
        <f aca="false">'Aug 12'!$F$40</f>
        <v>0</v>
      </c>
      <c r="H425" s="41" t="n">
        <f aca="false">'Aug 12'!$G$40</f>
        <v>0</v>
      </c>
      <c r="I425" s="41" t="str">
        <f aca="false">'Aug 12'!$M$40</f>
        <v/>
      </c>
      <c r="J425" s="42" t="str">
        <f aca="false">'Aug 12'!$S$40</f>
        <v/>
      </c>
      <c r="K425" s="40" t="n">
        <f aca="false">'Aug 12'!$AG$40</f>
        <v>0</v>
      </c>
      <c r="L425" s="40" t="n">
        <f aca="false">'Aug 12'!$N$40</f>
        <v>0</v>
      </c>
    </row>
    <row r="426" customFormat="false" ht="15" hidden="false" customHeight="false" outlineLevel="0" collapsed="false">
      <c r="A426" s="38" t="str">
        <f aca="false">IF(OR(C426="",C426=0),"",IF(AND(OR($B$5="",G426=$B$5,H426=$B$5),OR($D$5="",F426=$D$5),OR($E$5="",K426=$E$5),OR($G$5="",L426=$G$5),OR($H$5="",N(J426)&gt;=$H$5),OR($I$5="",ISNUMBER(SEARCH($I$5,C426&amp;" "&amp;D426&amp;" "&amp;E426&amp;" "&amp;I426)))),"✓",""))</f>
        <v/>
      </c>
      <c r="B426" s="39" t="n">
        <v>46246</v>
      </c>
      <c r="C426" s="40" t="n">
        <f aca="false">'Aug 12'!$D$41</f>
        <v>0</v>
      </c>
      <c r="D426" s="40" t="n">
        <f aca="false">'Aug 12'!$B$41</f>
        <v>0</v>
      </c>
      <c r="E426" s="41" t="n">
        <f aca="false">'Aug 12'!$E$41</f>
        <v>0</v>
      </c>
      <c r="F426" s="40" t="n">
        <f aca="false">'Aug 12'!$A$41</f>
        <v>0</v>
      </c>
      <c r="G426" s="41" t="n">
        <f aca="false">'Aug 12'!$F$41</f>
        <v>0</v>
      </c>
      <c r="H426" s="41" t="n">
        <f aca="false">'Aug 12'!$G$41</f>
        <v>0</v>
      </c>
      <c r="I426" s="41" t="str">
        <f aca="false">'Aug 12'!$M$41</f>
        <v/>
      </c>
      <c r="J426" s="42" t="str">
        <f aca="false">'Aug 12'!$S$41</f>
        <v/>
      </c>
      <c r="K426" s="40" t="n">
        <f aca="false">'Aug 12'!$AG$41</f>
        <v>0</v>
      </c>
      <c r="L426" s="40" t="n">
        <f aca="false">'Aug 12'!$N$41</f>
        <v>0</v>
      </c>
    </row>
    <row r="427" customFormat="false" ht="15" hidden="false" customHeight="false" outlineLevel="0" collapsed="false">
      <c r="A427" s="38" t="str">
        <f aca="false">IF(OR(C427="",C427=0),"",IF(AND(OR($B$5="",G427=$B$5,H427=$B$5),OR($D$5="",F427=$D$5),OR($E$5="",K427=$E$5),OR($G$5="",L427=$G$5),OR($H$5="",N(J427)&gt;=$H$5),OR($I$5="",ISNUMBER(SEARCH($I$5,C427&amp;" "&amp;D427&amp;" "&amp;E427&amp;" "&amp;I427)))),"✓",""))</f>
        <v/>
      </c>
      <c r="B427" s="39" t="n">
        <v>46246</v>
      </c>
      <c r="C427" s="40" t="n">
        <f aca="false">'Aug 12'!$D$42</f>
        <v>0</v>
      </c>
      <c r="D427" s="40" t="n">
        <f aca="false">'Aug 12'!$B$42</f>
        <v>0</v>
      </c>
      <c r="E427" s="41" t="n">
        <f aca="false">'Aug 12'!$E$42</f>
        <v>0</v>
      </c>
      <c r="F427" s="40" t="n">
        <f aca="false">'Aug 12'!$A$42</f>
        <v>0</v>
      </c>
      <c r="G427" s="41" t="n">
        <f aca="false">'Aug 12'!$F$42</f>
        <v>0</v>
      </c>
      <c r="H427" s="41" t="n">
        <f aca="false">'Aug 12'!$G$42</f>
        <v>0</v>
      </c>
      <c r="I427" s="41" t="str">
        <f aca="false">'Aug 12'!$M$42</f>
        <v/>
      </c>
      <c r="J427" s="42" t="str">
        <f aca="false">'Aug 12'!$S$42</f>
        <v/>
      </c>
      <c r="K427" s="40" t="n">
        <f aca="false">'Aug 12'!$AG$42</f>
        <v>0</v>
      </c>
      <c r="L427" s="40" t="n">
        <f aca="false">'Aug 12'!$N$42</f>
        <v>0</v>
      </c>
    </row>
    <row r="428" customFormat="false" ht="15" hidden="false" customHeight="false" outlineLevel="0" collapsed="false">
      <c r="A428" s="38" t="str">
        <f aca="false">IF(OR(C428="",C428=0),"",IF(AND(OR($B$5="",G428=$B$5,H428=$B$5),OR($D$5="",F428=$D$5),OR($E$5="",K428=$E$5),OR($G$5="",L428=$G$5),OR($H$5="",N(J428)&gt;=$H$5),OR($I$5="",ISNUMBER(SEARCH($I$5,C428&amp;" "&amp;D428&amp;" "&amp;E428&amp;" "&amp;I428)))),"✓",""))</f>
        <v/>
      </c>
      <c r="B428" s="39" t="n">
        <v>46247</v>
      </c>
      <c r="C428" s="40" t="n">
        <f aca="false">'Aug 13'!$D$8</f>
        <v>0</v>
      </c>
      <c r="D428" s="40" t="n">
        <f aca="false">'Aug 13'!$B$8</f>
        <v>0</v>
      </c>
      <c r="E428" s="41" t="n">
        <f aca="false">'Aug 13'!$E$8</f>
        <v>0</v>
      </c>
      <c r="F428" s="40" t="n">
        <f aca="false">'Aug 13'!$A$8</f>
        <v>0</v>
      </c>
      <c r="G428" s="41" t="n">
        <f aca="false">'Aug 13'!$F$8</f>
        <v>0</v>
      </c>
      <c r="H428" s="41" t="n">
        <f aca="false">'Aug 13'!$G$8</f>
        <v>0</v>
      </c>
      <c r="I428" s="41" t="str">
        <f aca="false">'Aug 13'!$M$8</f>
        <v/>
      </c>
      <c r="J428" s="42" t="str">
        <f aca="false">'Aug 13'!$S$8</f>
        <v/>
      </c>
      <c r="K428" s="40" t="n">
        <f aca="false">'Aug 13'!$AG$8</f>
        <v>0</v>
      </c>
      <c r="L428" s="40" t="n">
        <f aca="false">'Aug 13'!$N$8</f>
        <v>0</v>
      </c>
    </row>
    <row r="429" customFormat="false" ht="15" hidden="false" customHeight="false" outlineLevel="0" collapsed="false">
      <c r="A429" s="38" t="str">
        <f aca="false">IF(OR(C429="",C429=0),"",IF(AND(OR($B$5="",G429=$B$5,H429=$B$5),OR($D$5="",F429=$D$5),OR($E$5="",K429=$E$5),OR($G$5="",L429=$G$5),OR($H$5="",N(J429)&gt;=$H$5),OR($I$5="",ISNUMBER(SEARCH($I$5,C429&amp;" "&amp;D429&amp;" "&amp;E429&amp;" "&amp;I429)))),"✓",""))</f>
        <v/>
      </c>
      <c r="B429" s="39" t="n">
        <v>46247</v>
      </c>
      <c r="C429" s="40" t="n">
        <f aca="false">'Aug 13'!$D$9</f>
        <v>0</v>
      </c>
      <c r="D429" s="40" t="n">
        <f aca="false">'Aug 13'!$B$9</f>
        <v>0</v>
      </c>
      <c r="E429" s="41" t="n">
        <f aca="false">'Aug 13'!$E$9</f>
        <v>0</v>
      </c>
      <c r="F429" s="40" t="n">
        <f aca="false">'Aug 13'!$A$9</f>
        <v>0</v>
      </c>
      <c r="G429" s="41" t="n">
        <f aca="false">'Aug 13'!$F$9</f>
        <v>0</v>
      </c>
      <c r="H429" s="41" t="n">
        <f aca="false">'Aug 13'!$G$9</f>
        <v>0</v>
      </c>
      <c r="I429" s="41" t="str">
        <f aca="false">'Aug 13'!$M$9</f>
        <v/>
      </c>
      <c r="J429" s="42" t="str">
        <f aca="false">'Aug 13'!$S$9</f>
        <v/>
      </c>
      <c r="K429" s="40" t="n">
        <f aca="false">'Aug 13'!$AG$9</f>
        <v>0</v>
      </c>
      <c r="L429" s="40" t="n">
        <f aca="false">'Aug 13'!$N$9</f>
        <v>0</v>
      </c>
    </row>
    <row r="430" customFormat="false" ht="15" hidden="false" customHeight="false" outlineLevel="0" collapsed="false">
      <c r="A430" s="38" t="str">
        <f aca="false">IF(OR(C430="",C430=0),"",IF(AND(OR($B$5="",G430=$B$5,H430=$B$5),OR($D$5="",F430=$D$5),OR($E$5="",K430=$E$5),OR($G$5="",L430=$G$5),OR($H$5="",N(J430)&gt;=$H$5),OR($I$5="",ISNUMBER(SEARCH($I$5,C430&amp;" "&amp;D430&amp;" "&amp;E430&amp;" "&amp;I430)))),"✓",""))</f>
        <v/>
      </c>
      <c r="B430" s="39" t="n">
        <v>46247</v>
      </c>
      <c r="C430" s="40" t="n">
        <f aca="false">'Aug 13'!$D$10</f>
        <v>0</v>
      </c>
      <c r="D430" s="40" t="n">
        <f aca="false">'Aug 13'!$B$10</f>
        <v>0</v>
      </c>
      <c r="E430" s="41" t="n">
        <f aca="false">'Aug 13'!$E$10</f>
        <v>0</v>
      </c>
      <c r="F430" s="40" t="n">
        <f aca="false">'Aug 13'!$A$10</f>
        <v>0</v>
      </c>
      <c r="G430" s="41" t="n">
        <f aca="false">'Aug 13'!$F$10</f>
        <v>0</v>
      </c>
      <c r="H430" s="41" t="n">
        <f aca="false">'Aug 13'!$G$10</f>
        <v>0</v>
      </c>
      <c r="I430" s="41" t="str">
        <f aca="false">'Aug 13'!$M$10</f>
        <v/>
      </c>
      <c r="J430" s="42" t="str">
        <f aca="false">'Aug 13'!$S$10</f>
        <v/>
      </c>
      <c r="K430" s="40" t="n">
        <f aca="false">'Aug 13'!$AG$10</f>
        <v>0</v>
      </c>
      <c r="L430" s="40" t="n">
        <f aca="false">'Aug 13'!$N$10</f>
        <v>0</v>
      </c>
    </row>
    <row r="431" customFormat="false" ht="15" hidden="false" customHeight="false" outlineLevel="0" collapsed="false">
      <c r="A431" s="38" t="str">
        <f aca="false">IF(OR(C431="",C431=0),"",IF(AND(OR($B$5="",G431=$B$5,H431=$B$5),OR($D$5="",F431=$D$5),OR($E$5="",K431=$E$5),OR($G$5="",L431=$G$5),OR($H$5="",N(J431)&gt;=$H$5),OR($I$5="",ISNUMBER(SEARCH($I$5,C431&amp;" "&amp;D431&amp;" "&amp;E431&amp;" "&amp;I431)))),"✓",""))</f>
        <v/>
      </c>
      <c r="B431" s="39" t="n">
        <v>46247</v>
      </c>
      <c r="C431" s="40" t="n">
        <f aca="false">'Aug 13'!$D$11</f>
        <v>0</v>
      </c>
      <c r="D431" s="40" t="n">
        <f aca="false">'Aug 13'!$B$11</f>
        <v>0</v>
      </c>
      <c r="E431" s="41" t="n">
        <f aca="false">'Aug 13'!$E$11</f>
        <v>0</v>
      </c>
      <c r="F431" s="40" t="n">
        <f aca="false">'Aug 13'!$A$11</f>
        <v>0</v>
      </c>
      <c r="G431" s="41" t="n">
        <f aca="false">'Aug 13'!$F$11</f>
        <v>0</v>
      </c>
      <c r="H431" s="41" t="n">
        <f aca="false">'Aug 13'!$G$11</f>
        <v>0</v>
      </c>
      <c r="I431" s="41" t="str">
        <f aca="false">'Aug 13'!$M$11</f>
        <v/>
      </c>
      <c r="J431" s="42" t="str">
        <f aca="false">'Aug 13'!$S$11</f>
        <v/>
      </c>
      <c r="K431" s="40" t="n">
        <f aca="false">'Aug 13'!$AG$11</f>
        <v>0</v>
      </c>
      <c r="L431" s="40" t="n">
        <f aca="false">'Aug 13'!$N$11</f>
        <v>0</v>
      </c>
    </row>
    <row r="432" customFormat="false" ht="15" hidden="false" customHeight="false" outlineLevel="0" collapsed="false">
      <c r="A432" s="38" t="str">
        <f aca="false">IF(OR(C432="",C432=0),"",IF(AND(OR($B$5="",G432=$B$5,H432=$B$5),OR($D$5="",F432=$D$5),OR($E$5="",K432=$E$5),OR($G$5="",L432=$G$5),OR($H$5="",N(J432)&gt;=$H$5),OR($I$5="",ISNUMBER(SEARCH($I$5,C432&amp;" "&amp;D432&amp;" "&amp;E432&amp;" "&amp;I432)))),"✓",""))</f>
        <v/>
      </c>
      <c r="B432" s="39" t="n">
        <v>46247</v>
      </c>
      <c r="C432" s="40" t="n">
        <f aca="false">'Aug 13'!$D$12</f>
        <v>0</v>
      </c>
      <c r="D432" s="40" t="n">
        <f aca="false">'Aug 13'!$B$12</f>
        <v>0</v>
      </c>
      <c r="E432" s="41" t="n">
        <f aca="false">'Aug 13'!$E$12</f>
        <v>0</v>
      </c>
      <c r="F432" s="40" t="n">
        <f aca="false">'Aug 13'!$A$12</f>
        <v>0</v>
      </c>
      <c r="G432" s="41" t="n">
        <f aca="false">'Aug 13'!$F$12</f>
        <v>0</v>
      </c>
      <c r="H432" s="41" t="n">
        <f aca="false">'Aug 13'!$G$12</f>
        <v>0</v>
      </c>
      <c r="I432" s="41" t="str">
        <f aca="false">'Aug 13'!$M$12</f>
        <v/>
      </c>
      <c r="J432" s="42" t="str">
        <f aca="false">'Aug 13'!$S$12</f>
        <v/>
      </c>
      <c r="K432" s="40" t="n">
        <f aca="false">'Aug 13'!$AG$12</f>
        <v>0</v>
      </c>
      <c r="L432" s="40" t="n">
        <f aca="false">'Aug 13'!$N$12</f>
        <v>0</v>
      </c>
    </row>
    <row r="433" customFormat="false" ht="15" hidden="false" customHeight="false" outlineLevel="0" collapsed="false">
      <c r="A433" s="38" t="str">
        <f aca="false">IF(OR(C433="",C433=0),"",IF(AND(OR($B$5="",G433=$B$5,H433=$B$5),OR($D$5="",F433=$D$5),OR($E$5="",K433=$E$5),OR($G$5="",L433=$G$5),OR($H$5="",N(J433)&gt;=$H$5),OR($I$5="",ISNUMBER(SEARCH($I$5,C433&amp;" "&amp;D433&amp;" "&amp;E433&amp;" "&amp;I433)))),"✓",""))</f>
        <v/>
      </c>
      <c r="B433" s="39" t="n">
        <v>46247</v>
      </c>
      <c r="C433" s="40" t="n">
        <f aca="false">'Aug 13'!$D$13</f>
        <v>0</v>
      </c>
      <c r="D433" s="40" t="n">
        <f aca="false">'Aug 13'!$B$13</f>
        <v>0</v>
      </c>
      <c r="E433" s="41" t="n">
        <f aca="false">'Aug 13'!$E$13</f>
        <v>0</v>
      </c>
      <c r="F433" s="40" t="n">
        <f aca="false">'Aug 13'!$A$13</f>
        <v>0</v>
      </c>
      <c r="G433" s="41" t="n">
        <f aca="false">'Aug 13'!$F$13</f>
        <v>0</v>
      </c>
      <c r="H433" s="41" t="n">
        <f aca="false">'Aug 13'!$G$13</f>
        <v>0</v>
      </c>
      <c r="I433" s="41" t="str">
        <f aca="false">'Aug 13'!$M$13</f>
        <v/>
      </c>
      <c r="J433" s="42" t="str">
        <f aca="false">'Aug 13'!$S$13</f>
        <v/>
      </c>
      <c r="K433" s="40" t="n">
        <f aca="false">'Aug 13'!$AG$13</f>
        <v>0</v>
      </c>
      <c r="L433" s="40" t="n">
        <f aca="false">'Aug 13'!$N$13</f>
        <v>0</v>
      </c>
    </row>
    <row r="434" customFormat="false" ht="15" hidden="false" customHeight="false" outlineLevel="0" collapsed="false">
      <c r="A434" s="38" t="str">
        <f aca="false">IF(OR(C434="",C434=0),"",IF(AND(OR($B$5="",G434=$B$5,H434=$B$5),OR($D$5="",F434=$D$5),OR($E$5="",K434=$E$5),OR($G$5="",L434=$G$5),OR($H$5="",N(J434)&gt;=$H$5),OR($I$5="",ISNUMBER(SEARCH($I$5,C434&amp;" "&amp;D434&amp;" "&amp;E434&amp;" "&amp;I434)))),"✓",""))</f>
        <v/>
      </c>
      <c r="B434" s="39" t="n">
        <v>46247</v>
      </c>
      <c r="C434" s="40" t="n">
        <f aca="false">'Aug 13'!$D$14</f>
        <v>0</v>
      </c>
      <c r="D434" s="40" t="n">
        <f aca="false">'Aug 13'!$B$14</f>
        <v>0</v>
      </c>
      <c r="E434" s="41" t="n">
        <f aca="false">'Aug 13'!$E$14</f>
        <v>0</v>
      </c>
      <c r="F434" s="40" t="n">
        <f aca="false">'Aug 13'!$A$14</f>
        <v>0</v>
      </c>
      <c r="G434" s="41" t="n">
        <f aca="false">'Aug 13'!$F$14</f>
        <v>0</v>
      </c>
      <c r="H434" s="41" t="n">
        <f aca="false">'Aug 13'!$G$14</f>
        <v>0</v>
      </c>
      <c r="I434" s="41" t="str">
        <f aca="false">'Aug 13'!$M$14</f>
        <v/>
      </c>
      <c r="J434" s="42" t="str">
        <f aca="false">'Aug 13'!$S$14</f>
        <v/>
      </c>
      <c r="K434" s="40" t="n">
        <f aca="false">'Aug 13'!$AG$14</f>
        <v>0</v>
      </c>
      <c r="L434" s="40" t="n">
        <f aca="false">'Aug 13'!$N$14</f>
        <v>0</v>
      </c>
    </row>
    <row r="435" customFormat="false" ht="15" hidden="false" customHeight="false" outlineLevel="0" collapsed="false">
      <c r="A435" s="38" t="str">
        <f aca="false">IF(OR(C435="",C435=0),"",IF(AND(OR($B$5="",G435=$B$5,H435=$B$5),OR($D$5="",F435=$D$5),OR($E$5="",K435=$E$5),OR($G$5="",L435=$G$5),OR($H$5="",N(J435)&gt;=$H$5),OR($I$5="",ISNUMBER(SEARCH($I$5,C435&amp;" "&amp;D435&amp;" "&amp;E435&amp;" "&amp;I435)))),"✓",""))</f>
        <v/>
      </c>
      <c r="B435" s="39" t="n">
        <v>46247</v>
      </c>
      <c r="C435" s="40" t="n">
        <f aca="false">'Aug 13'!$D$15</f>
        <v>0</v>
      </c>
      <c r="D435" s="40" t="n">
        <f aca="false">'Aug 13'!$B$15</f>
        <v>0</v>
      </c>
      <c r="E435" s="41" t="n">
        <f aca="false">'Aug 13'!$E$15</f>
        <v>0</v>
      </c>
      <c r="F435" s="40" t="n">
        <f aca="false">'Aug 13'!$A$15</f>
        <v>0</v>
      </c>
      <c r="G435" s="41" t="n">
        <f aca="false">'Aug 13'!$F$15</f>
        <v>0</v>
      </c>
      <c r="H435" s="41" t="n">
        <f aca="false">'Aug 13'!$G$15</f>
        <v>0</v>
      </c>
      <c r="I435" s="41" t="str">
        <f aca="false">'Aug 13'!$M$15</f>
        <v/>
      </c>
      <c r="J435" s="42" t="str">
        <f aca="false">'Aug 13'!$S$15</f>
        <v/>
      </c>
      <c r="K435" s="40" t="n">
        <f aca="false">'Aug 13'!$AG$15</f>
        <v>0</v>
      </c>
      <c r="L435" s="40" t="n">
        <f aca="false">'Aug 13'!$N$15</f>
        <v>0</v>
      </c>
    </row>
    <row r="436" customFormat="false" ht="15" hidden="false" customHeight="false" outlineLevel="0" collapsed="false">
      <c r="A436" s="38" t="str">
        <f aca="false">IF(OR(C436="",C436=0),"",IF(AND(OR($B$5="",G436=$B$5,H436=$B$5),OR($D$5="",F436=$D$5),OR($E$5="",K436=$E$5),OR($G$5="",L436=$G$5),OR($H$5="",N(J436)&gt;=$H$5),OR($I$5="",ISNUMBER(SEARCH($I$5,C436&amp;" "&amp;D436&amp;" "&amp;E436&amp;" "&amp;I436)))),"✓",""))</f>
        <v/>
      </c>
      <c r="B436" s="39" t="n">
        <v>46247</v>
      </c>
      <c r="C436" s="40" t="n">
        <f aca="false">'Aug 13'!$D$16</f>
        <v>0</v>
      </c>
      <c r="D436" s="40" t="n">
        <f aca="false">'Aug 13'!$B$16</f>
        <v>0</v>
      </c>
      <c r="E436" s="41" t="n">
        <f aca="false">'Aug 13'!$E$16</f>
        <v>0</v>
      </c>
      <c r="F436" s="40" t="n">
        <f aca="false">'Aug 13'!$A$16</f>
        <v>0</v>
      </c>
      <c r="G436" s="41" t="n">
        <f aca="false">'Aug 13'!$F$16</f>
        <v>0</v>
      </c>
      <c r="H436" s="41" t="n">
        <f aca="false">'Aug 13'!$G$16</f>
        <v>0</v>
      </c>
      <c r="I436" s="41" t="str">
        <f aca="false">'Aug 13'!$M$16</f>
        <v/>
      </c>
      <c r="J436" s="42" t="str">
        <f aca="false">'Aug 13'!$S$16</f>
        <v/>
      </c>
      <c r="K436" s="40" t="n">
        <f aca="false">'Aug 13'!$AG$16</f>
        <v>0</v>
      </c>
      <c r="L436" s="40" t="n">
        <f aca="false">'Aug 13'!$N$16</f>
        <v>0</v>
      </c>
    </row>
    <row r="437" customFormat="false" ht="15" hidden="false" customHeight="false" outlineLevel="0" collapsed="false">
      <c r="A437" s="38" t="str">
        <f aca="false">IF(OR(C437="",C437=0),"",IF(AND(OR($B$5="",G437=$B$5,H437=$B$5),OR($D$5="",F437=$D$5),OR($E$5="",K437=$E$5),OR($G$5="",L437=$G$5),OR($H$5="",N(J437)&gt;=$H$5),OR($I$5="",ISNUMBER(SEARCH($I$5,C437&amp;" "&amp;D437&amp;" "&amp;E437&amp;" "&amp;I437)))),"✓",""))</f>
        <v/>
      </c>
      <c r="B437" s="39" t="n">
        <v>46247</v>
      </c>
      <c r="C437" s="40" t="n">
        <f aca="false">'Aug 13'!$D$17</f>
        <v>0</v>
      </c>
      <c r="D437" s="40" t="n">
        <f aca="false">'Aug 13'!$B$17</f>
        <v>0</v>
      </c>
      <c r="E437" s="41" t="n">
        <f aca="false">'Aug 13'!$E$17</f>
        <v>0</v>
      </c>
      <c r="F437" s="40" t="n">
        <f aca="false">'Aug 13'!$A$17</f>
        <v>0</v>
      </c>
      <c r="G437" s="41" t="n">
        <f aca="false">'Aug 13'!$F$17</f>
        <v>0</v>
      </c>
      <c r="H437" s="41" t="n">
        <f aca="false">'Aug 13'!$G$17</f>
        <v>0</v>
      </c>
      <c r="I437" s="41" t="str">
        <f aca="false">'Aug 13'!$M$17</f>
        <v/>
      </c>
      <c r="J437" s="42" t="str">
        <f aca="false">'Aug 13'!$S$17</f>
        <v/>
      </c>
      <c r="K437" s="40" t="n">
        <f aca="false">'Aug 13'!$AG$17</f>
        <v>0</v>
      </c>
      <c r="L437" s="40" t="n">
        <f aca="false">'Aug 13'!$N$17</f>
        <v>0</v>
      </c>
    </row>
    <row r="438" customFormat="false" ht="15" hidden="false" customHeight="false" outlineLevel="0" collapsed="false">
      <c r="A438" s="38" t="str">
        <f aca="false">IF(OR(C438="",C438=0),"",IF(AND(OR($B$5="",G438=$B$5,H438=$B$5),OR($D$5="",F438=$D$5),OR($E$5="",K438=$E$5),OR($G$5="",L438=$G$5),OR($H$5="",N(J438)&gt;=$H$5),OR($I$5="",ISNUMBER(SEARCH($I$5,C438&amp;" "&amp;D438&amp;" "&amp;E438&amp;" "&amp;I438)))),"✓",""))</f>
        <v/>
      </c>
      <c r="B438" s="39" t="n">
        <v>46247</v>
      </c>
      <c r="C438" s="40" t="n">
        <f aca="false">'Aug 13'!$D$18</f>
        <v>0</v>
      </c>
      <c r="D438" s="40" t="n">
        <f aca="false">'Aug 13'!$B$18</f>
        <v>0</v>
      </c>
      <c r="E438" s="41" t="n">
        <f aca="false">'Aug 13'!$E$18</f>
        <v>0</v>
      </c>
      <c r="F438" s="40" t="n">
        <f aca="false">'Aug 13'!$A$18</f>
        <v>0</v>
      </c>
      <c r="G438" s="41" t="n">
        <f aca="false">'Aug 13'!$F$18</f>
        <v>0</v>
      </c>
      <c r="H438" s="41" t="n">
        <f aca="false">'Aug 13'!$G$18</f>
        <v>0</v>
      </c>
      <c r="I438" s="41" t="str">
        <f aca="false">'Aug 13'!$M$18</f>
        <v/>
      </c>
      <c r="J438" s="42" t="str">
        <f aca="false">'Aug 13'!$S$18</f>
        <v/>
      </c>
      <c r="K438" s="40" t="n">
        <f aca="false">'Aug 13'!$AG$18</f>
        <v>0</v>
      </c>
      <c r="L438" s="40" t="n">
        <f aca="false">'Aug 13'!$N$18</f>
        <v>0</v>
      </c>
    </row>
    <row r="439" customFormat="false" ht="15" hidden="false" customHeight="false" outlineLevel="0" collapsed="false">
      <c r="A439" s="38" t="str">
        <f aca="false">IF(OR(C439="",C439=0),"",IF(AND(OR($B$5="",G439=$B$5,H439=$B$5),OR($D$5="",F439=$D$5),OR($E$5="",K439=$E$5),OR($G$5="",L439=$G$5),OR($H$5="",N(J439)&gt;=$H$5),OR($I$5="",ISNUMBER(SEARCH($I$5,C439&amp;" "&amp;D439&amp;" "&amp;E439&amp;" "&amp;I439)))),"✓",""))</f>
        <v/>
      </c>
      <c r="B439" s="39" t="n">
        <v>46247</v>
      </c>
      <c r="C439" s="40" t="n">
        <f aca="false">'Aug 13'!$D$19</f>
        <v>0</v>
      </c>
      <c r="D439" s="40" t="n">
        <f aca="false">'Aug 13'!$B$19</f>
        <v>0</v>
      </c>
      <c r="E439" s="41" t="n">
        <f aca="false">'Aug 13'!$E$19</f>
        <v>0</v>
      </c>
      <c r="F439" s="40" t="n">
        <f aca="false">'Aug 13'!$A$19</f>
        <v>0</v>
      </c>
      <c r="G439" s="41" t="n">
        <f aca="false">'Aug 13'!$F$19</f>
        <v>0</v>
      </c>
      <c r="H439" s="41" t="n">
        <f aca="false">'Aug 13'!$G$19</f>
        <v>0</v>
      </c>
      <c r="I439" s="41" t="str">
        <f aca="false">'Aug 13'!$M$19</f>
        <v/>
      </c>
      <c r="J439" s="42" t="str">
        <f aca="false">'Aug 13'!$S$19</f>
        <v/>
      </c>
      <c r="K439" s="40" t="n">
        <f aca="false">'Aug 13'!$AG$19</f>
        <v>0</v>
      </c>
      <c r="L439" s="40" t="n">
        <f aca="false">'Aug 13'!$N$19</f>
        <v>0</v>
      </c>
    </row>
    <row r="440" customFormat="false" ht="15" hidden="false" customHeight="false" outlineLevel="0" collapsed="false">
      <c r="A440" s="38" t="str">
        <f aca="false">IF(OR(C440="",C440=0),"",IF(AND(OR($B$5="",G440=$B$5,H440=$B$5),OR($D$5="",F440=$D$5),OR($E$5="",K440=$E$5),OR($G$5="",L440=$G$5),OR($H$5="",N(J440)&gt;=$H$5),OR($I$5="",ISNUMBER(SEARCH($I$5,C440&amp;" "&amp;D440&amp;" "&amp;E440&amp;" "&amp;I440)))),"✓",""))</f>
        <v/>
      </c>
      <c r="B440" s="39" t="n">
        <v>46247</v>
      </c>
      <c r="C440" s="40" t="n">
        <f aca="false">'Aug 13'!$D$20</f>
        <v>0</v>
      </c>
      <c r="D440" s="40" t="n">
        <f aca="false">'Aug 13'!$B$20</f>
        <v>0</v>
      </c>
      <c r="E440" s="41" t="n">
        <f aca="false">'Aug 13'!$E$20</f>
        <v>0</v>
      </c>
      <c r="F440" s="40" t="n">
        <f aca="false">'Aug 13'!$A$20</f>
        <v>0</v>
      </c>
      <c r="G440" s="41" t="n">
        <f aca="false">'Aug 13'!$F$20</f>
        <v>0</v>
      </c>
      <c r="H440" s="41" t="n">
        <f aca="false">'Aug 13'!$G$20</f>
        <v>0</v>
      </c>
      <c r="I440" s="41" t="str">
        <f aca="false">'Aug 13'!$M$20</f>
        <v/>
      </c>
      <c r="J440" s="42" t="str">
        <f aca="false">'Aug 13'!$S$20</f>
        <v/>
      </c>
      <c r="K440" s="40" t="n">
        <f aca="false">'Aug 13'!$AG$20</f>
        <v>0</v>
      </c>
      <c r="L440" s="40" t="n">
        <f aca="false">'Aug 13'!$N$20</f>
        <v>0</v>
      </c>
    </row>
    <row r="441" customFormat="false" ht="15" hidden="false" customHeight="false" outlineLevel="0" collapsed="false">
      <c r="A441" s="38" t="str">
        <f aca="false">IF(OR(C441="",C441=0),"",IF(AND(OR($B$5="",G441=$B$5,H441=$B$5),OR($D$5="",F441=$D$5),OR($E$5="",K441=$E$5),OR($G$5="",L441=$G$5),OR($H$5="",N(J441)&gt;=$H$5),OR($I$5="",ISNUMBER(SEARCH($I$5,C441&amp;" "&amp;D441&amp;" "&amp;E441&amp;" "&amp;I441)))),"✓",""))</f>
        <v/>
      </c>
      <c r="B441" s="39" t="n">
        <v>46247</v>
      </c>
      <c r="C441" s="40" t="n">
        <f aca="false">'Aug 13'!$D$21</f>
        <v>0</v>
      </c>
      <c r="D441" s="40" t="n">
        <f aca="false">'Aug 13'!$B$21</f>
        <v>0</v>
      </c>
      <c r="E441" s="41" t="n">
        <f aca="false">'Aug 13'!$E$21</f>
        <v>0</v>
      </c>
      <c r="F441" s="40" t="n">
        <f aca="false">'Aug 13'!$A$21</f>
        <v>0</v>
      </c>
      <c r="G441" s="41" t="n">
        <f aca="false">'Aug 13'!$F$21</f>
        <v>0</v>
      </c>
      <c r="H441" s="41" t="n">
        <f aca="false">'Aug 13'!$G$21</f>
        <v>0</v>
      </c>
      <c r="I441" s="41" t="str">
        <f aca="false">'Aug 13'!$M$21</f>
        <v/>
      </c>
      <c r="J441" s="42" t="str">
        <f aca="false">'Aug 13'!$S$21</f>
        <v/>
      </c>
      <c r="K441" s="40" t="n">
        <f aca="false">'Aug 13'!$AG$21</f>
        <v>0</v>
      </c>
      <c r="L441" s="40" t="n">
        <f aca="false">'Aug 13'!$N$21</f>
        <v>0</v>
      </c>
    </row>
    <row r="442" customFormat="false" ht="15" hidden="false" customHeight="false" outlineLevel="0" collapsed="false">
      <c r="A442" s="38" t="str">
        <f aca="false">IF(OR(C442="",C442=0),"",IF(AND(OR($B$5="",G442=$B$5,H442=$B$5),OR($D$5="",F442=$D$5),OR($E$5="",K442=$E$5),OR($G$5="",L442=$G$5),OR($H$5="",N(J442)&gt;=$H$5),OR($I$5="",ISNUMBER(SEARCH($I$5,C442&amp;" "&amp;D442&amp;" "&amp;E442&amp;" "&amp;I442)))),"✓",""))</f>
        <v/>
      </c>
      <c r="B442" s="39" t="n">
        <v>46247</v>
      </c>
      <c r="C442" s="40" t="n">
        <f aca="false">'Aug 13'!$D$22</f>
        <v>0</v>
      </c>
      <c r="D442" s="40" t="n">
        <f aca="false">'Aug 13'!$B$22</f>
        <v>0</v>
      </c>
      <c r="E442" s="41" t="n">
        <f aca="false">'Aug 13'!$E$22</f>
        <v>0</v>
      </c>
      <c r="F442" s="40" t="n">
        <f aca="false">'Aug 13'!$A$22</f>
        <v>0</v>
      </c>
      <c r="G442" s="41" t="n">
        <f aca="false">'Aug 13'!$F$22</f>
        <v>0</v>
      </c>
      <c r="H442" s="41" t="n">
        <f aca="false">'Aug 13'!$G$22</f>
        <v>0</v>
      </c>
      <c r="I442" s="41" t="str">
        <f aca="false">'Aug 13'!$M$22</f>
        <v/>
      </c>
      <c r="J442" s="42" t="str">
        <f aca="false">'Aug 13'!$S$22</f>
        <v/>
      </c>
      <c r="K442" s="40" t="n">
        <f aca="false">'Aug 13'!$AG$22</f>
        <v>0</v>
      </c>
      <c r="L442" s="40" t="n">
        <f aca="false">'Aug 13'!$N$22</f>
        <v>0</v>
      </c>
    </row>
    <row r="443" customFormat="false" ht="15" hidden="false" customHeight="false" outlineLevel="0" collapsed="false">
      <c r="A443" s="38" t="str">
        <f aca="false">IF(OR(C443="",C443=0),"",IF(AND(OR($B$5="",G443=$B$5,H443=$B$5),OR($D$5="",F443=$D$5),OR($E$5="",K443=$E$5),OR($G$5="",L443=$G$5),OR($H$5="",N(J443)&gt;=$H$5),OR($I$5="",ISNUMBER(SEARCH($I$5,C443&amp;" "&amp;D443&amp;" "&amp;E443&amp;" "&amp;I443)))),"✓",""))</f>
        <v/>
      </c>
      <c r="B443" s="39" t="n">
        <v>46247</v>
      </c>
      <c r="C443" s="40" t="n">
        <f aca="false">'Aug 13'!$D$23</f>
        <v>0</v>
      </c>
      <c r="D443" s="40" t="n">
        <f aca="false">'Aug 13'!$B$23</f>
        <v>0</v>
      </c>
      <c r="E443" s="41" t="n">
        <f aca="false">'Aug 13'!$E$23</f>
        <v>0</v>
      </c>
      <c r="F443" s="40" t="n">
        <f aca="false">'Aug 13'!$A$23</f>
        <v>0</v>
      </c>
      <c r="G443" s="41" t="n">
        <f aca="false">'Aug 13'!$F$23</f>
        <v>0</v>
      </c>
      <c r="H443" s="41" t="n">
        <f aca="false">'Aug 13'!$G$23</f>
        <v>0</v>
      </c>
      <c r="I443" s="41" t="str">
        <f aca="false">'Aug 13'!$M$23</f>
        <v/>
      </c>
      <c r="J443" s="42" t="str">
        <f aca="false">'Aug 13'!$S$23</f>
        <v/>
      </c>
      <c r="K443" s="40" t="n">
        <f aca="false">'Aug 13'!$AG$23</f>
        <v>0</v>
      </c>
      <c r="L443" s="40" t="n">
        <f aca="false">'Aug 13'!$N$23</f>
        <v>0</v>
      </c>
    </row>
    <row r="444" customFormat="false" ht="15" hidden="false" customHeight="false" outlineLevel="0" collapsed="false">
      <c r="A444" s="38" t="str">
        <f aca="false">IF(OR(C444="",C444=0),"",IF(AND(OR($B$5="",G444=$B$5,H444=$B$5),OR($D$5="",F444=$D$5),OR($E$5="",K444=$E$5),OR($G$5="",L444=$G$5),OR($H$5="",N(J444)&gt;=$H$5),OR($I$5="",ISNUMBER(SEARCH($I$5,C444&amp;" "&amp;D444&amp;" "&amp;E444&amp;" "&amp;I444)))),"✓",""))</f>
        <v/>
      </c>
      <c r="B444" s="39" t="n">
        <v>46247</v>
      </c>
      <c r="C444" s="40" t="n">
        <f aca="false">'Aug 13'!$D$24</f>
        <v>0</v>
      </c>
      <c r="D444" s="40" t="n">
        <f aca="false">'Aug 13'!$B$24</f>
        <v>0</v>
      </c>
      <c r="E444" s="41" t="n">
        <f aca="false">'Aug 13'!$E$24</f>
        <v>0</v>
      </c>
      <c r="F444" s="40" t="n">
        <f aca="false">'Aug 13'!$A$24</f>
        <v>0</v>
      </c>
      <c r="G444" s="41" t="n">
        <f aca="false">'Aug 13'!$F$24</f>
        <v>0</v>
      </c>
      <c r="H444" s="41" t="n">
        <f aca="false">'Aug 13'!$G$24</f>
        <v>0</v>
      </c>
      <c r="I444" s="41" t="str">
        <f aca="false">'Aug 13'!$M$24</f>
        <v/>
      </c>
      <c r="J444" s="42" t="str">
        <f aca="false">'Aug 13'!$S$24</f>
        <v/>
      </c>
      <c r="K444" s="40" t="n">
        <f aca="false">'Aug 13'!$AG$24</f>
        <v>0</v>
      </c>
      <c r="L444" s="40" t="n">
        <f aca="false">'Aug 13'!$N$24</f>
        <v>0</v>
      </c>
    </row>
    <row r="445" customFormat="false" ht="15" hidden="false" customHeight="false" outlineLevel="0" collapsed="false">
      <c r="A445" s="38" t="str">
        <f aca="false">IF(OR(C445="",C445=0),"",IF(AND(OR($B$5="",G445=$B$5,H445=$B$5),OR($D$5="",F445=$D$5),OR($E$5="",K445=$E$5),OR($G$5="",L445=$G$5),OR($H$5="",N(J445)&gt;=$H$5),OR($I$5="",ISNUMBER(SEARCH($I$5,C445&amp;" "&amp;D445&amp;" "&amp;E445&amp;" "&amp;I445)))),"✓",""))</f>
        <v/>
      </c>
      <c r="B445" s="39" t="n">
        <v>46247</v>
      </c>
      <c r="C445" s="40" t="n">
        <f aca="false">'Aug 13'!$D$25</f>
        <v>0</v>
      </c>
      <c r="D445" s="40" t="n">
        <f aca="false">'Aug 13'!$B$25</f>
        <v>0</v>
      </c>
      <c r="E445" s="41" t="n">
        <f aca="false">'Aug 13'!$E$25</f>
        <v>0</v>
      </c>
      <c r="F445" s="40" t="n">
        <f aca="false">'Aug 13'!$A$25</f>
        <v>0</v>
      </c>
      <c r="G445" s="41" t="n">
        <f aca="false">'Aug 13'!$F$25</f>
        <v>0</v>
      </c>
      <c r="H445" s="41" t="n">
        <f aca="false">'Aug 13'!$G$25</f>
        <v>0</v>
      </c>
      <c r="I445" s="41" t="str">
        <f aca="false">'Aug 13'!$M$25</f>
        <v/>
      </c>
      <c r="J445" s="42" t="str">
        <f aca="false">'Aug 13'!$S$25</f>
        <v/>
      </c>
      <c r="K445" s="40" t="n">
        <f aca="false">'Aug 13'!$AG$25</f>
        <v>0</v>
      </c>
      <c r="L445" s="40" t="n">
        <f aca="false">'Aug 13'!$N$25</f>
        <v>0</v>
      </c>
    </row>
    <row r="446" customFormat="false" ht="15" hidden="false" customHeight="false" outlineLevel="0" collapsed="false">
      <c r="A446" s="38" t="str">
        <f aca="false">IF(OR(C446="",C446=0),"",IF(AND(OR($B$5="",G446=$B$5,H446=$B$5),OR($D$5="",F446=$D$5),OR($E$5="",K446=$E$5),OR($G$5="",L446=$G$5),OR($H$5="",N(J446)&gt;=$H$5),OR($I$5="",ISNUMBER(SEARCH($I$5,C446&amp;" "&amp;D446&amp;" "&amp;E446&amp;" "&amp;I446)))),"✓",""))</f>
        <v/>
      </c>
      <c r="B446" s="39" t="n">
        <v>46247</v>
      </c>
      <c r="C446" s="40" t="n">
        <f aca="false">'Aug 13'!$D$26</f>
        <v>0</v>
      </c>
      <c r="D446" s="40" t="n">
        <f aca="false">'Aug 13'!$B$26</f>
        <v>0</v>
      </c>
      <c r="E446" s="41" t="n">
        <f aca="false">'Aug 13'!$E$26</f>
        <v>0</v>
      </c>
      <c r="F446" s="40" t="n">
        <f aca="false">'Aug 13'!$A$26</f>
        <v>0</v>
      </c>
      <c r="G446" s="41" t="n">
        <f aca="false">'Aug 13'!$F$26</f>
        <v>0</v>
      </c>
      <c r="H446" s="41" t="n">
        <f aca="false">'Aug 13'!$G$26</f>
        <v>0</v>
      </c>
      <c r="I446" s="41" t="str">
        <f aca="false">'Aug 13'!$M$26</f>
        <v/>
      </c>
      <c r="J446" s="42" t="str">
        <f aca="false">'Aug 13'!$S$26</f>
        <v/>
      </c>
      <c r="K446" s="40" t="n">
        <f aca="false">'Aug 13'!$AG$26</f>
        <v>0</v>
      </c>
      <c r="L446" s="40" t="n">
        <f aca="false">'Aug 13'!$N$26</f>
        <v>0</v>
      </c>
    </row>
    <row r="447" customFormat="false" ht="15" hidden="false" customHeight="false" outlineLevel="0" collapsed="false">
      <c r="A447" s="38" t="str">
        <f aca="false">IF(OR(C447="",C447=0),"",IF(AND(OR($B$5="",G447=$B$5,H447=$B$5),OR($D$5="",F447=$D$5),OR($E$5="",K447=$E$5),OR($G$5="",L447=$G$5),OR($H$5="",N(J447)&gt;=$H$5),OR($I$5="",ISNUMBER(SEARCH($I$5,C447&amp;" "&amp;D447&amp;" "&amp;E447&amp;" "&amp;I447)))),"✓",""))</f>
        <v/>
      </c>
      <c r="B447" s="39" t="n">
        <v>46247</v>
      </c>
      <c r="C447" s="40" t="n">
        <f aca="false">'Aug 13'!$D$27</f>
        <v>0</v>
      </c>
      <c r="D447" s="40" t="n">
        <f aca="false">'Aug 13'!$B$27</f>
        <v>0</v>
      </c>
      <c r="E447" s="41" t="n">
        <f aca="false">'Aug 13'!$E$27</f>
        <v>0</v>
      </c>
      <c r="F447" s="40" t="n">
        <f aca="false">'Aug 13'!$A$27</f>
        <v>0</v>
      </c>
      <c r="G447" s="41" t="n">
        <f aca="false">'Aug 13'!$F$27</f>
        <v>0</v>
      </c>
      <c r="H447" s="41" t="n">
        <f aca="false">'Aug 13'!$G$27</f>
        <v>0</v>
      </c>
      <c r="I447" s="41" t="str">
        <f aca="false">'Aug 13'!$M$27</f>
        <v/>
      </c>
      <c r="J447" s="42" t="str">
        <f aca="false">'Aug 13'!$S$27</f>
        <v/>
      </c>
      <c r="K447" s="40" t="n">
        <f aca="false">'Aug 13'!$AG$27</f>
        <v>0</v>
      </c>
      <c r="L447" s="40" t="n">
        <f aca="false">'Aug 13'!$N$27</f>
        <v>0</v>
      </c>
    </row>
    <row r="448" customFormat="false" ht="15" hidden="false" customHeight="false" outlineLevel="0" collapsed="false">
      <c r="A448" s="38" t="str">
        <f aca="false">IF(OR(C448="",C448=0),"",IF(AND(OR($B$5="",G448=$B$5,H448=$B$5),OR($D$5="",F448=$D$5),OR($E$5="",K448=$E$5),OR($G$5="",L448=$G$5),OR($H$5="",N(J448)&gt;=$H$5),OR($I$5="",ISNUMBER(SEARCH($I$5,C448&amp;" "&amp;D448&amp;" "&amp;E448&amp;" "&amp;I448)))),"✓",""))</f>
        <v/>
      </c>
      <c r="B448" s="39" t="n">
        <v>46247</v>
      </c>
      <c r="C448" s="40" t="n">
        <f aca="false">'Aug 13'!$D$28</f>
        <v>0</v>
      </c>
      <c r="D448" s="40" t="n">
        <f aca="false">'Aug 13'!$B$28</f>
        <v>0</v>
      </c>
      <c r="E448" s="41" t="n">
        <f aca="false">'Aug 13'!$E$28</f>
        <v>0</v>
      </c>
      <c r="F448" s="40" t="n">
        <f aca="false">'Aug 13'!$A$28</f>
        <v>0</v>
      </c>
      <c r="G448" s="41" t="n">
        <f aca="false">'Aug 13'!$F$28</f>
        <v>0</v>
      </c>
      <c r="H448" s="41" t="n">
        <f aca="false">'Aug 13'!$G$28</f>
        <v>0</v>
      </c>
      <c r="I448" s="41" t="str">
        <f aca="false">'Aug 13'!$M$28</f>
        <v/>
      </c>
      <c r="J448" s="42" t="str">
        <f aca="false">'Aug 13'!$S$28</f>
        <v/>
      </c>
      <c r="K448" s="40" t="n">
        <f aca="false">'Aug 13'!$AG$28</f>
        <v>0</v>
      </c>
      <c r="L448" s="40" t="n">
        <f aca="false">'Aug 13'!$N$28</f>
        <v>0</v>
      </c>
    </row>
    <row r="449" customFormat="false" ht="15" hidden="false" customHeight="false" outlineLevel="0" collapsed="false">
      <c r="A449" s="38" t="str">
        <f aca="false">IF(OR(C449="",C449=0),"",IF(AND(OR($B$5="",G449=$B$5,H449=$B$5),OR($D$5="",F449=$D$5),OR($E$5="",K449=$E$5),OR($G$5="",L449=$G$5),OR($H$5="",N(J449)&gt;=$H$5),OR($I$5="",ISNUMBER(SEARCH($I$5,C449&amp;" "&amp;D449&amp;" "&amp;E449&amp;" "&amp;I449)))),"✓",""))</f>
        <v/>
      </c>
      <c r="B449" s="39" t="n">
        <v>46247</v>
      </c>
      <c r="C449" s="40" t="n">
        <f aca="false">'Aug 13'!$D$29</f>
        <v>0</v>
      </c>
      <c r="D449" s="40" t="n">
        <f aca="false">'Aug 13'!$B$29</f>
        <v>0</v>
      </c>
      <c r="E449" s="41" t="n">
        <f aca="false">'Aug 13'!$E$29</f>
        <v>0</v>
      </c>
      <c r="F449" s="40" t="n">
        <f aca="false">'Aug 13'!$A$29</f>
        <v>0</v>
      </c>
      <c r="G449" s="41" t="n">
        <f aca="false">'Aug 13'!$F$29</f>
        <v>0</v>
      </c>
      <c r="H449" s="41" t="n">
        <f aca="false">'Aug 13'!$G$29</f>
        <v>0</v>
      </c>
      <c r="I449" s="41" t="str">
        <f aca="false">'Aug 13'!$M$29</f>
        <v/>
      </c>
      <c r="J449" s="42" t="str">
        <f aca="false">'Aug 13'!$S$29</f>
        <v/>
      </c>
      <c r="K449" s="40" t="n">
        <f aca="false">'Aug 13'!$AG$29</f>
        <v>0</v>
      </c>
      <c r="L449" s="40" t="n">
        <f aca="false">'Aug 13'!$N$29</f>
        <v>0</v>
      </c>
    </row>
    <row r="450" customFormat="false" ht="15" hidden="false" customHeight="false" outlineLevel="0" collapsed="false">
      <c r="A450" s="38" t="str">
        <f aca="false">IF(OR(C450="",C450=0),"",IF(AND(OR($B$5="",G450=$B$5,H450=$B$5),OR($D$5="",F450=$D$5),OR($E$5="",K450=$E$5),OR($G$5="",L450=$G$5),OR($H$5="",N(J450)&gt;=$H$5),OR($I$5="",ISNUMBER(SEARCH($I$5,C450&amp;" "&amp;D450&amp;" "&amp;E450&amp;" "&amp;I450)))),"✓",""))</f>
        <v/>
      </c>
      <c r="B450" s="39" t="n">
        <v>46247</v>
      </c>
      <c r="C450" s="40" t="n">
        <f aca="false">'Aug 13'!$D$30</f>
        <v>0</v>
      </c>
      <c r="D450" s="40" t="n">
        <f aca="false">'Aug 13'!$B$30</f>
        <v>0</v>
      </c>
      <c r="E450" s="41" t="n">
        <f aca="false">'Aug 13'!$E$30</f>
        <v>0</v>
      </c>
      <c r="F450" s="40" t="n">
        <f aca="false">'Aug 13'!$A$30</f>
        <v>0</v>
      </c>
      <c r="G450" s="41" t="n">
        <f aca="false">'Aug 13'!$F$30</f>
        <v>0</v>
      </c>
      <c r="H450" s="41" t="n">
        <f aca="false">'Aug 13'!$G$30</f>
        <v>0</v>
      </c>
      <c r="I450" s="41" t="str">
        <f aca="false">'Aug 13'!$M$30</f>
        <v/>
      </c>
      <c r="J450" s="42" t="str">
        <f aca="false">'Aug 13'!$S$30</f>
        <v/>
      </c>
      <c r="K450" s="40" t="n">
        <f aca="false">'Aug 13'!$AG$30</f>
        <v>0</v>
      </c>
      <c r="L450" s="40" t="n">
        <f aca="false">'Aug 13'!$N$30</f>
        <v>0</v>
      </c>
    </row>
    <row r="451" customFormat="false" ht="15" hidden="false" customHeight="false" outlineLevel="0" collapsed="false">
      <c r="A451" s="38" t="str">
        <f aca="false">IF(OR(C451="",C451=0),"",IF(AND(OR($B$5="",G451=$B$5,H451=$B$5),OR($D$5="",F451=$D$5),OR($E$5="",K451=$E$5),OR($G$5="",L451=$G$5),OR($H$5="",N(J451)&gt;=$H$5),OR($I$5="",ISNUMBER(SEARCH($I$5,C451&amp;" "&amp;D451&amp;" "&amp;E451&amp;" "&amp;I451)))),"✓",""))</f>
        <v/>
      </c>
      <c r="B451" s="39" t="n">
        <v>46247</v>
      </c>
      <c r="C451" s="40" t="n">
        <f aca="false">'Aug 13'!$D$31</f>
        <v>0</v>
      </c>
      <c r="D451" s="40" t="n">
        <f aca="false">'Aug 13'!$B$31</f>
        <v>0</v>
      </c>
      <c r="E451" s="41" t="n">
        <f aca="false">'Aug 13'!$E$31</f>
        <v>0</v>
      </c>
      <c r="F451" s="40" t="n">
        <f aca="false">'Aug 13'!$A$31</f>
        <v>0</v>
      </c>
      <c r="G451" s="41" t="n">
        <f aca="false">'Aug 13'!$F$31</f>
        <v>0</v>
      </c>
      <c r="H451" s="41" t="n">
        <f aca="false">'Aug 13'!$G$31</f>
        <v>0</v>
      </c>
      <c r="I451" s="41" t="str">
        <f aca="false">'Aug 13'!$M$31</f>
        <v/>
      </c>
      <c r="J451" s="42" t="str">
        <f aca="false">'Aug 13'!$S$31</f>
        <v/>
      </c>
      <c r="K451" s="40" t="n">
        <f aca="false">'Aug 13'!$AG$31</f>
        <v>0</v>
      </c>
      <c r="L451" s="40" t="n">
        <f aca="false">'Aug 13'!$N$31</f>
        <v>0</v>
      </c>
    </row>
    <row r="452" customFormat="false" ht="15" hidden="false" customHeight="false" outlineLevel="0" collapsed="false">
      <c r="A452" s="38" t="str">
        <f aca="false">IF(OR(C452="",C452=0),"",IF(AND(OR($B$5="",G452=$B$5,H452=$B$5),OR($D$5="",F452=$D$5),OR($E$5="",K452=$E$5),OR($G$5="",L452=$G$5),OR($H$5="",N(J452)&gt;=$H$5),OR($I$5="",ISNUMBER(SEARCH($I$5,C452&amp;" "&amp;D452&amp;" "&amp;E452&amp;" "&amp;I452)))),"✓",""))</f>
        <v/>
      </c>
      <c r="B452" s="39" t="n">
        <v>46247</v>
      </c>
      <c r="C452" s="40" t="n">
        <f aca="false">'Aug 13'!$D$32</f>
        <v>0</v>
      </c>
      <c r="D452" s="40" t="n">
        <f aca="false">'Aug 13'!$B$32</f>
        <v>0</v>
      </c>
      <c r="E452" s="41" t="n">
        <f aca="false">'Aug 13'!$E$32</f>
        <v>0</v>
      </c>
      <c r="F452" s="40" t="n">
        <f aca="false">'Aug 13'!$A$32</f>
        <v>0</v>
      </c>
      <c r="G452" s="41" t="n">
        <f aca="false">'Aug 13'!$F$32</f>
        <v>0</v>
      </c>
      <c r="H452" s="41" t="n">
        <f aca="false">'Aug 13'!$G$32</f>
        <v>0</v>
      </c>
      <c r="I452" s="41" t="str">
        <f aca="false">'Aug 13'!$M$32</f>
        <v/>
      </c>
      <c r="J452" s="42" t="str">
        <f aca="false">'Aug 13'!$S$32</f>
        <v/>
      </c>
      <c r="K452" s="40" t="n">
        <f aca="false">'Aug 13'!$AG$32</f>
        <v>0</v>
      </c>
      <c r="L452" s="40" t="n">
        <f aca="false">'Aug 13'!$N$32</f>
        <v>0</v>
      </c>
    </row>
    <row r="453" customFormat="false" ht="15" hidden="false" customHeight="false" outlineLevel="0" collapsed="false">
      <c r="A453" s="38" t="str">
        <f aca="false">IF(OR(C453="",C453=0),"",IF(AND(OR($B$5="",G453=$B$5,H453=$B$5),OR($D$5="",F453=$D$5),OR($E$5="",K453=$E$5),OR($G$5="",L453=$G$5),OR($H$5="",N(J453)&gt;=$H$5),OR($I$5="",ISNUMBER(SEARCH($I$5,C453&amp;" "&amp;D453&amp;" "&amp;E453&amp;" "&amp;I453)))),"✓",""))</f>
        <v/>
      </c>
      <c r="B453" s="39" t="n">
        <v>46247</v>
      </c>
      <c r="C453" s="40" t="n">
        <f aca="false">'Aug 13'!$D$33</f>
        <v>0</v>
      </c>
      <c r="D453" s="40" t="n">
        <f aca="false">'Aug 13'!$B$33</f>
        <v>0</v>
      </c>
      <c r="E453" s="41" t="n">
        <f aca="false">'Aug 13'!$E$33</f>
        <v>0</v>
      </c>
      <c r="F453" s="40" t="n">
        <f aca="false">'Aug 13'!$A$33</f>
        <v>0</v>
      </c>
      <c r="G453" s="41" t="n">
        <f aca="false">'Aug 13'!$F$33</f>
        <v>0</v>
      </c>
      <c r="H453" s="41" t="n">
        <f aca="false">'Aug 13'!$G$33</f>
        <v>0</v>
      </c>
      <c r="I453" s="41" t="str">
        <f aca="false">'Aug 13'!$M$33</f>
        <v/>
      </c>
      <c r="J453" s="42" t="str">
        <f aca="false">'Aug 13'!$S$33</f>
        <v/>
      </c>
      <c r="K453" s="40" t="n">
        <f aca="false">'Aug 13'!$AG$33</f>
        <v>0</v>
      </c>
      <c r="L453" s="40" t="n">
        <f aca="false">'Aug 13'!$N$33</f>
        <v>0</v>
      </c>
    </row>
    <row r="454" customFormat="false" ht="15" hidden="false" customHeight="false" outlineLevel="0" collapsed="false">
      <c r="A454" s="38" t="str">
        <f aca="false">IF(OR(C454="",C454=0),"",IF(AND(OR($B$5="",G454=$B$5,H454=$B$5),OR($D$5="",F454=$D$5),OR($E$5="",K454=$E$5),OR($G$5="",L454=$G$5),OR($H$5="",N(J454)&gt;=$H$5),OR($I$5="",ISNUMBER(SEARCH($I$5,C454&amp;" "&amp;D454&amp;" "&amp;E454&amp;" "&amp;I454)))),"✓",""))</f>
        <v/>
      </c>
      <c r="B454" s="39" t="n">
        <v>46247</v>
      </c>
      <c r="C454" s="40" t="n">
        <f aca="false">'Aug 13'!$D$34</f>
        <v>0</v>
      </c>
      <c r="D454" s="40" t="n">
        <f aca="false">'Aug 13'!$B$34</f>
        <v>0</v>
      </c>
      <c r="E454" s="41" t="n">
        <f aca="false">'Aug 13'!$E$34</f>
        <v>0</v>
      </c>
      <c r="F454" s="40" t="n">
        <f aca="false">'Aug 13'!$A$34</f>
        <v>0</v>
      </c>
      <c r="G454" s="41" t="n">
        <f aca="false">'Aug 13'!$F$34</f>
        <v>0</v>
      </c>
      <c r="H454" s="41" t="n">
        <f aca="false">'Aug 13'!$G$34</f>
        <v>0</v>
      </c>
      <c r="I454" s="41" t="str">
        <f aca="false">'Aug 13'!$M$34</f>
        <v/>
      </c>
      <c r="J454" s="42" t="str">
        <f aca="false">'Aug 13'!$S$34</f>
        <v/>
      </c>
      <c r="K454" s="40" t="n">
        <f aca="false">'Aug 13'!$AG$34</f>
        <v>0</v>
      </c>
      <c r="L454" s="40" t="n">
        <f aca="false">'Aug 13'!$N$34</f>
        <v>0</v>
      </c>
    </row>
    <row r="455" customFormat="false" ht="15" hidden="false" customHeight="false" outlineLevel="0" collapsed="false">
      <c r="A455" s="38" t="str">
        <f aca="false">IF(OR(C455="",C455=0),"",IF(AND(OR($B$5="",G455=$B$5,H455=$B$5),OR($D$5="",F455=$D$5),OR($E$5="",K455=$E$5),OR($G$5="",L455=$G$5),OR($H$5="",N(J455)&gt;=$H$5),OR($I$5="",ISNUMBER(SEARCH($I$5,C455&amp;" "&amp;D455&amp;" "&amp;E455&amp;" "&amp;I455)))),"✓",""))</f>
        <v/>
      </c>
      <c r="B455" s="39" t="n">
        <v>46247</v>
      </c>
      <c r="C455" s="40" t="n">
        <f aca="false">'Aug 13'!$D$35</f>
        <v>0</v>
      </c>
      <c r="D455" s="40" t="n">
        <f aca="false">'Aug 13'!$B$35</f>
        <v>0</v>
      </c>
      <c r="E455" s="41" t="n">
        <f aca="false">'Aug 13'!$E$35</f>
        <v>0</v>
      </c>
      <c r="F455" s="40" t="n">
        <f aca="false">'Aug 13'!$A$35</f>
        <v>0</v>
      </c>
      <c r="G455" s="41" t="n">
        <f aca="false">'Aug 13'!$F$35</f>
        <v>0</v>
      </c>
      <c r="H455" s="41" t="n">
        <f aca="false">'Aug 13'!$G$35</f>
        <v>0</v>
      </c>
      <c r="I455" s="41" t="str">
        <f aca="false">'Aug 13'!$M$35</f>
        <v/>
      </c>
      <c r="J455" s="42" t="str">
        <f aca="false">'Aug 13'!$S$35</f>
        <v/>
      </c>
      <c r="K455" s="40" t="n">
        <f aca="false">'Aug 13'!$AG$35</f>
        <v>0</v>
      </c>
      <c r="L455" s="40" t="n">
        <f aca="false">'Aug 13'!$N$35</f>
        <v>0</v>
      </c>
    </row>
    <row r="456" customFormat="false" ht="15" hidden="false" customHeight="false" outlineLevel="0" collapsed="false">
      <c r="A456" s="38" t="str">
        <f aca="false">IF(OR(C456="",C456=0),"",IF(AND(OR($B$5="",G456=$B$5,H456=$B$5),OR($D$5="",F456=$D$5),OR($E$5="",K456=$E$5),OR($G$5="",L456=$G$5),OR($H$5="",N(J456)&gt;=$H$5),OR($I$5="",ISNUMBER(SEARCH($I$5,C456&amp;" "&amp;D456&amp;" "&amp;E456&amp;" "&amp;I456)))),"✓",""))</f>
        <v/>
      </c>
      <c r="B456" s="39" t="n">
        <v>46247</v>
      </c>
      <c r="C456" s="40" t="n">
        <f aca="false">'Aug 13'!$D$36</f>
        <v>0</v>
      </c>
      <c r="D456" s="40" t="n">
        <f aca="false">'Aug 13'!$B$36</f>
        <v>0</v>
      </c>
      <c r="E456" s="41" t="n">
        <f aca="false">'Aug 13'!$E$36</f>
        <v>0</v>
      </c>
      <c r="F456" s="40" t="n">
        <f aca="false">'Aug 13'!$A$36</f>
        <v>0</v>
      </c>
      <c r="G456" s="41" t="n">
        <f aca="false">'Aug 13'!$F$36</f>
        <v>0</v>
      </c>
      <c r="H456" s="41" t="n">
        <f aca="false">'Aug 13'!$G$36</f>
        <v>0</v>
      </c>
      <c r="I456" s="41" t="str">
        <f aca="false">'Aug 13'!$M$36</f>
        <v/>
      </c>
      <c r="J456" s="42" t="str">
        <f aca="false">'Aug 13'!$S$36</f>
        <v/>
      </c>
      <c r="K456" s="40" t="n">
        <f aca="false">'Aug 13'!$AG$36</f>
        <v>0</v>
      </c>
      <c r="L456" s="40" t="n">
        <f aca="false">'Aug 13'!$N$36</f>
        <v>0</v>
      </c>
    </row>
    <row r="457" customFormat="false" ht="15" hidden="false" customHeight="false" outlineLevel="0" collapsed="false">
      <c r="A457" s="38" t="str">
        <f aca="false">IF(OR(C457="",C457=0),"",IF(AND(OR($B$5="",G457=$B$5,H457=$B$5),OR($D$5="",F457=$D$5),OR($E$5="",K457=$E$5),OR($G$5="",L457=$G$5),OR($H$5="",N(J457)&gt;=$H$5),OR($I$5="",ISNUMBER(SEARCH($I$5,C457&amp;" "&amp;D457&amp;" "&amp;E457&amp;" "&amp;I457)))),"✓",""))</f>
        <v/>
      </c>
      <c r="B457" s="39" t="n">
        <v>46247</v>
      </c>
      <c r="C457" s="40" t="n">
        <f aca="false">'Aug 13'!$D$37</f>
        <v>0</v>
      </c>
      <c r="D457" s="40" t="n">
        <f aca="false">'Aug 13'!$B$37</f>
        <v>0</v>
      </c>
      <c r="E457" s="41" t="n">
        <f aca="false">'Aug 13'!$E$37</f>
        <v>0</v>
      </c>
      <c r="F457" s="40" t="n">
        <f aca="false">'Aug 13'!$A$37</f>
        <v>0</v>
      </c>
      <c r="G457" s="41" t="n">
        <f aca="false">'Aug 13'!$F$37</f>
        <v>0</v>
      </c>
      <c r="H457" s="41" t="n">
        <f aca="false">'Aug 13'!$G$37</f>
        <v>0</v>
      </c>
      <c r="I457" s="41" t="str">
        <f aca="false">'Aug 13'!$M$37</f>
        <v/>
      </c>
      <c r="J457" s="42" t="str">
        <f aca="false">'Aug 13'!$S$37</f>
        <v/>
      </c>
      <c r="K457" s="40" t="n">
        <f aca="false">'Aug 13'!$AG$37</f>
        <v>0</v>
      </c>
      <c r="L457" s="40" t="n">
        <f aca="false">'Aug 13'!$N$37</f>
        <v>0</v>
      </c>
    </row>
    <row r="458" customFormat="false" ht="15" hidden="false" customHeight="false" outlineLevel="0" collapsed="false">
      <c r="A458" s="38" t="str">
        <f aca="false">IF(OR(C458="",C458=0),"",IF(AND(OR($B$5="",G458=$B$5,H458=$B$5),OR($D$5="",F458=$D$5),OR($E$5="",K458=$E$5),OR($G$5="",L458=$G$5),OR($H$5="",N(J458)&gt;=$H$5),OR($I$5="",ISNUMBER(SEARCH($I$5,C458&amp;" "&amp;D458&amp;" "&amp;E458&amp;" "&amp;I458)))),"✓",""))</f>
        <v/>
      </c>
      <c r="B458" s="39" t="n">
        <v>46247</v>
      </c>
      <c r="C458" s="40" t="n">
        <f aca="false">'Aug 13'!$D$38</f>
        <v>0</v>
      </c>
      <c r="D458" s="40" t="n">
        <f aca="false">'Aug 13'!$B$38</f>
        <v>0</v>
      </c>
      <c r="E458" s="41" t="n">
        <f aca="false">'Aug 13'!$E$38</f>
        <v>0</v>
      </c>
      <c r="F458" s="40" t="n">
        <f aca="false">'Aug 13'!$A$38</f>
        <v>0</v>
      </c>
      <c r="G458" s="41" t="n">
        <f aca="false">'Aug 13'!$F$38</f>
        <v>0</v>
      </c>
      <c r="H458" s="41" t="n">
        <f aca="false">'Aug 13'!$G$38</f>
        <v>0</v>
      </c>
      <c r="I458" s="41" t="str">
        <f aca="false">'Aug 13'!$M$38</f>
        <v/>
      </c>
      <c r="J458" s="42" t="str">
        <f aca="false">'Aug 13'!$S$38</f>
        <v/>
      </c>
      <c r="K458" s="40" t="n">
        <f aca="false">'Aug 13'!$AG$38</f>
        <v>0</v>
      </c>
      <c r="L458" s="40" t="n">
        <f aca="false">'Aug 13'!$N$38</f>
        <v>0</v>
      </c>
    </row>
    <row r="459" customFormat="false" ht="15" hidden="false" customHeight="false" outlineLevel="0" collapsed="false">
      <c r="A459" s="38" t="str">
        <f aca="false">IF(OR(C459="",C459=0),"",IF(AND(OR($B$5="",G459=$B$5,H459=$B$5),OR($D$5="",F459=$D$5),OR($E$5="",K459=$E$5),OR($G$5="",L459=$G$5),OR($H$5="",N(J459)&gt;=$H$5),OR($I$5="",ISNUMBER(SEARCH($I$5,C459&amp;" "&amp;D459&amp;" "&amp;E459&amp;" "&amp;I459)))),"✓",""))</f>
        <v/>
      </c>
      <c r="B459" s="39" t="n">
        <v>46247</v>
      </c>
      <c r="C459" s="40" t="n">
        <f aca="false">'Aug 13'!$D$39</f>
        <v>0</v>
      </c>
      <c r="D459" s="40" t="n">
        <f aca="false">'Aug 13'!$B$39</f>
        <v>0</v>
      </c>
      <c r="E459" s="41" t="n">
        <f aca="false">'Aug 13'!$E$39</f>
        <v>0</v>
      </c>
      <c r="F459" s="40" t="n">
        <f aca="false">'Aug 13'!$A$39</f>
        <v>0</v>
      </c>
      <c r="G459" s="41" t="n">
        <f aca="false">'Aug 13'!$F$39</f>
        <v>0</v>
      </c>
      <c r="H459" s="41" t="n">
        <f aca="false">'Aug 13'!$G$39</f>
        <v>0</v>
      </c>
      <c r="I459" s="41" t="str">
        <f aca="false">'Aug 13'!$M$39</f>
        <v/>
      </c>
      <c r="J459" s="42" t="str">
        <f aca="false">'Aug 13'!$S$39</f>
        <v/>
      </c>
      <c r="K459" s="40" t="n">
        <f aca="false">'Aug 13'!$AG$39</f>
        <v>0</v>
      </c>
      <c r="L459" s="40" t="n">
        <f aca="false">'Aug 13'!$N$39</f>
        <v>0</v>
      </c>
    </row>
    <row r="460" customFormat="false" ht="15" hidden="false" customHeight="false" outlineLevel="0" collapsed="false">
      <c r="A460" s="38" t="str">
        <f aca="false">IF(OR(C460="",C460=0),"",IF(AND(OR($B$5="",G460=$B$5,H460=$B$5),OR($D$5="",F460=$D$5),OR($E$5="",K460=$E$5),OR($G$5="",L460=$G$5),OR($H$5="",N(J460)&gt;=$H$5),OR($I$5="",ISNUMBER(SEARCH($I$5,C460&amp;" "&amp;D460&amp;" "&amp;E460&amp;" "&amp;I460)))),"✓",""))</f>
        <v/>
      </c>
      <c r="B460" s="39" t="n">
        <v>46247</v>
      </c>
      <c r="C460" s="40" t="n">
        <f aca="false">'Aug 13'!$D$40</f>
        <v>0</v>
      </c>
      <c r="D460" s="40" t="n">
        <f aca="false">'Aug 13'!$B$40</f>
        <v>0</v>
      </c>
      <c r="E460" s="41" t="n">
        <f aca="false">'Aug 13'!$E$40</f>
        <v>0</v>
      </c>
      <c r="F460" s="40" t="n">
        <f aca="false">'Aug 13'!$A$40</f>
        <v>0</v>
      </c>
      <c r="G460" s="41" t="n">
        <f aca="false">'Aug 13'!$F$40</f>
        <v>0</v>
      </c>
      <c r="H460" s="41" t="n">
        <f aca="false">'Aug 13'!$G$40</f>
        <v>0</v>
      </c>
      <c r="I460" s="41" t="str">
        <f aca="false">'Aug 13'!$M$40</f>
        <v/>
      </c>
      <c r="J460" s="42" t="str">
        <f aca="false">'Aug 13'!$S$40</f>
        <v/>
      </c>
      <c r="K460" s="40" t="n">
        <f aca="false">'Aug 13'!$AG$40</f>
        <v>0</v>
      </c>
      <c r="L460" s="40" t="n">
        <f aca="false">'Aug 13'!$N$40</f>
        <v>0</v>
      </c>
    </row>
    <row r="461" customFormat="false" ht="15" hidden="false" customHeight="false" outlineLevel="0" collapsed="false">
      <c r="A461" s="38" t="str">
        <f aca="false">IF(OR(C461="",C461=0),"",IF(AND(OR($B$5="",G461=$B$5,H461=$B$5),OR($D$5="",F461=$D$5),OR($E$5="",K461=$E$5),OR($G$5="",L461=$G$5),OR($H$5="",N(J461)&gt;=$H$5),OR($I$5="",ISNUMBER(SEARCH($I$5,C461&amp;" "&amp;D461&amp;" "&amp;E461&amp;" "&amp;I461)))),"✓",""))</f>
        <v/>
      </c>
      <c r="B461" s="39" t="n">
        <v>46247</v>
      </c>
      <c r="C461" s="40" t="n">
        <f aca="false">'Aug 13'!$D$41</f>
        <v>0</v>
      </c>
      <c r="D461" s="40" t="n">
        <f aca="false">'Aug 13'!$B$41</f>
        <v>0</v>
      </c>
      <c r="E461" s="41" t="n">
        <f aca="false">'Aug 13'!$E$41</f>
        <v>0</v>
      </c>
      <c r="F461" s="40" t="n">
        <f aca="false">'Aug 13'!$A$41</f>
        <v>0</v>
      </c>
      <c r="G461" s="41" t="n">
        <f aca="false">'Aug 13'!$F$41</f>
        <v>0</v>
      </c>
      <c r="H461" s="41" t="n">
        <f aca="false">'Aug 13'!$G$41</f>
        <v>0</v>
      </c>
      <c r="I461" s="41" t="str">
        <f aca="false">'Aug 13'!$M$41</f>
        <v/>
      </c>
      <c r="J461" s="42" t="str">
        <f aca="false">'Aug 13'!$S$41</f>
        <v/>
      </c>
      <c r="K461" s="40" t="n">
        <f aca="false">'Aug 13'!$AG$41</f>
        <v>0</v>
      </c>
      <c r="L461" s="40" t="n">
        <f aca="false">'Aug 13'!$N$41</f>
        <v>0</v>
      </c>
    </row>
    <row r="462" customFormat="false" ht="15" hidden="false" customHeight="false" outlineLevel="0" collapsed="false">
      <c r="A462" s="38" t="str">
        <f aca="false">IF(OR(C462="",C462=0),"",IF(AND(OR($B$5="",G462=$B$5,H462=$B$5),OR($D$5="",F462=$D$5),OR($E$5="",K462=$E$5),OR($G$5="",L462=$G$5),OR($H$5="",N(J462)&gt;=$H$5),OR($I$5="",ISNUMBER(SEARCH($I$5,C462&amp;" "&amp;D462&amp;" "&amp;E462&amp;" "&amp;I462)))),"✓",""))</f>
        <v/>
      </c>
      <c r="B462" s="39" t="n">
        <v>46247</v>
      </c>
      <c r="C462" s="40" t="n">
        <f aca="false">'Aug 13'!$D$42</f>
        <v>0</v>
      </c>
      <c r="D462" s="40" t="n">
        <f aca="false">'Aug 13'!$B$42</f>
        <v>0</v>
      </c>
      <c r="E462" s="41" t="n">
        <f aca="false">'Aug 13'!$E$42</f>
        <v>0</v>
      </c>
      <c r="F462" s="40" t="n">
        <f aca="false">'Aug 13'!$A$42</f>
        <v>0</v>
      </c>
      <c r="G462" s="41" t="n">
        <f aca="false">'Aug 13'!$F$42</f>
        <v>0</v>
      </c>
      <c r="H462" s="41" t="n">
        <f aca="false">'Aug 13'!$G$42</f>
        <v>0</v>
      </c>
      <c r="I462" s="41" t="str">
        <f aca="false">'Aug 13'!$M$42</f>
        <v/>
      </c>
      <c r="J462" s="42" t="str">
        <f aca="false">'Aug 13'!$S$42</f>
        <v/>
      </c>
      <c r="K462" s="40" t="n">
        <f aca="false">'Aug 13'!$AG$42</f>
        <v>0</v>
      </c>
      <c r="L462" s="40" t="n">
        <f aca="false">'Aug 13'!$N$42</f>
        <v>0</v>
      </c>
    </row>
    <row r="463" customFormat="false" ht="15" hidden="false" customHeight="false" outlineLevel="0" collapsed="false">
      <c r="A463" s="38" t="str">
        <f aca="false">IF(OR(C463="",C463=0),"",IF(AND(OR($B$5="",G463=$B$5,H463=$B$5),OR($D$5="",F463=$D$5),OR($E$5="",K463=$E$5),OR($G$5="",L463=$G$5),OR($H$5="",N(J463)&gt;=$H$5),OR($I$5="",ISNUMBER(SEARCH($I$5,C463&amp;" "&amp;D463&amp;" "&amp;E463&amp;" "&amp;I463)))),"✓",""))</f>
        <v/>
      </c>
      <c r="B463" s="39" t="n">
        <v>46248</v>
      </c>
      <c r="C463" s="40" t="n">
        <f aca="false">'Aug 14'!$D$8</f>
        <v>0</v>
      </c>
      <c r="D463" s="40" t="n">
        <f aca="false">'Aug 14'!$B$8</f>
        <v>0</v>
      </c>
      <c r="E463" s="41" t="n">
        <f aca="false">'Aug 14'!$E$8</f>
        <v>0</v>
      </c>
      <c r="F463" s="40" t="n">
        <f aca="false">'Aug 14'!$A$8</f>
        <v>0</v>
      </c>
      <c r="G463" s="41" t="n">
        <f aca="false">'Aug 14'!$F$8</f>
        <v>0</v>
      </c>
      <c r="H463" s="41" t="n">
        <f aca="false">'Aug 14'!$G$8</f>
        <v>0</v>
      </c>
      <c r="I463" s="41" t="str">
        <f aca="false">'Aug 14'!$M$8</f>
        <v/>
      </c>
      <c r="J463" s="42" t="str">
        <f aca="false">'Aug 14'!$S$8</f>
        <v/>
      </c>
      <c r="K463" s="40" t="n">
        <f aca="false">'Aug 14'!$AG$8</f>
        <v>0</v>
      </c>
      <c r="L463" s="40" t="n">
        <f aca="false">'Aug 14'!$N$8</f>
        <v>0</v>
      </c>
    </row>
    <row r="464" customFormat="false" ht="15" hidden="false" customHeight="false" outlineLevel="0" collapsed="false">
      <c r="A464" s="38" t="str">
        <f aca="false">IF(OR(C464="",C464=0),"",IF(AND(OR($B$5="",G464=$B$5,H464=$B$5),OR($D$5="",F464=$D$5),OR($E$5="",K464=$E$5),OR($G$5="",L464=$G$5),OR($H$5="",N(J464)&gt;=$H$5),OR($I$5="",ISNUMBER(SEARCH($I$5,C464&amp;" "&amp;D464&amp;" "&amp;E464&amp;" "&amp;I464)))),"✓",""))</f>
        <v/>
      </c>
      <c r="B464" s="39" t="n">
        <v>46248</v>
      </c>
      <c r="C464" s="40" t="n">
        <f aca="false">'Aug 14'!$D$9</f>
        <v>0</v>
      </c>
      <c r="D464" s="40" t="n">
        <f aca="false">'Aug 14'!$B$9</f>
        <v>0</v>
      </c>
      <c r="E464" s="41" t="n">
        <f aca="false">'Aug 14'!$E$9</f>
        <v>0</v>
      </c>
      <c r="F464" s="40" t="n">
        <f aca="false">'Aug 14'!$A$9</f>
        <v>0</v>
      </c>
      <c r="G464" s="41" t="n">
        <f aca="false">'Aug 14'!$F$9</f>
        <v>0</v>
      </c>
      <c r="H464" s="41" t="n">
        <f aca="false">'Aug 14'!$G$9</f>
        <v>0</v>
      </c>
      <c r="I464" s="41" t="str">
        <f aca="false">'Aug 14'!$M$9</f>
        <v/>
      </c>
      <c r="J464" s="42" t="str">
        <f aca="false">'Aug 14'!$S$9</f>
        <v/>
      </c>
      <c r="K464" s="40" t="n">
        <f aca="false">'Aug 14'!$AG$9</f>
        <v>0</v>
      </c>
      <c r="L464" s="40" t="n">
        <f aca="false">'Aug 14'!$N$9</f>
        <v>0</v>
      </c>
    </row>
    <row r="465" customFormat="false" ht="15" hidden="false" customHeight="false" outlineLevel="0" collapsed="false">
      <c r="A465" s="38" t="str">
        <f aca="false">IF(OR(C465="",C465=0),"",IF(AND(OR($B$5="",G465=$B$5,H465=$B$5),OR($D$5="",F465=$D$5),OR($E$5="",K465=$E$5),OR($G$5="",L465=$G$5),OR($H$5="",N(J465)&gt;=$H$5),OR($I$5="",ISNUMBER(SEARCH($I$5,C465&amp;" "&amp;D465&amp;" "&amp;E465&amp;" "&amp;I465)))),"✓",""))</f>
        <v/>
      </c>
      <c r="B465" s="39" t="n">
        <v>46248</v>
      </c>
      <c r="C465" s="40" t="n">
        <f aca="false">'Aug 14'!$D$10</f>
        <v>0</v>
      </c>
      <c r="D465" s="40" t="n">
        <f aca="false">'Aug 14'!$B$10</f>
        <v>0</v>
      </c>
      <c r="E465" s="41" t="n">
        <f aca="false">'Aug 14'!$E$10</f>
        <v>0</v>
      </c>
      <c r="F465" s="40" t="n">
        <f aca="false">'Aug 14'!$A$10</f>
        <v>0</v>
      </c>
      <c r="G465" s="41" t="n">
        <f aca="false">'Aug 14'!$F$10</f>
        <v>0</v>
      </c>
      <c r="H465" s="41" t="n">
        <f aca="false">'Aug 14'!$G$10</f>
        <v>0</v>
      </c>
      <c r="I465" s="41" t="str">
        <f aca="false">'Aug 14'!$M$10</f>
        <v/>
      </c>
      <c r="J465" s="42" t="str">
        <f aca="false">'Aug 14'!$S$10</f>
        <v/>
      </c>
      <c r="K465" s="40" t="n">
        <f aca="false">'Aug 14'!$AG$10</f>
        <v>0</v>
      </c>
      <c r="L465" s="40" t="n">
        <f aca="false">'Aug 14'!$N$10</f>
        <v>0</v>
      </c>
    </row>
    <row r="466" customFormat="false" ht="15" hidden="false" customHeight="false" outlineLevel="0" collapsed="false">
      <c r="A466" s="38" t="str">
        <f aca="false">IF(OR(C466="",C466=0),"",IF(AND(OR($B$5="",G466=$B$5,H466=$B$5),OR($D$5="",F466=$D$5),OR($E$5="",K466=$E$5),OR($G$5="",L466=$G$5),OR($H$5="",N(J466)&gt;=$H$5),OR($I$5="",ISNUMBER(SEARCH($I$5,C466&amp;" "&amp;D466&amp;" "&amp;E466&amp;" "&amp;I466)))),"✓",""))</f>
        <v/>
      </c>
      <c r="B466" s="39" t="n">
        <v>46248</v>
      </c>
      <c r="C466" s="40" t="n">
        <f aca="false">'Aug 14'!$D$11</f>
        <v>0</v>
      </c>
      <c r="D466" s="40" t="n">
        <f aca="false">'Aug 14'!$B$11</f>
        <v>0</v>
      </c>
      <c r="E466" s="41" t="n">
        <f aca="false">'Aug 14'!$E$11</f>
        <v>0</v>
      </c>
      <c r="F466" s="40" t="n">
        <f aca="false">'Aug 14'!$A$11</f>
        <v>0</v>
      </c>
      <c r="G466" s="41" t="n">
        <f aca="false">'Aug 14'!$F$11</f>
        <v>0</v>
      </c>
      <c r="H466" s="41" t="n">
        <f aca="false">'Aug 14'!$G$11</f>
        <v>0</v>
      </c>
      <c r="I466" s="41" t="str">
        <f aca="false">'Aug 14'!$M$11</f>
        <v/>
      </c>
      <c r="J466" s="42" t="str">
        <f aca="false">'Aug 14'!$S$11</f>
        <v/>
      </c>
      <c r="K466" s="40" t="n">
        <f aca="false">'Aug 14'!$AG$11</f>
        <v>0</v>
      </c>
      <c r="L466" s="40" t="n">
        <f aca="false">'Aug 14'!$N$11</f>
        <v>0</v>
      </c>
    </row>
    <row r="467" customFormat="false" ht="15" hidden="false" customHeight="false" outlineLevel="0" collapsed="false">
      <c r="A467" s="38" t="str">
        <f aca="false">IF(OR(C467="",C467=0),"",IF(AND(OR($B$5="",G467=$B$5,H467=$B$5),OR($D$5="",F467=$D$5),OR($E$5="",K467=$E$5),OR($G$5="",L467=$G$5),OR($H$5="",N(J467)&gt;=$H$5),OR($I$5="",ISNUMBER(SEARCH($I$5,C467&amp;" "&amp;D467&amp;" "&amp;E467&amp;" "&amp;I467)))),"✓",""))</f>
        <v/>
      </c>
      <c r="B467" s="39" t="n">
        <v>46248</v>
      </c>
      <c r="C467" s="40" t="n">
        <f aca="false">'Aug 14'!$D$12</f>
        <v>0</v>
      </c>
      <c r="D467" s="40" t="n">
        <f aca="false">'Aug 14'!$B$12</f>
        <v>0</v>
      </c>
      <c r="E467" s="41" t="n">
        <f aca="false">'Aug 14'!$E$12</f>
        <v>0</v>
      </c>
      <c r="F467" s="40" t="n">
        <f aca="false">'Aug 14'!$A$12</f>
        <v>0</v>
      </c>
      <c r="G467" s="41" t="n">
        <f aca="false">'Aug 14'!$F$12</f>
        <v>0</v>
      </c>
      <c r="H467" s="41" t="n">
        <f aca="false">'Aug 14'!$G$12</f>
        <v>0</v>
      </c>
      <c r="I467" s="41" t="str">
        <f aca="false">'Aug 14'!$M$12</f>
        <v/>
      </c>
      <c r="J467" s="42" t="str">
        <f aca="false">'Aug 14'!$S$12</f>
        <v/>
      </c>
      <c r="K467" s="40" t="n">
        <f aca="false">'Aug 14'!$AG$12</f>
        <v>0</v>
      </c>
      <c r="L467" s="40" t="n">
        <f aca="false">'Aug 14'!$N$12</f>
        <v>0</v>
      </c>
    </row>
    <row r="468" customFormat="false" ht="15" hidden="false" customHeight="false" outlineLevel="0" collapsed="false">
      <c r="A468" s="38" t="str">
        <f aca="false">IF(OR(C468="",C468=0),"",IF(AND(OR($B$5="",G468=$B$5,H468=$B$5),OR($D$5="",F468=$D$5),OR($E$5="",K468=$E$5),OR($G$5="",L468=$G$5),OR($H$5="",N(J468)&gt;=$H$5),OR($I$5="",ISNUMBER(SEARCH($I$5,C468&amp;" "&amp;D468&amp;" "&amp;E468&amp;" "&amp;I468)))),"✓",""))</f>
        <v/>
      </c>
      <c r="B468" s="39" t="n">
        <v>46248</v>
      </c>
      <c r="C468" s="40" t="n">
        <f aca="false">'Aug 14'!$D$13</f>
        <v>0</v>
      </c>
      <c r="D468" s="40" t="n">
        <f aca="false">'Aug 14'!$B$13</f>
        <v>0</v>
      </c>
      <c r="E468" s="41" t="n">
        <f aca="false">'Aug 14'!$E$13</f>
        <v>0</v>
      </c>
      <c r="F468" s="40" t="n">
        <f aca="false">'Aug 14'!$A$13</f>
        <v>0</v>
      </c>
      <c r="G468" s="41" t="n">
        <f aca="false">'Aug 14'!$F$13</f>
        <v>0</v>
      </c>
      <c r="H468" s="41" t="n">
        <f aca="false">'Aug 14'!$G$13</f>
        <v>0</v>
      </c>
      <c r="I468" s="41" t="str">
        <f aca="false">'Aug 14'!$M$13</f>
        <v/>
      </c>
      <c r="J468" s="42" t="str">
        <f aca="false">'Aug 14'!$S$13</f>
        <v/>
      </c>
      <c r="K468" s="40" t="n">
        <f aca="false">'Aug 14'!$AG$13</f>
        <v>0</v>
      </c>
      <c r="L468" s="40" t="n">
        <f aca="false">'Aug 14'!$N$13</f>
        <v>0</v>
      </c>
    </row>
    <row r="469" customFormat="false" ht="15" hidden="false" customHeight="false" outlineLevel="0" collapsed="false">
      <c r="A469" s="38" t="str">
        <f aca="false">IF(OR(C469="",C469=0),"",IF(AND(OR($B$5="",G469=$B$5,H469=$B$5),OR($D$5="",F469=$D$5),OR($E$5="",K469=$E$5),OR($G$5="",L469=$G$5),OR($H$5="",N(J469)&gt;=$H$5),OR($I$5="",ISNUMBER(SEARCH($I$5,C469&amp;" "&amp;D469&amp;" "&amp;E469&amp;" "&amp;I469)))),"✓",""))</f>
        <v/>
      </c>
      <c r="B469" s="39" t="n">
        <v>46248</v>
      </c>
      <c r="C469" s="40" t="n">
        <f aca="false">'Aug 14'!$D$14</f>
        <v>0</v>
      </c>
      <c r="D469" s="40" t="n">
        <f aca="false">'Aug 14'!$B$14</f>
        <v>0</v>
      </c>
      <c r="E469" s="41" t="n">
        <f aca="false">'Aug 14'!$E$14</f>
        <v>0</v>
      </c>
      <c r="F469" s="40" t="n">
        <f aca="false">'Aug 14'!$A$14</f>
        <v>0</v>
      </c>
      <c r="G469" s="41" t="n">
        <f aca="false">'Aug 14'!$F$14</f>
        <v>0</v>
      </c>
      <c r="H469" s="41" t="n">
        <f aca="false">'Aug 14'!$G$14</f>
        <v>0</v>
      </c>
      <c r="I469" s="41" t="str">
        <f aca="false">'Aug 14'!$M$14</f>
        <v/>
      </c>
      <c r="J469" s="42" t="str">
        <f aca="false">'Aug 14'!$S$14</f>
        <v/>
      </c>
      <c r="K469" s="40" t="n">
        <f aca="false">'Aug 14'!$AG$14</f>
        <v>0</v>
      </c>
      <c r="L469" s="40" t="n">
        <f aca="false">'Aug 14'!$N$14</f>
        <v>0</v>
      </c>
    </row>
    <row r="470" customFormat="false" ht="15" hidden="false" customHeight="false" outlineLevel="0" collapsed="false">
      <c r="A470" s="38" t="str">
        <f aca="false">IF(OR(C470="",C470=0),"",IF(AND(OR($B$5="",G470=$B$5,H470=$B$5),OR($D$5="",F470=$D$5),OR($E$5="",K470=$E$5),OR($G$5="",L470=$G$5),OR($H$5="",N(J470)&gt;=$H$5),OR($I$5="",ISNUMBER(SEARCH($I$5,C470&amp;" "&amp;D470&amp;" "&amp;E470&amp;" "&amp;I470)))),"✓",""))</f>
        <v/>
      </c>
      <c r="B470" s="39" t="n">
        <v>46248</v>
      </c>
      <c r="C470" s="40" t="n">
        <f aca="false">'Aug 14'!$D$15</f>
        <v>0</v>
      </c>
      <c r="D470" s="40" t="n">
        <f aca="false">'Aug 14'!$B$15</f>
        <v>0</v>
      </c>
      <c r="E470" s="41" t="n">
        <f aca="false">'Aug 14'!$E$15</f>
        <v>0</v>
      </c>
      <c r="F470" s="40" t="n">
        <f aca="false">'Aug 14'!$A$15</f>
        <v>0</v>
      </c>
      <c r="G470" s="41" t="n">
        <f aca="false">'Aug 14'!$F$15</f>
        <v>0</v>
      </c>
      <c r="H470" s="41" t="n">
        <f aca="false">'Aug 14'!$G$15</f>
        <v>0</v>
      </c>
      <c r="I470" s="41" t="str">
        <f aca="false">'Aug 14'!$M$15</f>
        <v/>
      </c>
      <c r="J470" s="42" t="str">
        <f aca="false">'Aug 14'!$S$15</f>
        <v/>
      </c>
      <c r="K470" s="40" t="n">
        <f aca="false">'Aug 14'!$AG$15</f>
        <v>0</v>
      </c>
      <c r="L470" s="40" t="n">
        <f aca="false">'Aug 14'!$N$15</f>
        <v>0</v>
      </c>
    </row>
    <row r="471" customFormat="false" ht="15" hidden="false" customHeight="false" outlineLevel="0" collapsed="false">
      <c r="A471" s="38" t="str">
        <f aca="false">IF(OR(C471="",C471=0),"",IF(AND(OR($B$5="",G471=$B$5,H471=$B$5),OR($D$5="",F471=$D$5),OR($E$5="",K471=$E$5),OR($G$5="",L471=$G$5),OR($H$5="",N(J471)&gt;=$H$5),OR($I$5="",ISNUMBER(SEARCH($I$5,C471&amp;" "&amp;D471&amp;" "&amp;E471&amp;" "&amp;I471)))),"✓",""))</f>
        <v/>
      </c>
      <c r="B471" s="39" t="n">
        <v>46248</v>
      </c>
      <c r="C471" s="40" t="n">
        <f aca="false">'Aug 14'!$D$16</f>
        <v>0</v>
      </c>
      <c r="D471" s="40" t="n">
        <f aca="false">'Aug 14'!$B$16</f>
        <v>0</v>
      </c>
      <c r="E471" s="41" t="n">
        <f aca="false">'Aug 14'!$E$16</f>
        <v>0</v>
      </c>
      <c r="F471" s="40" t="n">
        <f aca="false">'Aug 14'!$A$16</f>
        <v>0</v>
      </c>
      <c r="G471" s="41" t="n">
        <f aca="false">'Aug 14'!$F$16</f>
        <v>0</v>
      </c>
      <c r="H471" s="41" t="n">
        <f aca="false">'Aug 14'!$G$16</f>
        <v>0</v>
      </c>
      <c r="I471" s="41" t="str">
        <f aca="false">'Aug 14'!$M$16</f>
        <v/>
      </c>
      <c r="J471" s="42" t="str">
        <f aca="false">'Aug 14'!$S$16</f>
        <v/>
      </c>
      <c r="K471" s="40" t="n">
        <f aca="false">'Aug 14'!$AG$16</f>
        <v>0</v>
      </c>
      <c r="L471" s="40" t="n">
        <f aca="false">'Aug 14'!$N$16</f>
        <v>0</v>
      </c>
    </row>
    <row r="472" customFormat="false" ht="15" hidden="false" customHeight="false" outlineLevel="0" collapsed="false">
      <c r="A472" s="38" t="str">
        <f aca="false">IF(OR(C472="",C472=0),"",IF(AND(OR($B$5="",G472=$B$5,H472=$B$5),OR($D$5="",F472=$D$5),OR($E$5="",K472=$E$5),OR($G$5="",L472=$G$5),OR($H$5="",N(J472)&gt;=$H$5),OR($I$5="",ISNUMBER(SEARCH($I$5,C472&amp;" "&amp;D472&amp;" "&amp;E472&amp;" "&amp;I472)))),"✓",""))</f>
        <v/>
      </c>
      <c r="B472" s="39" t="n">
        <v>46248</v>
      </c>
      <c r="C472" s="40" t="n">
        <f aca="false">'Aug 14'!$D$17</f>
        <v>0</v>
      </c>
      <c r="D472" s="40" t="n">
        <f aca="false">'Aug 14'!$B$17</f>
        <v>0</v>
      </c>
      <c r="E472" s="41" t="n">
        <f aca="false">'Aug 14'!$E$17</f>
        <v>0</v>
      </c>
      <c r="F472" s="40" t="n">
        <f aca="false">'Aug 14'!$A$17</f>
        <v>0</v>
      </c>
      <c r="G472" s="41" t="n">
        <f aca="false">'Aug 14'!$F$17</f>
        <v>0</v>
      </c>
      <c r="H472" s="41" t="n">
        <f aca="false">'Aug 14'!$G$17</f>
        <v>0</v>
      </c>
      <c r="I472" s="41" t="str">
        <f aca="false">'Aug 14'!$M$17</f>
        <v/>
      </c>
      <c r="J472" s="42" t="str">
        <f aca="false">'Aug 14'!$S$17</f>
        <v/>
      </c>
      <c r="K472" s="40" t="n">
        <f aca="false">'Aug 14'!$AG$17</f>
        <v>0</v>
      </c>
      <c r="L472" s="40" t="n">
        <f aca="false">'Aug 14'!$N$17</f>
        <v>0</v>
      </c>
    </row>
    <row r="473" customFormat="false" ht="15" hidden="false" customHeight="false" outlineLevel="0" collapsed="false">
      <c r="A473" s="38" t="str">
        <f aca="false">IF(OR(C473="",C473=0),"",IF(AND(OR($B$5="",G473=$B$5,H473=$B$5),OR($D$5="",F473=$D$5),OR($E$5="",K473=$E$5),OR($G$5="",L473=$G$5),OR($H$5="",N(J473)&gt;=$H$5),OR($I$5="",ISNUMBER(SEARCH($I$5,C473&amp;" "&amp;D473&amp;" "&amp;E473&amp;" "&amp;I473)))),"✓",""))</f>
        <v/>
      </c>
      <c r="B473" s="39" t="n">
        <v>46248</v>
      </c>
      <c r="C473" s="40" t="n">
        <f aca="false">'Aug 14'!$D$18</f>
        <v>0</v>
      </c>
      <c r="D473" s="40" t="n">
        <f aca="false">'Aug 14'!$B$18</f>
        <v>0</v>
      </c>
      <c r="E473" s="41" t="n">
        <f aca="false">'Aug 14'!$E$18</f>
        <v>0</v>
      </c>
      <c r="F473" s="40" t="n">
        <f aca="false">'Aug 14'!$A$18</f>
        <v>0</v>
      </c>
      <c r="G473" s="41" t="n">
        <f aca="false">'Aug 14'!$F$18</f>
        <v>0</v>
      </c>
      <c r="H473" s="41" t="n">
        <f aca="false">'Aug 14'!$G$18</f>
        <v>0</v>
      </c>
      <c r="I473" s="41" t="str">
        <f aca="false">'Aug 14'!$M$18</f>
        <v/>
      </c>
      <c r="J473" s="42" t="str">
        <f aca="false">'Aug 14'!$S$18</f>
        <v/>
      </c>
      <c r="K473" s="40" t="n">
        <f aca="false">'Aug 14'!$AG$18</f>
        <v>0</v>
      </c>
      <c r="L473" s="40" t="n">
        <f aca="false">'Aug 14'!$N$18</f>
        <v>0</v>
      </c>
    </row>
    <row r="474" customFormat="false" ht="15" hidden="false" customHeight="false" outlineLevel="0" collapsed="false">
      <c r="A474" s="38" t="str">
        <f aca="false">IF(OR(C474="",C474=0),"",IF(AND(OR($B$5="",G474=$B$5,H474=$B$5),OR($D$5="",F474=$D$5),OR($E$5="",K474=$E$5),OR($G$5="",L474=$G$5),OR($H$5="",N(J474)&gt;=$H$5),OR($I$5="",ISNUMBER(SEARCH($I$5,C474&amp;" "&amp;D474&amp;" "&amp;E474&amp;" "&amp;I474)))),"✓",""))</f>
        <v/>
      </c>
      <c r="B474" s="39" t="n">
        <v>46248</v>
      </c>
      <c r="C474" s="40" t="n">
        <f aca="false">'Aug 14'!$D$19</f>
        <v>0</v>
      </c>
      <c r="D474" s="40" t="n">
        <f aca="false">'Aug 14'!$B$19</f>
        <v>0</v>
      </c>
      <c r="E474" s="41" t="n">
        <f aca="false">'Aug 14'!$E$19</f>
        <v>0</v>
      </c>
      <c r="F474" s="40" t="n">
        <f aca="false">'Aug 14'!$A$19</f>
        <v>0</v>
      </c>
      <c r="G474" s="41" t="n">
        <f aca="false">'Aug 14'!$F$19</f>
        <v>0</v>
      </c>
      <c r="H474" s="41" t="n">
        <f aca="false">'Aug 14'!$G$19</f>
        <v>0</v>
      </c>
      <c r="I474" s="41" t="str">
        <f aca="false">'Aug 14'!$M$19</f>
        <v/>
      </c>
      <c r="J474" s="42" t="str">
        <f aca="false">'Aug 14'!$S$19</f>
        <v/>
      </c>
      <c r="K474" s="40" t="n">
        <f aca="false">'Aug 14'!$AG$19</f>
        <v>0</v>
      </c>
      <c r="L474" s="40" t="n">
        <f aca="false">'Aug 14'!$N$19</f>
        <v>0</v>
      </c>
    </row>
    <row r="475" customFormat="false" ht="15" hidden="false" customHeight="false" outlineLevel="0" collapsed="false">
      <c r="A475" s="38" t="str">
        <f aca="false">IF(OR(C475="",C475=0),"",IF(AND(OR($B$5="",G475=$B$5,H475=$B$5),OR($D$5="",F475=$D$5),OR($E$5="",K475=$E$5),OR($G$5="",L475=$G$5),OR($H$5="",N(J475)&gt;=$H$5),OR($I$5="",ISNUMBER(SEARCH($I$5,C475&amp;" "&amp;D475&amp;" "&amp;E475&amp;" "&amp;I475)))),"✓",""))</f>
        <v/>
      </c>
      <c r="B475" s="39" t="n">
        <v>46248</v>
      </c>
      <c r="C475" s="40" t="n">
        <f aca="false">'Aug 14'!$D$20</f>
        <v>0</v>
      </c>
      <c r="D475" s="40" t="n">
        <f aca="false">'Aug 14'!$B$20</f>
        <v>0</v>
      </c>
      <c r="E475" s="41" t="n">
        <f aca="false">'Aug 14'!$E$20</f>
        <v>0</v>
      </c>
      <c r="F475" s="40" t="n">
        <f aca="false">'Aug 14'!$A$20</f>
        <v>0</v>
      </c>
      <c r="G475" s="41" t="n">
        <f aca="false">'Aug 14'!$F$20</f>
        <v>0</v>
      </c>
      <c r="H475" s="41" t="n">
        <f aca="false">'Aug 14'!$G$20</f>
        <v>0</v>
      </c>
      <c r="I475" s="41" t="str">
        <f aca="false">'Aug 14'!$M$20</f>
        <v/>
      </c>
      <c r="J475" s="42" t="str">
        <f aca="false">'Aug 14'!$S$20</f>
        <v/>
      </c>
      <c r="K475" s="40" t="n">
        <f aca="false">'Aug 14'!$AG$20</f>
        <v>0</v>
      </c>
      <c r="L475" s="40" t="n">
        <f aca="false">'Aug 14'!$N$20</f>
        <v>0</v>
      </c>
    </row>
    <row r="476" customFormat="false" ht="15" hidden="false" customHeight="false" outlineLevel="0" collapsed="false">
      <c r="A476" s="38" t="str">
        <f aca="false">IF(OR(C476="",C476=0),"",IF(AND(OR($B$5="",G476=$B$5,H476=$B$5),OR($D$5="",F476=$D$5),OR($E$5="",K476=$E$5),OR($G$5="",L476=$G$5),OR($H$5="",N(J476)&gt;=$H$5),OR($I$5="",ISNUMBER(SEARCH($I$5,C476&amp;" "&amp;D476&amp;" "&amp;E476&amp;" "&amp;I476)))),"✓",""))</f>
        <v/>
      </c>
      <c r="B476" s="39" t="n">
        <v>46248</v>
      </c>
      <c r="C476" s="40" t="n">
        <f aca="false">'Aug 14'!$D$21</f>
        <v>0</v>
      </c>
      <c r="D476" s="40" t="n">
        <f aca="false">'Aug 14'!$B$21</f>
        <v>0</v>
      </c>
      <c r="E476" s="41" t="n">
        <f aca="false">'Aug 14'!$E$21</f>
        <v>0</v>
      </c>
      <c r="F476" s="40" t="n">
        <f aca="false">'Aug 14'!$A$21</f>
        <v>0</v>
      </c>
      <c r="G476" s="41" t="n">
        <f aca="false">'Aug 14'!$F$21</f>
        <v>0</v>
      </c>
      <c r="H476" s="41" t="n">
        <f aca="false">'Aug 14'!$G$21</f>
        <v>0</v>
      </c>
      <c r="I476" s="41" t="str">
        <f aca="false">'Aug 14'!$M$21</f>
        <v/>
      </c>
      <c r="J476" s="42" t="str">
        <f aca="false">'Aug 14'!$S$21</f>
        <v/>
      </c>
      <c r="K476" s="40" t="n">
        <f aca="false">'Aug 14'!$AG$21</f>
        <v>0</v>
      </c>
      <c r="L476" s="40" t="n">
        <f aca="false">'Aug 14'!$N$21</f>
        <v>0</v>
      </c>
    </row>
    <row r="477" customFormat="false" ht="15" hidden="false" customHeight="false" outlineLevel="0" collapsed="false">
      <c r="A477" s="38" t="str">
        <f aca="false">IF(OR(C477="",C477=0),"",IF(AND(OR($B$5="",G477=$B$5,H477=$B$5),OR($D$5="",F477=$D$5),OR($E$5="",K477=$E$5),OR($G$5="",L477=$G$5),OR($H$5="",N(J477)&gt;=$H$5),OR($I$5="",ISNUMBER(SEARCH($I$5,C477&amp;" "&amp;D477&amp;" "&amp;E477&amp;" "&amp;I477)))),"✓",""))</f>
        <v/>
      </c>
      <c r="B477" s="39" t="n">
        <v>46248</v>
      </c>
      <c r="C477" s="40" t="n">
        <f aca="false">'Aug 14'!$D$22</f>
        <v>0</v>
      </c>
      <c r="D477" s="40" t="n">
        <f aca="false">'Aug 14'!$B$22</f>
        <v>0</v>
      </c>
      <c r="E477" s="41" t="n">
        <f aca="false">'Aug 14'!$E$22</f>
        <v>0</v>
      </c>
      <c r="F477" s="40" t="n">
        <f aca="false">'Aug 14'!$A$22</f>
        <v>0</v>
      </c>
      <c r="G477" s="41" t="n">
        <f aca="false">'Aug 14'!$F$22</f>
        <v>0</v>
      </c>
      <c r="H477" s="41" t="n">
        <f aca="false">'Aug 14'!$G$22</f>
        <v>0</v>
      </c>
      <c r="I477" s="41" t="str">
        <f aca="false">'Aug 14'!$M$22</f>
        <v/>
      </c>
      <c r="J477" s="42" t="str">
        <f aca="false">'Aug 14'!$S$22</f>
        <v/>
      </c>
      <c r="K477" s="40" t="n">
        <f aca="false">'Aug 14'!$AG$22</f>
        <v>0</v>
      </c>
      <c r="L477" s="40" t="n">
        <f aca="false">'Aug 14'!$N$22</f>
        <v>0</v>
      </c>
    </row>
    <row r="478" customFormat="false" ht="15" hidden="false" customHeight="false" outlineLevel="0" collapsed="false">
      <c r="A478" s="38" t="str">
        <f aca="false">IF(OR(C478="",C478=0),"",IF(AND(OR($B$5="",G478=$B$5,H478=$B$5),OR($D$5="",F478=$D$5),OR($E$5="",K478=$E$5),OR($G$5="",L478=$G$5),OR($H$5="",N(J478)&gt;=$H$5),OR($I$5="",ISNUMBER(SEARCH($I$5,C478&amp;" "&amp;D478&amp;" "&amp;E478&amp;" "&amp;I478)))),"✓",""))</f>
        <v/>
      </c>
      <c r="B478" s="39" t="n">
        <v>46248</v>
      </c>
      <c r="C478" s="40" t="n">
        <f aca="false">'Aug 14'!$D$23</f>
        <v>0</v>
      </c>
      <c r="D478" s="40" t="n">
        <f aca="false">'Aug 14'!$B$23</f>
        <v>0</v>
      </c>
      <c r="E478" s="41" t="n">
        <f aca="false">'Aug 14'!$E$23</f>
        <v>0</v>
      </c>
      <c r="F478" s="40" t="n">
        <f aca="false">'Aug 14'!$A$23</f>
        <v>0</v>
      </c>
      <c r="G478" s="41" t="n">
        <f aca="false">'Aug 14'!$F$23</f>
        <v>0</v>
      </c>
      <c r="H478" s="41" t="n">
        <f aca="false">'Aug 14'!$G$23</f>
        <v>0</v>
      </c>
      <c r="I478" s="41" t="str">
        <f aca="false">'Aug 14'!$M$23</f>
        <v/>
      </c>
      <c r="J478" s="42" t="str">
        <f aca="false">'Aug 14'!$S$23</f>
        <v/>
      </c>
      <c r="K478" s="40" t="n">
        <f aca="false">'Aug 14'!$AG$23</f>
        <v>0</v>
      </c>
      <c r="L478" s="40" t="n">
        <f aca="false">'Aug 14'!$N$23</f>
        <v>0</v>
      </c>
    </row>
    <row r="479" customFormat="false" ht="15" hidden="false" customHeight="false" outlineLevel="0" collapsed="false">
      <c r="A479" s="38" t="str">
        <f aca="false">IF(OR(C479="",C479=0),"",IF(AND(OR($B$5="",G479=$B$5,H479=$B$5),OR($D$5="",F479=$D$5),OR($E$5="",K479=$E$5),OR($G$5="",L479=$G$5),OR($H$5="",N(J479)&gt;=$H$5),OR($I$5="",ISNUMBER(SEARCH($I$5,C479&amp;" "&amp;D479&amp;" "&amp;E479&amp;" "&amp;I479)))),"✓",""))</f>
        <v/>
      </c>
      <c r="B479" s="39" t="n">
        <v>46248</v>
      </c>
      <c r="C479" s="40" t="n">
        <f aca="false">'Aug 14'!$D$24</f>
        <v>0</v>
      </c>
      <c r="D479" s="40" t="n">
        <f aca="false">'Aug 14'!$B$24</f>
        <v>0</v>
      </c>
      <c r="E479" s="41" t="n">
        <f aca="false">'Aug 14'!$E$24</f>
        <v>0</v>
      </c>
      <c r="F479" s="40" t="n">
        <f aca="false">'Aug 14'!$A$24</f>
        <v>0</v>
      </c>
      <c r="G479" s="41" t="n">
        <f aca="false">'Aug 14'!$F$24</f>
        <v>0</v>
      </c>
      <c r="H479" s="41" t="n">
        <f aca="false">'Aug 14'!$G$24</f>
        <v>0</v>
      </c>
      <c r="I479" s="41" t="str">
        <f aca="false">'Aug 14'!$M$24</f>
        <v/>
      </c>
      <c r="J479" s="42" t="str">
        <f aca="false">'Aug 14'!$S$24</f>
        <v/>
      </c>
      <c r="K479" s="40" t="n">
        <f aca="false">'Aug 14'!$AG$24</f>
        <v>0</v>
      </c>
      <c r="L479" s="40" t="n">
        <f aca="false">'Aug 14'!$N$24</f>
        <v>0</v>
      </c>
    </row>
    <row r="480" customFormat="false" ht="15" hidden="false" customHeight="false" outlineLevel="0" collapsed="false">
      <c r="A480" s="38" t="str">
        <f aca="false">IF(OR(C480="",C480=0),"",IF(AND(OR($B$5="",G480=$B$5,H480=$B$5),OR($D$5="",F480=$D$5),OR($E$5="",K480=$E$5),OR($G$5="",L480=$G$5),OR($H$5="",N(J480)&gt;=$H$5),OR($I$5="",ISNUMBER(SEARCH($I$5,C480&amp;" "&amp;D480&amp;" "&amp;E480&amp;" "&amp;I480)))),"✓",""))</f>
        <v/>
      </c>
      <c r="B480" s="39" t="n">
        <v>46248</v>
      </c>
      <c r="C480" s="40" t="n">
        <f aca="false">'Aug 14'!$D$25</f>
        <v>0</v>
      </c>
      <c r="D480" s="40" t="n">
        <f aca="false">'Aug 14'!$B$25</f>
        <v>0</v>
      </c>
      <c r="E480" s="41" t="n">
        <f aca="false">'Aug 14'!$E$25</f>
        <v>0</v>
      </c>
      <c r="F480" s="40" t="n">
        <f aca="false">'Aug 14'!$A$25</f>
        <v>0</v>
      </c>
      <c r="G480" s="41" t="n">
        <f aca="false">'Aug 14'!$F$25</f>
        <v>0</v>
      </c>
      <c r="H480" s="41" t="n">
        <f aca="false">'Aug 14'!$G$25</f>
        <v>0</v>
      </c>
      <c r="I480" s="41" t="str">
        <f aca="false">'Aug 14'!$M$25</f>
        <v/>
      </c>
      <c r="J480" s="42" t="str">
        <f aca="false">'Aug 14'!$S$25</f>
        <v/>
      </c>
      <c r="K480" s="40" t="n">
        <f aca="false">'Aug 14'!$AG$25</f>
        <v>0</v>
      </c>
      <c r="L480" s="40" t="n">
        <f aca="false">'Aug 14'!$N$25</f>
        <v>0</v>
      </c>
    </row>
    <row r="481" customFormat="false" ht="15" hidden="false" customHeight="false" outlineLevel="0" collapsed="false">
      <c r="A481" s="38" t="str">
        <f aca="false">IF(OR(C481="",C481=0),"",IF(AND(OR($B$5="",G481=$B$5,H481=$B$5),OR($D$5="",F481=$D$5),OR($E$5="",K481=$E$5),OR($G$5="",L481=$G$5),OR($H$5="",N(J481)&gt;=$H$5),OR($I$5="",ISNUMBER(SEARCH($I$5,C481&amp;" "&amp;D481&amp;" "&amp;E481&amp;" "&amp;I481)))),"✓",""))</f>
        <v/>
      </c>
      <c r="B481" s="39" t="n">
        <v>46248</v>
      </c>
      <c r="C481" s="40" t="n">
        <f aca="false">'Aug 14'!$D$26</f>
        <v>0</v>
      </c>
      <c r="D481" s="40" t="n">
        <f aca="false">'Aug 14'!$B$26</f>
        <v>0</v>
      </c>
      <c r="E481" s="41" t="n">
        <f aca="false">'Aug 14'!$E$26</f>
        <v>0</v>
      </c>
      <c r="F481" s="40" t="n">
        <f aca="false">'Aug 14'!$A$26</f>
        <v>0</v>
      </c>
      <c r="G481" s="41" t="n">
        <f aca="false">'Aug 14'!$F$26</f>
        <v>0</v>
      </c>
      <c r="H481" s="41" t="n">
        <f aca="false">'Aug 14'!$G$26</f>
        <v>0</v>
      </c>
      <c r="I481" s="41" t="str">
        <f aca="false">'Aug 14'!$M$26</f>
        <v/>
      </c>
      <c r="J481" s="42" t="str">
        <f aca="false">'Aug 14'!$S$26</f>
        <v/>
      </c>
      <c r="K481" s="40" t="n">
        <f aca="false">'Aug 14'!$AG$26</f>
        <v>0</v>
      </c>
      <c r="L481" s="40" t="n">
        <f aca="false">'Aug 14'!$N$26</f>
        <v>0</v>
      </c>
    </row>
    <row r="482" customFormat="false" ht="15" hidden="false" customHeight="false" outlineLevel="0" collapsed="false">
      <c r="A482" s="38" t="str">
        <f aca="false">IF(OR(C482="",C482=0),"",IF(AND(OR($B$5="",G482=$B$5,H482=$B$5),OR($D$5="",F482=$D$5),OR($E$5="",K482=$E$5),OR($G$5="",L482=$G$5),OR($H$5="",N(J482)&gt;=$H$5),OR($I$5="",ISNUMBER(SEARCH($I$5,C482&amp;" "&amp;D482&amp;" "&amp;E482&amp;" "&amp;I482)))),"✓",""))</f>
        <v/>
      </c>
      <c r="B482" s="39" t="n">
        <v>46248</v>
      </c>
      <c r="C482" s="40" t="n">
        <f aca="false">'Aug 14'!$D$27</f>
        <v>0</v>
      </c>
      <c r="D482" s="40" t="n">
        <f aca="false">'Aug 14'!$B$27</f>
        <v>0</v>
      </c>
      <c r="E482" s="41" t="n">
        <f aca="false">'Aug 14'!$E$27</f>
        <v>0</v>
      </c>
      <c r="F482" s="40" t="n">
        <f aca="false">'Aug 14'!$A$27</f>
        <v>0</v>
      </c>
      <c r="G482" s="41" t="n">
        <f aca="false">'Aug 14'!$F$27</f>
        <v>0</v>
      </c>
      <c r="H482" s="41" t="n">
        <f aca="false">'Aug 14'!$G$27</f>
        <v>0</v>
      </c>
      <c r="I482" s="41" t="str">
        <f aca="false">'Aug 14'!$M$27</f>
        <v/>
      </c>
      <c r="J482" s="42" t="str">
        <f aca="false">'Aug 14'!$S$27</f>
        <v/>
      </c>
      <c r="K482" s="40" t="n">
        <f aca="false">'Aug 14'!$AG$27</f>
        <v>0</v>
      </c>
      <c r="L482" s="40" t="n">
        <f aca="false">'Aug 14'!$N$27</f>
        <v>0</v>
      </c>
    </row>
    <row r="483" customFormat="false" ht="15" hidden="false" customHeight="false" outlineLevel="0" collapsed="false">
      <c r="A483" s="38" t="str">
        <f aca="false">IF(OR(C483="",C483=0),"",IF(AND(OR($B$5="",G483=$B$5,H483=$B$5),OR($D$5="",F483=$D$5),OR($E$5="",K483=$E$5),OR($G$5="",L483=$G$5),OR($H$5="",N(J483)&gt;=$H$5),OR($I$5="",ISNUMBER(SEARCH($I$5,C483&amp;" "&amp;D483&amp;" "&amp;E483&amp;" "&amp;I483)))),"✓",""))</f>
        <v/>
      </c>
      <c r="B483" s="39" t="n">
        <v>46248</v>
      </c>
      <c r="C483" s="40" t="n">
        <f aca="false">'Aug 14'!$D$28</f>
        <v>0</v>
      </c>
      <c r="D483" s="40" t="n">
        <f aca="false">'Aug 14'!$B$28</f>
        <v>0</v>
      </c>
      <c r="E483" s="41" t="n">
        <f aca="false">'Aug 14'!$E$28</f>
        <v>0</v>
      </c>
      <c r="F483" s="40" t="n">
        <f aca="false">'Aug 14'!$A$28</f>
        <v>0</v>
      </c>
      <c r="G483" s="41" t="n">
        <f aca="false">'Aug 14'!$F$28</f>
        <v>0</v>
      </c>
      <c r="H483" s="41" t="n">
        <f aca="false">'Aug 14'!$G$28</f>
        <v>0</v>
      </c>
      <c r="I483" s="41" t="str">
        <f aca="false">'Aug 14'!$M$28</f>
        <v/>
      </c>
      <c r="J483" s="42" t="str">
        <f aca="false">'Aug 14'!$S$28</f>
        <v/>
      </c>
      <c r="K483" s="40" t="n">
        <f aca="false">'Aug 14'!$AG$28</f>
        <v>0</v>
      </c>
      <c r="L483" s="40" t="n">
        <f aca="false">'Aug 14'!$N$28</f>
        <v>0</v>
      </c>
    </row>
    <row r="484" customFormat="false" ht="15" hidden="false" customHeight="false" outlineLevel="0" collapsed="false">
      <c r="A484" s="38" t="str">
        <f aca="false">IF(OR(C484="",C484=0),"",IF(AND(OR($B$5="",G484=$B$5,H484=$B$5),OR($D$5="",F484=$D$5),OR($E$5="",K484=$E$5),OR($G$5="",L484=$G$5),OR($H$5="",N(J484)&gt;=$H$5),OR($I$5="",ISNUMBER(SEARCH($I$5,C484&amp;" "&amp;D484&amp;" "&amp;E484&amp;" "&amp;I484)))),"✓",""))</f>
        <v/>
      </c>
      <c r="B484" s="39" t="n">
        <v>46248</v>
      </c>
      <c r="C484" s="40" t="n">
        <f aca="false">'Aug 14'!$D$29</f>
        <v>0</v>
      </c>
      <c r="D484" s="40" t="n">
        <f aca="false">'Aug 14'!$B$29</f>
        <v>0</v>
      </c>
      <c r="E484" s="41" t="n">
        <f aca="false">'Aug 14'!$E$29</f>
        <v>0</v>
      </c>
      <c r="F484" s="40" t="n">
        <f aca="false">'Aug 14'!$A$29</f>
        <v>0</v>
      </c>
      <c r="G484" s="41" t="n">
        <f aca="false">'Aug 14'!$F$29</f>
        <v>0</v>
      </c>
      <c r="H484" s="41" t="n">
        <f aca="false">'Aug 14'!$G$29</f>
        <v>0</v>
      </c>
      <c r="I484" s="41" t="str">
        <f aca="false">'Aug 14'!$M$29</f>
        <v/>
      </c>
      <c r="J484" s="42" t="str">
        <f aca="false">'Aug 14'!$S$29</f>
        <v/>
      </c>
      <c r="K484" s="40" t="n">
        <f aca="false">'Aug 14'!$AG$29</f>
        <v>0</v>
      </c>
      <c r="L484" s="40" t="n">
        <f aca="false">'Aug 14'!$N$29</f>
        <v>0</v>
      </c>
    </row>
    <row r="485" customFormat="false" ht="15" hidden="false" customHeight="false" outlineLevel="0" collapsed="false">
      <c r="A485" s="38" t="str">
        <f aca="false">IF(OR(C485="",C485=0),"",IF(AND(OR($B$5="",G485=$B$5,H485=$B$5),OR($D$5="",F485=$D$5),OR($E$5="",K485=$E$5),OR($G$5="",L485=$G$5),OR($H$5="",N(J485)&gt;=$H$5),OR($I$5="",ISNUMBER(SEARCH($I$5,C485&amp;" "&amp;D485&amp;" "&amp;E485&amp;" "&amp;I485)))),"✓",""))</f>
        <v/>
      </c>
      <c r="B485" s="39" t="n">
        <v>46248</v>
      </c>
      <c r="C485" s="40" t="n">
        <f aca="false">'Aug 14'!$D$30</f>
        <v>0</v>
      </c>
      <c r="D485" s="40" t="n">
        <f aca="false">'Aug 14'!$B$30</f>
        <v>0</v>
      </c>
      <c r="E485" s="41" t="n">
        <f aca="false">'Aug 14'!$E$30</f>
        <v>0</v>
      </c>
      <c r="F485" s="40" t="n">
        <f aca="false">'Aug 14'!$A$30</f>
        <v>0</v>
      </c>
      <c r="G485" s="41" t="n">
        <f aca="false">'Aug 14'!$F$30</f>
        <v>0</v>
      </c>
      <c r="H485" s="41" t="n">
        <f aca="false">'Aug 14'!$G$30</f>
        <v>0</v>
      </c>
      <c r="I485" s="41" t="str">
        <f aca="false">'Aug 14'!$M$30</f>
        <v/>
      </c>
      <c r="J485" s="42" t="str">
        <f aca="false">'Aug 14'!$S$30</f>
        <v/>
      </c>
      <c r="K485" s="40" t="n">
        <f aca="false">'Aug 14'!$AG$30</f>
        <v>0</v>
      </c>
      <c r="L485" s="40" t="n">
        <f aca="false">'Aug 14'!$N$30</f>
        <v>0</v>
      </c>
    </row>
    <row r="486" customFormat="false" ht="15" hidden="false" customHeight="false" outlineLevel="0" collapsed="false">
      <c r="A486" s="38" t="str">
        <f aca="false">IF(OR(C486="",C486=0),"",IF(AND(OR($B$5="",G486=$B$5,H486=$B$5),OR($D$5="",F486=$D$5),OR($E$5="",K486=$E$5),OR($G$5="",L486=$G$5),OR($H$5="",N(J486)&gt;=$H$5),OR($I$5="",ISNUMBER(SEARCH($I$5,C486&amp;" "&amp;D486&amp;" "&amp;E486&amp;" "&amp;I486)))),"✓",""))</f>
        <v/>
      </c>
      <c r="B486" s="39" t="n">
        <v>46248</v>
      </c>
      <c r="C486" s="40" t="n">
        <f aca="false">'Aug 14'!$D$31</f>
        <v>0</v>
      </c>
      <c r="D486" s="40" t="n">
        <f aca="false">'Aug 14'!$B$31</f>
        <v>0</v>
      </c>
      <c r="E486" s="41" t="n">
        <f aca="false">'Aug 14'!$E$31</f>
        <v>0</v>
      </c>
      <c r="F486" s="40" t="n">
        <f aca="false">'Aug 14'!$A$31</f>
        <v>0</v>
      </c>
      <c r="G486" s="41" t="n">
        <f aca="false">'Aug 14'!$F$31</f>
        <v>0</v>
      </c>
      <c r="H486" s="41" t="n">
        <f aca="false">'Aug 14'!$G$31</f>
        <v>0</v>
      </c>
      <c r="I486" s="41" t="str">
        <f aca="false">'Aug 14'!$M$31</f>
        <v/>
      </c>
      <c r="J486" s="42" t="str">
        <f aca="false">'Aug 14'!$S$31</f>
        <v/>
      </c>
      <c r="K486" s="40" t="n">
        <f aca="false">'Aug 14'!$AG$31</f>
        <v>0</v>
      </c>
      <c r="L486" s="40" t="n">
        <f aca="false">'Aug 14'!$N$31</f>
        <v>0</v>
      </c>
    </row>
    <row r="487" customFormat="false" ht="15" hidden="false" customHeight="false" outlineLevel="0" collapsed="false">
      <c r="A487" s="38" t="str">
        <f aca="false">IF(OR(C487="",C487=0),"",IF(AND(OR($B$5="",G487=$B$5,H487=$B$5),OR($D$5="",F487=$D$5),OR($E$5="",K487=$E$5),OR($G$5="",L487=$G$5),OR($H$5="",N(J487)&gt;=$H$5),OR($I$5="",ISNUMBER(SEARCH($I$5,C487&amp;" "&amp;D487&amp;" "&amp;E487&amp;" "&amp;I487)))),"✓",""))</f>
        <v/>
      </c>
      <c r="B487" s="39" t="n">
        <v>46248</v>
      </c>
      <c r="C487" s="40" t="n">
        <f aca="false">'Aug 14'!$D$32</f>
        <v>0</v>
      </c>
      <c r="D487" s="40" t="n">
        <f aca="false">'Aug 14'!$B$32</f>
        <v>0</v>
      </c>
      <c r="E487" s="41" t="n">
        <f aca="false">'Aug 14'!$E$32</f>
        <v>0</v>
      </c>
      <c r="F487" s="40" t="n">
        <f aca="false">'Aug 14'!$A$32</f>
        <v>0</v>
      </c>
      <c r="G487" s="41" t="n">
        <f aca="false">'Aug 14'!$F$32</f>
        <v>0</v>
      </c>
      <c r="H487" s="41" t="n">
        <f aca="false">'Aug 14'!$G$32</f>
        <v>0</v>
      </c>
      <c r="I487" s="41" t="str">
        <f aca="false">'Aug 14'!$M$32</f>
        <v/>
      </c>
      <c r="J487" s="42" t="str">
        <f aca="false">'Aug 14'!$S$32</f>
        <v/>
      </c>
      <c r="K487" s="40" t="n">
        <f aca="false">'Aug 14'!$AG$32</f>
        <v>0</v>
      </c>
      <c r="L487" s="40" t="n">
        <f aca="false">'Aug 14'!$N$32</f>
        <v>0</v>
      </c>
    </row>
    <row r="488" customFormat="false" ht="15" hidden="false" customHeight="false" outlineLevel="0" collapsed="false">
      <c r="A488" s="38" t="str">
        <f aca="false">IF(OR(C488="",C488=0),"",IF(AND(OR($B$5="",G488=$B$5,H488=$B$5),OR($D$5="",F488=$D$5),OR($E$5="",K488=$E$5),OR($G$5="",L488=$G$5),OR($H$5="",N(J488)&gt;=$H$5),OR($I$5="",ISNUMBER(SEARCH($I$5,C488&amp;" "&amp;D488&amp;" "&amp;E488&amp;" "&amp;I488)))),"✓",""))</f>
        <v/>
      </c>
      <c r="B488" s="39" t="n">
        <v>46248</v>
      </c>
      <c r="C488" s="40" t="n">
        <f aca="false">'Aug 14'!$D$33</f>
        <v>0</v>
      </c>
      <c r="D488" s="40" t="n">
        <f aca="false">'Aug 14'!$B$33</f>
        <v>0</v>
      </c>
      <c r="E488" s="41" t="n">
        <f aca="false">'Aug 14'!$E$33</f>
        <v>0</v>
      </c>
      <c r="F488" s="40" t="n">
        <f aca="false">'Aug 14'!$A$33</f>
        <v>0</v>
      </c>
      <c r="G488" s="41" t="n">
        <f aca="false">'Aug 14'!$F$33</f>
        <v>0</v>
      </c>
      <c r="H488" s="41" t="n">
        <f aca="false">'Aug 14'!$G$33</f>
        <v>0</v>
      </c>
      <c r="I488" s="41" t="str">
        <f aca="false">'Aug 14'!$M$33</f>
        <v/>
      </c>
      <c r="J488" s="42" t="str">
        <f aca="false">'Aug 14'!$S$33</f>
        <v/>
      </c>
      <c r="K488" s="40" t="n">
        <f aca="false">'Aug 14'!$AG$33</f>
        <v>0</v>
      </c>
      <c r="L488" s="40" t="n">
        <f aca="false">'Aug 14'!$N$33</f>
        <v>0</v>
      </c>
    </row>
    <row r="489" customFormat="false" ht="15" hidden="false" customHeight="false" outlineLevel="0" collapsed="false">
      <c r="A489" s="38" t="str">
        <f aca="false">IF(OR(C489="",C489=0),"",IF(AND(OR($B$5="",G489=$B$5,H489=$B$5),OR($D$5="",F489=$D$5),OR($E$5="",K489=$E$5),OR($G$5="",L489=$G$5),OR($H$5="",N(J489)&gt;=$H$5),OR($I$5="",ISNUMBER(SEARCH($I$5,C489&amp;" "&amp;D489&amp;" "&amp;E489&amp;" "&amp;I489)))),"✓",""))</f>
        <v/>
      </c>
      <c r="B489" s="39" t="n">
        <v>46248</v>
      </c>
      <c r="C489" s="40" t="n">
        <f aca="false">'Aug 14'!$D$34</f>
        <v>0</v>
      </c>
      <c r="D489" s="40" t="n">
        <f aca="false">'Aug 14'!$B$34</f>
        <v>0</v>
      </c>
      <c r="E489" s="41" t="n">
        <f aca="false">'Aug 14'!$E$34</f>
        <v>0</v>
      </c>
      <c r="F489" s="40" t="n">
        <f aca="false">'Aug 14'!$A$34</f>
        <v>0</v>
      </c>
      <c r="G489" s="41" t="n">
        <f aca="false">'Aug 14'!$F$34</f>
        <v>0</v>
      </c>
      <c r="H489" s="41" t="n">
        <f aca="false">'Aug 14'!$G$34</f>
        <v>0</v>
      </c>
      <c r="I489" s="41" t="str">
        <f aca="false">'Aug 14'!$M$34</f>
        <v/>
      </c>
      <c r="J489" s="42" t="str">
        <f aca="false">'Aug 14'!$S$34</f>
        <v/>
      </c>
      <c r="K489" s="40" t="n">
        <f aca="false">'Aug 14'!$AG$34</f>
        <v>0</v>
      </c>
      <c r="L489" s="40" t="n">
        <f aca="false">'Aug 14'!$N$34</f>
        <v>0</v>
      </c>
    </row>
    <row r="490" customFormat="false" ht="15" hidden="false" customHeight="false" outlineLevel="0" collapsed="false">
      <c r="A490" s="38" t="str">
        <f aca="false">IF(OR(C490="",C490=0),"",IF(AND(OR($B$5="",G490=$B$5,H490=$B$5),OR($D$5="",F490=$D$5),OR($E$5="",K490=$E$5),OR($G$5="",L490=$G$5),OR($H$5="",N(J490)&gt;=$H$5),OR($I$5="",ISNUMBER(SEARCH($I$5,C490&amp;" "&amp;D490&amp;" "&amp;E490&amp;" "&amp;I490)))),"✓",""))</f>
        <v/>
      </c>
      <c r="B490" s="39" t="n">
        <v>46248</v>
      </c>
      <c r="C490" s="40" t="n">
        <f aca="false">'Aug 14'!$D$35</f>
        <v>0</v>
      </c>
      <c r="D490" s="40" t="n">
        <f aca="false">'Aug 14'!$B$35</f>
        <v>0</v>
      </c>
      <c r="E490" s="41" t="n">
        <f aca="false">'Aug 14'!$E$35</f>
        <v>0</v>
      </c>
      <c r="F490" s="40" t="n">
        <f aca="false">'Aug 14'!$A$35</f>
        <v>0</v>
      </c>
      <c r="G490" s="41" t="n">
        <f aca="false">'Aug 14'!$F$35</f>
        <v>0</v>
      </c>
      <c r="H490" s="41" t="n">
        <f aca="false">'Aug 14'!$G$35</f>
        <v>0</v>
      </c>
      <c r="I490" s="41" t="str">
        <f aca="false">'Aug 14'!$M$35</f>
        <v/>
      </c>
      <c r="J490" s="42" t="str">
        <f aca="false">'Aug 14'!$S$35</f>
        <v/>
      </c>
      <c r="K490" s="40" t="n">
        <f aca="false">'Aug 14'!$AG$35</f>
        <v>0</v>
      </c>
      <c r="L490" s="40" t="n">
        <f aca="false">'Aug 14'!$N$35</f>
        <v>0</v>
      </c>
    </row>
    <row r="491" customFormat="false" ht="15" hidden="false" customHeight="false" outlineLevel="0" collapsed="false">
      <c r="A491" s="38" t="str">
        <f aca="false">IF(OR(C491="",C491=0),"",IF(AND(OR($B$5="",G491=$B$5,H491=$B$5),OR($D$5="",F491=$D$5),OR($E$5="",K491=$E$5),OR($G$5="",L491=$G$5),OR($H$5="",N(J491)&gt;=$H$5),OR($I$5="",ISNUMBER(SEARCH($I$5,C491&amp;" "&amp;D491&amp;" "&amp;E491&amp;" "&amp;I491)))),"✓",""))</f>
        <v/>
      </c>
      <c r="B491" s="39" t="n">
        <v>46248</v>
      </c>
      <c r="C491" s="40" t="n">
        <f aca="false">'Aug 14'!$D$36</f>
        <v>0</v>
      </c>
      <c r="D491" s="40" t="n">
        <f aca="false">'Aug 14'!$B$36</f>
        <v>0</v>
      </c>
      <c r="E491" s="41" t="n">
        <f aca="false">'Aug 14'!$E$36</f>
        <v>0</v>
      </c>
      <c r="F491" s="40" t="n">
        <f aca="false">'Aug 14'!$A$36</f>
        <v>0</v>
      </c>
      <c r="G491" s="41" t="n">
        <f aca="false">'Aug 14'!$F$36</f>
        <v>0</v>
      </c>
      <c r="H491" s="41" t="n">
        <f aca="false">'Aug 14'!$G$36</f>
        <v>0</v>
      </c>
      <c r="I491" s="41" t="str">
        <f aca="false">'Aug 14'!$M$36</f>
        <v/>
      </c>
      <c r="J491" s="42" t="str">
        <f aca="false">'Aug 14'!$S$36</f>
        <v/>
      </c>
      <c r="K491" s="40" t="n">
        <f aca="false">'Aug 14'!$AG$36</f>
        <v>0</v>
      </c>
      <c r="L491" s="40" t="n">
        <f aca="false">'Aug 14'!$N$36</f>
        <v>0</v>
      </c>
    </row>
    <row r="492" customFormat="false" ht="15" hidden="false" customHeight="false" outlineLevel="0" collapsed="false">
      <c r="A492" s="38" t="str">
        <f aca="false">IF(OR(C492="",C492=0),"",IF(AND(OR($B$5="",G492=$B$5,H492=$B$5),OR($D$5="",F492=$D$5),OR($E$5="",K492=$E$5),OR($G$5="",L492=$G$5),OR($H$5="",N(J492)&gt;=$H$5),OR($I$5="",ISNUMBER(SEARCH($I$5,C492&amp;" "&amp;D492&amp;" "&amp;E492&amp;" "&amp;I492)))),"✓",""))</f>
        <v/>
      </c>
      <c r="B492" s="39" t="n">
        <v>46248</v>
      </c>
      <c r="C492" s="40" t="n">
        <f aca="false">'Aug 14'!$D$37</f>
        <v>0</v>
      </c>
      <c r="D492" s="40" t="n">
        <f aca="false">'Aug 14'!$B$37</f>
        <v>0</v>
      </c>
      <c r="E492" s="41" t="n">
        <f aca="false">'Aug 14'!$E$37</f>
        <v>0</v>
      </c>
      <c r="F492" s="40" t="n">
        <f aca="false">'Aug 14'!$A$37</f>
        <v>0</v>
      </c>
      <c r="G492" s="41" t="n">
        <f aca="false">'Aug 14'!$F$37</f>
        <v>0</v>
      </c>
      <c r="H492" s="41" t="n">
        <f aca="false">'Aug 14'!$G$37</f>
        <v>0</v>
      </c>
      <c r="I492" s="41" t="str">
        <f aca="false">'Aug 14'!$M$37</f>
        <v/>
      </c>
      <c r="J492" s="42" t="str">
        <f aca="false">'Aug 14'!$S$37</f>
        <v/>
      </c>
      <c r="K492" s="40" t="n">
        <f aca="false">'Aug 14'!$AG$37</f>
        <v>0</v>
      </c>
      <c r="L492" s="40" t="n">
        <f aca="false">'Aug 14'!$N$37</f>
        <v>0</v>
      </c>
    </row>
    <row r="493" customFormat="false" ht="15" hidden="false" customHeight="false" outlineLevel="0" collapsed="false">
      <c r="A493" s="38" t="str">
        <f aca="false">IF(OR(C493="",C493=0),"",IF(AND(OR($B$5="",G493=$B$5,H493=$B$5),OR($D$5="",F493=$D$5),OR($E$5="",K493=$E$5),OR($G$5="",L493=$G$5),OR($H$5="",N(J493)&gt;=$H$5),OR($I$5="",ISNUMBER(SEARCH($I$5,C493&amp;" "&amp;D493&amp;" "&amp;E493&amp;" "&amp;I493)))),"✓",""))</f>
        <v/>
      </c>
      <c r="B493" s="39" t="n">
        <v>46248</v>
      </c>
      <c r="C493" s="40" t="n">
        <f aca="false">'Aug 14'!$D$38</f>
        <v>0</v>
      </c>
      <c r="D493" s="40" t="n">
        <f aca="false">'Aug 14'!$B$38</f>
        <v>0</v>
      </c>
      <c r="E493" s="41" t="n">
        <f aca="false">'Aug 14'!$E$38</f>
        <v>0</v>
      </c>
      <c r="F493" s="40" t="n">
        <f aca="false">'Aug 14'!$A$38</f>
        <v>0</v>
      </c>
      <c r="G493" s="41" t="n">
        <f aca="false">'Aug 14'!$F$38</f>
        <v>0</v>
      </c>
      <c r="H493" s="41" t="n">
        <f aca="false">'Aug 14'!$G$38</f>
        <v>0</v>
      </c>
      <c r="I493" s="41" t="str">
        <f aca="false">'Aug 14'!$M$38</f>
        <v/>
      </c>
      <c r="J493" s="42" t="str">
        <f aca="false">'Aug 14'!$S$38</f>
        <v/>
      </c>
      <c r="K493" s="40" t="n">
        <f aca="false">'Aug 14'!$AG$38</f>
        <v>0</v>
      </c>
      <c r="L493" s="40" t="n">
        <f aca="false">'Aug 14'!$N$38</f>
        <v>0</v>
      </c>
    </row>
    <row r="494" customFormat="false" ht="15" hidden="false" customHeight="false" outlineLevel="0" collapsed="false">
      <c r="A494" s="38" t="str">
        <f aca="false">IF(OR(C494="",C494=0),"",IF(AND(OR($B$5="",G494=$B$5,H494=$B$5),OR($D$5="",F494=$D$5),OR($E$5="",K494=$E$5),OR($G$5="",L494=$G$5),OR($H$5="",N(J494)&gt;=$H$5),OR($I$5="",ISNUMBER(SEARCH($I$5,C494&amp;" "&amp;D494&amp;" "&amp;E494&amp;" "&amp;I494)))),"✓",""))</f>
        <v/>
      </c>
      <c r="B494" s="39" t="n">
        <v>46248</v>
      </c>
      <c r="C494" s="40" t="n">
        <f aca="false">'Aug 14'!$D$39</f>
        <v>0</v>
      </c>
      <c r="D494" s="40" t="n">
        <f aca="false">'Aug 14'!$B$39</f>
        <v>0</v>
      </c>
      <c r="E494" s="41" t="n">
        <f aca="false">'Aug 14'!$E$39</f>
        <v>0</v>
      </c>
      <c r="F494" s="40" t="n">
        <f aca="false">'Aug 14'!$A$39</f>
        <v>0</v>
      </c>
      <c r="G494" s="41" t="n">
        <f aca="false">'Aug 14'!$F$39</f>
        <v>0</v>
      </c>
      <c r="H494" s="41" t="n">
        <f aca="false">'Aug 14'!$G$39</f>
        <v>0</v>
      </c>
      <c r="I494" s="41" t="str">
        <f aca="false">'Aug 14'!$M$39</f>
        <v/>
      </c>
      <c r="J494" s="42" t="str">
        <f aca="false">'Aug 14'!$S$39</f>
        <v/>
      </c>
      <c r="K494" s="40" t="n">
        <f aca="false">'Aug 14'!$AG$39</f>
        <v>0</v>
      </c>
      <c r="L494" s="40" t="n">
        <f aca="false">'Aug 14'!$N$39</f>
        <v>0</v>
      </c>
    </row>
    <row r="495" customFormat="false" ht="15" hidden="false" customHeight="false" outlineLevel="0" collapsed="false">
      <c r="A495" s="38" t="str">
        <f aca="false">IF(OR(C495="",C495=0),"",IF(AND(OR($B$5="",G495=$B$5,H495=$B$5),OR($D$5="",F495=$D$5),OR($E$5="",K495=$E$5),OR($G$5="",L495=$G$5),OR($H$5="",N(J495)&gt;=$H$5),OR($I$5="",ISNUMBER(SEARCH($I$5,C495&amp;" "&amp;D495&amp;" "&amp;E495&amp;" "&amp;I495)))),"✓",""))</f>
        <v/>
      </c>
      <c r="B495" s="39" t="n">
        <v>46248</v>
      </c>
      <c r="C495" s="40" t="n">
        <f aca="false">'Aug 14'!$D$40</f>
        <v>0</v>
      </c>
      <c r="D495" s="40" t="n">
        <f aca="false">'Aug 14'!$B$40</f>
        <v>0</v>
      </c>
      <c r="E495" s="41" t="n">
        <f aca="false">'Aug 14'!$E$40</f>
        <v>0</v>
      </c>
      <c r="F495" s="40" t="n">
        <f aca="false">'Aug 14'!$A$40</f>
        <v>0</v>
      </c>
      <c r="G495" s="41" t="n">
        <f aca="false">'Aug 14'!$F$40</f>
        <v>0</v>
      </c>
      <c r="H495" s="41" t="n">
        <f aca="false">'Aug 14'!$G$40</f>
        <v>0</v>
      </c>
      <c r="I495" s="41" t="str">
        <f aca="false">'Aug 14'!$M$40</f>
        <v/>
      </c>
      <c r="J495" s="42" t="str">
        <f aca="false">'Aug 14'!$S$40</f>
        <v/>
      </c>
      <c r="K495" s="40" t="n">
        <f aca="false">'Aug 14'!$AG$40</f>
        <v>0</v>
      </c>
      <c r="L495" s="40" t="n">
        <f aca="false">'Aug 14'!$N$40</f>
        <v>0</v>
      </c>
    </row>
    <row r="496" customFormat="false" ht="15" hidden="false" customHeight="false" outlineLevel="0" collapsed="false">
      <c r="A496" s="38" t="str">
        <f aca="false">IF(OR(C496="",C496=0),"",IF(AND(OR($B$5="",G496=$B$5,H496=$B$5),OR($D$5="",F496=$D$5),OR($E$5="",K496=$E$5),OR($G$5="",L496=$G$5),OR($H$5="",N(J496)&gt;=$H$5),OR($I$5="",ISNUMBER(SEARCH($I$5,C496&amp;" "&amp;D496&amp;" "&amp;E496&amp;" "&amp;I496)))),"✓",""))</f>
        <v/>
      </c>
      <c r="B496" s="39" t="n">
        <v>46248</v>
      </c>
      <c r="C496" s="40" t="n">
        <f aca="false">'Aug 14'!$D$41</f>
        <v>0</v>
      </c>
      <c r="D496" s="40" t="n">
        <f aca="false">'Aug 14'!$B$41</f>
        <v>0</v>
      </c>
      <c r="E496" s="41" t="n">
        <f aca="false">'Aug 14'!$E$41</f>
        <v>0</v>
      </c>
      <c r="F496" s="40" t="n">
        <f aca="false">'Aug 14'!$A$41</f>
        <v>0</v>
      </c>
      <c r="G496" s="41" t="n">
        <f aca="false">'Aug 14'!$F$41</f>
        <v>0</v>
      </c>
      <c r="H496" s="41" t="n">
        <f aca="false">'Aug 14'!$G$41</f>
        <v>0</v>
      </c>
      <c r="I496" s="41" t="str">
        <f aca="false">'Aug 14'!$M$41</f>
        <v/>
      </c>
      <c r="J496" s="42" t="str">
        <f aca="false">'Aug 14'!$S$41</f>
        <v/>
      </c>
      <c r="K496" s="40" t="n">
        <f aca="false">'Aug 14'!$AG$41</f>
        <v>0</v>
      </c>
      <c r="L496" s="40" t="n">
        <f aca="false">'Aug 14'!$N$41</f>
        <v>0</v>
      </c>
    </row>
    <row r="497" customFormat="false" ht="15" hidden="false" customHeight="false" outlineLevel="0" collapsed="false">
      <c r="A497" s="38" t="str">
        <f aca="false">IF(OR(C497="",C497=0),"",IF(AND(OR($B$5="",G497=$B$5,H497=$B$5),OR($D$5="",F497=$D$5),OR($E$5="",K497=$E$5),OR($G$5="",L497=$G$5),OR($H$5="",N(J497)&gt;=$H$5),OR($I$5="",ISNUMBER(SEARCH($I$5,C497&amp;" "&amp;D497&amp;" "&amp;E497&amp;" "&amp;I497)))),"✓",""))</f>
        <v/>
      </c>
      <c r="B497" s="39" t="n">
        <v>46248</v>
      </c>
      <c r="C497" s="40" t="n">
        <f aca="false">'Aug 14'!$D$42</f>
        <v>0</v>
      </c>
      <c r="D497" s="40" t="n">
        <f aca="false">'Aug 14'!$B$42</f>
        <v>0</v>
      </c>
      <c r="E497" s="41" t="n">
        <f aca="false">'Aug 14'!$E$42</f>
        <v>0</v>
      </c>
      <c r="F497" s="40" t="n">
        <f aca="false">'Aug 14'!$A$42</f>
        <v>0</v>
      </c>
      <c r="G497" s="41" t="n">
        <f aca="false">'Aug 14'!$F$42</f>
        <v>0</v>
      </c>
      <c r="H497" s="41" t="n">
        <f aca="false">'Aug 14'!$G$42</f>
        <v>0</v>
      </c>
      <c r="I497" s="41" t="str">
        <f aca="false">'Aug 14'!$M$42</f>
        <v/>
      </c>
      <c r="J497" s="42" t="str">
        <f aca="false">'Aug 14'!$S$42</f>
        <v/>
      </c>
      <c r="K497" s="40" t="n">
        <f aca="false">'Aug 14'!$AG$42</f>
        <v>0</v>
      </c>
      <c r="L497" s="40" t="n">
        <f aca="false">'Aug 14'!$N$42</f>
        <v>0</v>
      </c>
    </row>
    <row r="498" customFormat="false" ht="15" hidden="false" customHeight="false" outlineLevel="0" collapsed="false">
      <c r="A498" s="38" t="str">
        <f aca="false">IF(OR(C498="",C498=0),"",IF(AND(OR($B$5="",G498=$B$5,H498=$B$5),OR($D$5="",F498=$D$5),OR($E$5="",K498=$E$5),OR($G$5="",L498=$G$5),OR($H$5="",N(J498)&gt;=$H$5),OR($I$5="",ISNUMBER(SEARCH($I$5,C498&amp;" "&amp;D498&amp;" "&amp;E498&amp;" "&amp;I498)))),"✓",""))</f>
        <v/>
      </c>
      <c r="B498" s="39" t="n">
        <v>46249</v>
      </c>
      <c r="C498" s="40" t="n">
        <f aca="false">'Aug 15'!$D$8</f>
        <v>0</v>
      </c>
      <c r="D498" s="40" t="n">
        <f aca="false">'Aug 15'!$B$8</f>
        <v>0</v>
      </c>
      <c r="E498" s="41" t="n">
        <f aca="false">'Aug 15'!$E$8</f>
        <v>0</v>
      </c>
      <c r="F498" s="40" t="n">
        <f aca="false">'Aug 15'!$A$8</f>
        <v>0</v>
      </c>
      <c r="G498" s="41" t="n">
        <f aca="false">'Aug 15'!$F$8</f>
        <v>0</v>
      </c>
      <c r="H498" s="41" t="n">
        <f aca="false">'Aug 15'!$G$8</f>
        <v>0</v>
      </c>
      <c r="I498" s="41" t="str">
        <f aca="false">'Aug 15'!$M$8</f>
        <v/>
      </c>
      <c r="J498" s="42" t="str">
        <f aca="false">'Aug 15'!$S$8</f>
        <v/>
      </c>
      <c r="K498" s="40" t="n">
        <f aca="false">'Aug 15'!$AG$8</f>
        <v>0</v>
      </c>
      <c r="L498" s="40" t="n">
        <f aca="false">'Aug 15'!$N$8</f>
        <v>0</v>
      </c>
    </row>
    <row r="499" customFormat="false" ht="15" hidden="false" customHeight="false" outlineLevel="0" collapsed="false">
      <c r="A499" s="38" t="str">
        <f aca="false">IF(OR(C499="",C499=0),"",IF(AND(OR($B$5="",G499=$B$5,H499=$B$5),OR($D$5="",F499=$D$5),OR($E$5="",K499=$E$5),OR($G$5="",L499=$G$5),OR($H$5="",N(J499)&gt;=$H$5),OR($I$5="",ISNUMBER(SEARCH($I$5,C499&amp;" "&amp;D499&amp;" "&amp;E499&amp;" "&amp;I499)))),"✓",""))</f>
        <v/>
      </c>
      <c r="B499" s="39" t="n">
        <v>46249</v>
      </c>
      <c r="C499" s="40" t="n">
        <f aca="false">'Aug 15'!$D$9</f>
        <v>0</v>
      </c>
      <c r="D499" s="40" t="n">
        <f aca="false">'Aug 15'!$B$9</f>
        <v>0</v>
      </c>
      <c r="E499" s="41" t="n">
        <f aca="false">'Aug 15'!$E$9</f>
        <v>0</v>
      </c>
      <c r="F499" s="40" t="n">
        <f aca="false">'Aug 15'!$A$9</f>
        <v>0</v>
      </c>
      <c r="G499" s="41" t="n">
        <f aca="false">'Aug 15'!$F$9</f>
        <v>0</v>
      </c>
      <c r="H499" s="41" t="n">
        <f aca="false">'Aug 15'!$G$9</f>
        <v>0</v>
      </c>
      <c r="I499" s="41" t="str">
        <f aca="false">'Aug 15'!$M$9</f>
        <v/>
      </c>
      <c r="J499" s="42" t="str">
        <f aca="false">'Aug 15'!$S$9</f>
        <v/>
      </c>
      <c r="K499" s="40" t="n">
        <f aca="false">'Aug 15'!$AG$9</f>
        <v>0</v>
      </c>
      <c r="L499" s="40" t="n">
        <f aca="false">'Aug 15'!$N$9</f>
        <v>0</v>
      </c>
    </row>
    <row r="500" customFormat="false" ht="15" hidden="false" customHeight="false" outlineLevel="0" collapsed="false">
      <c r="A500" s="38" t="str">
        <f aca="false">IF(OR(C500="",C500=0),"",IF(AND(OR($B$5="",G500=$B$5,H500=$B$5),OR($D$5="",F500=$D$5),OR($E$5="",K500=$E$5),OR($G$5="",L500=$G$5),OR($H$5="",N(J500)&gt;=$H$5),OR($I$5="",ISNUMBER(SEARCH($I$5,C500&amp;" "&amp;D500&amp;" "&amp;E500&amp;" "&amp;I500)))),"✓",""))</f>
        <v/>
      </c>
      <c r="B500" s="39" t="n">
        <v>46249</v>
      </c>
      <c r="C500" s="40" t="n">
        <f aca="false">'Aug 15'!$D$10</f>
        <v>0</v>
      </c>
      <c r="D500" s="40" t="n">
        <f aca="false">'Aug 15'!$B$10</f>
        <v>0</v>
      </c>
      <c r="E500" s="41" t="n">
        <f aca="false">'Aug 15'!$E$10</f>
        <v>0</v>
      </c>
      <c r="F500" s="40" t="n">
        <f aca="false">'Aug 15'!$A$10</f>
        <v>0</v>
      </c>
      <c r="G500" s="41" t="n">
        <f aca="false">'Aug 15'!$F$10</f>
        <v>0</v>
      </c>
      <c r="H500" s="41" t="n">
        <f aca="false">'Aug 15'!$G$10</f>
        <v>0</v>
      </c>
      <c r="I500" s="41" t="str">
        <f aca="false">'Aug 15'!$M$10</f>
        <v/>
      </c>
      <c r="J500" s="42" t="str">
        <f aca="false">'Aug 15'!$S$10</f>
        <v/>
      </c>
      <c r="K500" s="40" t="n">
        <f aca="false">'Aug 15'!$AG$10</f>
        <v>0</v>
      </c>
      <c r="L500" s="40" t="n">
        <f aca="false">'Aug 15'!$N$10</f>
        <v>0</v>
      </c>
    </row>
    <row r="501" customFormat="false" ht="15" hidden="false" customHeight="false" outlineLevel="0" collapsed="false">
      <c r="A501" s="38" t="str">
        <f aca="false">IF(OR(C501="",C501=0),"",IF(AND(OR($B$5="",G501=$B$5,H501=$B$5),OR($D$5="",F501=$D$5),OR($E$5="",K501=$E$5),OR($G$5="",L501=$G$5),OR($H$5="",N(J501)&gt;=$H$5),OR($I$5="",ISNUMBER(SEARCH($I$5,C501&amp;" "&amp;D501&amp;" "&amp;E501&amp;" "&amp;I501)))),"✓",""))</f>
        <v/>
      </c>
      <c r="B501" s="39" t="n">
        <v>46249</v>
      </c>
      <c r="C501" s="40" t="n">
        <f aca="false">'Aug 15'!$D$11</f>
        <v>0</v>
      </c>
      <c r="D501" s="40" t="n">
        <f aca="false">'Aug 15'!$B$11</f>
        <v>0</v>
      </c>
      <c r="E501" s="41" t="n">
        <f aca="false">'Aug 15'!$E$11</f>
        <v>0</v>
      </c>
      <c r="F501" s="40" t="n">
        <f aca="false">'Aug 15'!$A$11</f>
        <v>0</v>
      </c>
      <c r="G501" s="41" t="n">
        <f aca="false">'Aug 15'!$F$11</f>
        <v>0</v>
      </c>
      <c r="H501" s="41" t="n">
        <f aca="false">'Aug 15'!$G$11</f>
        <v>0</v>
      </c>
      <c r="I501" s="41" t="str">
        <f aca="false">'Aug 15'!$M$11</f>
        <v/>
      </c>
      <c r="J501" s="42" t="str">
        <f aca="false">'Aug 15'!$S$11</f>
        <v/>
      </c>
      <c r="K501" s="40" t="n">
        <f aca="false">'Aug 15'!$AG$11</f>
        <v>0</v>
      </c>
      <c r="L501" s="40" t="n">
        <f aca="false">'Aug 15'!$N$11</f>
        <v>0</v>
      </c>
    </row>
    <row r="502" customFormat="false" ht="15" hidden="false" customHeight="false" outlineLevel="0" collapsed="false">
      <c r="A502" s="38" t="str">
        <f aca="false">IF(OR(C502="",C502=0),"",IF(AND(OR($B$5="",G502=$B$5,H502=$B$5),OR($D$5="",F502=$D$5),OR($E$5="",K502=$E$5),OR($G$5="",L502=$G$5),OR($H$5="",N(J502)&gt;=$H$5),OR($I$5="",ISNUMBER(SEARCH($I$5,C502&amp;" "&amp;D502&amp;" "&amp;E502&amp;" "&amp;I502)))),"✓",""))</f>
        <v/>
      </c>
      <c r="B502" s="39" t="n">
        <v>46249</v>
      </c>
      <c r="C502" s="40" t="n">
        <f aca="false">'Aug 15'!$D$12</f>
        <v>0</v>
      </c>
      <c r="D502" s="40" t="n">
        <f aca="false">'Aug 15'!$B$12</f>
        <v>0</v>
      </c>
      <c r="E502" s="41" t="n">
        <f aca="false">'Aug 15'!$E$12</f>
        <v>0</v>
      </c>
      <c r="F502" s="40" t="n">
        <f aca="false">'Aug 15'!$A$12</f>
        <v>0</v>
      </c>
      <c r="G502" s="41" t="n">
        <f aca="false">'Aug 15'!$F$12</f>
        <v>0</v>
      </c>
      <c r="H502" s="41" t="n">
        <f aca="false">'Aug 15'!$G$12</f>
        <v>0</v>
      </c>
      <c r="I502" s="41" t="str">
        <f aca="false">'Aug 15'!$M$12</f>
        <v/>
      </c>
      <c r="J502" s="42" t="str">
        <f aca="false">'Aug 15'!$S$12</f>
        <v/>
      </c>
      <c r="K502" s="40" t="n">
        <f aca="false">'Aug 15'!$AG$12</f>
        <v>0</v>
      </c>
      <c r="L502" s="40" t="n">
        <f aca="false">'Aug 15'!$N$12</f>
        <v>0</v>
      </c>
    </row>
    <row r="503" customFormat="false" ht="15" hidden="false" customHeight="false" outlineLevel="0" collapsed="false">
      <c r="A503" s="38" t="str">
        <f aca="false">IF(OR(C503="",C503=0),"",IF(AND(OR($B$5="",G503=$B$5,H503=$B$5),OR($D$5="",F503=$D$5),OR($E$5="",K503=$E$5),OR($G$5="",L503=$G$5),OR($H$5="",N(J503)&gt;=$H$5),OR($I$5="",ISNUMBER(SEARCH($I$5,C503&amp;" "&amp;D503&amp;" "&amp;E503&amp;" "&amp;I503)))),"✓",""))</f>
        <v/>
      </c>
      <c r="B503" s="39" t="n">
        <v>46249</v>
      </c>
      <c r="C503" s="40" t="n">
        <f aca="false">'Aug 15'!$D$13</f>
        <v>0</v>
      </c>
      <c r="D503" s="40" t="n">
        <f aca="false">'Aug 15'!$B$13</f>
        <v>0</v>
      </c>
      <c r="E503" s="41" t="n">
        <f aca="false">'Aug 15'!$E$13</f>
        <v>0</v>
      </c>
      <c r="F503" s="40" t="n">
        <f aca="false">'Aug 15'!$A$13</f>
        <v>0</v>
      </c>
      <c r="G503" s="41" t="n">
        <f aca="false">'Aug 15'!$F$13</f>
        <v>0</v>
      </c>
      <c r="H503" s="41" t="n">
        <f aca="false">'Aug 15'!$G$13</f>
        <v>0</v>
      </c>
      <c r="I503" s="41" t="str">
        <f aca="false">'Aug 15'!$M$13</f>
        <v/>
      </c>
      <c r="J503" s="42" t="str">
        <f aca="false">'Aug 15'!$S$13</f>
        <v/>
      </c>
      <c r="K503" s="40" t="n">
        <f aca="false">'Aug 15'!$AG$13</f>
        <v>0</v>
      </c>
      <c r="L503" s="40" t="n">
        <f aca="false">'Aug 15'!$N$13</f>
        <v>0</v>
      </c>
    </row>
    <row r="504" customFormat="false" ht="15" hidden="false" customHeight="false" outlineLevel="0" collapsed="false">
      <c r="A504" s="38" t="str">
        <f aca="false">IF(OR(C504="",C504=0),"",IF(AND(OR($B$5="",G504=$B$5,H504=$B$5),OR($D$5="",F504=$D$5),OR($E$5="",K504=$E$5),OR($G$5="",L504=$G$5),OR($H$5="",N(J504)&gt;=$H$5),OR($I$5="",ISNUMBER(SEARCH($I$5,C504&amp;" "&amp;D504&amp;" "&amp;E504&amp;" "&amp;I504)))),"✓",""))</f>
        <v/>
      </c>
      <c r="B504" s="39" t="n">
        <v>46249</v>
      </c>
      <c r="C504" s="40" t="n">
        <f aca="false">'Aug 15'!$D$14</f>
        <v>0</v>
      </c>
      <c r="D504" s="40" t="n">
        <f aca="false">'Aug 15'!$B$14</f>
        <v>0</v>
      </c>
      <c r="E504" s="41" t="n">
        <f aca="false">'Aug 15'!$E$14</f>
        <v>0</v>
      </c>
      <c r="F504" s="40" t="n">
        <f aca="false">'Aug 15'!$A$14</f>
        <v>0</v>
      </c>
      <c r="G504" s="41" t="n">
        <f aca="false">'Aug 15'!$F$14</f>
        <v>0</v>
      </c>
      <c r="H504" s="41" t="n">
        <f aca="false">'Aug 15'!$G$14</f>
        <v>0</v>
      </c>
      <c r="I504" s="41" t="str">
        <f aca="false">'Aug 15'!$M$14</f>
        <v/>
      </c>
      <c r="J504" s="42" t="str">
        <f aca="false">'Aug 15'!$S$14</f>
        <v/>
      </c>
      <c r="K504" s="40" t="n">
        <f aca="false">'Aug 15'!$AG$14</f>
        <v>0</v>
      </c>
      <c r="L504" s="40" t="n">
        <f aca="false">'Aug 15'!$N$14</f>
        <v>0</v>
      </c>
    </row>
    <row r="505" customFormat="false" ht="15" hidden="false" customHeight="false" outlineLevel="0" collapsed="false">
      <c r="A505" s="38" t="str">
        <f aca="false">IF(OR(C505="",C505=0),"",IF(AND(OR($B$5="",G505=$B$5,H505=$B$5),OR($D$5="",F505=$D$5),OR($E$5="",K505=$E$5),OR($G$5="",L505=$G$5),OR($H$5="",N(J505)&gt;=$H$5),OR($I$5="",ISNUMBER(SEARCH($I$5,C505&amp;" "&amp;D505&amp;" "&amp;E505&amp;" "&amp;I505)))),"✓",""))</f>
        <v/>
      </c>
      <c r="B505" s="39" t="n">
        <v>46249</v>
      </c>
      <c r="C505" s="40" t="n">
        <f aca="false">'Aug 15'!$D$15</f>
        <v>0</v>
      </c>
      <c r="D505" s="40" t="n">
        <f aca="false">'Aug 15'!$B$15</f>
        <v>0</v>
      </c>
      <c r="E505" s="41" t="n">
        <f aca="false">'Aug 15'!$E$15</f>
        <v>0</v>
      </c>
      <c r="F505" s="40" t="n">
        <f aca="false">'Aug 15'!$A$15</f>
        <v>0</v>
      </c>
      <c r="G505" s="41" t="n">
        <f aca="false">'Aug 15'!$F$15</f>
        <v>0</v>
      </c>
      <c r="H505" s="41" t="n">
        <f aca="false">'Aug 15'!$G$15</f>
        <v>0</v>
      </c>
      <c r="I505" s="41" t="str">
        <f aca="false">'Aug 15'!$M$15</f>
        <v/>
      </c>
      <c r="J505" s="42" t="str">
        <f aca="false">'Aug 15'!$S$15</f>
        <v/>
      </c>
      <c r="K505" s="40" t="n">
        <f aca="false">'Aug 15'!$AG$15</f>
        <v>0</v>
      </c>
      <c r="L505" s="40" t="n">
        <f aca="false">'Aug 15'!$N$15</f>
        <v>0</v>
      </c>
    </row>
    <row r="506" customFormat="false" ht="15" hidden="false" customHeight="false" outlineLevel="0" collapsed="false">
      <c r="A506" s="38" t="str">
        <f aca="false">IF(OR(C506="",C506=0),"",IF(AND(OR($B$5="",G506=$B$5,H506=$B$5),OR($D$5="",F506=$D$5),OR($E$5="",K506=$E$5),OR($G$5="",L506=$G$5),OR($H$5="",N(J506)&gt;=$H$5),OR($I$5="",ISNUMBER(SEARCH($I$5,C506&amp;" "&amp;D506&amp;" "&amp;E506&amp;" "&amp;I506)))),"✓",""))</f>
        <v/>
      </c>
      <c r="B506" s="39" t="n">
        <v>46249</v>
      </c>
      <c r="C506" s="40" t="n">
        <f aca="false">'Aug 15'!$D$16</f>
        <v>0</v>
      </c>
      <c r="D506" s="40" t="n">
        <f aca="false">'Aug 15'!$B$16</f>
        <v>0</v>
      </c>
      <c r="E506" s="41" t="n">
        <f aca="false">'Aug 15'!$E$16</f>
        <v>0</v>
      </c>
      <c r="F506" s="40" t="n">
        <f aca="false">'Aug 15'!$A$16</f>
        <v>0</v>
      </c>
      <c r="G506" s="41" t="n">
        <f aca="false">'Aug 15'!$F$16</f>
        <v>0</v>
      </c>
      <c r="H506" s="41" t="n">
        <f aca="false">'Aug 15'!$G$16</f>
        <v>0</v>
      </c>
      <c r="I506" s="41" t="str">
        <f aca="false">'Aug 15'!$M$16</f>
        <v/>
      </c>
      <c r="J506" s="42" t="str">
        <f aca="false">'Aug 15'!$S$16</f>
        <v/>
      </c>
      <c r="K506" s="40" t="n">
        <f aca="false">'Aug 15'!$AG$16</f>
        <v>0</v>
      </c>
      <c r="L506" s="40" t="n">
        <f aca="false">'Aug 15'!$N$16</f>
        <v>0</v>
      </c>
    </row>
    <row r="507" customFormat="false" ht="15" hidden="false" customHeight="false" outlineLevel="0" collapsed="false">
      <c r="A507" s="38" t="str">
        <f aca="false">IF(OR(C507="",C507=0),"",IF(AND(OR($B$5="",G507=$B$5,H507=$B$5),OR($D$5="",F507=$D$5),OR($E$5="",K507=$E$5),OR($G$5="",L507=$G$5),OR($H$5="",N(J507)&gt;=$H$5),OR($I$5="",ISNUMBER(SEARCH($I$5,C507&amp;" "&amp;D507&amp;" "&amp;E507&amp;" "&amp;I507)))),"✓",""))</f>
        <v/>
      </c>
      <c r="B507" s="39" t="n">
        <v>46249</v>
      </c>
      <c r="C507" s="40" t="n">
        <f aca="false">'Aug 15'!$D$17</f>
        <v>0</v>
      </c>
      <c r="D507" s="40" t="n">
        <f aca="false">'Aug 15'!$B$17</f>
        <v>0</v>
      </c>
      <c r="E507" s="41" t="n">
        <f aca="false">'Aug 15'!$E$17</f>
        <v>0</v>
      </c>
      <c r="F507" s="40" t="n">
        <f aca="false">'Aug 15'!$A$17</f>
        <v>0</v>
      </c>
      <c r="G507" s="41" t="n">
        <f aca="false">'Aug 15'!$F$17</f>
        <v>0</v>
      </c>
      <c r="H507" s="41" t="n">
        <f aca="false">'Aug 15'!$G$17</f>
        <v>0</v>
      </c>
      <c r="I507" s="41" t="str">
        <f aca="false">'Aug 15'!$M$17</f>
        <v/>
      </c>
      <c r="J507" s="42" t="str">
        <f aca="false">'Aug 15'!$S$17</f>
        <v/>
      </c>
      <c r="K507" s="40" t="n">
        <f aca="false">'Aug 15'!$AG$17</f>
        <v>0</v>
      </c>
      <c r="L507" s="40" t="n">
        <f aca="false">'Aug 15'!$N$17</f>
        <v>0</v>
      </c>
    </row>
    <row r="508" customFormat="false" ht="15" hidden="false" customHeight="false" outlineLevel="0" collapsed="false">
      <c r="A508" s="38" t="str">
        <f aca="false">IF(OR(C508="",C508=0),"",IF(AND(OR($B$5="",G508=$B$5,H508=$B$5),OR($D$5="",F508=$D$5),OR($E$5="",K508=$E$5),OR($G$5="",L508=$G$5),OR($H$5="",N(J508)&gt;=$H$5),OR($I$5="",ISNUMBER(SEARCH($I$5,C508&amp;" "&amp;D508&amp;" "&amp;E508&amp;" "&amp;I508)))),"✓",""))</f>
        <v/>
      </c>
      <c r="B508" s="39" t="n">
        <v>46249</v>
      </c>
      <c r="C508" s="40" t="n">
        <f aca="false">'Aug 15'!$D$18</f>
        <v>0</v>
      </c>
      <c r="D508" s="40" t="n">
        <f aca="false">'Aug 15'!$B$18</f>
        <v>0</v>
      </c>
      <c r="E508" s="41" t="n">
        <f aca="false">'Aug 15'!$E$18</f>
        <v>0</v>
      </c>
      <c r="F508" s="40" t="n">
        <f aca="false">'Aug 15'!$A$18</f>
        <v>0</v>
      </c>
      <c r="G508" s="41" t="n">
        <f aca="false">'Aug 15'!$F$18</f>
        <v>0</v>
      </c>
      <c r="H508" s="41" t="n">
        <f aca="false">'Aug 15'!$G$18</f>
        <v>0</v>
      </c>
      <c r="I508" s="41" t="str">
        <f aca="false">'Aug 15'!$M$18</f>
        <v/>
      </c>
      <c r="J508" s="42" t="str">
        <f aca="false">'Aug 15'!$S$18</f>
        <v/>
      </c>
      <c r="K508" s="40" t="n">
        <f aca="false">'Aug 15'!$AG$18</f>
        <v>0</v>
      </c>
      <c r="L508" s="40" t="n">
        <f aca="false">'Aug 15'!$N$18</f>
        <v>0</v>
      </c>
    </row>
    <row r="509" customFormat="false" ht="15" hidden="false" customHeight="false" outlineLevel="0" collapsed="false">
      <c r="A509" s="38" t="str">
        <f aca="false">IF(OR(C509="",C509=0),"",IF(AND(OR($B$5="",G509=$B$5,H509=$B$5),OR($D$5="",F509=$D$5),OR($E$5="",K509=$E$5),OR($G$5="",L509=$G$5),OR($H$5="",N(J509)&gt;=$H$5),OR($I$5="",ISNUMBER(SEARCH($I$5,C509&amp;" "&amp;D509&amp;" "&amp;E509&amp;" "&amp;I509)))),"✓",""))</f>
        <v/>
      </c>
      <c r="B509" s="39" t="n">
        <v>46249</v>
      </c>
      <c r="C509" s="40" t="n">
        <f aca="false">'Aug 15'!$D$19</f>
        <v>0</v>
      </c>
      <c r="D509" s="40" t="n">
        <f aca="false">'Aug 15'!$B$19</f>
        <v>0</v>
      </c>
      <c r="E509" s="41" t="n">
        <f aca="false">'Aug 15'!$E$19</f>
        <v>0</v>
      </c>
      <c r="F509" s="40" t="n">
        <f aca="false">'Aug 15'!$A$19</f>
        <v>0</v>
      </c>
      <c r="G509" s="41" t="n">
        <f aca="false">'Aug 15'!$F$19</f>
        <v>0</v>
      </c>
      <c r="H509" s="41" t="n">
        <f aca="false">'Aug 15'!$G$19</f>
        <v>0</v>
      </c>
      <c r="I509" s="41" t="str">
        <f aca="false">'Aug 15'!$M$19</f>
        <v/>
      </c>
      <c r="J509" s="42" t="str">
        <f aca="false">'Aug 15'!$S$19</f>
        <v/>
      </c>
      <c r="K509" s="40" t="n">
        <f aca="false">'Aug 15'!$AG$19</f>
        <v>0</v>
      </c>
      <c r="L509" s="40" t="n">
        <f aca="false">'Aug 15'!$N$19</f>
        <v>0</v>
      </c>
    </row>
    <row r="510" customFormat="false" ht="15" hidden="false" customHeight="false" outlineLevel="0" collapsed="false">
      <c r="A510" s="38" t="str">
        <f aca="false">IF(OR(C510="",C510=0),"",IF(AND(OR($B$5="",G510=$B$5,H510=$B$5),OR($D$5="",F510=$D$5),OR($E$5="",K510=$E$5),OR($G$5="",L510=$G$5),OR($H$5="",N(J510)&gt;=$H$5),OR($I$5="",ISNUMBER(SEARCH($I$5,C510&amp;" "&amp;D510&amp;" "&amp;E510&amp;" "&amp;I510)))),"✓",""))</f>
        <v/>
      </c>
      <c r="B510" s="39" t="n">
        <v>46249</v>
      </c>
      <c r="C510" s="40" t="n">
        <f aca="false">'Aug 15'!$D$20</f>
        <v>0</v>
      </c>
      <c r="D510" s="40" t="n">
        <f aca="false">'Aug 15'!$B$20</f>
        <v>0</v>
      </c>
      <c r="E510" s="41" t="n">
        <f aca="false">'Aug 15'!$E$20</f>
        <v>0</v>
      </c>
      <c r="F510" s="40" t="n">
        <f aca="false">'Aug 15'!$A$20</f>
        <v>0</v>
      </c>
      <c r="G510" s="41" t="n">
        <f aca="false">'Aug 15'!$F$20</f>
        <v>0</v>
      </c>
      <c r="H510" s="41" t="n">
        <f aca="false">'Aug 15'!$G$20</f>
        <v>0</v>
      </c>
      <c r="I510" s="41" t="str">
        <f aca="false">'Aug 15'!$M$20</f>
        <v/>
      </c>
      <c r="J510" s="42" t="str">
        <f aca="false">'Aug 15'!$S$20</f>
        <v/>
      </c>
      <c r="K510" s="40" t="n">
        <f aca="false">'Aug 15'!$AG$20</f>
        <v>0</v>
      </c>
      <c r="L510" s="40" t="n">
        <f aca="false">'Aug 15'!$N$20</f>
        <v>0</v>
      </c>
    </row>
    <row r="511" customFormat="false" ht="15" hidden="false" customHeight="false" outlineLevel="0" collapsed="false">
      <c r="A511" s="38" t="str">
        <f aca="false">IF(OR(C511="",C511=0),"",IF(AND(OR($B$5="",G511=$B$5,H511=$B$5),OR($D$5="",F511=$D$5),OR($E$5="",K511=$E$5),OR($G$5="",L511=$G$5),OR($H$5="",N(J511)&gt;=$H$5),OR($I$5="",ISNUMBER(SEARCH($I$5,C511&amp;" "&amp;D511&amp;" "&amp;E511&amp;" "&amp;I511)))),"✓",""))</f>
        <v/>
      </c>
      <c r="B511" s="39" t="n">
        <v>46249</v>
      </c>
      <c r="C511" s="40" t="n">
        <f aca="false">'Aug 15'!$D$21</f>
        <v>0</v>
      </c>
      <c r="D511" s="40" t="n">
        <f aca="false">'Aug 15'!$B$21</f>
        <v>0</v>
      </c>
      <c r="E511" s="41" t="n">
        <f aca="false">'Aug 15'!$E$21</f>
        <v>0</v>
      </c>
      <c r="F511" s="40" t="n">
        <f aca="false">'Aug 15'!$A$21</f>
        <v>0</v>
      </c>
      <c r="G511" s="41" t="n">
        <f aca="false">'Aug 15'!$F$21</f>
        <v>0</v>
      </c>
      <c r="H511" s="41" t="n">
        <f aca="false">'Aug 15'!$G$21</f>
        <v>0</v>
      </c>
      <c r="I511" s="41" t="str">
        <f aca="false">'Aug 15'!$M$21</f>
        <v/>
      </c>
      <c r="J511" s="42" t="str">
        <f aca="false">'Aug 15'!$S$21</f>
        <v/>
      </c>
      <c r="K511" s="40" t="n">
        <f aca="false">'Aug 15'!$AG$21</f>
        <v>0</v>
      </c>
      <c r="L511" s="40" t="n">
        <f aca="false">'Aug 15'!$N$21</f>
        <v>0</v>
      </c>
    </row>
    <row r="512" customFormat="false" ht="15" hidden="false" customHeight="false" outlineLevel="0" collapsed="false">
      <c r="A512" s="38" t="str">
        <f aca="false">IF(OR(C512="",C512=0),"",IF(AND(OR($B$5="",G512=$B$5,H512=$B$5),OR($D$5="",F512=$D$5),OR($E$5="",K512=$E$5),OR($G$5="",L512=$G$5),OR($H$5="",N(J512)&gt;=$H$5),OR($I$5="",ISNUMBER(SEARCH($I$5,C512&amp;" "&amp;D512&amp;" "&amp;E512&amp;" "&amp;I512)))),"✓",""))</f>
        <v/>
      </c>
      <c r="B512" s="39" t="n">
        <v>46249</v>
      </c>
      <c r="C512" s="40" t="n">
        <f aca="false">'Aug 15'!$D$22</f>
        <v>0</v>
      </c>
      <c r="D512" s="40" t="n">
        <f aca="false">'Aug 15'!$B$22</f>
        <v>0</v>
      </c>
      <c r="E512" s="41" t="n">
        <f aca="false">'Aug 15'!$E$22</f>
        <v>0</v>
      </c>
      <c r="F512" s="40" t="n">
        <f aca="false">'Aug 15'!$A$22</f>
        <v>0</v>
      </c>
      <c r="G512" s="41" t="n">
        <f aca="false">'Aug 15'!$F$22</f>
        <v>0</v>
      </c>
      <c r="H512" s="41" t="n">
        <f aca="false">'Aug 15'!$G$22</f>
        <v>0</v>
      </c>
      <c r="I512" s="41" t="str">
        <f aca="false">'Aug 15'!$M$22</f>
        <v/>
      </c>
      <c r="J512" s="42" t="str">
        <f aca="false">'Aug 15'!$S$22</f>
        <v/>
      </c>
      <c r="K512" s="40" t="n">
        <f aca="false">'Aug 15'!$AG$22</f>
        <v>0</v>
      </c>
      <c r="L512" s="40" t="n">
        <f aca="false">'Aug 15'!$N$22</f>
        <v>0</v>
      </c>
    </row>
    <row r="513" customFormat="false" ht="15" hidden="false" customHeight="false" outlineLevel="0" collapsed="false">
      <c r="A513" s="38" t="str">
        <f aca="false">IF(OR(C513="",C513=0),"",IF(AND(OR($B$5="",G513=$B$5,H513=$B$5),OR($D$5="",F513=$D$5),OR($E$5="",K513=$E$5),OR($G$5="",L513=$G$5),OR($H$5="",N(J513)&gt;=$H$5),OR($I$5="",ISNUMBER(SEARCH($I$5,C513&amp;" "&amp;D513&amp;" "&amp;E513&amp;" "&amp;I513)))),"✓",""))</f>
        <v/>
      </c>
      <c r="B513" s="39" t="n">
        <v>46249</v>
      </c>
      <c r="C513" s="40" t="n">
        <f aca="false">'Aug 15'!$D$23</f>
        <v>0</v>
      </c>
      <c r="D513" s="40" t="n">
        <f aca="false">'Aug 15'!$B$23</f>
        <v>0</v>
      </c>
      <c r="E513" s="41" t="n">
        <f aca="false">'Aug 15'!$E$23</f>
        <v>0</v>
      </c>
      <c r="F513" s="40" t="n">
        <f aca="false">'Aug 15'!$A$23</f>
        <v>0</v>
      </c>
      <c r="G513" s="41" t="n">
        <f aca="false">'Aug 15'!$F$23</f>
        <v>0</v>
      </c>
      <c r="H513" s="41" t="n">
        <f aca="false">'Aug 15'!$G$23</f>
        <v>0</v>
      </c>
      <c r="I513" s="41" t="str">
        <f aca="false">'Aug 15'!$M$23</f>
        <v/>
      </c>
      <c r="J513" s="42" t="str">
        <f aca="false">'Aug 15'!$S$23</f>
        <v/>
      </c>
      <c r="K513" s="40" t="n">
        <f aca="false">'Aug 15'!$AG$23</f>
        <v>0</v>
      </c>
      <c r="L513" s="40" t="n">
        <f aca="false">'Aug 15'!$N$23</f>
        <v>0</v>
      </c>
    </row>
    <row r="514" customFormat="false" ht="15" hidden="false" customHeight="false" outlineLevel="0" collapsed="false">
      <c r="A514" s="38" t="str">
        <f aca="false">IF(OR(C514="",C514=0),"",IF(AND(OR($B$5="",G514=$B$5,H514=$B$5),OR($D$5="",F514=$D$5),OR($E$5="",K514=$E$5),OR($G$5="",L514=$G$5),OR($H$5="",N(J514)&gt;=$H$5),OR($I$5="",ISNUMBER(SEARCH($I$5,C514&amp;" "&amp;D514&amp;" "&amp;E514&amp;" "&amp;I514)))),"✓",""))</f>
        <v/>
      </c>
      <c r="B514" s="39" t="n">
        <v>46249</v>
      </c>
      <c r="C514" s="40" t="n">
        <f aca="false">'Aug 15'!$D$24</f>
        <v>0</v>
      </c>
      <c r="D514" s="40" t="n">
        <f aca="false">'Aug 15'!$B$24</f>
        <v>0</v>
      </c>
      <c r="E514" s="41" t="n">
        <f aca="false">'Aug 15'!$E$24</f>
        <v>0</v>
      </c>
      <c r="F514" s="40" t="n">
        <f aca="false">'Aug 15'!$A$24</f>
        <v>0</v>
      </c>
      <c r="G514" s="41" t="n">
        <f aca="false">'Aug 15'!$F$24</f>
        <v>0</v>
      </c>
      <c r="H514" s="41" t="n">
        <f aca="false">'Aug 15'!$G$24</f>
        <v>0</v>
      </c>
      <c r="I514" s="41" t="str">
        <f aca="false">'Aug 15'!$M$24</f>
        <v/>
      </c>
      <c r="J514" s="42" t="str">
        <f aca="false">'Aug 15'!$S$24</f>
        <v/>
      </c>
      <c r="K514" s="40" t="n">
        <f aca="false">'Aug 15'!$AG$24</f>
        <v>0</v>
      </c>
      <c r="L514" s="40" t="n">
        <f aca="false">'Aug 15'!$N$24</f>
        <v>0</v>
      </c>
    </row>
    <row r="515" customFormat="false" ht="15" hidden="false" customHeight="false" outlineLevel="0" collapsed="false">
      <c r="A515" s="38" t="str">
        <f aca="false">IF(OR(C515="",C515=0),"",IF(AND(OR($B$5="",G515=$B$5,H515=$B$5),OR($D$5="",F515=$D$5),OR($E$5="",K515=$E$5),OR($G$5="",L515=$G$5),OR($H$5="",N(J515)&gt;=$H$5),OR($I$5="",ISNUMBER(SEARCH($I$5,C515&amp;" "&amp;D515&amp;" "&amp;E515&amp;" "&amp;I515)))),"✓",""))</f>
        <v/>
      </c>
      <c r="B515" s="39" t="n">
        <v>46249</v>
      </c>
      <c r="C515" s="40" t="n">
        <f aca="false">'Aug 15'!$D$25</f>
        <v>0</v>
      </c>
      <c r="D515" s="40" t="n">
        <f aca="false">'Aug 15'!$B$25</f>
        <v>0</v>
      </c>
      <c r="E515" s="41" t="n">
        <f aca="false">'Aug 15'!$E$25</f>
        <v>0</v>
      </c>
      <c r="F515" s="40" t="n">
        <f aca="false">'Aug 15'!$A$25</f>
        <v>0</v>
      </c>
      <c r="G515" s="41" t="n">
        <f aca="false">'Aug 15'!$F$25</f>
        <v>0</v>
      </c>
      <c r="H515" s="41" t="n">
        <f aca="false">'Aug 15'!$G$25</f>
        <v>0</v>
      </c>
      <c r="I515" s="41" t="str">
        <f aca="false">'Aug 15'!$M$25</f>
        <v/>
      </c>
      <c r="J515" s="42" t="str">
        <f aca="false">'Aug 15'!$S$25</f>
        <v/>
      </c>
      <c r="K515" s="40" t="n">
        <f aca="false">'Aug 15'!$AG$25</f>
        <v>0</v>
      </c>
      <c r="L515" s="40" t="n">
        <f aca="false">'Aug 15'!$N$25</f>
        <v>0</v>
      </c>
    </row>
    <row r="516" customFormat="false" ht="15" hidden="false" customHeight="false" outlineLevel="0" collapsed="false">
      <c r="A516" s="38" t="str">
        <f aca="false">IF(OR(C516="",C516=0),"",IF(AND(OR($B$5="",G516=$B$5,H516=$B$5),OR($D$5="",F516=$D$5),OR($E$5="",K516=$E$5),OR($G$5="",L516=$G$5),OR($H$5="",N(J516)&gt;=$H$5),OR($I$5="",ISNUMBER(SEARCH($I$5,C516&amp;" "&amp;D516&amp;" "&amp;E516&amp;" "&amp;I516)))),"✓",""))</f>
        <v/>
      </c>
      <c r="B516" s="39" t="n">
        <v>46249</v>
      </c>
      <c r="C516" s="40" t="n">
        <f aca="false">'Aug 15'!$D$26</f>
        <v>0</v>
      </c>
      <c r="D516" s="40" t="n">
        <f aca="false">'Aug 15'!$B$26</f>
        <v>0</v>
      </c>
      <c r="E516" s="41" t="n">
        <f aca="false">'Aug 15'!$E$26</f>
        <v>0</v>
      </c>
      <c r="F516" s="40" t="n">
        <f aca="false">'Aug 15'!$A$26</f>
        <v>0</v>
      </c>
      <c r="G516" s="41" t="n">
        <f aca="false">'Aug 15'!$F$26</f>
        <v>0</v>
      </c>
      <c r="H516" s="41" t="n">
        <f aca="false">'Aug 15'!$G$26</f>
        <v>0</v>
      </c>
      <c r="I516" s="41" t="str">
        <f aca="false">'Aug 15'!$M$26</f>
        <v/>
      </c>
      <c r="J516" s="42" t="str">
        <f aca="false">'Aug 15'!$S$26</f>
        <v/>
      </c>
      <c r="K516" s="40" t="n">
        <f aca="false">'Aug 15'!$AG$26</f>
        <v>0</v>
      </c>
      <c r="L516" s="40" t="n">
        <f aca="false">'Aug 15'!$N$26</f>
        <v>0</v>
      </c>
    </row>
    <row r="517" customFormat="false" ht="15" hidden="false" customHeight="false" outlineLevel="0" collapsed="false">
      <c r="A517" s="38" t="str">
        <f aca="false">IF(OR(C517="",C517=0),"",IF(AND(OR($B$5="",G517=$B$5,H517=$B$5),OR($D$5="",F517=$D$5),OR($E$5="",K517=$E$5),OR($G$5="",L517=$G$5),OR($H$5="",N(J517)&gt;=$H$5),OR($I$5="",ISNUMBER(SEARCH($I$5,C517&amp;" "&amp;D517&amp;" "&amp;E517&amp;" "&amp;I517)))),"✓",""))</f>
        <v/>
      </c>
      <c r="B517" s="39" t="n">
        <v>46249</v>
      </c>
      <c r="C517" s="40" t="n">
        <f aca="false">'Aug 15'!$D$27</f>
        <v>0</v>
      </c>
      <c r="D517" s="40" t="n">
        <f aca="false">'Aug 15'!$B$27</f>
        <v>0</v>
      </c>
      <c r="E517" s="41" t="n">
        <f aca="false">'Aug 15'!$E$27</f>
        <v>0</v>
      </c>
      <c r="F517" s="40" t="n">
        <f aca="false">'Aug 15'!$A$27</f>
        <v>0</v>
      </c>
      <c r="G517" s="41" t="n">
        <f aca="false">'Aug 15'!$F$27</f>
        <v>0</v>
      </c>
      <c r="H517" s="41" t="n">
        <f aca="false">'Aug 15'!$G$27</f>
        <v>0</v>
      </c>
      <c r="I517" s="41" t="str">
        <f aca="false">'Aug 15'!$M$27</f>
        <v/>
      </c>
      <c r="J517" s="42" t="str">
        <f aca="false">'Aug 15'!$S$27</f>
        <v/>
      </c>
      <c r="K517" s="40" t="n">
        <f aca="false">'Aug 15'!$AG$27</f>
        <v>0</v>
      </c>
      <c r="L517" s="40" t="n">
        <f aca="false">'Aug 15'!$N$27</f>
        <v>0</v>
      </c>
    </row>
    <row r="518" customFormat="false" ht="15" hidden="false" customHeight="false" outlineLevel="0" collapsed="false">
      <c r="A518" s="38" t="str">
        <f aca="false">IF(OR(C518="",C518=0),"",IF(AND(OR($B$5="",G518=$B$5,H518=$B$5),OR($D$5="",F518=$D$5),OR($E$5="",K518=$E$5),OR($G$5="",L518=$G$5),OR($H$5="",N(J518)&gt;=$H$5),OR($I$5="",ISNUMBER(SEARCH($I$5,C518&amp;" "&amp;D518&amp;" "&amp;E518&amp;" "&amp;I518)))),"✓",""))</f>
        <v/>
      </c>
      <c r="B518" s="39" t="n">
        <v>46249</v>
      </c>
      <c r="C518" s="40" t="n">
        <f aca="false">'Aug 15'!$D$28</f>
        <v>0</v>
      </c>
      <c r="D518" s="40" t="n">
        <f aca="false">'Aug 15'!$B$28</f>
        <v>0</v>
      </c>
      <c r="E518" s="41" t="n">
        <f aca="false">'Aug 15'!$E$28</f>
        <v>0</v>
      </c>
      <c r="F518" s="40" t="n">
        <f aca="false">'Aug 15'!$A$28</f>
        <v>0</v>
      </c>
      <c r="G518" s="41" t="n">
        <f aca="false">'Aug 15'!$F$28</f>
        <v>0</v>
      </c>
      <c r="H518" s="41" t="n">
        <f aca="false">'Aug 15'!$G$28</f>
        <v>0</v>
      </c>
      <c r="I518" s="41" t="str">
        <f aca="false">'Aug 15'!$M$28</f>
        <v/>
      </c>
      <c r="J518" s="42" t="str">
        <f aca="false">'Aug 15'!$S$28</f>
        <v/>
      </c>
      <c r="K518" s="40" t="n">
        <f aca="false">'Aug 15'!$AG$28</f>
        <v>0</v>
      </c>
      <c r="L518" s="40" t="n">
        <f aca="false">'Aug 15'!$N$28</f>
        <v>0</v>
      </c>
    </row>
    <row r="519" customFormat="false" ht="15" hidden="false" customHeight="false" outlineLevel="0" collapsed="false">
      <c r="A519" s="38" t="str">
        <f aca="false">IF(OR(C519="",C519=0),"",IF(AND(OR($B$5="",G519=$B$5,H519=$B$5),OR($D$5="",F519=$D$5),OR($E$5="",K519=$E$5),OR($G$5="",L519=$G$5),OR($H$5="",N(J519)&gt;=$H$5),OR($I$5="",ISNUMBER(SEARCH($I$5,C519&amp;" "&amp;D519&amp;" "&amp;E519&amp;" "&amp;I519)))),"✓",""))</f>
        <v/>
      </c>
      <c r="B519" s="39" t="n">
        <v>46249</v>
      </c>
      <c r="C519" s="40" t="n">
        <f aca="false">'Aug 15'!$D$29</f>
        <v>0</v>
      </c>
      <c r="D519" s="40" t="n">
        <f aca="false">'Aug 15'!$B$29</f>
        <v>0</v>
      </c>
      <c r="E519" s="41" t="n">
        <f aca="false">'Aug 15'!$E$29</f>
        <v>0</v>
      </c>
      <c r="F519" s="40" t="n">
        <f aca="false">'Aug 15'!$A$29</f>
        <v>0</v>
      </c>
      <c r="G519" s="41" t="n">
        <f aca="false">'Aug 15'!$F$29</f>
        <v>0</v>
      </c>
      <c r="H519" s="41" t="n">
        <f aca="false">'Aug 15'!$G$29</f>
        <v>0</v>
      </c>
      <c r="I519" s="41" t="str">
        <f aca="false">'Aug 15'!$M$29</f>
        <v/>
      </c>
      <c r="J519" s="42" t="str">
        <f aca="false">'Aug 15'!$S$29</f>
        <v/>
      </c>
      <c r="K519" s="40" t="n">
        <f aca="false">'Aug 15'!$AG$29</f>
        <v>0</v>
      </c>
      <c r="L519" s="40" t="n">
        <f aca="false">'Aug 15'!$N$29</f>
        <v>0</v>
      </c>
    </row>
    <row r="520" customFormat="false" ht="15" hidden="false" customHeight="false" outlineLevel="0" collapsed="false">
      <c r="A520" s="38" t="str">
        <f aca="false">IF(OR(C520="",C520=0),"",IF(AND(OR($B$5="",G520=$B$5,H520=$B$5),OR($D$5="",F520=$D$5),OR($E$5="",K520=$E$5),OR($G$5="",L520=$G$5),OR($H$5="",N(J520)&gt;=$H$5),OR($I$5="",ISNUMBER(SEARCH($I$5,C520&amp;" "&amp;D520&amp;" "&amp;E520&amp;" "&amp;I520)))),"✓",""))</f>
        <v/>
      </c>
      <c r="B520" s="39" t="n">
        <v>46249</v>
      </c>
      <c r="C520" s="40" t="n">
        <f aca="false">'Aug 15'!$D$30</f>
        <v>0</v>
      </c>
      <c r="D520" s="40" t="n">
        <f aca="false">'Aug 15'!$B$30</f>
        <v>0</v>
      </c>
      <c r="E520" s="41" t="n">
        <f aca="false">'Aug 15'!$E$30</f>
        <v>0</v>
      </c>
      <c r="F520" s="40" t="n">
        <f aca="false">'Aug 15'!$A$30</f>
        <v>0</v>
      </c>
      <c r="G520" s="41" t="n">
        <f aca="false">'Aug 15'!$F$30</f>
        <v>0</v>
      </c>
      <c r="H520" s="41" t="n">
        <f aca="false">'Aug 15'!$G$30</f>
        <v>0</v>
      </c>
      <c r="I520" s="41" t="str">
        <f aca="false">'Aug 15'!$M$30</f>
        <v/>
      </c>
      <c r="J520" s="42" t="str">
        <f aca="false">'Aug 15'!$S$30</f>
        <v/>
      </c>
      <c r="K520" s="40" t="n">
        <f aca="false">'Aug 15'!$AG$30</f>
        <v>0</v>
      </c>
      <c r="L520" s="40" t="n">
        <f aca="false">'Aug 15'!$N$30</f>
        <v>0</v>
      </c>
    </row>
    <row r="521" customFormat="false" ht="15" hidden="false" customHeight="false" outlineLevel="0" collapsed="false">
      <c r="A521" s="38" t="str">
        <f aca="false">IF(OR(C521="",C521=0),"",IF(AND(OR($B$5="",G521=$B$5,H521=$B$5),OR($D$5="",F521=$D$5),OR($E$5="",K521=$E$5),OR($G$5="",L521=$G$5),OR($H$5="",N(J521)&gt;=$H$5),OR($I$5="",ISNUMBER(SEARCH($I$5,C521&amp;" "&amp;D521&amp;" "&amp;E521&amp;" "&amp;I521)))),"✓",""))</f>
        <v/>
      </c>
      <c r="B521" s="39" t="n">
        <v>46249</v>
      </c>
      <c r="C521" s="40" t="n">
        <f aca="false">'Aug 15'!$D$31</f>
        <v>0</v>
      </c>
      <c r="D521" s="40" t="n">
        <f aca="false">'Aug 15'!$B$31</f>
        <v>0</v>
      </c>
      <c r="E521" s="41" t="n">
        <f aca="false">'Aug 15'!$E$31</f>
        <v>0</v>
      </c>
      <c r="F521" s="40" t="n">
        <f aca="false">'Aug 15'!$A$31</f>
        <v>0</v>
      </c>
      <c r="G521" s="41" t="n">
        <f aca="false">'Aug 15'!$F$31</f>
        <v>0</v>
      </c>
      <c r="H521" s="41" t="n">
        <f aca="false">'Aug 15'!$G$31</f>
        <v>0</v>
      </c>
      <c r="I521" s="41" t="str">
        <f aca="false">'Aug 15'!$M$31</f>
        <v/>
      </c>
      <c r="J521" s="42" t="str">
        <f aca="false">'Aug 15'!$S$31</f>
        <v/>
      </c>
      <c r="K521" s="40" t="n">
        <f aca="false">'Aug 15'!$AG$31</f>
        <v>0</v>
      </c>
      <c r="L521" s="40" t="n">
        <f aca="false">'Aug 15'!$N$31</f>
        <v>0</v>
      </c>
    </row>
    <row r="522" customFormat="false" ht="15" hidden="false" customHeight="false" outlineLevel="0" collapsed="false">
      <c r="A522" s="38" t="str">
        <f aca="false">IF(OR(C522="",C522=0),"",IF(AND(OR($B$5="",G522=$B$5,H522=$B$5),OR($D$5="",F522=$D$5),OR($E$5="",K522=$E$5),OR($G$5="",L522=$G$5),OR($H$5="",N(J522)&gt;=$H$5),OR($I$5="",ISNUMBER(SEARCH($I$5,C522&amp;" "&amp;D522&amp;" "&amp;E522&amp;" "&amp;I522)))),"✓",""))</f>
        <v/>
      </c>
      <c r="B522" s="39" t="n">
        <v>46249</v>
      </c>
      <c r="C522" s="40" t="n">
        <f aca="false">'Aug 15'!$D$32</f>
        <v>0</v>
      </c>
      <c r="D522" s="40" t="n">
        <f aca="false">'Aug 15'!$B$32</f>
        <v>0</v>
      </c>
      <c r="E522" s="41" t="n">
        <f aca="false">'Aug 15'!$E$32</f>
        <v>0</v>
      </c>
      <c r="F522" s="40" t="n">
        <f aca="false">'Aug 15'!$A$32</f>
        <v>0</v>
      </c>
      <c r="G522" s="41" t="n">
        <f aca="false">'Aug 15'!$F$32</f>
        <v>0</v>
      </c>
      <c r="H522" s="41" t="n">
        <f aca="false">'Aug 15'!$G$32</f>
        <v>0</v>
      </c>
      <c r="I522" s="41" t="str">
        <f aca="false">'Aug 15'!$M$32</f>
        <v/>
      </c>
      <c r="J522" s="42" t="str">
        <f aca="false">'Aug 15'!$S$32</f>
        <v/>
      </c>
      <c r="K522" s="40" t="n">
        <f aca="false">'Aug 15'!$AG$32</f>
        <v>0</v>
      </c>
      <c r="L522" s="40" t="n">
        <f aca="false">'Aug 15'!$N$32</f>
        <v>0</v>
      </c>
    </row>
    <row r="523" customFormat="false" ht="15" hidden="false" customHeight="false" outlineLevel="0" collapsed="false">
      <c r="A523" s="38" t="str">
        <f aca="false">IF(OR(C523="",C523=0),"",IF(AND(OR($B$5="",G523=$B$5,H523=$B$5),OR($D$5="",F523=$D$5),OR($E$5="",K523=$E$5),OR($G$5="",L523=$G$5),OR($H$5="",N(J523)&gt;=$H$5),OR($I$5="",ISNUMBER(SEARCH($I$5,C523&amp;" "&amp;D523&amp;" "&amp;E523&amp;" "&amp;I523)))),"✓",""))</f>
        <v/>
      </c>
      <c r="B523" s="39" t="n">
        <v>46249</v>
      </c>
      <c r="C523" s="40" t="n">
        <f aca="false">'Aug 15'!$D$33</f>
        <v>0</v>
      </c>
      <c r="D523" s="40" t="n">
        <f aca="false">'Aug 15'!$B$33</f>
        <v>0</v>
      </c>
      <c r="E523" s="41" t="n">
        <f aca="false">'Aug 15'!$E$33</f>
        <v>0</v>
      </c>
      <c r="F523" s="40" t="n">
        <f aca="false">'Aug 15'!$A$33</f>
        <v>0</v>
      </c>
      <c r="G523" s="41" t="n">
        <f aca="false">'Aug 15'!$F$33</f>
        <v>0</v>
      </c>
      <c r="H523" s="41" t="n">
        <f aca="false">'Aug 15'!$G$33</f>
        <v>0</v>
      </c>
      <c r="I523" s="41" t="str">
        <f aca="false">'Aug 15'!$M$33</f>
        <v/>
      </c>
      <c r="J523" s="42" t="str">
        <f aca="false">'Aug 15'!$S$33</f>
        <v/>
      </c>
      <c r="K523" s="40" t="n">
        <f aca="false">'Aug 15'!$AG$33</f>
        <v>0</v>
      </c>
      <c r="L523" s="40" t="n">
        <f aca="false">'Aug 15'!$N$33</f>
        <v>0</v>
      </c>
    </row>
    <row r="524" customFormat="false" ht="15" hidden="false" customHeight="false" outlineLevel="0" collapsed="false">
      <c r="A524" s="38" t="str">
        <f aca="false">IF(OR(C524="",C524=0),"",IF(AND(OR($B$5="",G524=$B$5,H524=$B$5),OR($D$5="",F524=$D$5),OR($E$5="",K524=$E$5),OR($G$5="",L524=$G$5),OR($H$5="",N(J524)&gt;=$H$5),OR($I$5="",ISNUMBER(SEARCH($I$5,C524&amp;" "&amp;D524&amp;" "&amp;E524&amp;" "&amp;I524)))),"✓",""))</f>
        <v/>
      </c>
      <c r="B524" s="39" t="n">
        <v>46249</v>
      </c>
      <c r="C524" s="40" t="n">
        <f aca="false">'Aug 15'!$D$34</f>
        <v>0</v>
      </c>
      <c r="D524" s="40" t="n">
        <f aca="false">'Aug 15'!$B$34</f>
        <v>0</v>
      </c>
      <c r="E524" s="41" t="n">
        <f aca="false">'Aug 15'!$E$34</f>
        <v>0</v>
      </c>
      <c r="F524" s="40" t="n">
        <f aca="false">'Aug 15'!$A$34</f>
        <v>0</v>
      </c>
      <c r="G524" s="41" t="n">
        <f aca="false">'Aug 15'!$F$34</f>
        <v>0</v>
      </c>
      <c r="H524" s="41" t="n">
        <f aca="false">'Aug 15'!$G$34</f>
        <v>0</v>
      </c>
      <c r="I524" s="41" t="str">
        <f aca="false">'Aug 15'!$M$34</f>
        <v/>
      </c>
      <c r="J524" s="42" t="str">
        <f aca="false">'Aug 15'!$S$34</f>
        <v/>
      </c>
      <c r="K524" s="40" t="n">
        <f aca="false">'Aug 15'!$AG$34</f>
        <v>0</v>
      </c>
      <c r="L524" s="40" t="n">
        <f aca="false">'Aug 15'!$N$34</f>
        <v>0</v>
      </c>
    </row>
    <row r="525" customFormat="false" ht="15" hidden="false" customHeight="false" outlineLevel="0" collapsed="false">
      <c r="A525" s="38" t="str">
        <f aca="false">IF(OR(C525="",C525=0),"",IF(AND(OR($B$5="",G525=$B$5,H525=$B$5),OR($D$5="",F525=$D$5),OR($E$5="",K525=$E$5),OR($G$5="",L525=$G$5),OR($H$5="",N(J525)&gt;=$H$5),OR($I$5="",ISNUMBER(SEARCH($I$5,C525&amp;" "&amp;D525&amp;" "&amp;E525&amp;" "&amp;I525)))),"✓",""))</f>
        <v/>
      </c>
      <c r="B525" s="39" t="n">
        <v>46249</v>
      </c>
      <c r="C525" s="40" t="n">
        <f aca="false">'Aug 15'!$D$35</f>
        <v>0</v>
      </c>
      <c r="D525" s="40" t="n">
        <f aca="false">'Aug 15'!$B$35</f>
        <v>0</v>
      </c>
      <c r="E525" s="41" t="n">
        <f aca="false">'Aug 15'!$E$35</f>
        <v>0</v>
      </c>
      <c r="F525" s="40" t="n">
        <f aca="false">'Aug 15'!$A$35</f>
        <v>0</v>
      </c>
      <c r="G525" s="41" t="n">
        <f aca="false">'Aug 15'!$F$35</f>
        <v>0</v>
      </c>
      <c r="H525" s="41" t="n">
        <f aca="false">'Aug 15'!$G$35</f>
        <v>0</v>
      </c>
      <c r="I525" s="41" t="str">
        <f aca="false">'Aug 15'!$M$35</f>
        <v/>
      </c>
      <c r="J525" s="42" t="str">
        <f aca="false">'Aug 15'!$S$35</f>
        <v/>
      </c>
      <c r="K525" s="40" t="n">
        <f aca="false">'Aug 15'!$AG$35</f>
        <v>0</v>
      </c>
      <c r="L525" s="40" t="n">
        <f aca="false">'Aug 15'!$N$35</f>
        <v>0</v>
      </c>
    </row>
    <row r="526" customFormat="false" ht="15" hidden="false" customHeight="false" outlineLevel="0" collapsed="false">
      <c r="A526" s="38" t="str">
        <f aca="false">IF(OR(C526="",C526=0),"",IF(AND(OR($B$5="",G526=$B$5,H526=$B$5),OR($D$5="",F526=$D$5),OR($E$5="",K526=$E$5),OR($G$5="",L526=$G$5),OR($H$5="",N(J526)&gt;=$H$5),OR($I$5="",ISNUMBER(SEARCH($I$5,C526&amp;" "&amp;D526&amp;" "&amp;E526&amp;" "&amp;I526)))),"✓",""))</f>
        <v/>
      </c>
      <c r="B526" s="39" t="n">
        <v>46249</v>
      </c>
      <c r="C526" s="40" t="n">
        <f aca="false">'Aug 15'!$D$36</f>
        <v>0</v>
      </c>
      <c r="D526" s="40" t="n">
        <f aca="false">'Aug 15'!$B$36</f>
        <v>0</v>
      </c>
      <c r="E526" s="41" t="n">
        <f aca="false">'Aug 15'!$E$36</f>
        <v>0</v>
      </c>
      <c r="F526" s="40" t="n">
        <f aca="false">'Aug 15'!$A$36</f>
        <v>0</v>
      </c>
      <c r="G526" s="41" t="n">
        <f aca="false">'Aug 15'!$F$36</f>
        <v>0</v>
      </c>
      <c r="H526" s="41" t="n">
        <f aca="false">'Aug 15'!$G$36</f>
        <v>0</v>
      </c>
      <c r="I526" s="41" t="str">
        <f aca="false">'Aug 15'!$M$36</f>
        <v/>
      </c>
      <c r="J526" s="42" t="str">
        <f aca="false">'Aug 15'!$S$36</f>
        <v/>
      </c>
      <c r="K526" s="40" t="n">
        <f aca="false">'Aug 15'!$AG$36</f>
        <v>0</v>
      </c>
      <c r="L526" s="40" t="n">
        <f aca="false">'Aug 15'!$N$36</f>
        <v>0</v>
      </c>
    </row>
    <row r="527" customFormat="false" ht="15" hidden="false" customHeight="false" outlineLevel="0" collapsed="false">
      <c r="A527" s="38" t="str">
        <f aca="false">IF(OR(C527="",C527=0),"",IF(AND(OR($B$5="",G527=$B$5,H527=$B$5),OR($D$5="",F527=$D$5),OR($E$5="",K527=$E$5),OR($G$5="",L527=$G$5),OR($H$5="",N(J527)&gt;=$H$5),OR($I$5="",ISNUMBER(SEARCH($I$5,C527&amp;" "&amp;D527&amp;" "&amp;E527&amp;" "&amp;I527)))),"✓",""))</f>
        <v/>
      </c>
      <c r="B527" s="39" t="n">
        <v>46249</v>
      </c>
      <c r="C527" s="40" t="n">
        <f aca="false">'Aug 15'!$D$37</f>
        <v>0</v>
      </c>
      <c r="D527" s="40" t="n">
        <f aca="false">'Aug 15'!$B$37</f>
        <v>0</v>
      </c>
      <c r="E527" s="41" t="n">
        <f aca="false">'Aug 15'!$E$37</f>
        <v>0</v>
      </c>
      <c r="F527" s="40" t="n">
        <f aca="false">'Aug 15'!$A$37</f>
        <v>0</v>
      </c>
      <c r="G527" s="41" t="n">
        <f aca="false">'Aug 15'!$F$37</f>
        <v>0</v>
      </c>
      <c r="H527" s="41" t="n">
        <f aca="false">'Aug 15'!$G$37</f>
        <v>0</v>
      </c>
      <c r="I527" s="41" t="str">
        <f aca="false">'Aug 15'!$M$37</f>
        <v/>
      </c>
      <c r="J527" s="42" t="str">
        <f aca="false">'Aug 15'!$S$37</f>
        <v/>
      </c>
      <c r="K527" s="40" t="n">
        <f aca="false">'Aug 15'!$AG$37</f>
        <v>0</v>
      </c>
      <c r="L527" s="40" t="n">
        <f aca="false">'Aug 15'!$N$37</f>
        <v>0</v>
      </c>
    </row>
    <row r="528" customFormat="false" ht="15" hidden="false" customHeight="false" outlineLevel="0" collapsed="false">
      <c r="A528" s="38" t="str">
        <f aca="false">IF(OR(C528="",C528=0),"",IF(AND(OR($B$5="",G528=$B$5,H528=$B$5),OR($D$5="",F528=$D$5),OR($E$5="",K528=$E$5),OR($G$5="",L528=$G$5),OR($H$5="",N(J528)&gt;=$H$5),OR($I$5="",ISNUMBER(SEARCH($I$5,C528&amp;" "&amp;D528&amp;" "&amp;E528&amp;" "&amp;I528)))),"✓",""))</f>
        <v/>
      </c>
      <c r="B528" s="39" t="n">
        <v>46249</v>
      </c>
      <c r="C528" s="40" t="n">
        <f aca="false">'Aug 15'!$D$38</f>
        <v>0</v>
      </c>
      <c r="D528" s="40" t="n">
        <f aca="false">'Aug 15'!$B$38</f>
        <v>0</v>
      </c>
      <c r="E528" s="41" t="n">
        <f aca="false">'Aug 15'!$E$38</f>
        <v>0</v>
      </c>
      <c r="F528" s="40" t="n">
        <f aca="false">'Aug 15'!$A$38</f>
        <v>0</v>
      </c>
      <c r="G528" s="41" t="n">
        <f aca="false">'Aug 15'!$F$38</f>
        <v>0</v>
      </c>
      <c r="H528" s="41" t="n">
        <f aca="false">'Aug 15'!$G$38</f>
        <v>0</v>
      </c>
      <c r="I528" s="41" t="str">
        <f aca="false">'Aug 15'!$M$38</f>
        <v/>
      </c>
      <c r="J528" s="42" t="str">
        <f aca="false">'Aug 15'!$S$38</f>
        <v/>
      </c>
      <c r="K528" s="40" t="n">
        <f aca="false">'Aug 15'!$AG$38</f>
        <v>0</v>
      </c>
      <c r="L528" s="40" t="n">
        <f aca="false">'Aug 15'!$N$38</f>
        <v>0</v>
      </c>
    </row>
    <row r="529" customFormat="false" ht="15" hidden="false" customHeight="false" outlineLevel="0" collapsed="false">
      <c r="A529" s="38" t="str">
        <f aca="false">IF(OR(C529="",C529=0),"",IF(AND(OR($B$5="",G529=$B$5,H529=$B$5),OR($D$5="",F529=$D$5),OR($E$5="",K529=$E$5),OR($G$5="",L529=$G$5),OR($H$5="",N(J529)&gt;=$H$5),OR($I$5="",ISNUMBER(SEARCH($I$5,C529&amp;" "&amp;D529&amp;" "&amp;E529&amp;" "&amp;I529)))),"✓",""))</f>
        <v/>
      </c>
      <c r="B529" s="39" t="n">
        <v>46249</v>
      </c>
      <c r="C529" s="40" t="n">
        <f aca="false">'Aug 15'!$D$39</f>
        <v>0</v>
      </c>
      <c r="D529" s="40" t="n">
        <f aca="false">'Aug 15'!$B$39</f>
        <v>0</v>
      </c>
      <c r="E529" s="41" t="n">
        <f aca="false">'Aug 15'!$E$39</f>
        <v>0</v>
      </c>
      <c r="F529" s="40" t="n">
        <f aca="false">'Aug 15'!$A$39</f>
        <v>0</v>
      </c>
      <c r="G529" s="41" t="n">
        <f aca="false">'Aug 15'!$F$39</f>
        <v>0</v>
      </c>
      <c r="H529" s="41" t="n">
        <f aca="false">'Aug 15'!$G$39</f>
        <v>0</v>
      </c>
      <c r="I529" s="41" t="str">
        <f aca="false">'Aug 15'!$M$39</f>
        <v/>
      </c>
      <c r="J529" s="42" t="str">
        <f aca="false">'Aug 15'!$S$39</f>
        <v/>
      </c>
      <c r="K529" s="40" t="n">
        <f aca="false">'Aug 15'!$AG$39</f>
        <v>0</v>
      </c>
      <c r="L529" s="40" t="n">
        <f aca="false">'Aug 15'!$N$39</f>
        <v>0</v>
      </c>
    </row>
    <row r="530" customFormat="false" ht="15" hidden="false" customHeight="false" outlineLevel="0" collapsed="false">
      <c r="A530" s="38" t="str">
        <f aca="false">IF(OR(C530="",C530=0),"",IF(AND(OR($B$5="",G530=$B$5,H530=$B$5),OR($D$5="",F530=$D$5),OR($E$5="",K530=$E$5),OR($G$5="",L530=$G$5),OR($H$5="",N(J530)&gt;=$H$5),OR($I$5="",ISNUMBER(SEARCH($I$5,C530&amp;" "&amp;D530&amp;" "&amp;E530&amp;" "&amp;I530)))),"✓",""))</f>
        <v/>
      </c>
      <c r="B530" s="39" t="n">
        <v>46249</v>
      </c>
      <c r="C530" s="40" t="n">
        <f aca="false">'Aug 15'!$D$40</f>
        <v>0</v>
      </c>
      <c r="D530" s="40" t="n">
        <f aca="false">'Aug 15'!$B$40</f>
        <v>0</v>
      </c>
      <c r="E530" s="41" t="n">
        <f aca="false">'Aug 15'!$E$40</f>
        <v>0</v>
      </c>
      <c r="F530" s="40" t="n">
        <f aca="false">'Aug 15'!$A$40</f>
        <v>0</v>
      </c>
      <c r="G530" s="41" t="n">
        <f aca="false">'Aug 15'!$F$40</f>
        <v>0</v>
      </c>
      <c r="H530" s="41" t="n">
        <f aca="false">'Aug 15'!$G$40</f>
        <v>0</v>
      </c>
      <c r="I530" s="41" t="str">
        <f aca="false">'Aug 15'!$M$40</f>
        <v/>
      </c>
      <c r="J530" s="42" t="str">
        <f aca="false">'Aug 15'!$S$40</f>
        <v/>
      </c>
      <c r="K530" s="40" t="n">
        <f aca="false">'Aug 15'!$AG$40</f>
        <v>0</v>
      </c>
      <c r="L530" s="40" t="n">
        <f aca="false">'Aug 15'!$N$40</f>
        <v>0</v>
      </c>
    </row>
    <row r="531" customFormat="false" ht="15" hidden="false" customHeight="false" outlineLevel="0" collapsed="false">
      <c r="A531" s="38" t="str">
        <f aca="false">IF(OR(C531="",C531=0),"",IF(AND(OR($B$5="",G531=$B$5,H531=$B$5),OR($D$5="",F531=$D$5),OR($E$5="",K531=$E$5),OR($G$5="",L531=$G$5),OR($H$5="",N(J531)&gt;=$H$5),OR($I$5="",ISNUMBER(SEARCH($I$5,C531&amp;" "&amp;D531&amp;" "&amp;E531&amp;" "&amp;I531)))),"✓",""))</f>
        <v/>
      </c>
      <c r="B531" s="39" t="n">
        <v>46249</v>
      </c>
      <c r="C531" s="40" t="n">
        <f aca="false">'Aug 15'!$D$41</f>
        <v>0</v>
      </c>
      <c r="D531" s="40" t="n">
        <f aca="false">'Aug 15'!$B$41</f>
        <v>0</v>
      </c>
      <c r="E531" s="41" t="n">
        <f aca="false">'Aug 15'!$E$41</f>
        <v>0</v>
      </c>
      <c r="F531" s="40" t="n">
        <f aca="false">'Aug 15'!$A$41</f>
        <v>0</v>
      </c>
      <c r="G531" s="41" t="n">
        <f aca="false">'Aug 15'!$F$41</f>
        <v>0</v>
      </c>
      <c r="H531" s="41" t="n">
        <f aca="false">'Aug 15'!$G$41</f>
        <v>0</v>
      </c>
      <c r="I531" s="41" t="str">
        <f aca="false">'Aug 15'!$M$41</f>
        <v/>
      </c>
      <c r="J531" s="42" t="str">
        <f aca="false">'Aug 15'!$S$41</f>
        <v/>
      </c>
      <c r="K531" s="40" t="n">
        <f aca="false">'Aug 15'!$AG$41</f>
        <v>0</v>
      </c>
      <c r="L531" s="40" t="n">
        <f aca="false">'Aug 15'!$N$41</f>
        <v>0</v>
      </c>
    </row>
    <row r="532" customFormat="false" ht="15" hidden="false" customHeight="false" outlineLevel="0" collapsed="false">
      <c r="A532" s="38" t="str">
        <f aca="false">IF(OR(C532="",C532=0),"",IF(AND(OR($B$5="",G532=$B$5,H532=$B$5),OR($D$5="",F532=$D$5),OR($E$5="",K532=$E$5),OR($G$5="",L532=$G$5),OR($H$5="",N(J532)&gt;=$H$5),OR($I$5="",ISNUMBER(SEARCH($I$5,C532&amp;" "&amp;D532&amp;" "&amp;E532&amp;" "&amp;I532)))),"✓",""))</f>
        <v/>
      </c>
      <c r="B532" s="39" t="n">
        <v>46249</v>
      </c>
      <c r="C532" s="40" t="n">
        <f aca="false">'Aug 15'!$D$42</f>
        <v>0</v>
      </c>
      <c r="D532" s="40" t="n">
        <f aca="false">'Aug 15'!$B$42</f>
        <v>0</v>
      </c>
      <c r="E532" s="41" t="n">
        <f aca="false">'Aug 15'!$E$42</f>
        <v>0</v>
      </c>
      <c r="F532" s="40" t="n">
        <f aca="false">'Aug 15'!$A$42</f>
        <v>0</v>
      </c>
      <c r="G532" s="41" t="n">
        <f aca="false">'Aug 15'!$F$42</f>
        <v>0</v>
      </c>
      <c r="H532" s="41" t="n">
        <f aca="false">'Aug 15'!$G$42</f>
        <v>0</v>
      </c>
      <c r="I532" s="41" t="str">
        <f aca="false">'Aug 15'!$M$42</f>
        <v/>
      </c>
      <c r="J532" s="42" t="str">
        <f aca="false">'Aug 15'!$S$42</f>
        <v/>
      </c>
      <c r="K532" s="40" t="n">
        <f aca="false">'Aug 15'!$AG$42</f>
        <v>0</v>
      </c>
      <c r="L532" s="40" t="n">
        <f aca="false">'Aug 15'!$N$42</f>
        <v>0</v>
      </c>
    </row>
    <row r="533" customFormat="false" ht="15" hidden="false" customHeight="false" outlineLevel="0" collapsed="false">
      <c r="A533" s="38" t="str">
        <f aca="false">IF(OR(C533="",C533=0),"",IF(AND(OR($B$5="",G533=$B$5,H533=$B$5),OR($D$5="",F533=$D$5),OR($E$5="",K533=$E$5),OR($G$5="",L533=$G$5),OR($H$5="",N(J533)&gt;=$H$5),OR($I$5="",ISNUMBER(SEARCH($I$5,C533&amp;" "&amp;D533&amp;" "&amp;E533&amp;" "&amp;I533)))),"✓",""))</f>
        <v/>
      </c>
      <c r="B533" s="39" t="n">
        <v>46250</v>
      </c>
      <c r="C533" s="40" t="n">
        <f aca="false">'Aug 16'!$D$8</f>
        <v>0</v>
      </c>
      <c r="D533" s="40" t="n">
        <f aca="false">'Aug 16'!$B$8</f>
        <v>0</v>
      </c>
      <c r="E533" s="41" t="n">
        <f aca="false">'Aug 16'!$E$8</f>
        <v>0</v>
      </c>
      <c r="F533" s="40" t="n">
        <f aca="false">'Aug 16'!$A$8</f>
        <v>0</v>
      </c>
      <c r="G533" s="41" t="n">
        <f aca="false">'Aug 16'!$F$8</f>
        <v>0</v>
      </c>
      <c r="H533" s="41" t="n">
        <f aca="false">'Aug 16'!$G$8</f>
        <v>0</v>
      </c>
      <c r="I533" s="41" t="str">
        <f aca="false">'Aug 16'!$M$8</f>
        <v/>
      </c>
      <c r="J533" s="42" t="str">
        <f aca="false">'Aug 16'!$S$8</f>
        <v/>
      </c>
      <c r="K533" s="40" t="n">
        <f aca="false">'Aug 16'!$AG$8</f>
        <v>0</v>
      </c>
      <c r="L533" s="40" t="n">
        <f aca="false">'Aug 16'!$N$8</f>
        <v>0</v>
      </c>
    </row>
    <row r="534" customFormat="false" ht="15" hidden="false" customHeight="false" outlineLevel="0" collapsed="false">
      <c r="A534" s="38" t="str">
        <f aca="false">IF(OR(C534="",C534=0),"",IF(AND(OR($B$5="",G534=$B$5,H534=$B$5),OR($D$5="",F534=$D$5),OR($E$5="",K534=$E$5),OR($G$5="",L534=$G$5),OR($H$5="",N(J534)&gt;=$H$5),OR($I$5="",ISNUMBER(SEARCH($I$5,C534&amp;" "&amp;D534&amp;" "&amp;E534&amp;" "&amp;I534)))),"✓",""))</f>
        <v/>
      </c>
      <c r="B534" s="39" t="n">
        <v>46250</v>
      </c>
      <c r="C534" s="40" t="n">
        <f aca="false">'Aug 16'!$D$9</f>
        <v>0</v>
      </c>
      <c r="D534" s="40" t="n">
        <f aca="false">'Aug 16'!$B$9</f>
        <v>0</v>
      </c>
      <c r="E534" s="41" t="n">
        <f aca="false">'Aug 16'!$E$9</f>
        <v>0</v>
      </c>
      <c r="F534" s="40" t="n">
        <f aca="false">'Aug 16'!$A$9</f>
        <v>0</v>
      </c>
      <c r="G534" s="41" t="n">
        <f aca="false">'Aug 16'!$F$9</f>
        <v>0</v>
      </c>
      <c r="H534" s="41" t="n">
        <f aca="false">'Aug 16'!$G$9</f>
        <v>0</v>
      </c>
      <c r="I534" s="41" t="str">
        <f aca="false">'Aug 16'!$M$9</f>
        <v/>
      </c>
      <c r="J534" s="42" t="str">
        <f aca="false">'Aug 16'!$S$9</f>
        <v/>
      </c>
      <c r="K534" s="40" t="n">
        <f aca="false">'Aug 16'!$AG$9</f>
        <v>0</v>
      </c>
      <c r="L534" s="40" t="n">
        <f aca="false">'Aug 16'!$N$9</f>
        <v>0</v>
      </c>
    </row>
    <row r="535" customFormat="false" ht="15" hidden="false" customHeight="false" outlineLevel="0" collapsed="false">
      <c r="A535" s="38" t="str">
        <f aca="false">IF(OR(C535="",C535=0),"",IF(AND(OR($B$5="",G535=$B$5,H535=$B$5),OR($D$5="",F535=$D$5),OR($E$5="",K535=$E$5),OR($G$5="",L535=$G$5),OR($H$5="",N(J535)&gt;=$H$5),OR($I$5="",ISNUMBER(SEARCH($I$5,C535&amp;" "&amp;D535&amp;" "&amp;E535&amp;" "&amp;I535)))),"✓",""))</f>
        <v/>
      </c>
      <c r="B535" s="39" t="n">
        <v>46250</v>
      </c>
      <c r="C535" s="40" t="n">
        <f aca="false">'Aug 16'!$D$10</f>
        <v>0</v>
      </c>
      <c r="D535" s="40" t="n">
        <f aca="false">'Aug 16'!$B$10</f>
        <v>0</v>
      </c>
      <c r="E535" s="41" t="n">
        <f aca="false">'Aug 16'!$E$10</f>
        <v>0</v>
      </c>
      <c r="F535" s="40" t="n">
        <f aca="false">'Aug 16'!$A$10</f>
        <v>0</v>
      </c>
      <c r="G535" s="41" t="n">
        <f aca="false">'Aug 16'!$F$10</f>
        <v>0</v>
      </c>
      <c r="H535" s="41" t="n">
        <f aca="false">'Aug 16'!$G$10</f>
        <v>0</v>
      </c>
      <c r="I535" s="41" t="str">
        <f aca="false">'Aug 16'!$M$10</f>
        <v/>
      </c>
      <c r="J535" s="42" t="str">
        <f aca="false">'Aug 16'!$S$10</f>
        <v/>
      </c>
      <c r="K535" s="40" t="n">
        <f aca="false">'Aug 16'!$AG$10</f>
        <v>0</v>
      </c>
      <c r="L535" s="40" t="n">
        <f aca="false">'Aug 16'!$N$10</f>
        <v>0</v>
      </c>
    </row>
    <row r="536" customFormat="false" ht="15" hidden="false" customHeight="false" outlineLevel="0" collapsed="false">
      <c r="A536" s="38" t="str">
        <f aca="false">IF(OR(C536="",C536=0),"",IF(AND(OR($B$5="",G536=$B$5,H536=$B$5),OR($D$5="",F536=$D$5),OR($E$5="",K536=$E$5),OR($G$5="",L536=$G$5),OR($H$5="",N(J536)&gt;=$H$5),OR($I$5="",ISNUMBER(SEARCH($I$5,C536&amp;" "&amp;D536&amp;" "&amp;E536&amp;" "&amp;I536)))),"✓",""))</f>
        <v/>
      </c>
      <c r="B536" s="39" t="n">
        <v>46250</v>
      </c>
      <c r="C536" s="40" t="n">
        <f aca="false">'Aug 16'!$D$11</f>
        <v>0</v>
      </c>
      <c r="D536" s="40" t="n">
        <f aca="false">'Aug 16'!$B$11</f>
        <v>0</v>
      </c>
      <c r="E536" s="41" t="n">
        <f aca="false">'Aug 16'!$E$11</f>
        <v>0</v>
      </c>
      <c r="F536" s="40" t="n">
        <f aca="false">'Aug 16'!$A$11</f>
        <v>0</v>
      </c>
      <c r="G536" s="41" t="n">
        <f aca="false">'Aug 16'!$F$11</f>
        <v>0</v>
      </c>
      <c r="H536" s="41" t="n">
        <f aca="false">'Aug 16'!$G$11</f>
        <v>0</v>
      </c>
      <c r="I536" s="41" t="str">
        <f aca="false">'Aug 16'!$M$11</f>
        <v/>
      </c>
      <c r="J536" s="42" t="str">
        <f aca="false">'Aug 16'!$S$11</f>
        <v/>
      </c>
      <c r="K536" s="40" t="n">
        <f aca="false">'Aug 16'!$AG$11</f>
        <v>0</v>
      </c>
      <c r="L536" s="40" t="n">
        <f aca="false">'Aug 16'!$N$11</f>
        <v>0</v>
      </c>
    </row>
    <row r="537" customFormat="false" ht="15" hidden="false" customHeight="false" outlineLevel="0" collapsed="false">
      <c r="A537" s="38" t="str">
        <f aca="false">IF(OR(C537="",C537=0),"",IF(AND(OR($B$5="",G537=$B$5,H537=$B$5),OR($D$5="",F537=$D$5),OR($E$5="",K537=$E$5),OR($G$5="",L537=$G$5),OR($H$5="",N(J537)&gt;=$H$5),OR($I$5="",ISNUMBER(SEARCH($I$5,C537&amp;" "&amp;D537&amp;" "&amp;E537&amp;" "&amp;I537)))),"✓",""))</f>
        <v/>
      </c>
      <c r="B537" s="39" t="n">
        <v>46250</v>
      </c>
      <c r="C537" s="40" t="n">
        <f aca="false">'Aug 16'!$D$12</f>
        <v>0</v>
      </c>
      <c r="D537" s="40" t="n">
        <f aca="false">'Aug 16'!$B$12</f>
        <v>0</v>
      </c>
      <c r="E537" s="41" t="n">
        <f aca="false">'Aug 16'!$E$12</f>
        <v>0</v>
      </c>
      <c r="F537" s="40" t="n">
        <f aca="false">'Aug 16'!$A$12</f>
        <v>0</v>
      </c>
      <c r="G537" s="41" t="n">
        <f aca="false">'Aug 16'!$F$12</f>
        <v>0</v>
      </c>
      <c r="H537" s="41" t="n">
        <f aca="false">'Aug 16'!$G$12</f>
        <v>0</v>
      </c>
      <c r="I537" s="41" t="str">
        <f aca="false">'Aug 16'!$M$12</f>
        <v/>
      </c>
      <c r="J537" s="42" t="str">
        <f aca="false">'Aug 16'!$S$12</f>
        <v/>
      </c>
      <c r="K537" s="40" t="n">
        <f aca="false">'Aug 16'!$AG$12</f>
        <v>0</v>
      </c>
      <c r="L537" s="40" t="n">
        <f aca="false">'Aug 16'!$N$12</f>
        <v>0</v>
      </c>
    </row>
    <row r="538" customFormat="false" ht="15" hidden="false" customHeight="false" outlineLevel="0" collapsed="false">
      <c r="A538" s="38" t="str">
        <f aca="false">IF(OR(C538="",C538=0),"",IF(AND(OR($B$5="",G538=$B$5,H538=$B$5),OR($D$5="",F538=$D$5),OR($E$5="",K538=$E$5),OR($G$5="",L538=$G$5),OR($H$5="",N(J538)&gt;=$H$5),OR($I$5="",ISNUMBER(SEARCH($I$5,C538&amp;" "&amp;D538&amp;" "&amp;E538&amp;" "&amp;I538)))),"✓",""))</f>
        <v/>
      </c>
      <c r="B538" s="39" t="n">
        <v>46250</v>
      </c>
      <c r="C538" s="40" t="n">
        <f aca="false">'Aug 16'!$D$13</f>
        <v>0</v>
      </c>
      <c r="D538" s="40" t="n">
        <f aca="false">'Aug 16'!$B$13</f>
        <v>0</v>
      </c>
      <c r="E538" s="41" t="n">
        <f aca="false">'Aug 16'!$E$13</f>
        <v>0</v>
      </c>
      <c r="F538" s="40" t="n">
        <f aca="false">'Aug 16'!$A$13</f>
        <v>0</v>
      </c>
      <c r="G538" s="41" t="n">
        <f aca="false">'Aug 16'!$F$13</f>
        <v>0</v>
      </c>
      <c r="H538" s="41" t="n">
        <f aca="false">'Aug 16'!$G$13</f>
        <v>0</v>
      </c>
      <c r="I538" s="41" t="str">
        <f aca="false">'Aug 16'!$M$13</f>
        <v/>
      </c>
      <c r="J538" s="42" t="str">
        <f aca="false">'Aug 16'!$S$13</f>
        <v/>
      </c>
      <c r="K538" s="40" t="n">
        <f aca="false">'Aug 16'!$AG$13</f>
        <v>0</v>
      </c>
      <c r="L538" s="40" t="n">
        <f aca="false">'Aug 16'!$N$13</f>
        <v>0</v>
      </c>
    </row>
    <row r="539" customFormat="false" ht="15" hidden="false" customHeight="false" outlineLevel="0" collapsed="false">
      <c r="A539" s="38" t="str">
        <f aca="false">IF(OR(C539="",C539=0),"",IF(AND(OR($B$5="",G539=$B$5,H539=$B$5),OR($D$5="",F539=$D$5),OR($E$5="",K539=$E$5),OR($G$5="",L539=$G$5),OR($H$5="",N(J539)&gt;=$H$5),OR($I$5="",ISNUMBER(SEARCH($I$5,C539&amp;" "&amp;D539&amp;" "&amp;E539&amp;" "&amp;I539)))),"✓",""))</f>
        <v/>
      </c>
      <c r="B539" s="39" t="n">
        <v>46250</v>
      </c>
      <c r="C539" s="40" t="n">
        <f aca="false">'Aug 16'!$D$14</f>
        <v>0</v>
      </c>
      <c r="D539" s="40" t="n">
        <f aca="false">'Aug 16'!$B$14</f>
        <v>0</v>
      </c>
      <c r="E539" s="41" t="n">
        <f aca="false">'Aug 16'!$E$14</f>
        <v>0</v>
      </c>
      <c r="F539" s="40" t="n">
        <f aca="false">'Aug 16'!$A$14</f>
        <v>0</v>
      </c>
      <c r="G539" s="41" t="n">
        <f aca="false">'Aug 16'!$F$14</f>
        <v>0</v>
      </c>
      <c r="H539" s="41" t="n">
        <f aca="false">'Aug 16'!$G$14</f>
        <v>0</v>
      </c>
      <c r="I539" s="41" t="str">
        <f aca="false">'Aug 16'!$M$14</f>
        <v/>
      </c>
      <c r="J539" s="42" t="str">
        <f aca="false">'Aug 16'!$S$14</f>
        <v/>
      </c>
      <c r="K539" s="40" t="n">
        <f aca="false">'Aug 16'!$AG$14</f>
        <v>0</v>
      </c>
      <c r="L539" s="40" t="n">
        <f aca="false">'Aug 16'!$N$14</f>
        <v>0</v>
      </c>
    </row>
    <row r="540" customFormat="false" ht="15" hidden="false" customHeight="false" outlineLevel="0" collapsed="false">
      <c r="A540" s="38" t="str">
        <f aca="false">IF(OR(C540="",C540=0),"",IF(AND(OR($B$5="",G540=$B$5,H540=$B$5),OR($D$5="",F540=$D$5),OR($E$5="",K540=$E$5),OR($G$5="",L540=$G$5),OR($H$5="",N(J540)&gt;=$H$5),OR($I$5="",ISNUMBER(SEARCH($I$5,C540&amp;" "&amp;D540&amp;" "&amp;E540&amp;" "&amp;I540)))),"✓",""))</f>
        <v/>
      </c>
      <c r="B540" s="39" t="n">
        <v>46250</v>
      </c>
      <c r="C540" s="40" t="n">
        <f aca="false">'Aug 16'!$D$15</f>
        <v>0</v>
      </c>
      <c r="D540" s="40" t="n">
        <f aca="false">'Aug 16'!$B$15</f>
        <v>0</v>
      </c>
      <c r="E540" s="41" t="n">
        <f aca="false">'Aug 16'!$E$15</f>
        <v>0</v>
      </c>
      <c r="F540" s="40" t="n">
        <f aca="false">'Aug 16'!$A$15</f>
        <v>0</v>
      </c>
      <c r="G540" s="41" t="n">
        <f aca="false">'Aug 16'!$F$15</f>
        <v>0</v>
      </c>
      <c r="H540" s="41" t="n">
        <f aca="false">'Aug 16'!$G$15</f>
        <v>0</v>
      </c>
      <c r="I540" s="41" t="str">
        <f aca="false">'Aug 16'!$M$15</f>
        <v/>
      </c>
      <c r="J540" s="42" t="str">
        <f aca="false">'Aug 16'!$S$15</f>
        <v/>
      </c>
      <c r="K540" s="40" t="n">
        <f aca="false">'Aug 16'!$AG$15</f>
        <v>0</v>
      </c>
      <c r="L540" s="40" t="n">
        <f aca="false">'Aug 16'!$N$15</f>
        <v>0</v>
      </c>
    </row>
    <row r="541" customFormat="false" ht="15" hidden="false" customHeight="false" outlineLevel="0" collapsed="false">
      <c r="A541" s="38" t="str">
        <f aca="false">IF(OR(C541="",C541=0),"",IF(AND(OR($B$5="",G541=$B$5,H541=$B$5),OR($D$5="",F541=$D$5),OR($E$5="",K541=$E$5),OR($G$5="",L541=$G$5),OR($H$5="",N(J541)&gt;=$H$5),OR($I$5="",ISNUMBER(SEARCH($I$5,C541&amp;" "&amp;D541&amp;" "&amp;E541&amp;" "&amp;I541)))),"✓",""))</f>
        <v/>
      </c>
      <c r="B541" s="39" t="n">
        <v>46250</v>
      </c>
      <c r="C541" s="40" t="n">
        <f aca="false">'Aug 16'!$D$16</f>
        <v>0</v>
      </c>
      <c r="D541" s="40" t="n">
        <f aca="false">'Aug 16'!$B$16</f>
        <v>0</v>
      </c>
      <c r="E541" s="41" t="n">
        <f aca="false">'Aug 16'!$E$16</f>
        <v>0</v>
      </c>
      <c r="F541" s="40" t="n">
        <f aca="false">'Aug 16'!$A$16</f>
        <v>0</v>
      </c>
      <c r="G541" s="41" t="n">
        <f aca="false">'Aug 16'!$F$16</f>
        <v>0</v>
      </c>
      <c r="H541" s="41" t="n">
        <f aca="false">'Aug 16'!$G$16</f>
        <v>0</v>
      </c>
      <c r="I541" s="41" t="str">
        <f aca="false">'Aug 16'!$M$16</f>
        <v/>
      </c>
      <c r="J541" s="42" t="str">
        <f aca="false">'Aug 16'!$S$16</f>
        <v/>
      </c>
      <c r="K541" s="40" t="n">
        <f aca="false">'Aug 16'!$AG$16</f>
        <v>0</v>
      </c>
      <c r="L541" s="40" t="n">
        <f aca="false">'Aug 16'!$N$16</f>
        <v>0</v>
      </c>
    </row>
    <row r="542" customFormat="false" ht="15" hidden="false" customHeight="false" outlineLevel="0" collapsed="false">
      <c r="A542" s="38" t="str">
        <f aca="false">IF(OR(C542="",C542=0),"",IF(AND(OR($B$5="",G542=$B$5,H542=$B$5),OR($D$5="",F542=$D$5),OR($E$5="",K542=$E$5),OR($G$5="",L542=$G$5),OR($H$5="",N(J542)&gt;=$H$5),OR($I$5="",ISNUMBER(SEARCH($I$5,C542&amp;" "&amp;D542&amp;" "&amp;E542&amp;" "&amp;I542)))),"✓",""))</f>
        <v/>
      </c>
      <c r="B542" s="39" t="n">
        <v>46250</v>
      </c>
      <c r="C542" s="40" t="n">
        <f aca="false">'Aug 16'!$D$17</f>
        <v>0</v>
      </c>
      <c r="D542" s="40" t="n">
        <f aca="false">'Aug 16'!$B$17</f>
        <v>0</v>
      </c>
      <c r="E542" s="41" t="n">
        <f aca="false">'Aug 16'!$E$17</f>
        <v>0</v>
      </c>
      <c r="F542" s="40" t="n">
        <f aca="false">'Aug 16'!$A$17</f>
        <v>0</v>
      </c>
      <c r="G542" s="41" t="n">
        <f aca="false">'Aug 16'!$F$17</f>
        <v>0</v>
      </c>
      <c r="H542" s="41" t="n">
        <f aca="false">'Aug 16'!$G$17</f>
        <v>0</v>
      </c>
      <c r="I542" s="41" t="str">
        <f aca="false">'Aug 16'!$M$17</f>
        <v/>
      </c>
      <c r="J542" s="42" t="str">
        <f aca="false">'Aug 16'!$S$17</f>
        <v/>
      </c>
      <c r="K542" s="40" t="n">
        <f aca="false">'Aug 16'!$AG$17</f>
        <v>0</v>
      </c>
      <c r="L542" s="40" t="n">
        <f aca="false">'Aug 16'!$N$17</f>
        <v>0</v>
      </c>
    </row>
    <row r="543" customFormat="false" ht="15" hidden="false" customHeight="false" outlineLevel="0" collapsed="false">
      <c r="A543" s="38" t="str">
        <f aca="false">IF(OR(C543="",C543=0),"",IF(AND(OR($B$5="",G543=$B$5,H543=$B$5),OR($D$5="",F543=$D$5),OR($E$5="",K543=$E$5),OR($G$5="",L543=$G$5),OR($H$5="",N(J543)&gt;=$H$5),OR($I$5="",ISNUMBER(SEARCH($I$5,C543&amp;" "&amp;D543&amp;" "&amp;E543&amp;" "&amp;I543)))),"✓",""))</f>
        <v/>
      </c>
      <c r="B543" s="39" t="n">
        <v>46250</v>
      </c>
      <c r="C543" s="40" t="n">
        <f aca="false">'Aug 16'!$D$18</f>
        <v>0</v>
      </c>
      <c r="D543" s="40" t="n">
        <f aca="false">'Aug 16'!$B$18</f>
        <v>0</v>
      </c>
      <c r="E543" s="41" t="n">
        <f aca="false">'Aug 16'!$E$18</f>
        <v>0</v>
      </c>
      <c r="F543" s="40" t="n">
        <f aca="false">'Aug 16'!$A$18</f>
        <v>0</v>
      </c>
      <c r="G543" s="41" t="n">
        <f aca="false">'Aug 16'!$F$18</f>
        <v>0</v>
      </c>
      <c r="H543" s="41" t="n">
        <f aca="false">'Aug 16'!$G$18</f>
        <v>0</v>
      </c>
      <c r="I543" s="41" t="str">
        <f aca="false">'Aug 16'!$M$18</f>
        <v/>
      </c>
      <c r="J543" s="42" t="str">
        <f aca="false">'Aug 16'!$S$18</f>
        <v/>
      </c>
      <c r="K543" s="40" t="n">
        <f aca="false">'Aug 16'!$AG$18</f>
        <v>0</v>
      </c>
      <c r="L543" s="40" t="n">
        <f aca="false">'Aug 16'!$N$18</f>
        <v>0</v>
      </c>
    </row>
    <row r="544" customFormat="false" ht="15" hidden="false" customHeight="false" outlineLevel="0" collapsed="false">
      <c r="A544" s="38" t="str">
        <f aca="false">IF(OR(C544="",C544=0),"",IF(AND(OR($B$5="",G544=$B$5,H544=$B$5),OR($D$5="",F544=$D$5),OR($E$5="",K544=$E$5),OR($G$5="",L544=$G$5),OR($H$5="",N(J544)&gt;=$H$5),OR($I$5="",ISNUMBER(SEARCH($I$5,C544&amp;" "&amp;D544&amp;" "&amp;E544&amp;" "&amp;I544)))),"✓",""))</f>
        <v/>
      </c>
      <c r="B544" s="39" t="n">
        <v>46250</v>
      </c>
      <c r="C544" s="40" t="n">
        <f aca="false">'Aug 16'!$D$19</f>
        <v>0</v>
      </c>
      <c r="D544" s="40" t="n">
        <f aca="false">'Aug 16'!$B$19</f>
        <v>0</v>
      </c>
      <c r="E544" s="41" t="n">
        <f aca="false">'Aug 16'!$E$19</f>
        <v>0</v>
      </c>
      <c r="F544" s="40" t="n">
        <f aca="false">'Aug 16'!$A$19</f>
        <v>0</v>
      </c>
      <c r="G544" s="41" t="n">
        <f aca="false">'Aug 16'!$F$19</f>
        <v>0</v>
      </c>
      <c r="H544" s="41" t="n">
        <f aca="false">'Aug 16'!$G$19</f>
        <v>0</v>
      </c>
      <c r="I544" s="41" t="str">
        <f aca="false">'Aug 16'!$M$19</f>
        <v/>
      </c>
      <c r="J544" s="42" t="str">
        <f aca="false">'Aug 16'!$S$19</f>
        <v/>
      </c>
      <c r="K544" s="40" t="n">
        <f aca="false">'Aug 16'!$AG$19</f>
        <v>0</v>
      </c>
      <c r="L544" s="40" t="n">
        <f aca="false">'Aug 16'!$N$19</f>
        <v>0</v>
      </c>
    </row>
    <row r="545" customFormat="false" ht="15" hidden="false" customHeight="false" outlineLevel="0" collapsed="false">
      <c r="A545" s="38" t="str">
        <f aca="false">IF(OR(C545="",C545=0),"",IF(AND(OR($B$5="",G545=$B$5,H545=$B$5),OR($D$5="",F545=$D$5),OR($E$5="",K545=$E$5),OR($G$5="",L545=$G$5),OR($H$5="",N(J545)&gt;=$H$5),OR($I$5="",ISNUMBER(SEARCH($I$5,C545&amp;" "&amp;D545&amp;" "&amp;E545&amp;" "&amp;I545)))),"✓",""))</f>
        <v/>
      </c>
      <c r="B545" s="39" t="n">
        <v>46250</v>
      </c>
      <c r="C545" s="40" t="n">
        <f aca="false">'Aug 16'!$D$20</f>
        <v>0</v>
      </c>
      <c r="D545" s="40" t="n">
        <f aca="false">'Aug 16'!$B$20</f>
        <v>0</v>
      </c>
      <c r="E545" s="41" t="n">
        <f aca="false">'Aug 16'!$E$20</f>
        <v>0</v>
      </c>
      <c r="F545" s="40" t="n">
        <f aca="false">'Aug 16'!$A$20</f>
        <v>0</v>
      </c>
      <c r="G545" s="41" t="n">
        <f aca="false">'Aug 16'!$F$20</f>
        <v>0</v>
      </c>
      <c r="H545" s="41" t="n">
        <f aca="false">'Aug 16'!$G$20</f>
        <v>0</v>
      </c>
      <c r="I545" s="41" t="str">
        <f aca="false">'Aug 16'!$M$20</f>
        <v/>
      </c>
      <c r="J545" s="42" t="str">
        <f aca="false">'Aug 16'!$S$20</f>
        <v/>
      </c>
      <c r="K545" s="40" t="n">
        <f aca="false">'Aug 16'!$AG$20</f>
        <v>0</v>
      </c>
      <c r="L545" s="40" t="n">
        <f aca="false">'Aug 16'!$N$20</f>
        <v>0</v>
      </c>
    </row>
    <row r="546" customFormat="false" ht="15" hidden="false" customHeight="false" outlineLevel="0" collapsed="false">
      <c r="A546" s="38" t="str">
        <f aca="false">IF(OR(C546="",C546=0),"",IF(AND(OR($B$5="",G546=$B$5,H546=$B$5),OR($D$5="",F546=$D$5),OR($E$5="",K546=$E$5),OR($G$5="",L546=$G$5),OR($H$5="",N(J546)&gt;=$H$5),OR($I$5="",ISNUMBER(SEARCH($I$5,C546&amp;" "&amp;D546&amp;" "&amp;E546&amp;" "&amp;I546)))),"✓",""))</f>
        <v/>
      </c>
      <c r="B546" s="39" t="n">
        <v>46250</v>
      </c>
      <c r="C546" s="40" t="n">
        <f aca="false">'Aug 16'!$D$21</f>
        <v>0</v>
      </c>
      <c r="D546" s="40" t="n">
        <f aca="false">'Aug 16'!$B$21</f>
        <v>0</v>
      </c>
      <c r="E546" s="41" t="n">
        <f aca="false">'Aug 16'!$E$21</f>
        <v>0</v>
      </c>
      <c r="F546" s="40" t="n">
        <f aca="false">'Aug 16'!$A$21</f>
        <v>0</v>
      </c>
      <c r="G546" s="41" t="n">
        <f aca="false">'Aug 16'!$F$21</f>
        <v>0</v>
      </c>
      <c r="H546" s="41" t="n">
        <f aca="false">'Aug 16'!$G$21</f>
        <v>0</v>
      </c>
      <c r="I546" s="41" t="str">
        <f aca="false">'Aug 16'!$M$21</f>
        <v/>
      </c>
      <c r="J546" s="42" t="str">
        <f aca="false">'Aug 16'!$S$21</f>
        <v/>
      </c>
      <c r="K546" s="40" t="n">
        <f aca="false">'Aug 16'!$AG$21</f>
        <v>0</v>
      </c>
      <c r="L546" s="40" t="n">
        <f aca="false">'Aug 16'!$N$21</f>
        <v>0</v>
      </c>
    </row>
    <row r="547" customFormat="false" ht="15" hidden="false" customHeight="false" outlineLevel="0" collapsed="false">
      <c r="A547" s="38" t="str">
        <f aca="false">IF(OR(C547="",C547=0),"",IF(AND(OR($B$5="",G547=$B$5,H547=$B$5),OR($D$5="",F547=$D$5),OR($E$5="",K547=$E$5),OR($G$5="",L547=$G$5),OR($H$5="",N(J547)&gt;=$H$5),OR($I$5="",ISNUMBER(SEARCH($I$5,C547&amp;" "&amp;D547&amp;" "&amp;E547&amp;" "&amp;I547)))),"✓",""))</f>
        <v/>
      </c>
      <c r="B547" s="39" t="n">
        <v>46250</v>
      </c>
      <c r="C547" s="40" t="n">
        <f aca="false">'Aug 16'!$D$22</f>
        <v>0</v>
      </c>
      <c r="D547" s="40" t="n">
        <f aca="false">'Aug 16'!$B$22</f>
        <v>0</v>
      </c>
      <c r="E547" s="41" t="n">
        <f aca="false">'Aug 16'!$E$22</f>
        <v>0</v>
      </c>
      <c r="F547" s="40" t="n">
        <f aca="false">'Aug 16'!$A$22</f>
        <v>0</v>
      </c>
      <c r="G547" s="41" t="n">
        <f aca="false">'Aug 16'!$F$22</f>
        <v>0</v>
      </c>
      <c r="H547" s="41" t="n">
        <f aca="false">'Aug 16'!$G$22</f>
        <v>0</v>
      </c>
      <c r="I547" s="41" t="str">
        <f aca="false">'Aug 16'!$M$22</f>
        <v/>
      </c>
      <c r="J547" s="42" t="str">
        <f aca="false">'Aug 16'!$S$22</f>
        <v/>
      </c>
      <c r="K547" s="40" t="n">
        <f aca="false">'Aug 16'!$AG$22</f>
        <v>0</v>
      </c>
      <c r="L547" s="40" t="n">
        <f aca="false">'Aug 16'!$N$22</f>
        <v>0</v>
      </c>
    </row>
    <row r="548" customFormat="false" ht="15" hidden="false" customHeight="false" outlineLevel="0" collapsed="false">
      <c r="A548" s="38" t="str">
        <f aca="false">IF(OR(C548="",C548=0),"",IF(AND(OR($B$5="",G548=$B$5,H548=$B$5),OR($D$5="",F548=$D$5),OR($E$5="",K548=$E$5),OR($G$5="",L548=$G$5),OR($H$5="",N(J548)&gt;=$H$5),OR($I$5="",ISNUMBER(SEARCH($I$5,C548&amp;" "&amp;D548&amp;" "&amp;E548&amp;" "&amp;I548)))),"✓",""))</f>
        <v/>
      </c>
      <c r="B548" s="39" t="n">
        <v>46250</v>
      </c>
      <c r="C548" s="40" t="n">
        <f aca="false">'Aug 16'!$D$23</f>
        <v>0</v>
      </c>
      <c r="D548" s="40" t="n">
        <f aca="false">'Aug 16'!$B$23</f>
        <v>0</v>
      </c>
      <c r="E548" s="41" t="n">
        <f aca="false">'Aug 16'!$E$23</f>
        <v>0</v>
      </c>
      <c r="F548" s="40" t="n">
        <f aca="false">'Aug 16'!$A$23</f>
        <v>0</v>
      </c>
      <c r="G548" s="41" t="n">
        <f aca="false">'Aug 16'!$F$23</f>
        <v>0</v>
      </c>
      <c r="H548" s="41" t="n">
        <f aca="false">'Aug 16'!$G$23</f>
        <v>0</v>
      </c>
      <c r="I548" s="41" t="str">
        <f aca="false">'Aug 16'!$M$23</f>
        <v/>
      </c>
      <c r="J548" s="42" t="str">
        <f aca="false">'Aug 16'!$S$23</f>
        <v/>
      </c>
      <c r="K548" s="40" t="n">
        <f aca="false">'Aug 16'!$AG$23</f>
        <v>0</v>
      </c>
      <c r="L548" s="40" t="n">
        <f aca="false">'Aug 16'!$N$23</f>
        <v>0</v>
      </c>
    </row>
    <row r="549" customFormat="false" ht="15" hidden="false" customHeight="false" outlineLevel="0" collapsed="false">
      <c r="A549" s="38" t="str">
        <f aca="false">IF(OR(C549="",C549=0),"",IF(AND(OR($B$5="",G549=$B$5,H549=$B$5),OR($D$5="",F549=$D$5),OR($E$5="",K549=$E$5),OR($G$5="",L549=$G$5),OR($H$5="",N(J549)&gt;=$H$5),OR($I$5="",ISNUMBER(SEARCH($I$5,C549&amp;" "&amp;D549&amp;" "&amp;E549&amp;" "&amp;I549)))),"✓",""))</f>
        <v/>
      </c>
      <c r="B549" s="39" t="n">
        <v>46250</v>
      </c>
      <c r="C549" s="40" t="n">
        <f aca="false">'Aug 16'!$D$24</f>
        <v>0</v>
      </c>
      <c r="D549" s="40" t="n">
        <f aca="false">'Aug 16'!$B$24</f>
        <v>0</v>
      </c>
      <c r="E549" s="41" t="n">
        <f aca="false">'Aug 16'!$E$24</f>
        <v>0</v>
      </c>
      <c r="F549" s="40" t="n">
        <f aca="false">'Aug 16'!$A$24</f>
        <v>0</v>
      </c>
      <c r="G549" s="41" t="n">
        <f aca="false">'Aug 16'!$F$24</f>
        <v>0</v>
      </c>
      <c r="H549" s="41" t="n">
        <f aca="false">'Aug 16'!$G$24</f>
        <v>0</v>
      </c>
      <c r="I549" s="41" t="str">
        <f aca="false">'Aug 16'!$M$24</f>
        <v/>
      </c>
      <c r="J549" s="42" t="str">
        <f aca="false">'Aug 16'!$S$24</f>
        <v/>
      </c>
      <c r="K549" s="40" t="n">
        <f aca="false">'Aug 16'!$AG$24</f>
        <v>0</v>
      </c>
      <c r="L549" s="40" t="n">
        <f aca="false">'Aug 16'!$N$24</f>
        <v>0</v>
      </c>
    </row>
    <row r="550" customFormat="false" ht="15" hidden="false" customHeight="false" outlineLevel="0" collapsed="false">
      <c r="A550" s="38" t="str">
        <f aca="false">IF(OR(C550="",C550=0),"",IF(AND(OR($B$5="",G550=$B$5,H550=$B$5),OR($D$5="",F550=$D$5),OR($E$5="",K550=$E$5),OR($G$5="",L550=$G$5),OR($H$5="",N(J550)&gt;=$H$5),OR($I$5="",ISNUMBER(SEARCH($I$5,C550&amp;" "&amp;D550&amp;" "&amp;E550&amp;" "&amp;I550)))),"✓",""))</f>
        <v/>
      </c>
      <c r="B550" s="39" t="n">
        <v>46250</v>
      </c>
      <c r="C550" s="40" t="n">
        <f aca="false">'Aug 16'!$D$25</f>
        <v>0</v>
      </c>
      <c r="D550" s="40" t="n">
        <f aca="false">'Aug 16'!$B$25</f>
        <v>0</v>
      </c>
      <c r="E550" s="41" t="n">
        <f aca="false">'Aug 16'!$E$25</f>
        <v>0</v>
      </c>
      <c r="F550" s="40" t="n">
        <f aca="false">'Aug 16'!$A$25</f>
        <v>0</v>
      </c>
      <c r="G550" s="41" t="n">
        <f aca="false">'Aug 16'!$F$25</f>
        <v>0</v>
      </c>
      <c r="H550" s="41" t="n">
        <f aca="false">'Aug 16'!$G$25</f>
        <v>0</v>
      </c>
      <c r="I550" s="41" t="str">
        <f aca="false">'Aug 16'!$M$25</f>
        <v/>
      </c>
      <c r="J550" s="42" t="str">
        <f aca="false">'Aug 16'!$S$25</f>
        <v/>
      </c>
      <c r="K550" s="40" t="n">
        <f aca="false">'Aug 16'!$AG$25</f>
        <v>0</v>
      </c>
      <c r="L550" s="40" t="n">
        <f aca="false">'Aug 16'!$N$25</f>
        <v>0</v>
      </c>
    </row>
    <row r="551" customFormat="false" ht="15" hidden="false" customHeight="false" outlineLevel="0" collapsed="false">
      <c r="A551" s="38" t="str">
        <f aca="false">IF(OR(C551="",C551=0),"",IF(AND(OR($B$5="",G551=$B$5,H551=$B$5),OR($D$5="",F551=$D$5),OR($E$5="",K551=$E$5),OR($G$5="",L551=$G$5),OR($H$5="",N(J551)&gt;=$H$5),OR($I$5="",ISNUMBER(SEARCH($I$5,C551&amp;" "&amp;D551&amp;" "&amp;E551&amp;" "&amp;I551)))),"✓",""))</f>
        <v/>
      </c>
      <c r="B551" s="39" t="n">
        <v>46250</v>
      </c>
      <c r="C551" s="40" t="n">
        <f aca="false">'Aug 16'!$D$26</f>
        <v>0</v>
      </c>
      <c r="D551" s="40" t="n">
        <f aca="false">'Aug 16'!$B$26</f>
        <v>0</v>
      </c>
      <c r="E551" s="41" t="n">
        <f aca="false">'Aug 16'!$E$26</f>
        <v>0</v>
      </c>
      <c r="F551" s="40" t="n">
        <f aca="false">'Aug 16'!$A$26</f>
        <v>0</v>
      </c>
      <c r="G551" s="41" t="n">
        <f aca="false">'Aug 16'!$F$26</f>
        <v>0</v>
      </c>
      <c r="H551" s="41" t="n">
        <f aca="false">'Aug 16'!$G$26</f>
        <v>0</v>
      </c>
      <c r="I551" s="41" t="str">
        <f aca="false">'Aug 16'!$M$26</f>
        <v/>
      </c>
      <c r="J551" s="42" t="str">
        <f aca="false">'Aug 16'!$S$26</f>
        <v/>
      </c>
      <c r="K551" s="40" t="n">
        <f aca="false">'Aug 16'!$AG$26</f>
        <v>0</v>
      </c>
      <c r="L551" s="40" t="n">
        <f aca="false">'Aug 16'!$N$26</f>
        <v>0</v>
      </c>
    </row>
    <row r="552" customFormat="false" ht="15" hidden="false" customHeight="false" outlineLevel="0" collapsed="false">
      <c r="A552" s="38" t="str">
        <f aca="false">IF(OR(C552="",C552=0),"",IF(AND(OR($B$5="",G552=$B$5,H552=$B$5),OR($D$5="",F552=$D$5),OR($E$5="",K552=$E$5),OR($G$5="",L552=$G$5),OR($H$5="",N(J552)&gt;=$H$5),OR($I$5="",ISNUMBER(SEARCH($I$5,C552&amp;" "&amp;D552&amp;" "&amp;E552&amp;" "&amp;I552)))),"✓",""))</f>
        <v/>
      </c>
      <c r="B552" s="39" t="n">
        <v>46250</v>
      </c>
      <c r="C552" s="40" t="n">
        <f aca="false">'Aug 16'!$D$27</f>
        <v>0</v>
      </c>
      <c r="D552" s="40" t="n">
        <f aca="false">'Aug 16'!$B$27</f>
        <v>0</v>
      </c>
      <c r="E552" s="41" t="n">
        <f aca="false">'Aug 16'!$E$27</f>
        <v>0</v>
      </c>
      <c r="F552" s="40" t="n">
        <f aca="false">'Aug 16'!$A$27</f>
        <v>0</v>
      </c>
      <c r="G552" s="41" t="n">
        <f aca="false">'Aug 16'!$F$27</f>
        <v>0</v>
      </c>
      <c r="H552" s="41" t="n">
        <f aca="false">'Aug 16'!$G$27</f>
        <v>0</v>
      </c>
      <c r="I552" s="41" t="str">
        <f aca="false">'Aug 16'!$M$27</f>
        <v/>
      </c>
      <c r="J552" s="42" t="str">
        <f aca="false">'Aug 16'!$S$27</f>
        <v/>
      </c>
      <c r="K552" s="40" t="n">
        <f aca="false">'Aug 16'!$AG$27</f>
        <v>0</v>
      </c>
      <c r="L552" s="40" t="n">
        <f aca="false">'Aug 16'!$N$27</f>
        <v>0</v>
      </c>
    </row>
    <row r="553" customFormat="false" ht="15" hidden="false" customHeight="false" outlineLevel="0" collapsed="false">
      <c r="A553" s="38" t="str">
        <f aca="false">IF(OR(C553="",C553=0),"",IF(AND(OR($B$5="",G553=$B$5,H553=$B$5),OR($D$5="",F553=$D$5),OR($E$5="",K553=$E$5),OR($G$5="",L553=$G$5),OR($H$5="",N(J553)&gt;=$H$5),OR($I$5="",ISNUMBER(SEARCH($I$5,C553&amp;" "&amp;D553&amp;" "&amp;E553&amp;" "&amp;I553)))),"✓",""))</f>
        <v/>
      </c>
      <c r="B553" s="39" t="n">
        <v>46250</v>
      </c>
      <c r="C553" s="40" t="n">
        <f aca="false">'Aug 16'!$D$28</f>
        <v>0</v>
      </c>
      <c r="D553" s="40" t="n">
        <f aca="false">'Aug 16'!$B$28</f>
        <v>0</v>
      </c>
      <c r="E553" s="41" t="n">
        <f aca="false">'Aug 16'!$E$28</f>
        <v>0</v>
      </c>
      <c r="F553" s="40" t="n">
        <f aca="false">'Aug 16'!$A$28</f>
        <v>0</v>
      </c>
      <c r="G553" s="41" t="n">
        <f aca="false">'Aug 16'!$F$28</f>
        <v>0</v>
      </c>
      <c r="H553" s="41" t="n">
        <f aca="false">'Aug 16'!$G$28</f>
        <v>0</v>
      </c>
      <c r="I553" s="41" t="str">
        <f aca="false">'Aug 16'!$M$28</f>
        <v/>
      </c>
      <c r="J553" s="42" t="str">
        <f aca="false">'Aug 16'!$S$28</f>
        <v/>
      </c>
      <c r="K553" s="40" t="n">
        <f aca="false">'Aug 16'!$AG$28</f>
        <v>0</v>
      </c>
      <c r="L553" s="40" t="n">
        <f aca="false">'Aug 16'!$N$28</f>
        <v>0</v>
      </c>
    </row>
    <row r="554" customFormat="false" ht="15" hidden="false" customHeight="false" outlineLevel="0" collapsed="false">
      <c r="A554" s="38" t="str">
        <f aca="false">IF(OR(C554="",C554=0),"",IF(AND(OR($B$5="",G554=$B$5,H554=$B$5),OR($D$5="",F554=$D$5),OR($E$5="",K554=$E$5),OR($G$5="",L554=$G$5),OR($H$5="",N(J554)&gt;=$H$5),OR($I$5="",ISNUMBER(SEARCH($I$5,C554&amp;" "&amp;D554&amp;" "&amp;E554&amp;" "&amp;I554)))),"✓",""))</f>
        <v/>
      </c>
      <c r="B554" s="39" t="n">
        <v>46250</v>
      </c>
      <c r="C554" s="40" t="n">
        <f aca="false">'Aug 16'!$D$29</f>
        <v>0</v>
      </c>
      <c r="D554" s="40" t="n">
        <f aca="false">'Aug 16'!$B$29</f>
        <v>0</v>
      </c>
      <c r="E554" s="41" t="n">
        <f aca="false">'Aug 16'!$E$29</f>
        <v>0</v>
      </c>
      <c r="F554" s="40" t="n">
        <f aca="false">'Aug 16'!$A$29</f>
        <v>0</v>
      </c>
      <c r="G554" s="41" t="n">
        <f aca="false">'Aug 16'!$F$29</f>
        <v>0</v>
      </c>
      <c r="H554" s="41" t="n">
        <f aca="false">'Aug 16'!$G$29</f>
        <v>0</v>
      </c>
      <c r="I554" s="41" t="str">
        <f aca="false">'Aug 16'!$M$29</f>
        <v/>
      </c>
      <c r="J554" s="42" t="str">
        <f aca="false">'Aug 16'!$S$29</f>
        <v/>
      </c>
      <c r="K554" s="40" t="n">
        <f aca="false">'Aug 16'!$AG$29</f>
        <v>0</v>
      </c>
      <c r="L554" s="40" t="n">
        <f aca="false">'Aug 16'!$N$29</f>
        <v>0</v>
      </c>
    </row>
    <row r="555" customFormat="false" ht="15" hidden="false" customHeight="false" outlineLevel="0" collapsed="false">
      <c r="A555" s="38" t="str">
        <f aca="false">IF(OR(C555="",C555=0),"",IF(AND(OR($B$5="",G555=$B$5,H555=$B$5),OR($D$5="",F555=$D$5),OR($E$5="",K555=$E$5),OR($G$5="",L555=$G$5),OR($H$5="",N(J555)&gt;=$H$5),OR($I$5="",ISNUMBER(SEARCH($I$5,C555&amp;" "&amp;D555&amp;" "&amp;E555&amp;" "&amp;I555)))),"✓",""))</f>
        <v/>
      </c>
      <c r="B555" s="39" t="n">
        <v>46250</v>
      </c>
      <c r="C555" s="40" t="n">
        <f aca="false">'Aug 16'!$D$30</f>
        <v>0</v>
      </c>
      <c r="D555" s="40" t="n">
        <f aca="false">'Aug 16'!$B$30</f>
        <v>0</v>
      </c>
      <c r="E555" s="41" t="n">
        <f aca="false">'Aug 16'!$E$30</f>
        <v>0</v>
      </c>
      <c r="F555" s="40" t="n">
        <f aca="false">'Aug 16'!$A$30</f>
        <v>0</v>
      </c>
      <c r="G555" s="41" t="n">
        <f aca="false">'Aug 16'!$F$30</f>
        <v>0</v>
      </c>
      <c r="H555" s="41" t="n">
        <f aca="false">'Aug 16'!$G$30</f>
        <v>0</v>
      </c>
      <c r="I555" s="41" t="str">
        <f aca="false">'Aug 16'!$M$30</f>
        <v/>
      </c>
      <c r="J555" s="42" t="str">
        <f aca="false">'Aug 16'!$S$30</f>
        <v/>
      </c>
      <c r="K555" s="40" t="n">
        <f aca="false">'Aug 16'!$AG$30</f>
        <v>0</v>
      </c>
      <c r="L555" s="40" t="n">
        <f aca="false">'Aug 16'!$N$30</f>
        <v>0</v>
      </c>
    </row>
    <row r="556" customFormat="false" ht="15" hidden="false" customHeight="false" outlineLevel="0" collapsed="false">
      <c r="A556" s="38" t="str">
        <f aca="false">IF(OR(C556="",C556=0),"",IF(AND(OR($B$5="",G556=$B$5,H556=$B$5),OR($D$5="",F556=$D$5),OR($E$5="",K556=$E$5),OR($G$5="",L556=$G$5),OR($H$5="",N(J556)&gt;=$H$5),OR($I$5="",ISNUMBER(SEARCH($I$5,C556&amp;" "&amp;D556&amp;" "&amp;E556&amp;" "&amp;I556)))),"✓",""))</f>
        <v/>
      </c>
      <c r="B556" s="39" t="n">
        <v>46250</v>
      </c>
      <c r="C556" s="40" t="n">
        <f aca="false">'Aug 16'!$D$31</f>
        <v>0</v>
      </c>
      <c r="D556" s="40" t="n">
        <f aca="false">'Aug 16'!$B$31</f>
        <v>0</v>
      </c>
      <c r="E556" s="41" t="n">
        <f aca="false">'Aug 16'!$E$31</f>
        <v>0</v>
      </c>
      <c r="F556" s="40" t="n">
        <f aca="false">'Aug 16'!$A$31</f>
        <v>0</v>
      </c>
      <c r="G556" s="41" t="n">
        <f aca="false">'Aug 16'!$F$31</f>
        <v>0</v>
      </c>
      <c r="H556" s="41" t="n">
        <f aca="false">'Aug 16'!$G$31</f>
        <v>0</v>
      </c>
      <c r="I556" s="41" t="str">
        <f aca="false">'Aug 16'!$M$31</f>
        <v/>
      </c>
      <c r="J556" s="42" t="str">
        <f aca="false">'Aug 16'!$S$31</f>
        <v/>
      </c>
      <c r="K556" s="40" t="n">
        <f aca="false">'Aug 16'!$AG$31</f>
        <v>0</v>
      </c>
      <c r="L556" s="40" t="n">
        <f aca="false">'Aug 16'!$N$31</f>
        <v>0</v>
      </c>
    </row>
    <row r="557" customFormat="false" ht="15" hidden="false" customHeight="false" outlineLevel="0" collapsed="false">
      <c r="A557" s="38" t="str">
        <f aca="false">IF(OR(C557="",C557=0),"",IF(AND(OR($B$5="",G557=$B$5,H557=$B$5),OR($D$5="",F557=$D$5),OR($E$5="",K557=$E$5),OR($G$5="",L557=$G$5),OR($H$5="",N(J557)&gt;=$H$5),OR($I$5="",ISNUMBER(SEARCH($I$5,C557&amp;" "&amp;D557&amp;" "&amp;E557&amp;" "&amp;I557)))),"✓",""))</f>
        <v/>
      </c>
      <c r="B557" s="39" t="n">
        <v>46250</v>
      </c>
      <c r="C557" s="40" t="n">
        <f aca="false">'Aug 16'!$D$32</f>
        <v>0</v>
      </c>
      <c r="D557" s="40" t="n">
        <f aca="false">'Aug 16'!$B$32</f>
        <v>0</v>
      </c>
      <c r="E557" s="41" t="n">
        <f aca="false">'Aug 16'!$E$32</f>
        <v>0</v>
      </c>
      <c r="F557" s="40" t="n">
        <f aca="false">'Aug 16'!$A$32</f>
        <v>0</v>
      </c>
      <c r="G557" s="41" t="n">
        <f aca="false">'Aug 16'!$F$32</f>
        <v>0</v>
      </c>
      <c r="H557" s="41" t="n">
        <f aca="false">'Aug 16'!$G$32</f>
        <v>0</v>
      </c>
      <c r="I557" s="41" t="str">
        <f aca="false">'Aug 16'!$M$32</f>
        <v/>
      </c>
      <c r="J557" s="42" t="str">
        <f aca="false">'Aug 16'!$S$32</f>
        <v/>
      </c>
      <c r="K557" s="40" t="n">
        <f aca="false">'Aug 16'!$AG$32</f>
        <v>0</v>
      </c>
      <c r="L557" s="40" t="n">
        <f aca="false">'Aug 16'!$N$32</f>
        <v>0</v>
      </c>
    </row>
    <row r="558" customFormat="false" ht="15" hidden="false" customHeight="false" outlineLevel="0" collapsed="false">
      <c r="A558" s="38" t="str">
        <f aca="false">IF(OR(C558="",C558=0),"",IF(AND(OR($B$5="",G558=$B$5,H558=$B$5),OR($D$5="",F558=$D$5),OR($E$5="",K558=$E$5),OR($G$5="",L558=$G$5),OR($H$5="",N(J558)&gt;=$H$5),OR($I$5="",ISNUMBER(SEARCH($I$5,C558&amp;" "&amp;D558&amp;" "&amp;E558&amp;" "&amp;I558)))),"✓",""))</f>
        <v/>
      </c>
      <c r="B558" s="39" t="n">
        <v>46250</v>
      </c>
      <c r="C558" s="40" t="n">
        <f aca="false">'Aug 16'!$D$33</f>
        <v>0</v>
      </c>
      <c r="D558" s="40" t="n">
        <f aca="false">'Aug 16'!$B$33</f>
        <v>0</v>
      </c>
      <c r="E558" s="41" t="n">
        <f aca="false">'Aug 16'!$E$33</f>
        <v>0</v>
      </c>
      <c r="F558" s="40" t="n">
        <f aca="false">'Aug 16'!$A$33</f>
        <v>0</v>
      </c>
      <c r="G558" s="41" t="n">
        <f aca="false">'Aug 16'!$F$33</f>
        <v>0</v>
      </c>
      <c r="H558" s="41" t="n">
        <f aca="false">'Aug 16'!$G$33</f>
        <v>0</v>
      </c>
      <c r="I558" s="41" t="str">
        <f aca="false">'Aug 16'!$M$33</f>
        <v/>
      </c>
      <c r="J558" s="42" t="str">
        <f aca="false">'Aug 16'!$S$33</f>
        <v/>
      </c>
      <c r="K558" s="40" t="n">
        <f aca="false">'Aug 16'!$AG$33</f>
        <v>0</v>
      </c>
      <c r="L558" s="40" t="n">
        <f aca="false">'Aug 16'!$N$33</f>
        <v>0</v>
      </c>
    </row>
    <row r="559" customFormat="false" ht="15" hidden="false" customHeight="false" outlineLevel="0" collapsed="false">
      <c r="A559" s="38" t="str">
        <f aca="false">IF(OR(C559="",C559=0),"",IF(AND(OR($B$5="",G559=$B$5,H559=$B$5),OR($D$5="",F559=$D$5),OR($E$5="",K559=$E$5),OR($G$5="",L559=$G$5),OR($H$5="",N(J559)&gt;=$H$5),OR($I$5="",ISNUMBER(SEARCH($I$5,C559&amp;" "&amp;D559&amp;" "&amp;E559&amp;" "&amp;I559)))),"✓",""))</f>
        <v/>
      </c>
      <c r="B559" s="39" t="n">
        <v>46250</v>
      </c>
      <c r="C559" s="40" t="n">
        <f aca="false">'Aug 16'!$D$34</f>
        <v>0</v>
      </c>
      <c r="D559" s="40" t="n">
        <f aca="false">'Aug 16'!$B$34</f>
        <v>0</v>
      </c>
      <c r="E559" s="41" t="n">
        <f aca="false">'Aug 16'!$E$34</f>
        <v>0</v>
      </c>
      <c r="F559" s="40" t="n">
        <f aca="false">'Aug 16'!$A$34</f>
        <v>0</v>
      </c>
      <c r="G559" s="41" t="n">
        <f aca="false">'Aug 16'!$F$34</f>
        <v>0</v>
      </c>
      <c r="H559" s="41" t="n">
        <f aca="false">'Aug 16'!$G$34</f>
        <v>0</v>
      </c>
      <c r="I559" s="41" t="str">
        <f aca="false">'Aug 16'!$M$34</f>
        <v/>
      </c>
      <c r="J559" s="42" t="str">
        <f aca="false">'Aug 16'!$S$34</f>
        <v/>
      </c>
      <c r="K559" s="40" t="n">
        <f aca="false">'Aug 16'!$AG$34</f>
        <v>0</v>
      </c>
      <c r="L559" s="40" t="n">
        <f aca="false">'Aug 16'!$N$34</f>
        <v>0</v>
      </c>
    </row>
    <row r="560" customFormat="false" ht="15" hidden="false" customHeight="false" outlineLevel="0" collapsed="false">
      <c r="A560" s="38" t="str">
        <f aca="false">IF(OR(C560="",C560=0),"",IF(AND(OR($B$5="",G560=$B$5,H560=$B$5),OR($D$5="",F560=$D$5),OR($E$5="",K560=$E$5),OR($G$5="",L560=$G$5),OR($H$5="",N(J560)&gt;=$H$5),OR($I$5="",ISNUMBER(SEARCH($I$5,C560&amp;" "&amp;D560&amp;" "&amp;E560&amp;" "&amp;I560)))),"✓",""))</f>
        <v/>
      </c>
      <c r="B560" s="39" t="n">
        <v>46250</v>
      </c>
      <c r="C560" s="40" t="n">
        <f aca="false">'Aug 16'!$D$35</f>
        <v>0</v>
      </c>
      <c r="D560" s="40" t="n">
        <f aca="false">'Aug 16'!$B$35</f>
        <v>0</v>
      </c>
      <c r="E560" s="41" t="n">
        <f aca="false">'Aug 16'!$E$35</f>
        <v>0</v>
      </c>
      <c r="F560" s="40" t="n">
        <f aca="false">'Aug 16'!$A$35</f>
        <v>0</v>
      </c>
      <c r="G560" s="41" t="n">
        <f aca="false">'Aug 16'!$F$35</f>
        <v>0</v>
      </c>
      <c r="H560" s="41" t="n">
        <f aca="false">'Aug 16'!$G$35</f>
        <v>0</v>
      </c>
      <c r="I560" s="41" t="str">
        <f aca="false">'Aug 16'!$M$35</f>
        <v/>
      </c>
      <c r="J560" s="42" t="str">
        <f aca="false">'Aug 16'!$S$35</f>
        <v/>
      </c>
      <c r="K560" s="40" t="n">
        <f aca="false">'Aug 16'!$AG$35</f>
        <v>0</v>
      </c>
      <c r="L560" s="40" t="n">
        <f aca="false">'Aug 16'!$N$35</f>
        <v>0</v>
      </c>
    </row>
    <row r="561" customFormat="false" ht="15" hidden="false" customHeight="false" outlineLevel="0" collapsed="false">
      <c r="A561" s="38" t="str">
        <f aca="false">IF(OR(C561="",C561=0),"",IF(AND(OR($B$5="",G561=$B$5,H561=$B$5),OR($D$5="",F561=$D$5),OR($E$5="",K561=$E$5),OR($G$5="",L561=$G$5),OR($H$5="",N(J561)&gt;=$H$5),OR($I$5="",ISNUMBER(SEARCH($I$5,C561&amp;" "&amp;D561&amp;" "&amp;E561&amp;" "&amp;I561)))),"✓",""))</f>
        <v/>
      </c>
      <c r="B561" s="39" t="n">
        <v>46250</v>
      </c>
      <c r="C561" s="40" t="n">
        <f aca="false">'Aug 16'!$D$36</f>
        <v>0</v>
      </c>
      <c r="D561" s="40" t="n">
        <f aca="false">'Aug 16'!$B$36</f>
        <v>0</v>
      </c>
      <c r="E561" s="41" t="n">
        <f aca="false">'Aug 16'!$E$36</f>
        <v>0</v>
      </c>
      <c r="F561" s="40" t="n">
        <f aca="false">'Aug 16'!$A$36</f>
        <v>0</v>
      </c>
      <c r="G561" s="41" t="n">
        <f aca="false">'Aug 16'!$F$36</f>
        <v>0</v>
      </c>
      <c r="H561" s="41" t="n">
        <f aca="false">'Aug 16'!$G$36</f>
        <v>0</v>
      </c>
      <c r="I561" s="41" t="str">
        <f aca="false">'Aug 16'!$M$36</f>
        <v/>
      </c>
      <c r="J561" s="42" t="str">
        <f aca="false">'Aug 16'!$S$36</f>
        <v/>
      </c>
      <c r="K561" s="40" t="n">
        <f aca="false">'Aug 16'!$AG$36</f>
        <v>0</v>
      </c>
      <c r="L561" s="40" t="n">
        <f aca="false">'Aug 16'!$N$36</f>
        <v>0</v>
      </c>
    </row>
    <row r="562" customFormat="false" ht="15" hidden="false" customHeight="false" outlineLevel="0" collapsed="false">
      <c r="A562" s="38" t="str">
        <f aca="false">IF(OR(C562="",C562=0),"",IF(AND(OR($B$5="",G562=$B$5,H562=$B$5),OR($D$5="",F562=$D$5),OR($E$5="",K562=$E$5),OR($G$5="",L562=$G$5),OR($H$5="",N(J562)&gt;=$H$5),OR($I$5="",ISNUMBER(SEARCH($I$5,C562&amp;" "&amp;D562&amp;" "&amp;E562&amp;" "&amp;I562)))),"✓",""))</f>
        <v/>
      </c>
      <c r="B562" s="39" t="n">
        <v>46250</v>
      </c>
      <c r="C562" s="40" t="n">
        <f aca="false">'Aug 16'!$D$37</f>
        <v>0</v>
      </c>
      <c r="D562" s="40" t="n">
        <f aca="false">'Aug 16'!$B$37</f>
        <v>0</v>
      </c>
      <c r="E562" s="41" t="n">
        <f aca="false">'Aug 16'!$E$37</f>
        <v>0</v>
      </c>
      <c r="F562" s="40" t="n">
        <f aca="false">'Aug 16'!$A$37</f>
        <v>0</v>
      </c>
      <c r="G562" s="41" t="n">
        <f aca="false">'Aug 16'!$F$37</f>
        <v>0</v>
      </c>
      <c r="H562" s="41" t="n">
        <f aca="false">'Aug 16'!$G$37</f>
        <v>0</v>
      </c>
      <c r="I562" s="41" t="str">
        <f aca="false">'Aug 16'!$M$37</f>
        <v/>
      </c>
      <c r="J562" s="42" t="str">
        <f aca="false">'Aug 16'!$S$37</f>
        <v/>
      </c>
      <c r="K562" s="40" t="n">
        <f aca="false">'Aug 16'!$AG$37</f>
        <v>0</v>
      </c>
      <c r="L562" s="40" t="n">
        <f aca="false">'Aug 16'!$N$37</f>
        <v>0</v>
      </c>
    </row>
    <row r="563" customFormat="false" ht="15" hidden="false" customHeight="false" outlineLevel="0" collapsed="false">
      <c r="A563" s="38" t="str">
        <f aca="false">IF(OR(C563="",C563=0),"",IF(AND(OR($B$5="",G563=$B$5,H563=$B$5),OR($D$5="",F563=$D$5),OR($E$5="",K563=$E$5),OR($G$5="",L563=$G$5),OR($H$5="",N(J563)&gt;=$H$5),OR($I$5="",ISNUMBER(SEARCH($I$5,C563&amp;" "&amp;D563&amp;" "&amp;E563&amp;" "&amp;I563)))),"✓",""))</f>
        <v/>
      </c>
      <c r="B563" s="39" t="n">
        <v>46250</v>
      </c>
      <c r="C563" s="40" t="n">
        <f aca="false">'Aug 16'!$D$38</f>
        <v>0</v>
      </c>
      <c r="D563" s="40" t="n">
        <f aca="false">'Aug 16'!$B$38</f>
        <v>0</v>
      </c>
      <c r="E563" s="41" t="n">
        <f aca="false">'Aug 16'!$E$38</f>
        <v>0</v>
      </c>
      <c r="F563" s="40" t="n">
        <f aca="false">'Aug 16'!$A$38</f>
        <v>0</v>
      </c>
      <c r="G563" s="41" t="n">
        <f aca="false">'Aug 16'!$F$38</f>
        <v>0</v>
      </c>
      <c r="H563" s="41" t="n">
        <f aca="false">'Aug 16'!$G$38</f>
        <v>0</v>
      </c>
      <c r="I563" s="41" t="str">
        <f aca="false">'Aug 16'!$M$38</f>
        <v/>
      </c>
      <c r="J563" s="42" t="str">
        <f aca="false">'Aug 16'!$S$38</f>
        <v/>
      </c>
      <c r="K563" s="40" t="n">
        <f aca="false">'Aug 16'!$AG$38</f>
        <v>0</v>
      </c>
      <c r="L563" s="40" t="n">
        <f aca="false">'Aug 16'!$N$38</f>
        <v>0</v>
      </c>
    </row>
    <row r="564" customFormat="false" ht="15" hidden="false" customHeight="false" outlineLevel="0" collapsed="false">
      <c r="A564" s="38" t="str">
        <f aca="false">IF(OR(C564="",C564=0),"",IF(AND(OR($B$5="",G564=$B$5,H564=$B$5),OR($D$5="",F564=$D$5),OR($E$5="",K564=$E$5),OR($G$5="",L564=$G$5),OR($H$5="",N(J564)&gt;=$H$5),OR($I$5="",ISNUMBER(SEARCH($I$5,C564&amp;" "&amp;D564&amp;" "&amp;E564&amp;" "&amp;I564)))),"✓",""))</f>
        <v/>
      </c>
      <c r="B564" s="39" t="n">
        <v>46250</v>
      </c>
      <c r="C564" s="40" t="n">
        <f aca="false">'Aug 16'!$D$39</f>
        <v>0</v>
      </c>
      <c r="D564" s="40" t="n">
        <f aca="false">'Aug 16'!$B$39</f>
        <v>0</v>
      </c>
      <c r="E564" s="41" t="n">
        <f aca="false">'Aug 16'!$E$39</f>
        <v>0</v>
      </c>
      <c r="F564" s="40" t="n">
        <f aca="false">'Aug 16'!$A$39</f>
        <v>0</v>
      </c>
      <c r="G564" s="41" t="n">
        <f aca="false">'Aug 16'!$F$39</f>
        <v>0</v>
      </c>
      <c r="H564" s="41" t="n">
        <f aca="false">'Aug 16'!$G$39</f>
        <v>0</v>
      </c>
      <c r="I564" s="41" t="str">
        <f aca="false">'Aug 16'!$M$39</f>
        <v/>
      </c>
      <c r="J564" s="42" t="str">
        <f aca="false">'Aug 16'!$S$39</f>
        <v/>
      </c>
      <c r="K564" s="40" t="n">
        <f aca="false">'Aug 16'!$AG$39</f>
        <v>0</v>
      </c>
      <c r="L564" s="40" t="n">
        <f aca="false">'Aug 16'!$N$39</f>
        <v>0</v>
      </c>
    </row>
    <row r="565" customFormat="false" ht="15" hidden="false" customHeight="false" outlineLevel="0" collapsed="false">
      <c r="A565" s="38" t="str">
        <f aca="false">IF(OR(C565="",C565=0),"",IF(AND(OR($B$5="",G565=$B$5,H565=$B$5),OR($D$5="",F565=$D$5),OR($E$5="",K565=$E$5),OR($G$5="",L565=$G$5),OR($H$5="",N(J565)&gt;=$H$5),OR($I$5="",ISNUMBER(SEARCH($I$5,C565&amp;" "&amp;D565&amp;" "&amp;E565&amp;" "&amp;I565)))),"✓",""))</f>
        <v/>
      </c>
      <c r="B565" s="39" t="n">
        <v>46250</v>
      </c>
      <c r="C565" s="40" t="n">
        <f aca="false">'Aug 16'!$D$40</f>
        <v>0</v>
      </c>
      <c r="D565" s="40" t="n">
        <f aca="false">'Aug 16'!$B$40</f>
        <v>0</v>
      </c>
      <c r="E565" s="41" t="n">
        <f aca="false">'Aug 16'!$E$40</f>
        <v>0</v>
      </c>
      <c r="F565" s="40" t="n">
        <f aca="false">'Aug 16'!$A$40</f>
        <v>0</v>
      </c>
      <c r="G565" s="41" t="n">
        <f aca="false">'Aug 16'!$F$40</f>
        <v>0</v>
      </c>
      <c r="H565" s="41" t="n">
        <f aca="false">'Aug 16'!$G$40</f>
        <v>0</v>
      </c>
      <c r="I565" s="41" t="str">
        <f aca="false">'Aug 16'!$M$40</f>
        <v/>
      </c>
      <c r="J565" s="42" t="str">
        <f aca="false">'Aug 16'!$S$40</f>
        <v/>
      </c>
      <c r="K565" s="40" t="n">
        <f aca="false">'Aug 16'!$AG$40</f>
        <v>0</v>
      </c>
      <c r="L565" s="40" t="n">
        <f aca="false">'Aug 16'!$N$40</f>
        <v>0</v>
      </c>
    </row>
    <row r="566" customFormat="false" ht="15" hidden="false" customHeight="false" outlineLevel="0" collapsed="false">
      <c r="A566" s="38" t="str">
        <f aca="false">IF(OR(C566="",C566=0),"",IF(AND(OR($B$5="",G566=$B$5,H566=$B$5),OR($D$5="",F566=$D$5),OR($E$5="",K566=$E$5),OR($G$5="",L566=$G$5),OR($H$5="",N(J566)&gt;=$H$5),OR($I$5="",ISNUMBER(SEARCH($I$5,C566&amp;" "&amp;D566&amp;" "&amp;E566&amp;" "&amp;I566)))),"✓",""))</f>
        <v/>
      </c>
      <c r="B566" s="39" t="n">
        <v>46250</v>
      </c>
      <c r="C566" s="40" t="n">
        <f aca="false">'Aug 16'!$D$41</f>
        <v>0</v>
      </c>
      <c r="D566" s="40" t="n">
        <f aca="false">'Aug 16'!$B$41</f>
        <v>0</v>
      </c>
      <c r="E566" s="41" t="n">
        <f aca="false">'Aug 16'!$E$41</f>
        <v>0</v>
      </c>
      <c r="F566" s="40" t="n">
        <f aca="false">'Aug 16'!$A$41</f>
        <v>0</v>
      </c>
      <c r="G566" s="41" t="n">
        <f aca="false">'Aug 16'!$F$41</f>
        <v>0</v>
      </c>
      <c r="H566" s="41" t="n">
        <f aca="false">'Aug 16'!$G$41</f>
        <v>0</v>
      </c>
      <c r="I566" s="41" t="str">
        <f aca="false">'Aug 16'!$M$41</f>
        <v/>
      </c>
      <c r="J566" s="42" t="str">
        <f aca="false">'Aug 16'!$S$41</f>
        <v/>
      </c>
      <c r="K566" s="40" t="n">
        <f aca="false">'Aug 16'!$AG$41</f>
        <v>0</v>
      </c>
      <c r="L566" s="40" t="n">
        <f aca="false">'Aug 16'!$N$41</f>
        <v>0</v>
      </c>
    </row>
    <row r="567" customFormat="false" ht="15" hidden="false" customHeight="false" outlineLevel="0" collapsed="false">
      <c r="A567" s="38" t="str">
        <f aca="false">IF(OR(C567="",C567=0),"",IF(AND(OR($B$5="",G567=$B$5,H567=$B$5),OR($D$5="",F567=$D$5),OR($E$5="",K567=$E$5),OR($G$5="",L567=$G$5),OR($H$5="",N(J567)&gt;=$H$5),OR($I$5="",ISNUMBER(SEARCH($I$5,C567&amp;" "&amp;D567&amp;" "&amp;E567&amp;" "&amp;I567)))),"✓",""))</f>
        <v/>
      </c>
      <c r="B567" s="39" t="n">
        <v>46250</v>
      </c>
      <c r="C567" s="40" t="n">
        <f aca="false">'Aug 16'!$D$42</f>
        <v>0</v>
      </c>
      <c r="D567" s="40" t="n">
        <f aca="false">'Aug 16'!$B$42</f>
        <v>0</v>
      </c>
      <c r="E567" s="41" t="n">
        <f aca="false">'Aug 16'!$E$42</f>
        <v>0</v>
      </c>
      <c r="F567" s="40" t="n">
        <f aca="false">'Aug 16'!$A$42</f>
        <v>0</v>
      </c>
      <c r="G567" s="41" t="n">
        <f aca="false">'Aug 16'!$F$42</f>
        <v>0</v>
      </c>
      <c r="H567" s="41" t="n">
        <f aca="false">'Aug 16'!$G$42</f>
        <v>0</v>
      </c>
      <c r="I567" s="41" t="str">
        <f aca="false">'Aug 16'!$M$42</f>
        <v/>
      </c>
      <c r="J567" s="42" t="str">
        <f aca="false">'Aug 16'!$S$42</f>
        <v/>
      </c>
      <c r="K567" s="40" t="n">
        <f aca="false">'Aug 16'!$AG$42</f>
        <v>0</v>
      </c>
      <c r="L567" s="40" t="n">
        <f aca="false">'Aug 16'!$N$42</f>
        <v>0</v>
      </c>
    </row>
    <row r="568" customFormat="false" ht="15" hidden="false" customHeight="false" outlineLevel="0" collapsed="false">
      <c r="A568" s="38" t="str">
        <f aca="false">IF(OR(C568="",C568=0),"",IF(AND(OR($B$5="",G568=$B$5,H568=$B$5),OR($D$5="",F568=$D$5),OR($E$5="",K568=$E$5),OR($G$5="",L568=$G$5),OR($H$5="",N(J568)&gt;=$H$5),OR($I$5="",ISNUMBER(SEARCH($I$5,C568&amp;" "&amp;D568&amp;" "&amp;E568&amp;" "&amp;I568)))),"✓",""))</f>
        <v/>
      </c>
      <c r="B568" s="39" t="n">
        <v>46251</v>
      </c>
      <c r="C568" s="40" t="n">
        <f aca="false">'Aug 17'!$D$8</f>
        <v>0</v>
      </c>
      <c r="D568" s="40" t="n">
        <f aca="false">'Aug 17'!$B$8</f>
        <v>0</v>
      </c>
      <c r="E568" s="41" t="n">
        <f aca="false">'Aug 17'!$E$8</f>
        <v>0</v>
      </c>
      <c r="F568" s="40" t="n">
        <f aca="false">'Aug 17'!$A$8</f>
        <v>0</v>
      </c>
      <c r="G568" s="41" t="n">
        <f aca="false">'Aug 17'!$F$8</f>
        <v>0</v>
      </c>
      <c r="H568" s="41" t="n">
        <f aca="false">'Aug 17'!$G$8</f>
        <v>0</v>
      </c>
      <c r="I568" s="41" t="str">
        <f aca="false">'Aug 17'!$M$8</f>
        <v/>
      </c>
      <c r="J568" s="42" t="str">
        <f aca="false">'Aug 17'!$S$8</f>
        <v/>
      </c>
      <c r="K568" s="40" t="n">
        <f aca="false">'Aug 17'!$AG$8</f>
        <v>0</v>
      </c>
      <c r="L568" s="40" t="n">
        <f aca="false">'Aug 17'!$N$8</f>
        <v>0</v>
      </c>
    </row>
    <row r="569" customFormat="false" ht="15" hidden="false" customHeight="false" outlineLevel="0" collapsed="false">
      <c r="A569" s="38" t="str">
        <f aca="false">IF(OR(C569="",C569=0),"",IF(AND(OR($B$5="",G569=$B$5,H569=$B$5),OR($D$5="",F569=$D$5),OR($E$5="",K569=$E$5),OR($G$5="",L569=$G$5),OR($H$5="",N(J569)&gt;=$H$5),OR($I$5="",ISNUMBER(SEARCH($I$5,C569&amp;" "&amp;D569&amp;" "&amp;E569&amp;" "&amp;I569)))),"✓",""))</f>
        <v/>
      </c>
      <c r="B569" s="39" t="n">
        <v>46251</v>
      </c>
      <c r="C569" s="40" t="n">
        <f aca="false">'Aug 17'!$D$9</f>
        <v>0</v>
      </c>
      <c r="D569" s="40" t="n">
        <f aca="false">'Aug 17'!$B$9</f>
        <v>0</v>
      </c>
      <c r="E569" s="41" t="n">
        <f aca="false">'Aug 17'!$E$9</f>
        <v>0</v>
      </c>
      <c r="F569" s="40" t="n">
        <f aca="false">'Aug 17'!$A$9</f>
        <v>0</v>
      </c>
      <c r="G569" s="41" t="n">
        <f aca="false">'Aug 17'!$F$9</f>
        <v>0</v>
      </c>
      <c r="H569" s="41" t="n">
        <f aca="false">'Aug 17'!$G$9</f>
        <v>0</v>
      </c>
      <c r="I569" s="41" t="str">
        <f aca="false">'Aug 17'!$M$9</f>
        <v/>
      </c>
      <c r="J569" s="42" t="str">
        <f aca="false">'Aug 17'!$S$9</f>
        <v/>
      </c>
      <c r="K569" s="40" t="n">
        <f aca="false">'Aug 17'!$AG$9</f>
        <v>0</v>
      </c>
      <c r="L569" s="40" t="n">
        <f aca="false">'Aug 17'!$N$9</f>
        <v>0</v>
      </c>
    </row>
    <row r="570" customFormat="false" ht="15" hidden="false" customHeight="false" outlineLevel="0" collapsed="false">
      <c r="A570" s="38" t="str">
        <f aca="false">IF(OR(C570="",C570=0),"",IF(AND(OR($B$5="",G570=$B$5,H570=$B$5),OR($D$5="",F570=$D$5),OR($E$5="",K570=$E$5),OR($G$5="",L570=$G$5),OR($H$5="",N(J570)&gt;=$H$5),OR($I$5="",ISNUMBER(SEARCH($I$5,C570&amp;" "&amp;D570&amp;" "&amp;E570&amp;" "&amp;I570)))),"✓",""))</f>
        <v/>
      </c>
      <c r="B570" s="39" t="n">
        <v>46251</v>
      </c>
      <c r="C570" s="40" t="n">
        <f aca="false">'Aug 17'!$D$10</f>
        <v>0</v>
      </c>
      <c r="D570" s="40" t="n">
        <f aca="false">'Aug 17'!$B$10</f>
        <v>0</v>
      </c>
      <c r="E570" s="41" t="n">
        <f aca="false">'Aug 17'!$E$10</f>
        <v>0</v>
      </c>
      <c r="F570" s="40" t="n">
        <f aca="false">'Aug 17'!$A$10</f>
        <v>0</v>
      </c>
      <c r="G570" s="41" t="n">
        <f aca="false">'Aug 17'!$F$10</f>
        <v>0</v>
      </c>
      <c r="H570" s="41" t="n">
        <f aca="false">'Aug 17'!$G$10</f>
        <v>0</v>
      </c>
      <c r="I570" s="41" t="str">
        <f aca="false">'Aug 17'!$M$10</f>
        <v/>
      </c>
      <c r="J570" s="42" t="str">
        <f aca="false">'Aug 17'!$S$10</f>
        <v/>
      </c>
      <c r="K570" s="40" t="n">
        <f aca="false">'Aug 17'!$AG$10</f>
        <v>0</v>
      </c>
      <c r="L570" s="40" t="n">
        <f aca="false">'Aug 17'!$N$10</f>
        <v>0</v>
      </c>
    </row>
    <row r="571" customFormat="false" ht="15" hidden="false" customHeight="false" outlineLevel="0" collapsed="false">
      <c r="A571" s="38" t="str">
        <f aca="false">IF(OR(C571="",C571=0),"",IF(AND(OR($B$5="",G571=$B$5,H571=$B$5),OR($D$5="",F571=$D$5),OR($E$5="",K571=$E$5),OR($G$5="",L571=$G$5),OR($H$5="",N(J571)&gt;=$H$5),OR($I$5="",ISNUMBER(SEARCH($I$5,C571&amp;" "&amp;D571&amp;" "&amp;E571&amp;" "&amp;I571)))),"✓",""))</f>
        <v/>
      </c>
      <c r="B571" s="39" t="n">
        <v>46251</v>
      </c>
      <c r="C571" s="40" t="n">
        <f aca="false">'Aug 17'!$D$11</f>
        <v>0</v>
      </c>
      <c r="D571" s="40" t="n">
        <f aca="false">'Aug 17'!$B$11</f>
        <v>0</v>
      </c>
      <c r="E571" s="41" t="n">
        <f aca="false">'Aug 17'!$E$11</f>
        <v>0</v>
      </c>
      <c r="F571" s="40" t="n">
        <f aca="false">'Aug 17'!$A$11</f>
        <v>0</v>
      </c>
      <c r="G571" s="41" t="n">
        <f aca="false">'Aug 17'!$F$11</f>
        <v>0</v>
      </c>
      <c r="H571" s="41" t="n">
        <f aca="false">'Aug 17'!$G$11</f>
        <v>0</v>
      </c>
      <c r="I571" s="41" t="str">
        <f aca="false">'Aug 17'!$M$11</f>
        <v/>
      </c>
      <c r="J571" s="42" t="str">
        <f aca="false">'Aug 17'!$S$11</f>
        <v/>
      </c>
      <c r="K571" s="40" t="n">
        <f aca="false">'Aug 17'!$AG$11</f>
        <v>0</v>
      </c>
      <c r="L571" s="40" t="n">
        <f aca="false">'Aug 17'!$N$11</f>
        <v>0</v>
      </c>
    </row>
    <row r="572" customFormat="false" ht="15" hidden="false" customHeight="false" outlineLevel="0" collapsed="false">
      <c r="A572" s="38" t="str">
        <f aca="false">IF(OR(C572="",C572=0),"",IF(AND(OR($B$5="",G572=$B$5,H572=$B$5),OR($D$5="",F572=$D$5),OR($E$5="",K572=$E$5),OR($G$5="",L572=$G$5),OR($H$5="",N(J572)&gt;=$H$5),OR($I$5="",ISNUMBER(SEARCH($I$5,C572&amp;" "&amp;D572&amp;" "&amp;E572&amp;" "&amp;I572)))),"✓",""))</f>
        <v/>
      </c>
      <c r="B572" s="39" t="n">
        <v>46251</v>
      </c>
      <c r="C572" s="40" t="n">
        <f aca="false">'Aug 17'!$D$12</f>
        <v>0</v>
      </c>
      <c r="D572" s="40" t="n">
        <f aca="false">'Aug 17'!$B$12</f>
        <v>0</v>
      </c>
      <c r="E572" s="41" t="n">
        <f aca="false">'Aug 17'!$E$12</f>
        <v>0</v>
      </c>
      <c r="F572" s="40" t="n">
        <f aca="false">'Aug 17'!$A$12</f>
        <v>0</v>
      </c>
      <c r="G572" s="41" t="n">
        <f aca="false">'Aug 17'!$F$12</f>
        <v>0</v>
      </c>
      <c r="H572" s="41" t="n">
        <f aca="false">'Aug 17'!$G$12</f>
        <v>0</v>
      </c>
      <c r="I572" s="41" t="str">
        <f aca="false">'Aug 17'!$M$12</f>
        <v/>
      </c>
      <c r="J572" s="42" t="str">
        <f aca="false">'Aug 17'!$S$12</f>
        <v/>
      </c>
      <c r="K572" s="40" t="n">
        <f aca="false">'Aug 17'!$AG$12</f>
        <v>0</v>
      </c>
      <c r="L572" s="40" t="n">
        <f aca="false">'Aug 17'!$N$12</f>
        <v>0</v>
      </c>
    </row>
    <row r="573" customFormat="false" ht="15" hidden="false" customHeight="false" outlineLevel="0" collapsed="false">
      <c r="A573" s="38" t="str">
        <f aca="false">IF(OR(C573="",C573=0),"",IF(AND(OR($B$5="",G573=$B$5,H573=$B$5),OR($D$5="",F573=$D$5),OR($E$5="",K573=$E$5),OR($G$5="",L573=$G$5),OR($H$5="",N(J573)&gt;=$H$5),OR($I$5="",ISNUMBER(SEARCH($I$5,C573&amp;" "&amp;D573&amp;" "&amp;E573&amp;" "&amp;I573)))),"✓",""))</f>
        <v/>
      </c>
      <c r="B573" s="39" t="n">
        <v>46251</v>
      </c>
      <c r="C573" s="40" t="n">
        <f aca="false">'Aug 17'!$D$13</f>
        <v>0</v>
      </c>
      <c r="D573" s="40" t="n">
        <f aca="false">'Aug 17'!$B$13</f>
        <v>0</v>
      </c>
      <c r="E573" s="41" t="n">
        <f aca="false">'Aug 17'!$E$13</f>
        <v>0</v>
      </c>
      <c r="F573" s="40" t="n">
        <f aca="false">'Aug 17'!$A$13</f>
        <v>0</v>
      </c>
      <c r="G573" s="41" t="n">
        <f aca="false">'Aug 17'!$F$13</f>
        <v>0</v>
      </c>
      <c r="H573" s="41" t="n">
        <f aca="false">'Aug 17'!$G$13</f>
        <v>0</v>
      </c>
      <c r="I573" s="41" t="str">
        <f aca="false">'Aug 17'!$M$13</f>
        <v/>
      </c>
      <c r="J573" s="42" t="str">
        <f aca="false">'Aug 17'!$S$13</f>
        <v/>
      </c>
      <c r="K573" s="40" t="n">
        <f aca="false">'Aug 17'!$AG$13</f>
        <v>0</v>
      </c>
      <c r="L573" s="40" t="n">
        <f aca="false">'Aug 17'!$N$13</f>
        <v>0</v>
      </c>
    </row>
    <row r="574" customFormat="false" ht="15" hidden="false" customHeight="false" outlineLevel="0" collapsed="false">
      <c r="A574" s="38" t="str">
        <f aca="false">IF(OR(C574="",C574=0),"",IF(AND(OR($B$5="",G574=$B$5,H574=$B$5),OR($D$5="",F574=$D$5),OR($E$5="",K574=$E$5),OR($G$5="",L574=$G$5),OR($H$5="",N(J574)&gt;=$H$5),OR($I$5="",ISNUMBER(SEARCH($I$5,C574&amp;" "&amp;D574&amp;" "&amp;E574&amp;" "&amp;I574)))),"✓",""))</f>
        <v/>
      </c>
      <c r="B574" s="39" t="n">
        <v>46251</v>
      </c>
      <c r="C574" s="40" t="n">
        <f aca="false">'Aug 17'!$D$14</f>
        <v>0</v>
      </c>
      <c r="D574" s="40" t="n">
        <f aca="false">'Aug 17'!$B$14</f>
        <v>0</v>
      </c>
      <c r="E574" s="41" t="n">
        <f aca="false">'Aug 17'!$E$14</f>
        <v>0</v>
      </c>
      <c r="F574" s="40" t="n">
        <f aca="false">'Aug 17'!$A$14</f>
        <v>0</v>
      </c>
      <c r="G574" s="41" t="n">
        <f aca="false">'Aug 17'!$F$14</f>
        <v>0</v>
      </c>
      <c r="H574" s="41" t="n">
        <f aca="false">'Aug 17'!$G$14</f>
        <v>0</v>
      </c>
      <c r="I574" s="41" t="str">
        <f aca="false">'Aug 17'!$M$14</f>
        <v/>
      </c>
      <c r="J574" s="42" t="str">
        <f aca="false">'Aug 17'!$S$14</f>
        <v/>
      </c>
      <c r="K574" s="40" t="n">
        <f aca="false">'Aug 17'!$AG$14</f>
        <v>0</v>
      </c>
      <c r="L574" s="40" t="n">
        <f aca="false">'Aug 17'!$N$14</f>
        <v>0</v>
      </c>
    </row>
    <row r="575" customFormat="false" ht="15" hidden="false" customHeight="false" outlineLevel="0" collapsed="false">
      <c r="A575" s="38" t="str">
        <f aca="false">IF(OR(C575="",C575=0),"",IF(AND(OR($B$5="",G575=$B$5,H575=$B$5),OR($D$5="",F575=$D$5),OR($E$5="",K575=$E$5),OR($G$5="",L575=$G$5),OR($H$5="",N(J575)&gt;=$H$5),OR($I$5="",ISNUMBER(SEARCH($I$5,C575&amp;" "&amp;D575&amp;" "&amp;E575&amp;" "&amp;I575)))),"✓",""))</f>
        <v/>
      </c>
      <c r="B575" s="39" t="n">
        <v>46251</v>
      </c>
      <c r="C575" s="40" t="n">
        <f aca="false">'Aug 17'!$D$15</f>
        <v>0</v>
      </c>
      <c r="D575" s="40" t="n">
        <f aca="false">'Aug 17'!$B$15</f>
        <v>0</v>
      </c>
      <c r="E575" s="41" t="n">
        <f aca="false">'Aug 17'!$E$15</f>
        <v>0</v>
      </c>
      <c r="F575" s="40" t="n">
        <f aca="false">'Aug 17'!$A$15</f>
        <v>0</v>
      </c>
      <c r="G575" s="41" t="n">
        <f aca="false">'Aug 17'!$F$15</f>
        <v>0</v>
      </c>
      <c r="H575" s="41" t="n">
        <f aca="false">'Aug 17'!$G$15</f>
        <v>0</v>
      </c>
      <c r="I575" s="41" t="str">
        <f aca="false">'Aug 17'!$M$15</f>
        <v/>
      </c>
      <c r="J575" s="42" t="str">
        <f aca="false">'Aug 17'!$S$15</f>
        <v/>
      </c>
      <c r="K575" s="40" t="n">
        <f aca="false">'Aug 17'!$AG$15</f>
        <v>0</v>
      </c>
      <c r="L575" s="40" t="n">
        <f aca="false">'Aug 17'!$N$15</f>
        <v>0</v>
      </c>
    </row>
    <row r="576" customFormat="false" ht="15" hidden="false" customHeight="false" outlineLevel="0" collapsed="false">
      <c r="A576" s="38" t="str">
        <f aca="false">IF(OR(C576="",C576=0),"",IF(AND(OR($B$5="",G576=$B$5,H576=$B$5),OR($D$5="",F576=$D$5),OR($E$5="",K576=$E$5),OR($G$5="",L576=$G$5),OR($H$5="",N(J576)&gt;=$H$5),OR($I$5="",ISNUMBER(SEARCH($I$5,C576&amp;" "&amp;D576&amp;" "&amp;E576&amp;" "&amp;I576)))),"✓",""))</f>
        <v/>
      </c>
      <c r="B576" s="39" t="n">
        <v>46251</v>
      </c>
      <c r="C576" s="40" t="n">
        <f aca="false">'Aug 17'!$D$16</f>
        <v>0</v>
      </c>
      <c r="D576" s="40" t="n">
        <f aca="false">'Aug 17'!$B$16</f>
        <v>0</v>
      </c>
      <c r="E576" s="41" t="n">
        <f aca="false">'Aug 17'!$E$16</f>
        <v>0</v>
      </c>
      <c r="F576" s="40" t="n">
        <f aca="false">'Aug 17'!$A$16</f>
        <v>0</v>
      </c>
      <c r="G576" s="41" t="n">
        <f aca="false">'Aug 17'!$F$16</f>
        <v>0</v>
      </c>
      <c r="H576" s="41" t="n">
        <f aca="false">'Aug 17'!$G$16</f>
        <v>0</v>
      </c>
      <c r="I576" s="41" t="str">
        <f aca="false">'Aug 17'!$M$16</f>
        <v/>
      </c>
      <c r="J576" s="42" t="str">
        <f aca="false">'Aug 17'!$S$16</f>
        <v/>
      </c>
      <c r="K576" s="40" t="n">
        <f aca="false">'Aug 17'!$AG$16</f>
        <v>0</v>
      </c>
      <c r="L576" s="40" t="n">
        <f aca="false">'Aug 17'!$N$16</f>
        <v>0</v>
      </c>
    </row>
    <row r="577" customFormat="false" ht="15" hidden="false" customHeight="false" outlineLevel="0" collapsed="false">
      <c r="A577" s="38" t="str">
        <f aca="false">IF(OR(C577="",C577=0),"",IF(AND(OR($B$5="",G577=$B$5,H577=$B$5),OR($D$5="",F577=$D$5),OR($E$5="",K577=$E$5),OR($G$5="",L577=$G$5),OR($H$5="",N(J577)&gt;=$H$5),OR($I$5="",ISNUMBER(SEARCH($I$5,C577&amp;" "&amp;D577&amp;" "&amp;E577&amp;" "&amp;I577)))),"✓",""))</f>
        <v/>
      </c>
      <c r="B577" s="39" t="n">
        <v>46251</v>
      </c>
      <c r="C577" s="40" t="n">
        <f aca="false">'Aug 17'!$D$17</f>
        <v>0</v>
      </c>
      <c r="D577" s="40" t="n">
        <f aca="false">'Aug 17'!$B$17</f>
        <v>0</v>
      </c>
      <c r="E577" s="41" t="n">
        <f aca="false">'Aug 17'!$E$17</f>
        <v>0</v>
      </c>
      <c r="F577" s="40" t="n">
        <f aca="false">'Aug 17'!$A$17</f>
        <v>0</v>
      </c>
      <c r="G577" s="41" t="n">
        <f aca="false">'Aug 17'!$F$17</f>
        <v>0</v>
      </c>
      <c r="H577" s="41" t="n">
        <f aca="false">'Aug 17'!$G$17</f>
        <v>0</v>
      </c>
      <c r="I577" s="41" t="str">
        <f aca="false">'Aug 17'!$M$17</f>
        <v/>
      </c>
      <c r="J577" s="42" t="str">
        <f aca="false">'Aug 17'!$S$17</f>
        <v/>
      </c>
      <c r="K577" s="40" t="n">
        <f aca="false">'Aug 17'!$AG$17</f>
        <v>0</v>
      </c>
      <c r="L577" s="40" t="n">
        <f aca="false">'Aug 17'!$N$17</f>
        <v>0</v>
      </c>
    </row>
    <row r="578" customFormat="false" ht="15" hidden="false" customHeight="false" outlineLevel="0" collapsed="false">
      <c r="A578" s="38" t="str">
        <f aca="false">IF(OR(C578="",C578=0),"",IF(AND(OR($B$5="",G578=$B$5,H578=$B$5),OR($D$5="",F578=$D$5),OR($E$5="",K578=$E$5),OR($G$5="",L578=$G$5),OR($H$5="",N(J578)&gt;=$H$5),OR($I$5="",ISNUMBER(SEARCH($I$5,C578&amp;" "&amp;D578&amp;" "&amp;E578&amp;" "&amp;I578)))),"✓",""))</f>
        <v/>
      </c>
      <c r="B578" s="39" t="n">
        <v>46251</v>
      </c>
      <c r="C578" s="40" t="n">
        <f aca="false">'Aug 17'!$D$18</f>
        <v>0</v>
      </c>
      <c r="D578" s="40" t="n">
        <f aca="false">'Aug 17'!$B$18</f>
        <v>0</v>
      </c>
      <c r="E578" s="41" t="n">
        <f aca="false">'Aug 17'!$E$18</f>
        <v>0</v>
      </c>
      <c r="F578" s="40" t="n">
        <f aca="false">'Aug 17'!$A$18</f>
        <v>0</v>
      </c>
      <c r="G578" s="41" t="n">
        <f aca="false">'Aug 17'!$F$18</f>
        <v>0</v>
      </c>
      <c r="H578" s="41" t="n">
        <f aca="false">'Aug 17'!$G$18</f>
        <v>0</v>
      </c>
      <c r="I578" s="41" t="str">
        <f aca="false">'Aug 17'!$M$18</f>
        <v/>
      </c>
      <c r="J578" s="42" t="str">
        <f aca="false">'Aug 17'!$S$18</f>
        <v/>
      </c>
      <c r="K578" s="40" t="n">
        <f aca="false">'Aug 17'!$AG$18</f>
        <v>0</v>
      </c>
      <c r="L578" s="40" t="n">
        <f aca="false">'Aug 17'!$N$18</f>
        <v>0</v>
      </c>
    </row>
    <row r="579" customFormat="false" ht="15" hidden="false" customHeight="false" outlineLevel="0" collapsed="false">
      <c r="A579" s="38" t="str">
        <f aca="false">IF(OR(C579="",C579=0),"",IF(AND(OR($B$5="",G579=$B$5,H579=$B$5),OR($D$5="",F579=$D$5),OR($E$5="",K579=$E$5),OR($G$5="",L579=$G$5),OR($H$5="",N(J579)&gt;=$H$5),OR($I$5="",ISNUMBER(SEARCH($I$5,C579&amp;" "&amp;D579&amp;" "&amp;E579&amp;" "&amp;I579)))),"✓",""))</f>
        <v/>
      </c>
      <c r="B579" s="39" t="n">
        <v>46251</v>
      </c>
      <c r="C579" s="40" t="n">
        <f aca="false">'Aug 17'!$D$19</f>
        <v>0</v>
      </c>
      <c r="D579" s="40" t="n">
        <f aca="false">'Aug 17'!$B$19</f>
        <v>0</v>
      </c>
      <c r="E579" s="41" t="n">
        <f aca="false">'Aug 17'!$E$19</f>
        <v>0</v>
      </c>
      <c r="F579" s="40" t="n">
        <f aca="false">'Aug 17'!$A$19</f>
        <v>0</v>
      </c>
      <c r="G579" s="41" t="n">
        <f aca="false">'Aug 17'!$F$19</f>
        <v>0</v>
      </c>
      <c r="H579" s="41" t="n">
        <f aca="false">'Aug 17'!$G$19</f>
        <v>0</v>
      </c>
      <c r="I579" s="41" t="str">
        <f aca="false">'Aug 17'!$M$19</f>
        <v/>
      </c>
      <c r="J579" s="42" t="str">
        <f aca="false">'Aug 17'!$S$19</f>
        <v/>
      </c>
      <c r="K579" s="40" t="n">
        <f aca="false">'Aug 17'!$AG$19</f>
        <v>0</v>
      </c>
      <c r="L579" s="40" t="n">
        <f aca="false">'Aug 17'!$N$19</f>
        <v>0</v>
      </c>
    </row>
    <row r="580" customFormat="false" ht="15" hidden="false" customHeight="false" outlineLevel="0" collapsed="false">
      <c r="A580" s="38" t="str">
        <f aca="false">IF(OR(C580="",C580=0),"",IF(AND(OR($B$5="",G580=$B$5,H580=$B$5),OR($D$5="",F580=$D$5),OR($E$5="",K580=$E$5),OR($G$5="",L580=$G$5),OR($H$5="",N(J580)&gt;=$H$5),OR($I$5="",ISNUMBER(SEARCH($I$5,C580&amp;" "&amp;D580&amp;" "&amp;E580&amp;" "&amp;I580)))),"✓",""))</f>
        <v/>
      </c>
      <c r="B580" s="39" t="n">
        <v>46251</v>
      </c>
      <c r="C580" s="40" t="n">
        <f aca="false">'Aug 17'!$D$20</f>
        <v>0</v>
      </c>
      <c r="D580" s="40" t="n">
        <f aca="false">'Aug 17'!$B$20</f>
        <v>0</v>
      </c>
      <c r="E580" s="41" t="n">
        <f aca="false">'Aug 17'!$E$20</f>
        <v>0</v>
      </c>
      <c r="F580" s="40" t="n">
        <f aca="false">'Aug 17'!$A$20</f>
        <v>0</v>
      </c>
      <c r="G580" s="41" t="n">
        <f aca="false">'Aug 17'!$F$20</f>
        <v>0</v>
      </c>
      <c r="H580" s="41" t="n">
        <f aca="false">'Aug 17'!$G$20</f>
        <v>0</v>
      </c>
      <c r="I580" s="41" t="str">
        <f aca="false">'Aug 17'!$M$20</f>
        <v/>
      </c>
      <c r="J580" s="42" t="str">
        <f aca="false">'Aug 17'!$S$20</f>
        <v/>
      </c>
      <c r="K580" s="40" t="n">
        <f aca="false">'Aug 17'!$AG$20</f>
        <v>0</v>
      </c>
      <c r="L580" s="40" t="n">
        <f aca="false">'Aug 17'!$N$20</f>
        <v>0</v>
      </c>
    </row>
    <row r="581" customFormat="false" ht="15" hidden="false" customHeight="false" outlineLevel="0" collapsed="false">
      <c r="A581" s="38" t="str">
        <f aca="false">IF(OR(C581="",C581=0),"",IF(AND(OR($B$5="",G581=$B$5,H581=$B$5),OR($D$5="",F581=$D$5),OR($E$5="",K581=$E$5),OR($G$5="",L581=$G$5),OR($H$5="",N(J581)&gt;=$H$5),OR($I$5="",ISNUMBER(SEARCH($I$5,C581&amp;" "&amp;D581&amp;" "&amp;E581&amp;" "&amp;I581)))),"✓",""))</f>
        <v/>
      </c>
      <c r="B581" s="39" t="n">
        <v>46251</v>
      </c>
      <c r="C581" s="40" t="n">
        <f aca="false">'Aug 17'!$D$21</f>
        <v>0</v>
      </c>
      <c r="D581" s="40" t="n">
        <f aca="false">'Aug 17'!$B$21</f>
        <v>0</v>
      </c>
      <c r="E581" s="41" t="n">
        <f aca="false">'Aug 17'!$E$21</f>
        <v>0</v>
      </c>
      <c r="F581" s="40" t="n">
        <f aca="false">'Aug 17'!$A$21</f>
        <v>0</v>
      </c>
      <c r="G581" s="41" t="n">
        <f aca="false">'Aug 17'!$F$21</f>
        <v>0</v>
      </c>
      <c r="H581" s="41" t="n">
        <f aca="false">'Aug 17'!$G$21</f>
        <v>0</v>
      </c>
      <c r="I581" s="41" t="str">
        <f aca="false">'Aug 17'!$M$21</f>
        <v/>
      </c>
      <c r="J581" s="42" t="str">
        <f aca="false">'Aug 17'!$S$21</f>
        <v/>
      </c>
      <c r="K581" s="40" t="n">
        <f aca="false">'Aug 17'!$AG$21</f>
        <v>0</v>
      </c>
      <c r="L581" s="40" t="n">
        <f aca="false">'Aug 17'!$N$21</f>
        <v>0</v>
      </c>
    </row>
    <row r="582" customFormat="false" ht="15" hidden="false" customHeight="false" outlineLevel="0" collapsed="false">
      <c r="A582" s="38" t="str">
        <f aca="false">IF(OR(C582="",C582=0),"",IF(AND(OR($B$5="",G582=$B$5,H582=$B$5),OR($D$5="",F582=$D$5),OR($E$5="",K582=$E$5),OR($G$5="",L582=$G$5),OR($H$5="",N(J582)&gt;=$H$5),OR($I$5="",ISNUMBER(SEARCH($I$5,C582&amp;" "&amp;D582&amp;" "&amp;E582&amp;" "&amp;I582)))),"✓",""))</f>
        <v/>
      </c>
      <c r="B582" s="39" t="n">
        <v>46251</v>
      </c>
      <c r="C582" s="40" t="n">
        <f aca="false">'Aug 17'!$D$22</f>
        <v>0</v>
      </c>
      <c r="D582" s="40" t="n">
        <f aca="false">'Aug 17'!$B$22</f>
        <v>0</v>
      </c>
      <c r="E582" s="41" t="n">
        <f aca="false">'Aug 17'!$E$22</f>
        <v>0</v>
      </c>
      <c r="F582" s="40" t="n">
        <f aca="false">'Aug 17'!$A$22</f>
        <v>0</v>
      </c>
      <c r="G582" s="41" t="n">
        <f aca="false">'Aug 17'!$F$22</f>
        <v>0</v>
      </c>
      <c r="H582" s="41" t="n">
        <f aca="false">'Aug 17'!$G$22</f>
        <v>0</v>
      </c>
      <c r="I582" s="41" t="str">
        <f aca="false">'Aug 17'!$M$22</f>
        <v/>
      </c>
      <c r="J582" s="42" t="str">
        <f aca="false">'Aug 17'!$S$22</f>
        <v/>
      </c>
      <c r="K582" s="40" t="n">
        <f aca="false">'Aug 17'!$AG$22</f>
        <v>0</v>
      </c>
      <c r="L582" s="40" t="n">
        <f aca="false">'Aug 17'!$N$22</f>
        <v>0</v>
      </c>
    </row>
    <row r="583" customFormat="false" ht="15" hidden="false" customHeight="false" outlineLevel="0" collapsed="false">
      <c r="A583" s="38" t="str">
        <f aca="false">IF(OR(C583="",C583=0),"",IF(AND(OR($B$5="",G583=$B$5,H583=$B$5),OR($D$5="",F583=$D$5),OR($E$5="",K583=$E$5),OR($G$5="",L583=$G$5),OR($H$5="",N(J583)&gt;=$H$5),OR($I$5="",ISNUMBER(SEARCH($I$5,C583&amp;" "&amp;D583&amp;" "&amp;E583&amp;" "&amp;I583)))),"✓",""))</f>
        <v/>
      </c>
      <c r="B583" s="39" t="n">
        <v>46251</v>
      </c>
      <c r="C583" s="40" t="n">
        <f aca="false">'Aug 17'!$D$23</f>
        <v>0</v>
      </c>
      <c r="D583" s="40" t="n">
        <f aca="false">'Aug 17'!$B$23</f>
        <v>0</v>
      </c>
      <c r="E583" s="41" t="n">
        <f aca="false">'Aug 17'!$E$23</f>
        <v>0</v>
      </c>
      <c r="F583" s="40" t="n">
        <f aca="false">'Aug 17'!$A$23</f>
        <v>0</v>
      </c>
      <c r="G583" s="41" t="n">
        <f aca="false">'Aug 17'!$F$23</f>
        <v>0</v>
      </c>
      <c r="H583" s="41" t="n">
        <f aca="false">'Aug 17'!$G$23</f>
        <v>0</v>
      </c>
      <c r="I583" s="41" t="str">
        <f aca="false">'Aug 17'!$M$23</f>
        <v/>
      </c>
      <c r="J583" s="42" t="str">
        <f aca="false">'Aug 17'!$S$23</f>
        <v/>
      </c>
      <c r="K583" s="40" t="n">
        <f aca="false">'Aug 17'!$AG$23</f>
        <v>0</v>
      </c>
      <c r="L583" s="40" t="n">
        <f aca="false">'Aug 17'!$N$23</f>
        <v>0</v>
      </c>
    </row>
    <row r="584" customFormat="false" ht="15" hidden="false" customHeight="false" outlineLevel="0" collapsed="false">
      <c r="A584" s="38" t="str">
        <f aca="false">IF(OR(C584="",C584=0),"",IF(AND(OR($B$5="",G584=$B$5,H584=$B$5),OR($D$5="",F584=$D$5),OR($E$5="",K584=$E$5),OR($G$5="",L584=$G$5),OR($H$5="",N(J584)&gt;=$H$5),OR($I$5="",ISNUMBER(SEARCH($I$5,C584&amp;" "&amp;D584&amp;" "&amp;E584&amp;" "&amp;I584)))),"✓",""))</f>
        <v/>
      </c>
      <c r="B584" s="39" t="n">
        <v>46251</v>
      </c>
      <c r="C584" s="40" t="n">
        <f aca="false">'Aug 17'!$D$24</f>
        <v>0</v>
      </c>
      <c r="D584" s="40" t="n">
        <f aca="false">'Aug 17'!$B$24</f>
        <v>0</v>
      </c>
      <c r="E584" s="41" t="n">
        <f aca="false">'Aug 17'!$E$24</f>
        <v>0</v>
      </c>
      <c r="F584" s="40" t="n">
        <f aca="false">'Aug 17'!$A$24</f>
        <v>0</v>
      </c>
      <c r="G584" s="41" t="n">
        <f aca="false">'Aug 17'!$F$24</f>
        <v>0</v>
      </c>
      <c r="H584" s="41" t="n">
        <f aca="false">'Aug 17'!$G$24</f>
        <v>0</v>
      </c>
      <c r="I584" s="41" t="str">
        <f aca="false">'Aug 17'!$M$24</f>
        <v/>
      </c>
      <c r="J584" s="42" t="str">
        <f aca="false">'Aug 17'!$S$24</f>
        <v/>
      </c>
      <c r="K584" s="40" t="n">
        <f aca="false">'Aug 17'!$AG$24</f>
        <v>0</v>
      </c>
      <c r="L584" s="40" t="n">
        <f aca="false">'Aug 17'!$N$24</f>
        <v>0</v>
      </c>
    </row>
    <row r="585" customFormat="false" ht="15" hidden="false" customHeight="false" outlineLevel="0" collapsed="false">
      <c r="A585" s="38" t="str">
        <f aca="false">IF(OR(C585="",C585=0),"",IF(AND(OR($B$5="",G585=$B$5,H585=$B$5),OR($D$5="",F585=$D$5),OR($E$5="",K585=$E$5),OR($G$5="",L585=$G$5),OR($H$5="",N(J585)&gt;=$H$5),OR($I$5="",ISNUMBER(SEARCH($I$5,C585&amp;" "&amp;D585&amp;" "&amp;E585&amp;" "&amp;I585)))),"✓",""))</f>
        <v/>
      </c>
      <c r="B585" s="39" t="n">
        <v>46251</v>
      </c>
      <c r="C585" s="40" t="n">
        <f aca="false">'Aug 17'!$D$25</f>
        <v>0</v>
      </c>
      <c r="D585" s="40" t="n">
        <f aca="false">'Aug 17'!$B$25</f>
        <v>0</v>
      </c>
      <c r="E585" s="41" t="n">
        <f aca="false">'Aug 17'!$E$25</f>
        <v>0</v>
      </c>
      <c r="F585" s="40" t="n">
        <f aca="false">'Aug 17'!$A$25</f>
        <v>0</v>
      </c>
      <c r="G585" s="41" t="n">
        <f aca="false">'Aug 17'!$F$25</f>
        <v>0</v>
      </c>
      <c r="H585" s="41" t="n">
        <f aca="false">'Aug 17'!$G$25</f>
        <v>0</v>
      </c>
      <c r="I585" s="41" t="str">
        <f aca="false">'Aug 17'!$M$25</f>
        <v/>
      </c>
      <c r="J585" s="42" t="str">
        <f aca="false">'Aug 17'!$S$25</f>
        <v/>
      </c>
      <c r="K585" s="40" t="n">
        <f aca="false">'Aug 17'!$AG$25</f>
        <v>0</v>
      </c>
      <c r="L585" s="40" t="n">
        <f aca="false">'Aug 17'!$N$25</f>
        <v>0</v>
      </c>
    </row>
    <row r="586" customFormat="false" ht="15" hidden="false" customHeight="false" outlineLevel="0" collapsed="false">
      <c r="A586" s="38" t="str">
        <f aca="false">IF(OR(C586="",C586=0),"",IF(AND(OR($B$5="",G586=$B$5,H586=$B$5),OR($D$5="",F586=$D$5),OR($E$5="",K586=$E$5),OR($G$5="",L586=$G$5),OR($H$5="",N(J586)&gt;=$H$5),OR($I$5="",ISNUMBER(SEARCH($I$5,C586&amp;" "&amp;D586&amp;" "&amp;E586&amp;" "&amp;I586)))),"✓",""))</f>
        <v/>
      </c>
      <c r="B586" s="39" t="n">
        <v>46251</v>
      </c>
      <c r="C586" s="40" t="n">
        <f aca="false">'Aug 17'!$D$26</f>
        <v>0</v>
      </c>
      <c r="D586" s="40" t="n">
        <f aca="false">'Aug 17'!$B$26</f>
        <v>0</v>
      </c>
      <c r="E586" s="41" t="n">
        <f aca="false">'Aug 17'!$E$26</f>
        <v>0</v>
      </c>
      <c r="F586" s="40" t="n">
        <f aca="false">'Aug 17'!$A$26</f>
        <v>0</v>
      </c>
      <c r="G586" s="41" t="n">
        <f aca="false">'Aug 17'!$F$26</f>
        <v>0</v>
      </c>
      <c r="H586" s="41" t="n">
        <f aca="false">'Aug 17'!$G$26</f>
        <v>0</v>
      </c>
      <c r="I586" s="41" t="str">
        <f aca="false">'Aug 17'!$M$26</f>
        <v/>
      </c>
      <c r="J586" s="42" t="str">
        <f aca="false">'Aug 17'!$S$26</f>
        <v/>
      </c>
      <c r="K586" s="40" t="n">
        <f aca="false">'Aug 17'!$AG$26</f>
        <v>0</v>
      </c>
      <c r="L586" s="40" t="n">
        <f aca="false">'Aug 17'!$N$26</f>
        <v>0</v>
      </c>
    </row>
    <row r="587" customFormat="false" ht="15" hidden="false" customHeight="false" outlineLevel="0" collapsed="false">
      <c r="A587" s="38" t="str">
        <f aca="false">IF(OR(C587="",C587=0),"",IF(AND(OR($B$5="",G587=$B$5,H587=$B$5),OR($D$5="",F587=$D$5),OR($E$5="",K587=$E$5),OR($G$5="",L587=$G$5),OR($H$5="",N(J587)&gt;=$H$5),OR($I$5="",ISNUMBER(SEARCH($I$5,C587&amp;" "&amp;D587&amp;" "&amp;E587&amp;" "&amp;I587)))),"✓",""))</f>
        <v/>
      </c>
      <c r="B587" s="39" t="n">
        <v>46251</v>
      </c>
      <c r="C587" s="40" t="n">
        <f aca="false">'Aug 17'!$D$27</f>
        <v>0</v>
      </c>
      <c r="D587" s="40" t="n">
        <f aca="false">'Aug 17'!$B$27</f>
        <v>0</v>
      </c>
      <c r="E587" s="41" t="n">
        <f aca="false">'Aug 17'!$E$27</f>
        <v>0</v>
      </c>
      <c r="F587" s="40" t="n">
        <f aca="false">'Aug 17'!$A$27</f>
        <v>0</v>
      </c>
      <c r="G587" s="41" t="n">
        <f aca="false">'Aug 17'!$F$27</f>
        <v>0</v>
      </c>
      <c r="H587" s="41" t="n">
        <f aca="false">'Aug 17'!$G$27</f>
        <v>0</v>
      </c>
      <c r="I587" s="41" t="str">
        <f aca="false">'Aug 17'!$M$27</f>
        <v/>
      </c>
      <c r="J587" s="42" t="str">
        <f aca="false">'Aug 17'!$S$27</f>
        <v/>
      </c>
      <c r="K587" s="40" t="n">
        <f aca="false">'Aug 17'!$AG$27</f>
        <v>0</v>
      </c>
      <c r="L587" s="40" t="n">
        <f aca="false">'Aug 17'!$N$27</f>
        <v>0</v>
      </c>
    </row>
    <row r="588" customFormat="false" ht="15" hidden="false" customHeight="false" outlineLevel="0" collapsed="false">
      <c r="A588" s="38" t="str">
        <f aca="false">IF(OR(C588="",C588=0),"",IF(AND(OR($B$5="",G588=$B$5,H588=$B$5),OR($D$5="",F588=$D$5),OR($E$5="",K588=$E$5),OR($G$5="",L588=$G$5),OR($H$5="",N(J588)&gt;=$H$5),OR($I$5="",ISNUMBER(SEARCH($I$5,C588&amp;" "&amp;D588&amp;" "&amp;E588&amp;" "&amp;I588)))),"✓",""))</f>
        <v/>
      </c>
      <c r="B588" s="39" t="n">
        <v>46251</v>
      </c>
      <c r="C588" s="40" t="n">
        <f aca="false">'Aug 17'!$D$28</f>
        <v>0</v>
      </c>
      <c r="D588" s="40" t="n">
        <f aca="false">'Aug 17'!$B$28</f>
        <v>0</v>
      </c>
      <c r="E588" s="41" t="n">
        <f aca="false">'Aug 17'!$E$28</f>
        <v>0</v>
      </c>
      <c r="F588" s="40" t="n">
        <f aca="false">'Aug 17'!$A$28</f>
        <v>0</v>
      </c>
      <c r="G588" s="41" t="n">
        <f aca="false">'Aug 17'!$F$28</f>
        <v>0</v>
      </c>
      <c r="H588" s="41" t="n">
        <f aca="false">'Aug 17'!$G$28</f>
        <v>0</v>
      </c>
      <c r="I588" s="41" t="str">
        <f aca="false">'Aug 17'!$M$28</f>
        <v/>
      </c>
      <c r="J588" s="42" t="str">
        <f aca="false">'Aug 17'!$S$28</f>
        <v/>
      </c>
      <c r="K588" s="40" t="n">
        <f aca="false">'Aug 17'!$AG$28</f>
        <v>0</v>
      </c>
      <c r="L588" s="40" t="n">
        <f aca="false">'Aug 17'!$N$28</f>
        <v>0</v>
      </c>
    </row>
    <row r="589" customFormat="false" ht="15" hidden="false" customHeight="false" outlineLevel="0" collapsed="false">
      <c r="A589" s="38" t="str">
        <f aca="false">IF(OR(C589="",C589=0),"",IF(AND(OR($B$5="",G589=$B$5,H589=$B$5),OR($D$5="",F589=$D$5),OR($E$5="",K589=$E$5),OR($G$5="",L589=$G$5),OR($H$5="",N(J589)&gt;=$H$5),OR($I$5="",ISNUMBER(SEARCH($I$5,C589&amp;" "&amp;D589&amp;" "&amp;E589&amp;" "&amp;I589)))),"✓",""))</f>
        <v/>
      </c>
      <c r="B589" s="39" t="n">
        <v>46251</v>
      </c>
      <c r="C589" s="40" t="n">
        <f aca="false">'Aug 17'!$D$29</f>
        <v>0</v>
      </c>
      <c r="D589" s="40" t="n">
        <f aca="false">'Aug 17'!$B$29</f>
        <v>0</v>
      </c>
      <c r="E589" s="41" t="n">
        <f aca="false">'Aug 17'!$E$29</f>
        <v>0</v>
      </c>
      <c r="F589" s="40" t="n">
        <f aca="false">'Aug 17'!$A$29</f>
        <v>0</v>
      </c>
      <c r="G589" s="41" t="n">
        <f aca="false">'Aug 17'!$F$29</f>
        <v>0</v>
      </c>
      <c r="H589" s="41" t="n">
        <f aca="false">'Aug 17'!$G$29</f>
        <v>0</v>
      </c>
      <c r="I589" s="41" t="str">
        <f aca="false">'Aug 17'!$M$29</f>
        <v/>
      </c>
      <c r="J589" s="42" t="str">
        <f aca="false">'Aug 17'!$S$29</f>
        <v/>
      </c>
      <c r="K589" s="40" t="n">
        <f aca="false">'Aug 17'!$AG$29</f>
        <v>0</v>
      </c>
      <c r="L589" s="40" t="n">
        <f aca="false">'Aug 17'!$N$29</f>
        <v>0</v>
      </c>
    </row>
    <row r="590" customFormat="false" ht="15" hidden="false" customHeight="false" outlineLevel="0" collapsed="false">
      <c r="A590" s="38" t="str">
        <f aca="false">IF(OR(C590="",C590=0),"",IF(AND(OR($B$5="",G590=$B$5,H590=$B$5),OR($D$5="",F590=$D$5),OR($E$5="",K590=$E$5),OR($G$5="",L590=$G$5),OR($H$5="",N(J590)&gt;=$H$5),OR($I$5="",ISNUMBER(SEARCH($I$5,C590&amp;" "&amp;D590&amp;" "&amp;E590&amp;" "&amp;I590)))),"✓",""))</f>
        <v/>
      </c>
      <c r="B590" s="39" t="n">
        <v>46251</v>
      </c>
      <c r="C590" s="40" t="n">
        <f aca="false">'Aug 17'!$D$30</f>
        <v>0</v>
      </c>
      <c r="D590" s="40" t="n">
        <f aca="false">'Aug 17'!$B$30</f>
        <v>0</v>
      </c>
      <c r="E590" s="41" t="n">
        <f aca="false">'Aug 17'!$E$30</f>
        <v>0</v>
      </c>
      <c r="F590" s="40" t="n">
        <f aca="false">'Aug 17'!$A$30</f>
        <v>0</v>
      </c>
      <c r="G590" s="41" t="n">
        <f aca="false">'Aug 17'!$F$30</f>
        <v>0</v>
      </c>
      <c r="H590" s="41" t="n">
        <f aca="false">'Aug 17'!$G$30</f>
        <v>0</v>
      </c>
      <c r="I590" s="41" t="str">
        <f aca="false">'Aug 17'!$M$30</f>
        <v/>
      </c>
      <c r="J590" s="42" t="str">
        <f aca="false">'Aug 17'!$S$30</f>
        <v/>
      </c>
      <c r="K590" s="40" t="n">
        <f aca="false">'Aug 17'!$AG$30</f>
        <v>0</v>
      </c>
      <c r="L590" s="40" t="n">
        <f aca="false">'Aug 17'!$N$30</f>
        <v>0</v>
      </c>
    </row>
    <row r="591" customFormat="false" ht="15" hidden="false" customHeight="false" outlineLevel="0" collapsed="false">
      <c r="A591" s="38" t="str">
        <f aca="false">IF(OR(C591="",C591=0),"",IF(AND(OR($B$5="",G591=$B$5,H591=$B$5),OR($D$5="",F591=$D$5),OR($E$5="",K591=$E$5),OR($G$5="",L591=$G$5),OR($H$5="",N(J591)&gt;=$H$5),OR($I$5="",ISNUMBER(SEARCH($I$5,C591&amp;" "&amp;D591&amp;" "&amp;E591&amp;" "&amp;I591)))),"✓",""))</f>
        <v/>
      </c>
      <c r="B591" s="39" t="n">
        <v>46251</v>
      </c>
      <c r="C591" s="40" t="n">
        <f aca="false">'Aug 17'!$D$31</f>
        <v>0</v>
      </c>
      <c r="D591" s="40" t="n">
        <f aca="false">'Aug 17'!$B$31</f>
        <v>0</v>
      </c>
      <c r="E591" s="41" t="n">
        <f aca="false">'Aug 17'!$E$31</f>
        <v>0</v>
      </c>
      <c r="F591" s="40" t="n">
        <f aca="false">'Aug 17'!$A$31</f>
        <v>0</v>
      </c>
      <c r="G591" s="41" t="n">
        <f aca="false">'Aug 17'!$F$31</f>
        <v>0</v>
      </c>
      <c r="H591" s="41" t="n">
        <f aca="false">'Aug 17'!$G$31</f>
        <v>0</v>
      </c>
      <c r="I591" s="41" t="str">
        <f aca="false">'Aug 17'!$M$31</f>
        <v/>
      </c>
      <c r="J591" s="42" t="str">
        <f aca="false">'Aug 17'!$S$31</f>
        <v/>
      </c>
      <c r="K591" s="40" t="n">
        <f aca="false">'Aug 17'!$AG$31</f>
        <v>0</v>
      </c>
      <c r="L591" s="40" t="n">
        <f aca="false">'Aug 17'!$N$31</f>
        <v>0</v>
      </c>
    </row>
    <row r="592" customFormat="false" ht="15" hidden="false" customHeight="false" outlineLevel="0" collapsed="false">
      <c r="A592" s="38" t="str">
        <f aca="false">IF(OR(C592="",C592=0),"",IF(AND(OR($B$5="",G592=$B$5,H592=$B$5),OR($D$5="",F592=$D$5),OR($E$5="",K592=$E$5),OR($G$5="",L592=$G$5),OR($H$5="",N(J592)&gt;=$H$5),OR($I$5="",ISNUMBER(SEARCH($I$5,C592&amp;" "&amp;D592&amp;" "&amp;E592&amp;" "&amp;I592)))),"✓",""))</f>
        <v/>
      </c>
      <c r="B592" s="39" t="n">
        <v>46251</v>
      </c>
      <c r="C592" s="40" t="n">
        <f aca="false">'Aug 17'!$D$32</f>
        <v>0</v>
      </c>
      <c r="D592" s="40" t="n">
        <f aca="false">'Aug 17'!$B$32</f>
        <v>0</v>
      </c>
      <c r="E592" s="41" t="n">
        <f aca="false">'Aug 17'!$E$32</f>
        <v>0</v>
      </c>
      <c r="F592" s="40" t="n">
        <f aca="false">'Aug 17'!$A$32</f>
        <v>0</v>
      </c>
      <c r="G592" s="41" t="n">
        <f aca="false">'Aug 17'!$F$32</f>
        <v>0</v>
      </c>
      <c r="H592" s="41" t="n">
        <f aca="false">'Aug 17'!$G$32</f>
        <v>0</v>
      </c>
      <c r="I592" s="41" t="str">
        <f aca="false">'Aug 17'!$M$32</f>
        <v/>
      </c>
      <c r="J592" s="42" t="str">
        <f aca="false">'Aug 17'!$S$32</f>
        <v/>
      </c>
      <c r="K592" s="40" t="n">
        <f aca="false">'Aug 17'!$AG$32</f>
        <v>0</v>
      </c>
      <c r="L592" s="40" t="n">
        <f aca="false">'Aug 17'!$N$32</f>
        <v>0</v>
      </c>
    </row>
    <row r="593" customFormat="false" ht="15" hidden="false" customHeight="false" outlineLevel="0" collapsed="false">
      <c r="A593" s="38" t="str">
        <f aca="false">IF(OR(C593="",C593=0),"",IF(AND(OR($B$5="",G593=$B$5,H593=$B$5),OR($D$5="",F593=$D$5),OR($E$5="",K593=$E$5),OR($G$5="",L593=$G$5),OR($H$5="",N(J593)&gt;=$H$5),OR($I$5="",ISNUMBER(SEARCH($I$5,C593&amp;" "&amp;D593&amp;" "&amp;E593&amp;" "&amp;I593)))),"✓",""))</f>
        <v/>
      </c>
      <c r="B593" s="39" t="n">
        <v>46251</v>
      </c>
      <c r="C593" s="40" t="n">
        <f aca="false">'Aug 17'!$D$33</f>
        <v>0</v>
      </c>
      <c r="D593" s="40" t="n">
        <f aca="false">'Aug 17'!$B$33</f>
        <v>0</v>
      </c>
      <c r="E593" s="41" t="n">
        <f aca="false">'Aug 17'!$E$33</f>
        <v>0</v>
      </c>
      <c r="F593" s="40" t="n">
        <f aca="false">'Aug 17'!$A$33</f>
        <v>0</v>
      </c>
      <c r="G593" s="41" t="n">
        <f aca="false">'Aug 17'!$F$33</f>
        <v>0</v>
      </c>
      <c r="H593" s="41" t="n">
        <f aca="false">'Aug 17'!$G$33</f>
        <v>0</v>
      </c>
      <c r="I593" s="41" t="str">
        <f aca="false">'Aug 17'!$M$33</f>
        <v/>
      </c>
      <c r="J593" s="42" t="str">
        <f aca="false">'Aug 17'!$S$33</f>
        <v/>
      </c>
      <c r="K593" s="40" t="n">
        <f aca="false">'Aug 17'!$AG$33</f>
        <v>0</v>
      </c>
      <c r="L593" s="40" t="n">
        <f aca="false">'Aug 17'!$N$33</f>
        <v>0</v>
      </c>
    </row>
    <row r="594" customFormat="false" ht="15" hidden="false" customHeight="false" outlineLevel="0" collapsed="false">
      <c r="A594" s="38" t="str">
        <f aca="false">IF(OR(C594="",C594=0),"",IF(AND(OR($B$5="",G594=$B$5,H594=$B$5),OR($D$5="",F594=$D$5),OR($E$5="",K594=$E$5),OR($G$5="",L594=$G$5),OR($H$5="",N(J594)&gt;=$H$5),OR($I$5="",ISNUMBER(SEARCH($I$5,C594&amp;" "&amp;D594&amp;" "&amp;E594&amp;" "&amp;I594)))),"✓",""))</f>
        <v/>
      </c>
      <c r="B594" s="39" t="n">
        <v>46251</v>
      </c>
      <c r="C594" s="40" t="n">
        <f aca="false">'Aug 17'!$D$34</f>
        <v>0</v>
      </c>
      <c r="D594" s="40" t="n">
        <f aca="false">'Aug 17'!$B$34</f>
        <v>0</v>
      </c>
      <c r="E594" s="41" t="n">
        <f aca="false">'Aug 17'!$E$34</f>
        <v>0</v>
      </c>
      <c r="F594" s="40" t="n">
        <f aca="false">'Aug 17'!$A$34</f>
        <v>0</v>
      </c>
      <c r="G594" s="41" t="n">
        <f aca="false">'Aug 17'!$F$34</f>
        <v>0</v>
      </c>
      <c r="H594" s="41" t="n">
        <f aca="false">'Aug 17'!$G$34</f>
        <v>0</v>
      </c>
      <c r="I594" s="41" t="str">
        <f aca="false">'Aug 17'!$M$34</f>
        <v/>
      </c>
      <c r="J594" s="42" t="str">
        <f aca="false">'Aug 17'!$S$34</f>
        <v/>
      </c>
      <c r="K594" s="40" t="n">
        <f aca="false">'Aug 17'!$AG$34</f>
        <v>0</v>
      </c>
      <c r="L594" s="40" t="n">
        <f aca="false">'Aug 17'!$N$34</f>
        <v>0</v>
      </c>
    </row>
    <row r="595" customFormat="false" ht="15" hidden="false" customHeight="false" outlineLevel="0" collapsed="false">
      <c r="A595" s="38" t="str">
        <f aca="false">IF(OR(C595="",C595=0),"",IF(AND(OR($B$5="",G595=$B$5,H595=$B$5),OR($D$5="",F595=$D$5),OR($E$5="",K595=$E$5),OR($G$5="",L595=$G$5),OR($H$5="",N(J595)&gt;=$H$5),OR($I$5="",ISNUMBER(SEARCH($I$5,C595&amp;" "&amp;D595&amp;" "&amp;E595&amp;" "&amp;I595)))),"✓",""))</f>
        <v/>
      </c>
      <c r="B595" s="39" t="n">
        <v>46251</v>
      </c>
      <c r="C595" s="40" t="n">
        <f aca="false">'Aug 17'!$D$35</f>
        <v>0</v>
      </c>
      <c r="D595" s="40" t="n">
        <f aca="false">'Aug 17'!$B$35</f>
        <v>0</v>
      </c>
      <c r="E595" s="41" t="n">
        <f aca="false">'Aug 17'!$E$35</f>
        <v>0</v>
      </c>
      <c r="F595" s="40" t="n">
        <f aca="false">'Aug 17'!$A$35</f>
        <v>0</v>
      </c>
      <c r="G595" s="41" t="n">
        <f aca="false">'Aug 17'!$F$35</f>
        <v>0</v>
      </c>
      <c r="H595" s="41" t="n">
        <f aca="false">'Aug 17'!$G$35</f>
        <v>0</v>
      </c>
      <c r="I595" s="41" t="str">
        <f aca="false">'Aug 17'!$M$35</f>
        <v/>
      </c>
      <c r="J595" s="42" t="str">
        <f aca="false">'Aug 17'!$S$35</f>
        <v/>
      </c>
      <c r="K595" s="40" t="n">
        <f aca="false">'Aug 17'!$AG$35</f>
        <v>0</v>
      </c>
      <c r="L595" s="40" t="n">
        <f aca="false">'Aug 17'!$N$35</f>
        <v>0</v>
      </c>
    </row>
    <row r="596" customFormat="false" ht="15" hidden="false" customHeight="false" outlineLevel="0" collapsed="false">
      <c r="A596" s="38" t="str">
        <f aca="false">IF(OR(C596="",C596=0),"",IF(AND(OR($B$5="",G596=$B$5,H596=$B$5),OR($D$5="",F596=$D$5),OR($E$5="",K596=$E$5),OR($G$5="",L596=$G$5),OR($H$5="",N(J596)&gt;=$H$5),OR($I$5="",ISNUMBER(SEARCH($I$5,C596&amp;" "&amp;D596&amp;" "&amp;E596&amp;" "&amp;I596)))),"✓",""))</f>
        <v/>
      </c>
      <c r="B596" s="39" t="n">
        <v>46251</v>
      </c>
      <c r="C596" s="40" t="n">
        <f aca="false">'Aug 17'!$D$36</f>
        <v>0</v>
      </c>
      <c r="D596" s="40" t="n">
        <f aca="false">'Aug 17'!$B$36</f>
        <v>0</v>
      </c>
      <c r="E596" s="41" t="n">
        <f aca="false">'Aug 17'!$E$36</f>
        <v>0</v>
      </c>
      <c r="F596" s="40" t="n">
        <f aca="false">'Aug 17'!$A$36</f>
        <v>0</v>
      </c>
      <c r="G596" s="41" t="n">
        <f aca="false">'Aug 17'!$F$36</f>
        <v>0</v>
      </c>
      <c r="H596" s="41" t="n">
        <f aca="false">'Aug 17'!$G$36</f>
        <v>0</v>
      </c>
      <c r="I596" s="41" t="str">
        <f aca="false">'Aug 17'!$M$36</f>
        <v/>
      </c>
      <c r="J596" s="42" t="str">
        <f aca="false">'Aug 17'!$S$36</f>
        <v/>
      </c>
      <c r="K596" s="40" t="n">
        <f aca="false">'Aug 17'!$AG$36</f>
        <v>0</v>
      </c>
      <c r="L596" s="40" t="n">
        <f aca="false">'Aug 17'!$N$36</f>
        <v>0</v>
      </c>
    </row>
    <row r="597" customFormat="false" ht="15" hidden="false" customHeight="false" outlineLevel="0" collapsed="false">
      <c r="A597" s="38" t="str">
        <f aca="false">IF(OR(C597="",C597=0),"",IF(AND(OR($B$5="",G597=$B$5,H597=$B$5),OR($D$5="",F597=$D$5),OR($E$5="",K597=$E$5),OR($G$5="",L597=$G$5),OR($H$5="",N(J597)&gt;=$H$5),OR($I$5="",ISNUMBER(SEARCH($I$5,C597&amp;" "&amp;D597&amp;" "&amp;E597&amp;" "&amp;I597)))),"✓",""))</f>
        <v/>
      </c>
      <c r="B597" s="39" t="n">
        <v>46251</v>
      </c>
      <c r="C597" s="40" t="n">
        <f aca="false">'Aug 17'!$D$37</f>
        <v>0</v>
      </c>
      <c r="D597" s="40" t="n">
        <f aca="false">'Aug 17'!$B$37</f>
        <v>0</v>
      </c>
      <c r="E597" s="41" t="n">
        <f aca="false">'Aug 17'!$E$37</f>
        <v>0</v>
      </c>
      <c r="F597" s="40" t="n">
        <f aca="false">'Aug 17'!$A$37</f>
        <v>0</v>
      </c>
      <c r="G597" s="41" t="n">
        <f aca="false">'Aug 17'!$F$37</f>
        <v>0</v>
      </c>
      <c r="H597" s="41" t="n">
        <f aca="false">'Aug 17'!$G$37</f>
        <v>0</v>
      </c>
      <c r="I597" s="41" t="str">
        <f aca="false">'Aug 17'!$M$37</f>
        <v/>
      </c>
      <c r="J597" s="42" t="str">
        <f aca="false">'Aug 17'!$S$37</f>
        <v/>
      </c>
      <c r="K597" s="40" t="n">
        <f aca="false">'Aug 17'!$AG$37</f>
        <v>0</v>
      </c>
      <c r="L597" s="40" t="n">
        <f aca="false">'Aug 17'!$N$37</f>
        <v>0</v>
      </c>
    </row>
    <row r="598" customFormat="false" ht="15" hidden="false" customHeight="false" outlineLevel="0" collapsed="false">
      <c r="A598" s="38" t="str">
        <f aca="false">IF(OR(C598="",C598=0),"",IF(AND(OR($B$5="",G598=$B$5,H598=$B$5),OR($D$5="",F598=$D$5),OR($E$5="",K598=$E$5),OR($G$5="",L598=$G$5),OR($H$5="",N(J598)&gt;=$H$5),OR($I$5="",ISNUMBER(SEARCH($I$5,C598&amp;" "&amp;D598&amp;" "&amp;E598&amp;" "&amp;I598)))),"✓",""))</f>
        <v/>
      </c>
      <c r="B598" s="39" t="n">
        <v>46251</v>
      </c>
      <c r="C598" s="40" t="n">
        <f aca="false">'Aug 17'!$D$38</f>
        <v>0</v>
      </c>
      <c r="D598" s="40" t="n">
        <f aca="false">'Aug 17'!$B$38</f>
        <v>0</v>
      </c>
      <c r="E598" s="41" t="n">
        <f aca="false">'Aug 17'!$E$38</f>
        <v>0</v>
      </c>
      <c r="F598" s="40" t="n">
        <f aca="false">'Aug 17'!$A$38</f>
        <v>0</v>
      </c>
      <c r="G598" s="41" t="n">
        <f aca="false">'Aug 17'!$F$38</f>
        <v>0</v>
      </c>
      <c r="H598" s="41" t="n">
        <f aca="false">'Aug 17'!$G$38</f>
        <v>0</v>
      </c>
      <c r="I598" s="41" t="str">
        <f aca="false">'Aug 17'!$M$38</f>
        <v/>
      </c>
      <c r="J598" s="42" t="str">
        <f aca="false">'Aug 17'!$S$38</f>
        <v/>
      </c>
      <c r="K598" s="40" t="n">
        <f aca="false">'Aug 17'!$AG$38</f>
        <v>0</v>
      </c>
      <c r="L598" s="40" t="n">
        <f aca="false">'Aug 17'!$N$38</f>
        <v>0</v>
      </c>
    </row>
    <row r="599" customFormat="false" ht="15" hidden="false" customHeight="false" outlineLevel="0" collapsed="false">
      <c r="A599" s="38" t="str">
        <f aca="false">IF(OR(C599="",C599=0),"",IF(AND(OR($B$5="",G599=$B$5,H599=$B$5),OR($D$5="",F599=$D$5),OR($E$5="",K599=$E$5),OR($G$5="",L599=$G$5),OR($H$5="",N(J599)&gt;=$H$5),OR($I$5="",ISNUMBER(SEARCH($I$5,C599&amp;" "&amp;D599&amp;" "&amp;E599&amp;" "&amp;I599)))),"✓",""))</f>
        <v/>
      </c>
      <c r="B599" s="39" t="n">
        <v>46251</v>
      </c>
      <c r="C599" s="40" t="n">
        <f aca="false">'Aug 17'!$D$39</f>
        <v>0</v>
      </c>
      <c r="D599" s="40" t="n">
        <f aca="false">'Aug 17'!$B$39</f>
        <v>0</v>
      </c>
      <c r="E599" s="41" t="n">
        <f aca="false">'Aug 17'!$E$39</f>
        <v>0</v>
      </c>
      <c r="F599" s="40" t="n">
        <f aca="false">'Aug 17'!$A$39</f>
        <v>0</v>
      </c>
      <c r="G599" s="41" t="n">
        <f aca="false">'Aug 17'!$F$39</f>
        <v>0</v>
      </c>
      <c r="H599" s="41" t="n">
        <f aca="false">'Aug 17'!$G$39</f>
        <v>0</v>
      </c>
      <c r="I599" s="41" t="str">
        <f aca="false">'Aug 17'!$M$39</f>
        <v/>
      </c>
      <c r="J599" s="42" t="str">
        <f aca="false">'Aug 17'!$S$39</f>
        <v/>
      </c>
      <c r="K599" s="40" t="n">
        <f aca="false">'Aug 17'!$AG$39</f>
        <v>0</v>
      </c>
      <c r="L599" s="40" t="n">
        <f aca="false">'Aug 17'!$N$39</f>
        <v>0</v>
      </c>
    </row>
    <row r="600" customFormat="false" ht="15" hidden="false" customHeight="false" outlineLevel="0" collapsed="false">
      <c r="A600" s="38" t="str">
        <f aca="false">IF(OR(C600="",C600=0),"",IF(AND(OR($B$5="",G600=$B$5,H600=$B$5),OR($D$5="",F600=$D$5),OR($E$5="",K600=$E$5),OR($G$5="",L600=$G$5),OR($H$5="",N(J600)&gt;=$H$5),OR($I$5="",ISNUMBER(SEARCH($I$5,C600&amp;" "&amp;D600&amp;" "&amp;E600&amp;" "&amp;I600)))),"✓",""))</f>
        <v/>
      </c>
      <c r="B600" s="39" t="n">
        <v>46251</v>
      </c>
      <c r="C600" s="40" t="n">
        <f aca="false">'Aug 17'!$D$40</f>
        <v>0</v>
      </c>
      <c r="D600" s="40" t="n">
        <f aca="false">'Aug 17'!$B$40</f>
        <v>0</v>
      </c>
      <c r="E600" s="41" t="n">
        <f aca="false">'Aug 17'!$E$40</f>
        <v>0</v>
      </c>
      <c r="F600" s="40" t="n">
        <f aca="false">'Aug 17'!$A$40</f>
        <v>0</v>
      </c>
      <c r="G600" s="41" t="n">
        <f aca="false">'Aug 17'!$F$40</f>
        <v>0</v>
      </c>
      <c r="H600" s="41" t="n">
        <f aca="false">'Aug 17'!$G$40</f>
        <v>0</v>
      </c>
      <c r="I600" s="41" t="str">
        <f aca="false">'Aug 17'!$M$40</f>
        <v/>
      </c>
      <c r="J600" s="42" t="str">
        <f aca="false">'Aug 17'!$S$40</f>
        <v/>
      </c>
      <c r="K600" s="40" t="n">
        <f aca="false">'Aug 17'!$AG$40</f>
        <v>0</v>
      </c>
      <c r="L600" s="40" t="n">
        <f aca="false">'Aug 17'!$N$40</f>
        <v>0</v>
      </c>
    </row>
    <row r="601" customFormat="false" ht="15" hidden="false" customHeight="false" outlineLevel="0" collapsed="false">
      <c r="A601" s="38" t="str">
        <f aca="false">IF(OR(C601="",C601=0),"",IF(AND(OR($B$5="",G601=$B$5,H601=$B$5),OR($D$5="",F601=$D$5),OR($E$5="",K601=$E$5),OR($G$5="",L601=$G$5),OR($H$5="",N(J601)&gt;=$H$5),OR($I$5="",ISNUMBER(SEARCH($I$5,C601&amp;" "&amp;D601&amp;" "&amp;E601&amp;" "&amp;I601)))),"✓",""))</f>
        <v/>
      </c>
      <c r="B601" s="39" t="n">
        <v>46251</v>
      </c>
      <c r="C601" s="40" t="n">
        <f aca="false">'Aug 17'!$D$41</f>
        <v>0</v>
      </c>
      <c r="D601" s="40" t="n">
        <f aca="false">'Aug 17'!$B$41</f>
        <v>0</v>
      </c>
      <c r="E601" s="41" t="n">
        <f aca="false">'Aug 17'!$E$41</f>
        <v>0</v>
      </c>
      <c r="F601" s="40" t="n">
        <f aca="false">'Aug 17'!$A$41</f>
        <v>0</v>
      </c>
      <c r="G601" s="41" t="n">
        <f aca="false">'Aug 17'!$F$41</f>
        <v>0</v>
      </c>
      <c r="H601" s="41" t="n">
        <f aca="false">'Aug 17'!$G$41</f>
        <v>0</v>
      </c>
      <c r="I601" s="41" t="str">
        <f aca="false">'Aug 17'!$M$41</f>
        <v/>
      </c>
      <c r="J601" s="42" t="str">
        <f aca="false">'Aug 17'!$S$41</f>
        <v/>
      </c>
      <c r="K601" s="40" t="n">
        <f aca="false">'Aug 17'!$AG$41</f>
        <v>0</v>
      </c>
      <c r="L601" s="40" t="n">
        <f aca="false">'Aug 17'!$N$41</f>
        <v>0</v>
      </c>
    </row>
    <row r="602" customFormat="false" ht="15" hidden="false" customHeight="false" outlineLevel="0" collapsed="false">
      <c r="A602" s="38" t="str">
        <f aca="false">IF(OR(C602="",C602=0),"",IF(AND(OR($B$5="",G602=$B$5,H602=$B$5),OR($D$5="",F602=$D$5),OR($E$5="",K602=$E$5),OR($G$5="",L602=$G$5),OR($H$5="",N(J602)&gt;=$H$5),OR($I$5="",ISNUMBER(SEARCH($I$5,C602&amp;" "&amp;D602&amp;" "&amp;E602&amp;" "&amp;I602)))),"✓",""))</f>
        <v/>
      </c>
      <c r="B602" s="39" t="n">
        <v>46251</v>
      </c>
      <c r="C602" s="40" t="n">
        <f aca="false">'Aug 17'!$D$42</f>
        <v>0</v>
      </c>
      <c r="D602" s="40" t="n">
        <f aca="false">'Aug 17'!$B$42</f>
        <v>0</v>
      </c>
      <c r="E602" s="41" t="n">
        <f aca="false">'Aug 17'!$E$42</f>
        <v>0</v>
      </c>
      <c r="F602" s="40" t="n">
        <f aca="false">'Aug 17'!$A$42</f>
        <v>0</v>
      </c>
      <c r="G602" s="41" t="n">
        <f aca="false">'Aug 17'!$F$42</f>
        <v>0</v>
      </c>
      <c r="H602" s="41" t="n">
        <f aca="false">'Aug 17'!$G$42</f>
        <v>0</v>
      </c>
      <c r="I602" s="41" t="str">
        <f aca="false">'Aug 17'!$M$42</f>
        <v/>
      </c>
      <c r="J602" s="42" t="str">
        <f aca="false">'Aug 17'!$S$42</f>
        <v/>
      </c>
      <c r="K602" s="40" t="n">
        <f aca="false">'Aug 17'!$AG$42</f>
        <v>0</v>
      </c>
      <c r="L602" s="40" t="n">
        <f aca="false">'Aug 17'!$N$42</f>
        <v>0</v>
      </c>
    </row>
    <row r="603" customFormat="false" ht="15" hidden="false" customHeight="false" outlineLevel="0" collapsed="false">
      <c r="A603" s="38" t="str">
        <f aca="false">IF(OR(C603="",C603=0),"",IF(AND(OR($B$5="",G603=$B$5,H603=$B$5),OR($D$5="",F603=$D$5),OR($E$5="",K603=$E$5),OR($G$5="",L603=$G$5),OR($H$5="",N(J603)&gt;=$H$5),OR($I$5="",ISNUMBER(SEARCH($I$5,C603&amp;" "&amp;D603&amp;" "&amp;E603&amp;" "&amp;I603)))),"✓",""))</f>
        <v/>
      </c>
      <c r="B603" s="39" t="n">
        <v>46252</v>
      </c>
      <c r="C603" s="40" t="n">
        <f aca="false">'Aug 18'!$D$8</f>
        <v>0</v>
      </c>
      <c r="D603" s="40" t="n">
        <f aca="false">'Aug 18'!$B$8</f>
        <v>0</v>
      </c>
      <c r="E603" s="41" t="n">
        <f aca="false">'Aug 18'!$E$8</f>
        <v>0</v>
      </c>
      <c r="F603" s="40" t="n">
        <f aca="false">'Aug 18'!$A$8</f>
        <v>0</v>
      </c>
      <c r="G603" s="41" t="n">
        <f aca="false">'Aug 18'!$F$8</f>
        <v>0</v>
      </c>
      <c r="H603" s="41" t="n">
        <f aca="false">'Aug 18'!$G$8</f>
        <v>0</v>
      </c>
      <c r="I603" s="41" t="str">
        <f aca="false">'Aug 18'!$M$8</f>
        <v/>
      </c>
      <c r="J603" s="42" t="str">
        <f aca="false">'Aug 18'!$S$8</f>
        <v/>
      </c>
      <c r="K603" s="40" t="n">
        <f aca="false">'Aug 18'!$AG$8</f>
        <v>0</v>
      </c>
      <c r="L603" s="40" t="n">
        <f aca="false">'Aug 18'!$N$8</f>
        <v>0</v>
      </c>
    </row>
    <row r="604" customFormat="false" ht="15" hidden="false" customHeight="false" outlineLevel="0" collapsed="false">
      <c r="A604" s="38" t="str">
        <f aca="false">IF(OR(C604="",C604=0),"",IF(AND(OR($B$5="",G604=$B$5,H604=$B$5),OR($D$5="",F604=$D$5),OR($E$5="",K604=$E$5),OR($G$5="",L604=$G$5),OR($H$5="",N(J604)&gt;=$H$5),OR($I$5="",ISNUMBER(SEARCH($I$5,C604&amp;" "&amp;D604&amp;" "&amp;E604&amp;" "&amp;I604)))),"✓",""))</f>
        <v/>
      </c>
      <c r="B604" s="39" t="n">
        <v>46252</v>
      </c>
      <c r="C604" s="40" t="n">
        <f aca="false">'Aug 18'!$D$9</f>
        <v>0</v>
      </c>
      <c r="D604" s="40" t="n">
        <f aca="false">'Aug 18'!$B$9</f>
        <v>0</v>
      </c>
      <c r="E604" s="41" t="n">
        <f aca="false">'Aug 18'!$E$9</f>
        <v>0</v>
      </c>
      <c r="F604" s="40" t="n">
        <f aca="false">'Aug 18'!$A$9</f>
        <v>0</v>
      </c>
      <c r="G604" s="41" t="n">
        <f aca="false">'Aug 18'!$F$9</f>
        <v>0</v>
      </c>
      <c r="H604" s="41" t="n">
        <f aca="false">'Aug 18'!$G$9</f>
        <v>0</v>
      </c>
      <c r="I604" s="41" t="str">
        <f aca="false">'Aug 18'!$M$9</f>
        <v/>
      </c>
      <c r="J604" s="42" t="str">
        <f aca="false">'Aug 18'!$S$9</f>
        <v/>
      </c>
      <c r="K604" s="40" t="n">
        <f aca="false">'Aug 18'!$AG$9</f>
        <v>0</v>
      </c>
      <c r="L604" s="40" t="n">
        <f aca="false">'Aug 18'!$N$9</f>
        <v>0</v>
      </c>
    </row>
    <row r="605" customFormat="false" ht="15" hidden="false" customHeight="false" outlineLevel="0" collapsed="false">
      <c r="A605" s="38" t="str">
        <f aca="false">IF(OR(C605="",C605=0),"",IF(AND(OR($B$5="",G605=$B$5,H605=$B$5),OR($D$5="",F605=$D$5),OR($E$5="",K605=$E$5),OR($G$5="",L605=$G$5),OR($H$5="",N(J605)&gt;=$H$5),OR($I$5="",ISNUMBER(SEARCH($I$5,C605&amp;" "&amp;D605&amp;" "&amp;E605&amp;" "&amp;I605)))),"✓",""))</f>
        <v/>
      </c>
      <c r="B605" s="39" t="n">
        <v>46252</v>
      </c>
      <c r="C605" s="40" t="n">
        <f aca="false">'Aug 18'!$D$10</f>
        <v>0</v>
      </c>
      <c r="D605" s="40" t="n">
        <f aca="false">'Aug 18'!$B$10</f>
        <v>0</v>
      </c>
      <c r="E605" s="41" t="n">
        <f aca="false">'Aug 18'!$E$10</f>
        <v>0</v>
      </c>
      <c r="F605" s="40" t="n">
        <f aca="false">'Aug 18'!$A$10</f>
        <v>0</v>
      </c>
      <c r="G605" s="41" t="n">
        <f aca="false">'Aug 18'!$F$10</f>
        <v>0</v>
      </c>
      <c r="H605" s="41" t="n">
        <f aca="false">'Aug 18'!$G$10</f>
        <v>0</v>
      </c>
      <c r="I605" s="41" t="str">
        <f aca="false">'Aug 18'!$M$10</f>
        <v/>
      </c>
      <c r="J605" s="42" t="str">
        <f aca="false">'Aug 18'!$S$10</f>
        <v/>
      </c>
      <c r="K605" s="40" t="n">
        <f aca="false">'Aug 18'!$AG$10</f>
        <v>0</v>
      </c>
      <c r="L605" s="40" t="n">
        <f aca="false">'Aug 18'!$N$10</f>
        <v>0</v>
      </c>
    </row>
    <row r="606" customFormat="false" ht="15" hidden="false" customHeight="false" outlineLevel="0" collapsed="false">
      <c r="A606" s="38" t="str">
        <f aca="false">IF(OR(C606="",C606=0),"",IF(AND(OR($B$5="",G606=$B$5,H606=$B$5),OR($D$5="",F606=$D$5),OR($E$5="",K606=$E$5),OR($G$5="",L606=$G$5),OR($H$5="",N(J606)&gt;=$H$5),OR($I$5="",ISNUMBER(SEARCH($I$5,C606&amp;" "&amp;D606&amp;" "&amp;E606&amp;" "&amp;I606)))),"✓",""))</f>
        <v/>
      </c>
      <c r="B606" s="39" t="n">
        <v>46252</v>
      </c>
      <c r="C606" s="40" t="n">
        <f aca="false">'Aug 18'!$D$11</f>
        <v>0</v>
      </c>
      <c r="D606" s="40" t="n">
        <f aca="false">'Aug 18'!$B$11</f>
        <v>0</v>
      </c>
      <c r="E606" s="41" t="n">
        <f aca="false">'Aug 18'!$E$11</f>
        <v>0</v>
      </c>
      <c r="F606" s="40" t="n">
        <f aca="false">'Aug 18'!$A$11</f>
        <v>0</v>
      </c>
      <c r="G606" s="41" t="n">
        <f aca="false">'Aug 18'!$F$11</f>
        <v>0</v>
      </c>
      <c r="H606" s="41" t="n">
        <f aca="false">'Aug 18'!$G$11</f>
        <v>0</v>
      </c>
      <c r="I606" s="41" t="str">
        <f aca="false">'Aug 18'!$M$11</f>
        <v/>
      </c>
      <c r="J606" s="42" t="str">
        <f aca="false">'Aug 18'!$S$11</f>
        <v/>
      </c>
      <c r="K606" s="40" t="n">
        <f aca="false">'Aug 18'!$AG$11</f>
        <v>0</v>
      </c>
      <c r="L606" s="40" t="n">
        <f aca="false">'Aug 18'!$N$11</f>
        <v>0</v>
      </c>
    </row>
    <row r="607" customFormat="false" ht="15" hidden="false" customHeight="false" outlineLevel="0" collapsed="false">
      <c r="A607" s="38" t="str">
        <f aca="false">IF(OR(C607="",C607=0),"",IF(AND(OR($B$5="",G607=$B$5,H607=$B$5),OR($D$5="",F607=$D$5),OR($E$5="",K607=$E$5),OR($G$5="",L607=$G$5),OR($H$5="",N(J607)&gt;=$H$5),OR($I$5="",ISNUMBER(SEARCH($I$5,C607&amp;" "&amp;D607&amp;" "&amp;E607&amp;" "&amp;I607)))),"✓",""))</f>
        <v/>
      </c>
      <c r="B607" s="39" t="n">
        <v>46252</v>
      </c>
      <c r="C607" s="40" t="n">
        <f aca="false">'Aug 18'!$D$12</f>
        <v>0</v>
      </c>
      <c r="D607" s="40" t="n">
        <f aca="false">'Aug 18'!$B$12</f>
        <v>0</v>
      </c>
      <c r="E607" s="41" t="n">
        <f aca="false">'Aug 18'!$E$12</f>
        <v>0</v>
      </c>
      <c r="F607" s="40" t="n">
        <f aca="false">'Aug 18'!$A$12</f>
        <v>0</v>
      </c>
      <c r="G607" s="41" t="n">
        <f aca="false">'Aug 18'!$F$12</f>
        <v>0</v>
      </c>
      <c r="H607" s="41" t="n">
        <f aca="false">'Aug 18'!$G$12</f>
        <v>0</v>
      </c>
      <c r="I607" s="41" t="str">
        <f aca="false">'Aug 18'!$M$12</f>
        <v/>
      </c>
      <c r="J607" s="42" t="str">
        <f aca="false">'Aug 18'!$S$12</f>
        <v/>
      </c>
      <c r="K607" s="40" t="n">
        <f aca="false">'Aug 18'!$AG$12</f>
        <v>0</v>
      </c>
      <c r="L607" s="40" t="n">
        <f aca="false">'Aug 18'!$N$12</f>
        <v>0</v>
      </c>
    </row>
    <row r="608" customFormat="false" ht="15" hidden="false" customHeight="false" outlineLevel="0" collapsed="false">
      <c r="A608" s="38" t="str">
        <f aca="false">IF(OR(C608="",C608=0),"",IF(AND(OR($B$5="",G608=$B$5,H608=$B$5),OR($D$5="",F608=$D$5),OR($E$5="",K608=$E$5),OR($G$5="",L608=$G$5),OR($H$5="",N(J608)&gt;=$H$5),OR($I$5="",ISNUMBER(SEARCH($I$5,C608&amp;" "&amp;D608&amp;" "&amp;E608&amp;" "&amp;I608)))),"✓",""))</f>
        <v/>
      </c>
      <c r="B608" s="39" t="n">
        <v>46252</v>
      </c>
      <c r="C608" s="40" t="n">
        <f aca="false">'Aug 18'!$D$13</f>
        <v>0</v>
      </c>
      <c r="D608" s="40" t="n">
        <f aca="false">'Aug 18'!$B$13</f>
        <v>0</v>
      </c>
      <c r="E608" s="41" t="n">
        <f aca="false">'Aug 18'!$E$13</f>
        <v>0</v>
      </c>
      <c r="F608" s="40" t="n">
        <f aca="false">'Aug 18'!$A$13</f>
        <v>0</v>
      </c>
      <c r="G608" s="41" t="n">
        <f aca="false">'Aug 18'!$F$13</f>
        <v>0</v>
      </c>
      <c r="H608" s="41" t="n">
        <f aca="false">'Aug 18'!$G$13</f>
        <v>0</v>
      </c>
      <c r="I608" s="41" t="str">
        <f aca="false">'Aug 18'!$M$13</f>
        <v/>
      </c>
      <c r="J608" s="42" t="str">
        <f aca="false">'Aug 18'!$S$13</f>
        <v/>
      </c>
      <c r="K608" s="40" t="n">
        <f aca="false">'Aug 18'!$AG$13</f>
        <v>0</v>
      </c>
      <c r="L608" s="40" t="n">
        <f aca="false">'Aug 18'!$N$13</f>
        <v>0</v>
      </c>
    </row>
    <row r="609" customFormat="false" ht="15" hidden="false" customHeight="false" outlineLevel="0" collapsed="false">
      <c r="A609" s="38" t="str">
        <f aca="false">IF(OR(C609="",C609=0),"",IF(AND(OR($B$5="",G609=$B$5,H609=$B$5),OR($D$5="",F609=$D$5),OR($E$5="",K609=$E$5),OR($G$5="",L609=$G$5),OR($H$5="",N(J609)&gt;=$H$5),OR($I$5="",ISNUMBER(SEARCH($I$5,C609&amp;" "&amp;D609&amp;" "&amp;E609&amp;" "&amp;I609)))),"✓",""))</f>
        <v/>
      </c>
      <c r="B609" s="39" t="n">
        <v>46252</v>
      </c>
      <c r="C609" s="40" t="n">
        <f aca="false">'Aug 18'!$D$14</f>
        <v>0</v>
      </c>
      <c r="D609" s="40" t="n">
        <f aca="false">'Aug 18'!$B$14</f>
        <v>0</v>
      </c>
      <c r="E609" s="41" t="n">
        <f aca="false">'Aug 18'!$E$14</f>
        <v>0</v>
      </c>
      <c r="F609" s="40" t="n">
        <f aca="false">'Aug 18'!$A$14</f>
        <v>0</v>
      </c>
      <c r="G609" s="41" t="n">
        <f aca="false">'Aug 18'!$F$14</f>
        <v>0</v>
      </c>
      <c r="H609" s="41" t="n">
        <f aca="false">'Aug 18'!$G$14</f>
        <v>0</v>
      </c>
      <c r="I609" s="41" t="str">
        <f aca="false">'Aug 18'!$M$14</f>
        <v/>
      </c>
      <c r="J609" s="42" t="str">
        <f aca="false">'Aug 18'!$S$14</f>
        <v/>
      </c>
      <c r="K609" s="40" t="n">
        <f aca="false">'Aug 18'!$AG$14</f>
        <v>0</v>
      </c>
      <c r="L609" s="40" t="n">
        <f aca="false">'Aug 18'!$N$14</f>
        <v>0</v>
      </c>
    </row>
    <row r="610" customFormat="false" ht="15" hidden="false" customHeight="false" outlineLevel="0" collapsed="false">
      <c r="A610" s="38" t="str">
        <f aca="false">IF(OR(C610="",C610=0),"",IF(AND(OR($B$5="",G610=$B$5,H610=$B$5),OR($D$5="",F610=$D$5),OR($E$5="",K610=$E$5),OR($G$5="",L610=$G$5),OR($H$5="",N(J610)&gt;=$H$5),OR($I$5="",ISNUMBER(SEARCH($I$5,C610&amp;" "&amp;D610&amp;" "&amp;E610&amp;" "&amp;I610)))),"✓",""))</f>
        <v/>
      </c>
      <c r="B610" s="39" t="n">
        <v>46252</v>
      </c>
      <c r="C610" s="40" t="n">
        <f aca="false">'Aug 18'!$D$15</f>
        <v>0</v>
      </c>
      <c r="D610" s="40" t="n">
        <f aca="false">'Aug 18'!$B$15</f>
        <v>0</v>
      </c>
      <c r="E610" s="41" t="n">
        <f aca="false">'Aug 18'!$E$15</f>
        <v>0</v>
      </c>
      <c r="F610" s="40" t="n">
        <f aca="false">'Aug 18'!$A$15</f>
        <v>0</v>
      </c>
      <c r="G610" s="41" t="n">
        <f aca="false">'Aug 18'!$F$15</f>
        <v>0</v>
      </c>
      <c r="H610" s="41" t="n">
        <f aca="false">'Aug 18'!$G$15</f>
        <v>0</v>
      </c>
      <c r="I610" s="41" t="str">
        <f aca="false">'Aug 18'!$M$15</f>
        <v/>
      </c>
      <c r="J610" s="42" t="str">
        <f aca="false">'Aug 18'!$S$15</f>
        <v/>
      </c>
      <c r="K610" s="40" t="n">
        <f aca="false">'Aug 18'!$AG$15</f>
        <v>0</v>
      </c>
      <c r="L610" s="40" t="n">
        <f aca="false">'Aug 18'!$N$15</f>
        <v>0</v>
      </c>
    </row>
    <row r="611" customFormat="false" ht="15" hidden="false" customHeight="false" outlineLevel="0" collapsed="false">
      <c r="A611" s="38" t="str">
        <f aca="false">IF(OR(C611="",C611=0),"",IF(AND(OR($B$5="",G611=$B$5,H611=$B$5),OR($D$5="",F611=$D$5),OR($E$5="",K611=$E$5),OR($G$5="",L611=$G$5),OR($H$5="",N(J611)&gt;=$H$5),OR($I$5="",ISNUMBER(SEARCH($I$5,C611&amp;" "&amp;D611&amp;" "&amp;E611&amp;" "&amp;I611)))),"✓",""))</f>
        <v/>
      </c>
      <c r="B611" s="39" t="n">
        <v>46252</v>
      </c>
      <c r="C611" s="40" t="n">
        <f aca="false">'Aug 18'!$D$16</f>
        <v>0</v>
      </c>
      <c r="D611" s="40" t="n">
        <f aca="false">'Aug 18'!$B$16</f>
        <v>0</v>
      </c>
      <c r="E611" s="41" t="n">
        <f aca="false">'Aug 18'!$E$16</f>
        <v>0</v>
      </c>
      <c r="F611" s="40" t="n">
        <f aca="false">'Aug 18'!$A$16</f>
        <v>0</v>
      </c>
      <c r="G611" s="41" t="n">
        <f aca="false">'Aug 18'!$F$16</f>
        <v>0</v>
      </c>
      <c r="H611" s="41" t="n">
        <f aca="false">'Aug 18'!$G$16</f>
        <v>0</v>
      </c>
      <c r="I611" s="41" t="str">
        <f aca="false">'Aug 18'!$M$16</f>
        <v/>
      </c>
      <c r="J611" s="42" t="str">
        <f aca="false">'Aug 18'!$S$16</f>
        <v/>
      </c>
      <c r="K611" s="40" t="n">
        <f aca="false">'Aug 18'!$AG$16</f>
        <v>0</v>
      </c>
      <c r="L611" s="40" t="n">
        <f aca="false">'Aug 18'!$N$16</f>
        <v>0</v>
      </c>
    </row>
    <row r="612" customFormat="false" ht="15" hidden="false" customHeight="false" outlineLevel="0" collapsed="false">
      <c r="A612" s="38" t="str">
        <f aca="false">IF(OR(C612="",C612=0),"",IF(AND(OR($B$5="",G612=$B$5,H612=$B$5),OR($D$5="",F612=$D$5),OR($E$5="",K612=$E$5),OR($G$5="",L612=$G$5),OR($H$5="",N(J612)&gt;=$H$5),OR($I$5="",ISNUMBER(SEARCH($I$5,C612&amp;" "&amp;D612&amp;" "&amp;E612&amp;" "&amp;I612)))),"✓",""))</f>
        <v/>
      </c>
      <c r="B612" s="39" t="n">
        <v>46252</v>
      </c>
      <c r="C612" s="40" t="n">
        <f aca="false">'Aug 18'!$D$17</f>
        <v>0</v>
      </c>
      <c r="D612" s="40" t="n">
        <f aca="false">'Aug 18'!$B$17</f>
        <v>0</v>
      </c>
      <c r="E612" s="41" t="n">
        <f aca="false">'Aug 18'!$E$17</f>
        <v>0</v>
      </c>
      <c r="F612" s="40" t="n">
        <f aca="false">'Aug 18'!$A$17</f>
        <v>0</v>
      </c>
      <c r="G612" s="41" t="n">
        <f aca="false">'Aug 18'!$F$17</f>
        <v>0</v>
      </c>
      <c r="H612" s="41" t="n">
        <f aca="false">'Aug 18'!$G$17</f>
        <v>0</v>
      </c>
      <c r="I612" s="41" t="str">
        <f aca="false">'Aug 18'!$M$17</f>
        <v/>
      </c>
      <c r="J612" s="42" t="str">
        <f aca="false">'Aug 18'!$S$17</f>
        <v/>
      </c>
      <c r="K612" s="40" t="n">
        <f aca="false">'Aug 18'!$AG$17</f>
        <v>0</v>
      </c>
      <c r="L612" s="40" t="n">
        <f aca="false">'Aug 18'!$N$17</f>
        <v>0</v>
      </c>
    </row>
    <row r="613" customFormat="false" ht="15" hidden="false" customHeight="false" outlineLevel="0" collapsed="false">
      <c r="A613" s="38" t="str">
        <f aca="false">IF(OR(C613="",C613=0),"",IF(AND(OR($B$5="",G613=$B$5,H613=$B$5),OR($D$5="",F613=$D$5),OR($E$5="",K613=$E$5),OR($G$5="",L613=$G$5),OR($H$5="",N(J613)&gt;=$H$5),OR($I$5="",ISNUMBER(SEARCH($I$5,C613&amp;" "&amp;D613&amp;" "&amp;E613&amp;" "&amp;I613)))),"✓",""))</f>
        <v/>
      </c>
      <c r="B613" s="39" t="n">
        <v>46252</v>
      </c>
      <c r="C613" s="40" t="n">
        <f aca="false">'Aug 18'!$D$18</f>
        <v>0</v>
      </c>
      <c r="D613" s="40" t="n">
        <f aca="false">'Aug 18'!$B$18</f>
        <v>0</v>
      </c>
      <c r="E613" s="41" t="n">
        <f aca="false">'Aug 18'!$E$18</f>
        <v>0</v>
      </c>
      <c r="F613" s="40" t="n">
        <f aca="false">'Aug 18'!$A$18</f>
        <v>0</v>
      </c>
      <c r="G613" s="41" t="n">
        <f aca="false">'Aug 18'!$F$18</f>
        <v>0</v>
      </c>
      <c r="H613" s="41" t="n">
        <f aca="false">'Aug 18'!$G$18</f>
        <v>0</v>
      </c>
      <c r="I613" s="41" t="str">
        <f aca="false">'Aug 18'!$M$18</f>
        <v/>
      </c>
      <c r="J613" s="42" t="str">
        <f aca="false">'Aug 18'!$S$18</f>
        <v/>
      </c>
      <c r="K613" s="40" t="n">
        <f aca="false">'Aug 18'!$AG$18</f>
        <v>0</v>
      </c>
      <c r="L613" s="40" t="n">
        <f aca="false">'Aug 18'!$N$18</f>
        <v>0</v>
      </c>
    </row>
    <row r="614" customFormat="false" ht="15" hidden="false" customHeight="false" outlineLevel="0" collapsed="false">
      <c r="A614" s="38" t="str">
        <f aca="false">IF(OR(C614="",C614=0),"",IF(AND(OR($B$5="",G614=$B$5,H614=$B$5),OR($D$5="",F614=$D$5),OR($E$5="",K614=$E$5),OR($G$5="",L614=$G$5),OR($H$5="",N(J614)&gt;=$H$5),OR($I$5="",ISNUMBER(SEARCH($I$5,C614&amp;" "&amp;D614&amp;" "&amp;E614&amp;" "&amp;I614)))),"✓",""))</f>
        <v/>
      </c>
      <c r="B614" s="39" t="n">
        <v>46252</v>
      </c>
      <c r="C614" s="40" t="n">
        <f aca="false">'Aug 18'!$D$19</f>
        <v>0</v>
      </c>
      <c r="D614" s="40" t="n">
        <f aca="false">'Aug 18'!$B$19</f>
        <v>0</v>
      </c>
      <c r="E614" s="41" t="n">
        <f aca="false">'Aug 18'!$E$19</f>
        <v>0</v>
      </c>
      <c r="F614" s="40" t="n">
        <f aca="false">'Aug 18'!$A$19</f>
        <v>0</v>
      </c>
      <c r="G614" s="41" t="n">
        <f aca="false">'Aug 18'!$F$19</f>
        <v>0</v>
      </c>
      <c r="H614" s="41" t="n">
        <f aca="false">'Aug 18'!$G$19</f>
        <v>0</v>
      </c>
      <c r="I614" s="41" t="str">
        <f aca="false">'Aug 18'!$M$19</f>
        <v/>
      </c>
      <c r="J614" s="42" t="str">
        <f aca="false">'Aug 18'!$S$19</f>
        <v/>
      </c>
      <c r="K614" s="40" t="n">
        <f aca="false">'Aug 18'!$AG$19</f>
        <v>0</v>
      </c>
      <c r="L614" s="40" t="n">
        <f aca="false">'Aug 18'!$N$19</f>
        <v>0</v>
      </c>
    </row>
    <row r="615" customFormat="false" ht="15" hidden="false" customHeight="false" outlineLevel="0" collapsed="false">
      <c r="A615" s="38" t="str">
        <f aca="false">IF(OR(C615="",C615=0),"",IF(AND(OR($B$5="",G615=$B$5,H615=$B$5),OR($D$5="",F615=$D$5),OR($E$5="",K615=$E$5),OR($G$5="",L615=$G$5),OR($H$5="",N(J615)&gt;=$H$5),OR($I$5="",ISNUMBER(SEARCH($I$5,C615&amp;" "&amp;D615&amp;" "&amp;E615&amp;" "&amp;I615)))),"✓",""))</f>
        <v/>
      </c>
      <c r="B615" s="39" t="n">
        <v>46252</v>
      </c>
      <c r="C615" s="40" t="n">
        <f aca="false">'Aug 18'!$D$20</f>
        <v>0</v>
      </c>
      <c r="D615" s="40" t="n">
        <f aca="false">'Aug 18'!$B$20</f>
        <v>0</v>
      </c>
      <c r="E615" s="41" t="n">
        <f aca="false">'Aug 18'!$E$20</f>
        <v>0</v>
      </c>
      <c r="F615" s="40" t="n">
        <f aca="false">'Aug 18'!$A$20</f>
        <v>0</v>
      </c>
      <c r="G615" s="41" t="n">
        <f aca="false">'Aug 18'!$F$20</f>
        <v>0</v>
      </c>
      <c r="H615" s="41" t="n">
        <f aca="false">'Aug 18'!$G$20</f>
        <v>0</v>
      </c>
      <c r="I615" s="41" t="str">
        <f aca="false">'Aug 18'!$M$20</f>
        <v/>
      </c>
      <c r="J615" s="42" t="str">
        <f aca="false">'Aug 18'!$S$20</f>
        <v/>
      </c>
      <c r="K615" s="40" t="n">
        <f aca="false">'Aug 18'!$AG$20</f>
        <v>0</v>
      </c>
      <c r="L615" s="40" t="n">
        <f aca="false">'Aug 18'!$N$20</f>
        <v>0</v>
      </c>
    </row>
    <row r="616" customFormat="false" ht="15" hidden="false" customHeight="false" outlineLevel="0" collapsed="false">
      <c r="A616" s="38" t="str">
        <f aca="false">IF(OR(C616="",C616=0),"",IF(AND(OR($B$5="",G616=$B$5,H616=$B$5),OR($D$5="",F616=$D$5),OR($E$5="",K616=$E$5),OR($G$5="",L616=$G$5),OR($H$5="",N(J616)&gt;=$H$5),OR($I$5="",ISNUMBER(SEARCH($I$5,C616&amp;" "&amp;D616&amp;" "&amp;E616&amp;" "&amp;I616)))),"✓",""))</f>
        <v/>
      </c>
      <c r="B616" s="39" t="n">
        <v>46252</v>
      </c>
      <c r="C616" s="40" t="n">
        <f aca="false">'Aug 18'!$D$21</f>
        <v>0</v>
      </c>
      <c r="D616" s="40" t="n">
        <f aca="false">'Aug 18'!$B$21</f>
        <v>0</v>
      </c>
      <c r="E616" s="41" t="n">
        <f aca="false">'Aug 18'!$E$21</f>
        <v>0</v>
      </c>
      <c r="F616" s="40" t="n">
        <f aca="false">'Aug 18'!$A$21</f>
        <v>0</v>
      </c>
      <c r="G616" s="41" t="n">
        <f aca="false">'Aug 18'!$F$21</f>
        <v>0</v>
      </c>
      <c r="H616" s="41" t="n">
        <f aca="false">'Aug 18'!$G$21</f>
        <v>0</v>
      </c>
      <c r="I616" s="41" t="str">
        <f aca="false">'Aug 18'!$M$21</f>
        <v/>
      </c>
      <c r="J616" s="42" t="str">
        <f aca="false">'Aug 18'!$S$21</f>
        <v/>
      </c>
      <c r="K616" s="40" t="n">
        <f aca="false">'Aug 18'!$AG$21</f>
        <v>0</v>
      </c>
      <c r="L616" s="40" t="n">
        <f aca="false">'Aug 18'!$N$21</f>
        <v>0</v>
      </c>
    </row>
    <row r="617" customFormat="false" ht="15" hidden="false" customHeight="false" outlineLevel="0" collapsed="false">
      <c r="A617" s="38" t="str">
        <f aca="false">IF(OR(C617="",C617=0),"",IF(AND(OR($B$5="",G617=$B$5,H617=$B$5),OR($D$5="",F617=$D$5),OR($E$5="",K617=$E$5),OR($G$5="",L617=$G$5),OR($H$5="",N(J617)&gt;=$H$5),OR($I$5="",ISNUMBER(SEARCH($I$5,C617&amp;" "&amp;D617&amp;" "&amp;E617&amp;" "&amp;I617)))),"✓",""))</f>
        <v/>
      </c>
      <c r="B617" s="39" t="n">
        <v>46252</v>
      </c>
      <c r="C617" s="40" t="n">
        <f aca="false">'Aug 18'!$D$22</f>
        <v>0</v>
      </c>
      <c r="D617" s="40" t="n">
        <f aca="false">'Aug 18'!$B$22</f>
        <v>0</v>
      </c>
      <c r="E617" s="41" t="n">
        <f aca="false">'Aug 18'!$E$22</f>
        <v>0</v>
      </c>
      <c r="F617" s="40" t="n">
        <f aca="false">'Aug 18'!$A$22</f>
        <v>0</v>
      </c>
      <c r="G617" s="41" t="n">
        <f aca="false">'Aug 18'!$F$22</f>
        <v>0</v>
      </c>
      <c r="H617" s="41" t="n">
        <f aca="false">'Aug 18'!$G$22</f>
        <v>0</v>
      </c>
      <c r="I617" s="41" t="str">
        <f aca="false">'Aug 18'!$M$22</f>
        <v/>
      </c>
      <c r="J617" s="42" t="str">
        <f aca="false">'Aug 18'!$S$22</f>
        <v/>
      </c>
      <c r="K617" s="40" t="n">
        <f aca="false">'Aug 18'!$AG$22</f>
        <v>0</v>
      </c>
      <c r="L617" s="40" t="n">
        <f aca="false">'Aug 18'!$N$22</f>
        <v>0</v>
      </c>
    </row>
    <row r="618" customFormat="false" ht="15" hidden="false" customHeight="false" outlineLevel="0" collapsed="false">
      <c r="A618" s="38" t="str">
        <f aca="false">IF(OR(C618="",C618=0),"",IF(AND(OR($B$5="",G618=$B$5,H618=$B$5),OR($D$5="",F618=$D$5),OR($E$5="",K618=$E$5),OR($G$5="",L618=$G$5),OR($H$5="",N(J618)&gt;=$H$5),OR($I$5="",ISNUMBER(SEARCH($I$5,C618&amp;" "&amp;D618&amp;" "&amp;E618&amp;" "&amp;I618)))),"✓",""))</f>
        <v/>
      </c>
      <c r="B618" s="39" t="n">
        <v>46252</v>
      </c>
      <c r="C618" s="40" t="n">
        <f aca="false">'Aug 18'!$D$23</f>
        <v>0</v>
      </c>
      <c r="D618" s="40" t="n">
        <f aca="false">'Aug 18'!$B$23</f>
        <v>0</v>
      </c>
      <c r="E618" s="41" t="n">
        <f aca="false">'Aug 18'!$E$23</f>
        <v>0</v>
      </c>
      <c r="F618" s="40" t="n">
        <f aca="false">'Aug 18'!$A$23</f>
        <v>0</v>
      </c>
      <c r="G618" s="41" t="n">
        <f aca="false">'Aug 18'!$F$23</f>
        <v>0</v>
      </c>
      <c r="H618" s="41" t="n">
        <f aca="false">'Aug 18'!$G$23</f>
        <v>0</v>
      </c>
      <c r="I618" s="41" t="str">
        <f aca="false">'Aug 18'!$M$23</f>
        <v/>
      </c>
      <c r="J618" s="42" t="str">
        <f aca="false">'Aug 18'!$S$23</f>
        <v/>
      </c>
      <c r="K618" s="40" t="n">
        <f aca="false">'Aug 18'!$AG$23</f>
        <v>0</v>
      </c>
      <c r="L618" s="40" t="n">
        <f aca="false">'Aug 18'!$N$23</f>
        <v>0</v>
      </c>
    </row>
    <row r="619" customFormat="false" ht="15" hidden="false" customHeight="false" outlineLevel="0" collapsed="false">
      <c r="A619" s="38" t="str">
        <f aca="false">IF(OR(C619="",C619=0),"",IF(AND(OR($B$5="",G619=$B$5,H619=$B$5),OR($D$5="",F619=$D$5),OR($E$5="",K619=$E$5),OR($G$5="",L619=$G$5),OR($H$5="",N(J619)&gt;=$H$5),OR($I$5="",ISNUMBER(SEARCH($I$5,C619&amp;" "&amp;D619&amp;" "&amp;E619&amp;" "&amp;I619)))),"✓",""))</f>
        <v/>
      </c>
      <c r="B619" s="39" t="n">
        <v>46252</v>
      </c>
      <c r="C619" s="40" t="n">
        <f aca="false">'Aug 18'!$D$24</f>
        <v>0</v>
      </c>
      <c r="D619" s="40" t="n">
        <f aca="false">'Aug 18'!$B$24</f>
        <v>0</v>
      </c>
      <c r="E619" s="41" t="n">
        <f aca="false">'Aug 18'!$E$24</f>
        <v>0</v>
      </c>
      <c r="F619" s="40" t="n">
        <f aca="false">'Aug 18'!$A$24</f>
        <v>0</v>
      </c>
      <c r="G619" s="41" t="n">
        <f aca="false">'Aug 18'!$F$24</f>
        <v>0</v>
      </c>
      <c r="H619" s="41" t="n">
        <f aca="false">'Aug 18'!$G$24</f>
        <v>0</v>
      </c>
      <c r="I619" s="41" t="str">
        <f aca="false">'Aug 18'!$M$24</f>
        <v/>
      </c>
      <c r="J619" s="42" t="str">
        <f aca="false">'Aug 18'!$S$24</f>
        <v/>
      </c>
      <c r="K619" s="40" t="n">
        <f aca="false">'Aug 18'!$AG$24</f>
        <v>0</v>
      </c>
      <c r="L619" s="40" t="n">
        <f aca="false">'Aug 18'!$N$24</f>
        <v>0</v>
      </c>
    </row>
    <row r="620" customFormat="false" ht="15" hidden="false" customHeight="false" outlineLevel="0" collapsed="false">
      <c r="A620" s="38" t="str">
        <f aca="false">IF(OR(C620="",C620=0),"",IF(AND(OR($B$5="",G620=$B$5,H620=$B$5),OR($D$5="",F620=$D$5),OR($E$5="",K620=$E$5),OR($G$5="",L620=$G$5),OR($H$5="",N(J620)&gt;=$H$5),OR($I$5="",ISNUMBER(SEARCH($I$5,C620&amp;" "&amp;D620&amp;" "&amp;E620&amp;" "&amp;I620)))),"✓",""))</f>
        <v/>
      </c>
      <c r="B620" s="39" t="n">
        <v>46252</v>
      </c>
      <c r="C620" s="40" t="n">
        <f aca="false">'Aug 18'!$D$25</f>
        <v>0</v>
      </c>
      <c r="D620" s="40" t="n">
        <f aca="false">'Aug 18'!$B$25</f>
        <v>0</v>
      </c>
      <c r="E620" s="41" t="n">
        <f aca="false">'Aug 18'!$E$25</f>
        <v>0</v>
      </c>
      <c r="F620" s="40" t="n">
        <f aca="false">'Aug 18'!$A$25</f>
        <v>0</v>
      </c>
      <c r="G620" s="41" t="n">
        <f aca="false">'Aug 18'!$F$25</f>
        <v>0</v>
      </c>
      <c r="H620" s="41" t="n">
        <f aca="false">'Aug 18'!$G$25</f>
        <v>0</v>
      </c>
      <c r="I620" s="41" t="str">
        <f aca="false">'Aug 18'!$M$25</f>
        <v/>
      </c>
      <c r="J620" s="42" t="str">
        <f aca="false">'Aug 18'!$S$25</f>
        <v/>
      </c>
      <c r="K620" s="40" t="n">
        <f aca="false">'Aug 18'!$AG$25</f>
        <v>0</v>
      </c>
      <c r="L620" s="40" t="n">
        <f aca="false">'Aug 18'!$N$25</f>
        <v>0</v>
      </c>
    </row>
    <row r="621" customFormat="false" ht="15" hidden="false" customHeight="false" outlineLevel="0" collapsed="false">
      <c r="A621" s="38" t="str">
        <f aca="false">IF(OR(C621="",C621=0),"",IF(AND(OR($B$5="",G621=$B$5,H621=$B$5),OR($D$5="",F621=$D$5),OR($E$5="",K621=$E$5),OR($G$5="",L621=$G$5),OR($H$5="",N(J621)&gt;=$H$5),OR($I$5="",ISNUMBER(SEARCH($I$5,C621&amp;" "&amp;D621&amp;" "&amp;E621&amp;" "&amp;I621)))),"✓",""))</f>
        <v/>
      </c>
      <c r="B621" s="39" t="n">
        <v>46252</v>
      </c>
      <c r="C621" s="40" t="n">
        <f aca="false">'Aug 18'!$D$26</f>
        <v>0</v>
      </c>
      <c r="D621" s="40" t="n">
        <f aca="false">'Aug 18'!$B$26</f>
        <v>0</v>
      </c>
      <c r="E621" s="41" t="n">
        <f aca="false">'Aug 18'!$E$26</f>
        <v>0</v>
      </c>
      <c r="F621" s="40" t="n">
        <f aca="false">'Aug 18'!$A$26</f>
        <v>0</v>
      </c>
      <c r="G621" s="41" t="n">
        <f aca="false">'Aug 18'!$F$26</f>
        <v>0</v>
      </c>
      <c r="H621" s="41" t="n">
        <f aca="false">'Aug 18'!$G$26</f>
        <v>0</v>
      </c>
      <c r="I621" s="41" t="str">
        <f aca="false">'Aug 18'!$M$26</f>
        <v/>
      </c>
      <c r="J621" s="42" t="str">
        <f aca="false">'Aug 18'!$S$26</f>
        <v/>
      </c>
      <c r="K621" s="40" t="n">
        <f aca="false">'Aug 18'!$AG$26</f>
        <v>0</v>
      </c>
      <c r="L621" s="40" t="n">
        <f aca="false">'Aug 18'!$N$26</f>
        <v>0</v>
      </c>
    </row>
    <row r="622" customFormat="false" ht="15" hidden="false" customHeight="false" outlineLevel="0" collapsed="false">
      <c r="A622" s="38" t="str">
        <f aca="false">IF(OR(C622="",C622=0),"",IF(AND(OR($B$5="",G622=$B$5,H622=$B$5),OR($D$5="",F622=$D$5),OR($E$5="",K622=$E$5),OR($G$5="",L622=$G$5),OR($H$5="",N(J622)&gt;=$H$5),OR($I$5="",ISNUMBER(SEARCH($I$5,C622&amp;" "&amp;D622&amp;" "&amp;E622&amp;" "&amp;I622)))),"✓",""))</f>
        <v/>
      </c>
      <c r="B622" s="39" t="n">
        <v>46252</v>
      </c>
      <c r="C622" s="40" t="n">
        <f aca="false">'Aug 18'!$D$27</f>
        <v>0</v>
      </c>
      <c r="D622" s="40" t="n">
        <f aca="false">'Aug 18'!$B$27</f>
        <v>0</v>
      </c>
      <c r="E622" s="41" t="n">
        <f aca="false">'Aug 18'!$E$27</f>
        <v>0</v>
      </c>
      <c r="F622" s="40" t="n">
        <f aca="false">'Aug 18'!$A$27</f>
        <v>0</v>
      </c>
      <c r="G622" s="41" t="n">
        <f aca="false">'Aug 18'!$F$27</f>
        <v>0</v>
      </c>
      <c r="H622" s="41" t="n">
        <f aca="false">'Aug 18'!$G$27</f>
        <v>0</v>
      </c>
      <c r="I622" s="41" t="str">
        <f aca="false">'Aug 18'!$M$27</f>
        <v/>
      </c>
      <c r="J622" s="42" t="str">
        <f aca="false">'Aug 18'!$S$27</f>
        <v/>
      </c>
      <c r="K622" s="40" t="n">
        <f aca="false">'Aug 18'!$AG$27</f>
        <v>0</v>
      </c>
      <c r="L622" s="40" t="n">
        <f aca="false">'Aug 18'!$N$27</f>
        <v>0</v>
      </c>
    </row>
    <row r="623" customFormat="false" ht="15" hidden="false" customHeight="false" outlineLevel="0" collapsed="false">
      <c r="A623" s="38" t="str">
        <f aca="false">IF(OR(C623="",C623=0),"",IF(AND(OR($B$5="",G623=$B$5,H623=$B$5),OR($D$5="",F623=$D$5),OR($E$5="",K623=$E$5),OR($G$5="",L623=$G$5),OR($H$5="",N(J623)&gt;=$H$5),OR($I$5="",ISNUMBER(SEARCH($I$5,C623&amp;" "&amp;D623&amp;" "&amp;E623&amp;" "&amp;I623)))),"✓",""))</f>
        <v/>
      </c>
      <c r="B623" s="39" t="n">
        <v>46252</v>
      </c>
      <c r="C623" s="40" t="n">
        <f aca="false">'Aug 18'!$D$28</f>
        <v>0</v>
      </c>
      <c r="D623" s="40" t="n">
        <f aca="false">'Aug 18'!$B$28</f>
        <v>0</v>
      </c>
      <c r="E623" s="41" t="n">
        <f aca="false">'Aug 18'!$E$28</f>
        <v>0</v>
      </c>
      <c r="F623" s="40" t="n">
        <f aca="false">'Aug 18'!$A$28</f>
        <v>0</v>
      </c>
      <c r="G623" s="41" t="n">
        <f aca="false">'Aug 18'!$F$28</f>
        <v>0</v>
      </c>
      <c r="H623" s="41" t="n">
        <f aca="false">'Aug 18'!$G$28</f>
        <v>0</v>
      </c>
      <c r="I623" s="41" t="str">
        <f aca="false">'Aug 18'!$M$28</f>
        <v/>
      </c>
      <c r="J623" s="42" t="str">
        <f aca="false">'Aug 18'!$S$28</f>
        <v/>
      </c>
      <c r="K623" s="40" t="n">
        <f aca="false">'Aug 18'!$AG$28</f>
        <v>0</v>
      </c>
      <c r="L623" s="40" t="n">
        <f aca="false">'Aug 18'!$N$28</f>
        <v>0</v>
      </c>
    </row>
    <row r="624" customFormat="false" ht="15" hidden="false" customHeight="false" outlineLevel="0" collapsed="false">
      <c r="A624" s="38" t="str">
        <f aca="false">IF(OR(C624="",C624=0),"",IF(AND(OR($B$5="",G624=$B$5,H624=$B$5),OR($D$5="",F624=$D$5),OR($E$5="",K624=$E$5),OR($G$5="",L624=$G$5),OR($H$5="",N(J624)&gt;=$H$5),OR($I$5="",ISNUMBER(SEARCH($I$5,C624&amp;" "&amp;D624&amp;" "&amp;E624&amp;" "&amp;I624)))),"✓",""))</f>
        <v/>
      </c>
      <c r="B624" s="39" t="n">
        <v>46252</v>
      </c>
      <c r="C624" s="40" t="n">
        <f aca="false">'Aug 18'!$D$29</f>
        <v>0</v>
      </c>
      <c r="D624" s="40" t="n">
        <f aca="false">'Aug 18'!$B$29</f>
        <v>0</v>
      </c>
      <c r="E624" s="41" t="n">
        <f aca="false">'Aug 18'!$E$29</f>
        <v>0</v>
      </c>
      <c r="F624" s="40" t="n">
        <f aca="false">'Aug 18'!$A$29</f>
        <v>0</v>
      </c>
      <c r="G624" s="41" t="n">
        <f aca="false">'Aug 18'!$F$29</f>
        <v>0</v>
      </c>
      <c r="H624" s="41" t="n">
        <f aca="false">'Aug 18'!$G$29</f>
        <v>0</v>
      </c>
      <c r="I624" s="41" t="str">
        <f aca="false">'Aug 18'!$M$29</f>
        <v/>
      </c>
      <c r="J624" s="42" t="str">
        <f aca="false">'Aug 18'!$S$29</f>
        <v/>
      </c>
      <c r="K624" s="40" t="n">
        <f aca="false">'Aug 18'!$AG$29</f>
        <v>0</v>
      </c>
      <c r="L624" s="40" t="n">
        <f aca="false">'Aug 18'!$N$29</f>
        <v>0</v>
      </c>
    </row>
    <row r="625" customFormat="false" ht="15" hidden="false" customHeight="false" outlineLevel="0" collapsed="false">
      <c r="A625" s="38" t="str">
        <f aca="false">IF(OR(C625="",C625=0),"",IF(AND(OR($B$5="",G625=$B$5,H625=$B$5),OR($D$5="",F625=$D$5),OR($E$5="",K625=$E$5),OR($G$5="",L625=$G$5),OR($H$5="",N(J625)&gt;=$H$5),OR($I$5="",ISNUMBER(SEARCH($I$5,C625&amp;" "&amp;D625&amp;" "&amp;E625&amp;" "&amp;I625)))),"✓",""))</f>
        <v/>
      </c>
      <c r="B625" s="39" t="n">
        <v>46252</v>
      </c>
      <c r="C625" s="40" t="n">
        <f aca="false">'Aug 18'!$D$30</f>
        <v>0</v>
      </c>
      <c r="D625" s="40" t="n">
        <f aca="false">'Aug 18'!$B$30</f>
        <v>0</v>
      </c>
      <c r="E625" s="41" t="n">
        <f aca="false">'Aug 18'!$E$30</f>
        <v>0</v>
      </c>
      <c r="F625" s="40" t="n">
        <f aca="false">'Aug 18'!$A$30</f>
        <v>0</v>
      </c>
      <c r="G625" s="41" t="n">
        <f aca="false">'Aug 18'!$F$30</f>
        <v>0</v>
      </c>
      <c r="H625" s="41" t="n">
        <f aca="false">'Aug 18'!$G$30</f>
        <v>0</v>
      </c>
      <c r="I625" s="41" t="str">
        <f aca="false">'Aug 18'!$M$30</f>
        <v/>
      </c>
      <c r="J625" s="42" t="str">
        <f aca="false">'Aug 18'!$S$30</f>
        <v/>
      </c>
      <c r="K625" s="40" t="n">
        <f aca="false">'Aug 18'!$AG$30</f>
        <v>0</v>
      </c>
      <c r="L625" s="40" t="n">
        <f aca="false">'Aug 18'!$N$30</f>
        <v>0</v>
      </c>
    </row>
    <row r="626" customFormat="false" ht="15" hidden="false" customHeight="false" outlineLevel="0" collapsed="false">
      <c r="A626" s="38" t="str">
        <f aca="false">IF(OR(C626="",C626=0),"",IF(AND(OR($B$5="",G626=$B$5,H626=$B$5),OR($D$5="",F626=$D$5),OR($E$5="",K626=$E$5),OR($G$5="",L626=$G$5),OR($H$5="",N(J626)&gt;=$H$5),OR($I$5="",ISNUMBER(SEARCH($I$5,C626&amp;" "&amp;D626&amp;" "&amp;E626&amp;" "&amp;I626)))),"✓",""))</f>
        <v/>
      </c>
      <c r="B626" s="39" t="n">
        <v>46252</v>
      </c>
      <c r="C626" s="40" t="n">
        <f aca="false">'Aug 18'!$D$31</f>
        <v>0</v>
      </c>
      <c r="D626" s="40" t="n">
        <f aca="false">'Aug 18'!$B$31</f>
        <v>0</v>
      </c>
      <c r="E626" s="41" t="n">
        <f aca="false">'Aug 18'!$E$31</f>
        <v>0</v>
      </c>
      <c r="F626" s="40" t="n">
        <f aca="false">'Aug 18'!$A$31</f>
        <v>0</v>
      </c>
      <c r="G626" s="41" t="n">
        <f aca="false">'Aug 18'!$F$31</f>
        <v>0</v>
      </c>
      <c r="H626" s="41" t="n">
        <f aca="false">'Aug 18'!$G$31</f>
        <v>0</v>
      </c>
      <c r="I626" s="41" t="str">
        <f aca="false">'Aug 18'!$M$31</f>
        <v/>
      </c>
      <c r="J626" s="42" t="str">
        <f aca="false">'Aug 18'!$S$31</f>
        <v/>
      </c>
      <c r="K626" s="40" t="n">
        <f aca="false">'Aug 18'!$AG$31</f>
        <v>0</v>
      </c>
      <c r="L626" s="40" t="n">
        <f aca="false">'Aug 18'!$N$31</f>
        <v>0</v>
      </c>
    </row>
    <row r="627" customFormat="false" ht="15" hidden="false" customHeight="false" outlineLevel="0" collapsed="false">
      <c r="A627" s="38" t="str">
        <f aca="false">IF(OR(C627="",C627=0),"",IF(AND(OR($B$5="",G627=$B$5,H627=$B$5),OR($D$5="",F627=$D$5),OR($E$5="",K627=$E$5),OR($G$5="",L627=$G$5),OR($H$5="",N(J627)&gt;=$H$5),OR($I$5="",ISNUMBER(SEARCH($I$5,C627&amp;" "&amp;D627&amp;" "&amp;E627&amp;" "&amp;I627)))),"✓",""))</f>
        <v/>
      </c>
      <c r="B627" s="39" t="n">
        <v>46252</v>
      </c>
      <c r="C627" s="40" t="n">
        <f aca="false">'Aug 18'!$D$32</f>
        <v>0</v>
      </c>
      <c r="D627" s="40" t="n">
        <f aca="false">'Aug 18'!$B$32</f>
        <v>0</v>
      </c>
      <c r="E627" s="41" t="n">
        <f aca="false">'Aug 18'!$E$32</f>
        <v>0</v>
      </c>
      <c r="F627" s="40" t="n">
        <f aca="false">'Aug 18'!$A$32</f>
        <v>0</v>
      </c>
      <c r="G627" s="41" t="n">
        <f aca="false">'Aug 18'!$F$32</f>
        <v>0</v>
      </c>
      <c r="H627" s="41" t="n">
        <f aca="false">'Aug 18'!$G$32</f>
        <v>0</v>
      </c>
      <c r="I627" s="41" t="str">
        <f aca="false">'Aug 18'!$M$32</f>
        <v/>
      </c>
      <c r="J627" s="42" t="str">
        <f aca="false">'Aug 18'!$S$32</f>
        <v/>
      </c>
      <c r="K627" s="40" t="n">
        <f aca="false">'Aug 18'!$AG$32</f>
        <v>0</v>
      </c>
      <c r="L627" s="40" t="n">
        <f aca="false">'Aug 18'!$N$32</f>
        <v>0</v>
      </c>
    </row>
    <row r="628" customFormat="false" ht="15" hidden="false" customHeight="false" outlineLevel="0" collapsed="false">
      <c r="A628" s="38" t="str">
        <f aca="false">IF(OR(C628="",C628=0),"",IF(AND(OR($B$5="",G628=$B$5,H628=$B$5),OR($D$5="",F628=$D$5),OR($E$5="",K628=$E$5),OR($G$5="",L628=$G$5),OR($H$5="",N(J628)&gt;=$H$5),OR($I$5="",ISNUMBER(SEARCH($I$5,C628&amp;" "&amp;D628&amp;" "&amp;E628&amp;" "&amp;I628)))),"✓",""))</f>
        <v/>
      </c>
      <c r="B628" s="39" t="n">
        <v>46252</v>
      </c>
      <c r="C628" s="40" t="n">
        <f aca="false">'Aug 18'!$D$33</f>
        <v>0</v>
      </c>
      <c r="D628" s="40" t="n">
        <f aca="false">'Aug 18'!$B$33</f>
        <v>0</v>
      </c>
      <c r="E628" s="41" t="n">
        <f aca="false">'Aug 18'!$E$33</f>
        <v>0</v>
      </c>
      <c r="F628" s="40" t="n">
        <f aca="false">'Aug 18'!$A$33</f>
        <v>0</v>
      </c>
      <c r="G628" s="41" t="n">
        <f aca="false">'Aug 18'!$F$33</f>
        <v>0</v>
      </c>
      <c r="H628" s="41" t="n">
        <f aca="false">'Aug 18'!$G$33</f>
        <v>0</v>
      </c>
      <c r="I628" s="41" t="str">
        <f aca="false">'Aug 18'!$M$33</f>
        <v/>
      </c>
      <c r="J628" s="42" t="str">
        <f aca="false">'Aug 18'!$S$33</f>
        <v/>
      </c>
      <c r="K628" s="40" t="n">
        <f aca="false">'Aug 18'!$AG$33</f>
        <v>0</v>
      </c>
      <c r="L628" s="40" t="n">
        <f aca="false">'Aug 18'!$N$33</f>
        <v>0</v>
      </c>
    </row>
    <row r="629" customFormat="false" ht="15" hidden="false" customHeight="false" outlineLevel="0" collapsed="false">
      <c r="A629" s="38" t="str">
        <f aca="false">IF(OR(C629="",C629=0),"",IF(AND(OR($B$5="",G629=$B$5,H629=$B$5),OR($D$5="",F629=$D$5),OR($E$5="",K629=$E$5),OR($G$5="",L629=$G$5),OR($H$5="",N(J629)&gt;=$H$5),OR($I$5="",ISNUMBER(SEARCH($I$5,C629&amp;" "&amp;D629&amp;" "&amp;E629&amp;" "&amp;I629)))),"✓",""))</f>
        <v/>
      </c>
      <c r="B629" s="39" t="n">
        <v>46252</v>
      </c>
      <c r="C629" s="40" t="n">
        <f aca="false">'Aug 18'!$D$34</f>
        <v>0</v>
      </c>
      <c r="D629" s="40" t="n">
        <f aca="false">'Aug 18'!$B$34</f>
        <v>0</v>
      </c>
      <c r="E629" s="41" t="n">
        <f aca="false">'Aug 18'!$E$34</f>
        <v>0</v>
      </c>
      <c r="F629" s="40" t="n">
        <f aca="false">'Aug 18'!$A$34</f>
        <v>0</v>
      </c>
      <c r="G629" s="41" t="n">
        <f aca="false">'Aug 18'!$F$34</f>
        <v>0</v>
      </c>
      <c r="H629" s="41" t="n">
        <f aca="false">'Aug 18'!$G$34</f>
        <v>0</v>
      </c>
      <c r="I629" s="41" t="str">
        <f aca="false">'Aug 18'!$M$34</f>
        <v/>
      </c>
      <c r="J629" s="42" t="str">
        <f aca="false">'Aug 18'!$S$34</f>
        <v/>
      </c>
      <c r="K629" s="40" t="n">
        <f aca="false">'Aug 18'!$AG$34</f>
        <v>0</v>
      </c>
      <c r="L629" s="40" t="n">
        <f aca="false">'Aug 18'!$N$34</f>
        <v>0</v>
      </c>
    </row>
    <row r="630" customFormat="false" ht="15" hidden="false" customHeight="false" outlineLevel="0" collapsed="false">
      <c r="A630" s="38" t="str">
        <f aca="false">IF(OR(C630="",C630=0),"",IF(AND(OR($B$5="",G630=$B$5,H630=$B$5),OR($D$5="",F630=$D$5),OR($E$5="",K630=$E$5),OR($G$5="",L630=$G$5),OR($H$5="",N(J630)&gt;=$H$5),OR($I$5="",ISNUMBER(SEARCH($I$5,C630&amp;" "&amp;D630&amp;" "&amp;E630&amp;" "&amp;I630)))),"✓",""))</f>
        <v/>
      </c>
      <c r="B630" s="39" t="n">
        <v>46252</v>
      </c>
      <c r="C630" s="40" t="n">
        <f aca="false">'Aug 18'!$D$35</f>
        <v>0</v>
      </c>
      <c r="D630" s="40" t="n">
        <f aca="false">'Aug 18'!$B$35</f>
        <v>0</v>
      </c>
      <c r="E630" s="41" t="n">
        <f aca="false">'Aug 18'!$E$35</f>
        <v>0</v>
      </c>
      <c r="F630" s="40" t="n">
        <f aca="false">'Aug 18'!$A$35</f>
        <v>0</v>
      </c>
      <c r="G630" s="41" t="n">
        <f aca="false">'Aug 18'!$F$35</f>
        <v>0</v>
      </c>
      <c r="H630" s="41" t="n">
        <f aca="false">'Aug 18'!$G$35</f>
        <v>0</v>
      </c>
      <c r="I630" s="41" t="str">
        <f aca="false">'Aug 18'!$M$35</f>
        <v/>
      </c>
      <c r="J630" s="42" t="str">
        <f aca="false">'Aug 18'!$S$35</f>
        <v/>
      </c>
      <c r="K630" s="40" t="n">
        <f aca="false">'Aug 18'!$AG$35</f>
        <v>0</v>
      </c>
      <c r="L630" s="40" t="n">
        <f aca="false">'Aug 18'!$N$35</f>
        <v>0</v>
      </c>
    </row>
    <row r="631" customFormat="false" ht="15" hidden="false" customHeight="false" outlineLevel="0" collapsed="false">
      <c r="A631" s="38" t="str">
        <f aca="false">IF(OR(C631="",C631=0),"",IF(AND(OR($B$5="",G631=$B$5,H631=$B$5),OR($D$5="",F631=$D$5),OR($E$5="",K631=$E$5),OR($G$5="",L631=$G$5),OR($H$5="",N(J631)&gt;=$H$5),OR($I$5="",ISNUMBER(SEARCH($I$5,C631&amp;" "&amp;D631&amp;" "&amp;E631&amp;" "&amp;I631)))),"✓",""))</f>
        <v/>
      </c>
      <c r="B631" s="39" t="n">
        <v>46252</v>
      </c>
      <c r="C631" s="40" t="n">
        <f aca="false">'Aug 18'!$D$36</f>
        <v>0</v>
      </c>
      <c r="D631" s="40" t="n">
        <f aca="false">'Aug 18'!$B$36</f>
        <v>0</v>
      </c>
      <c r="E631" s="41" t="n">
        <f aca="false">'Aug 18'!$E$36</f>
        <v>0</v>
      </c>
      <c r="F631" s="40" t="n">
        <f aca="false">'Aug 18'!$A$36</f>
        <v>0</v>
      </c>
      <c r="G631" s="41" t="n">
        <f aca="false">'Aug 18'!$F$36</f>
        <v>0</v>
      </c>
      <c r="H631" s="41" t="n">
        <f aca="false">'Aug 18'!$G$36</f>
        <v>0</v>
      </c>
      <c r="I631" s="41" t="str">
        <f aca="false">'Aug 18'!$M$36</f>
        <v/>
      </c>
      <c r="J631" s="42" t="str">
        <f aca="false">'Aug 18'!$S$36</f>
        <v/>
      </c>
      <c r="K631" s="40" t="n">
        <f aca="false">'Aug 18'!$AG$36</f>
        <v>0</v>
      </c>
      <c r="L631" s="40" t="n">
        <f aca="false">'Aug 18'!$N$36</f>
        <v>0</v>
      </c>
    </row>
    <row r="632" customFormat="false" ht="15" hidden="false" customHeight="false" outlineLevel="0" collapsed="false">
      <c r="A632" s="38" t="str">
        <f aca="false">IF(OR(C632="",C632=0),"",IF(AND(OR($B$5="",G632=$B$5,H632=$B$5),OR($D$5="",F632=$D$5),OR($E$5="",K632=$E$5),OR($G$5="",L632=$G$5),OR($H$5="",N(J632)&gt;=$H$5),OR($I$5="",ISNUMBER(SEARCH($I$5,C632&amp;" "&amp;D632&amp;" "&amp;E632&amp;" "&amp;I632)))),"✓",""))</f>
        <v/>
      </c>
      <c r="B632" s="39" t="n">
        <v>46252</v>
      </c>
      <c r="C632" s="40" t="n">
        <f aca="false">'Aug 18'!$D$37</f>
        <v>0</v>
      </c>
      <c r="D632" s="40" t="n">
        <f aca="false">'Aug 18'!$B$37</f>
        <v>0</v>
      </c>
      <c r="E632" s="41" t="n">
        <f aca="false">'Aug 18'!$E$37</f>
        <v>0</v>
      </c>
      <c r="F632" s="40" t="n">
        <f aca="false">'Aug 18'!$A$37</f>
        <v>0</v>
      </c>
      <c r="G632" s="41" t="n">
        <f aca="false">'Aug 18'!$F$37</f>
        <v>0</v>
      </c>
      <c r="H632" s="41" t="n">
        <f aca="false">'Aug 18'!$G$37</f>
        <v>0</v>
      </c>
      <c r="I632" s="41" t="str">
        <f aca="false">'Aug 18'!$M$37</f>
        <v/>
      </c>
      <c r="J632" s="42" t="str">
        <f aca="false">'Aug 18'!$S$37</f>
        <v/>
      </c>
      <c r="K632" s="40" t="n">
        <f aca="false">'Aug 18'!$AG$37</f>
        <v>0</v>
      </c>
      <c r="L632" s="40" t="n">
        <f aca="false">'Aug 18'!$N$37</f>
        <v>0</v>
      </c>
    </row>
    <row r="633" customFormat="false" ht="15" hidden="false" customHeight="false" outlineLevel="0" collapsed="false">
      <c r="A633" s="38" t="str">
        <f aca="false">IF(OR(C633="",C633=0),"",IF(AND(OR($B$5="",G633=$B$5,H633=$B$5),OR($D$5="",F633=$D$5),OR($E$5="",K633=$E$5),OR($G$5="",L633=$G$5),OR($H$5="",N(J633)&gt;=$H$5),OR($I$5="",ISNUMBER(SEARCH($I$5,C633&amp;" "&amp;D633&amp;" "&amp;E633&amp;" "&amp;I633)))),"✓",""))</f>
        <v/>
      </c>
      <c r="B633" s="39" t="n">
        <v>46252</v>
      </c>
      <c r="C633" s="40" t="n">
        <f aca="false">'Aug 18'!$D$38</f>
        <v>0</v>
      </c>
      <c r="D633" s="40" t="n">
        <f aca="false">'Aug 18'!$B$38</f>
        <v>0</v>
      </c>
      <c r="E633" s="41" t="n">
        <f aca="false">'Aug 18'!$E$38</f>
        <v>0</v>
      </c>
      <c r="F633" s="40" t="n">
        <f aca="false">'Aug 18'!$A$38</f>
        <v>0</v>
      </c>
      <c r="G633" s="41" t="n">
        <f aca="false">'Aug 18'!$F$38</f>
        <v>0</v>
      </c>
      <c r="H633" s="41" t="n">
        <f aca="false">'Aug 18'!$G$38</f>
        <v>0</v>
      </c>
      <c r="I633" s="41" t="str">
        <f aca="false">'Aug 18'!$M$38</f>
        <v/>
      </c>
      <c r="J633" s="42" t="str">
        <f aca="false">'Aug 18'!$S$38</f>
        <v/>
      </c>
      <c r="K633" s="40" t="n">
        <f aca="false">'Aug 18'!$AG$38</f>
        <v>0</v>
      </c>
      <c r="L633" s="40" t="n">
        <f aca="false">'Aug 18'!$N$38</f>
        <v>0</v>
      </c>
    </row>
    <row r="634" customFormat="false" ht="15" hidden="false" customHeight="false" outlineLevel="0" collapsed="false">
      <c r="A634" s="38" t="str">
        <f aca="false">IF(OR(C634="",C634=0),"",IF(AND(OR($B$5="",G634=$B$5,H634=$B$5),OR($D$5="",F634=$D$5),OR($E$5="",K634=$E$5),OR($G$5="",L634=$G$5),OR($H$5="",N(J634)&gt;=$H$5),OR($I$5="",ISNUMBER(SEARCH($I$5,C634&amp;" "&amp;D634&amp;" "&amp;E634&amp;" "&amp;I634)))),"✓",""))</f>
        <v/>
      </c>
      <c r="B634" s="39" t="n">
        <v>46252</v>
      </c>
      <c r="C634" s="40" t="n">
        <f aca="false">'Aug 18'!$D$39</f>
        <v>0</v>
      </c>
      <c r="D634" s="40" t="n">
        <f aca="false">'Aug 18'!$B$39</f>
        <v>0</v>
      </c>
      <c r="E634" s="41" t="n">
        <f aca="false">'Aug 18'!$E$39</f>
        <v>0</v>
      </c>
      <c r="F634" s="40" t="n">
        <f aca="false">'Aug 18'!$A$39</f>
        <v>0</v>
      </c>
      <c r="G634" s="41" t="n">
        <f aca="false">'Aug 18'!$F$39</f>
        <v>0</v>
      </c>
      <c r="H634" s="41" t="n">
        <f aca="false">'Aug 18'!$G$39</f>
        <v>0</v>
      </c>
      <c r="I634" s="41" t="str">
        <f aca="false">'Aug 18'!$M$39</f>
        <v/>
      </c>
      <c r="J634" s="42" t="str">
        <f aca="false">'Aug 18'!$S$39</f>
        <v/>
      </c>
      <c r="K634" s="40" t="n">
        <f aca="false">'Aug 18'!$AG$39</f>
        <v>0</v>
      </c>
      <c r="L634" s="40" t="n">
        <f aca="false">'Aug 18'!$N$39</f>
        <v>0</v>
      </c>
    </row>
    <row r="635" customFormat="false" ht="15" hidden="false" customHeight="false" outlineLevel="0" collapsed="false">
      <c r="A635" s="38" t="str">
        <f aca="false">IF(OR(C635="",C635=0),"",IF(AND(OR($B$5="",G635=$B$5,H635=$B$5),OR($D$5="",F635=$D$5),OR($E$5="",K635=$E$5),OR($G$5="",L635=$G$5),OR($H$5="",N(J635)&gt;=$H$5),OR($I$5="",ISNUMBER(SEARCH($I$5,C635&amp;" "&amp;D635&amp;" "&amp;E635&amp;" "&amp;I635)))),"✓",""))</f>
        <v/>
      </c>
      <c r="B635" s="39" t="n">
        <v>46252</v>
      </c>
      <c r="C635" s="40" t="n">
        <f aca="false">'Aug 18'!$D$40</f>
        <v>0</v>
      </c>
      <c r="D635" s="40" t="n">
        <f aca="false">'Aug 18'!$B$40</f>
        <v>0</v>
      </c>
      <c r="E635" s="41" t="n">
        <f aca="false">'Aug 18'!$E$40</f>
        <v>0</v>
      </c>
      <c r="F635" s="40" t="n">
        <f aca="false">'Aug 18'!$A$40</f>
        <v>0</v>
      </c>
      <c r="G635" s="41" t="n">
        <f aca="false">'Aug 18'!$F$40</f>
        <v>0</v>
      </c>
      <c r="H635" s="41" t="n">
        <f aca="false">'Aug 18'!$G$40</f>
        <v>0</v>
      </c>
      <c r="I635" s="41" t="str">
        <f aca="false">'Aug 18'!$M$40</f>
        <v/>
      </c>
      <c r="J635" s="42" t="str">
        <f aca="false">'Aug 18'!$S$40</f>
        <v/>
      </c>
      <c r="K635" s="40" t="n">
        <f aca="false">'Aug 18'!$AG$40</f>
        <v>0</v>
      </c>
      <c r="L635" s="40" t="n">
        <f aca="false">'Aug 18'!$N$40</f>
        <v>0</v>
      </c>
    </row>
    <row r="636" customFormat="false" ht="15" hidden="false" customHeight="false" outlineLevel="0" collapsed="false">
      <c r="A636" s="38" t="str">
        <f aca="false">IF(OR(C636="",C636=0),"",IF(AND(OR($B$5="",G636=$B$5,H636=$B$5),OR($D$5="",F636=$D$5),OR($E$5="",K636=$E$5),OR($G$5="",L636=$G$5),OR($H$5="",N(J636)&gt;=$H$5),OR($I$5="",ISNUMBER(SEARCH($I$5,C636&amp;" "&amp;D636&amp;" "&amp;E636&amp;" "&amp;I636)))),"✓",""))</f>
        <v/>
      </c>
      <c r="B636" s="39" t="n">
        <v>46252</v>
      </c>
      <c r="C636" s="40" t="n">
        <f aca="false">'Aug 18'!$D$41</f>
        <v>0</v>
      </c>
      <c r="D636" s="40" t="n">
        <f aca="false">'Aug 18'!$B$41</f>
        <v>0</v>
      </c>
      <c r="E636" s="41" t="n">
        <f aca="false">'Aug 18'!$E$41</f>
        <v>0</v>
      </c>
      <c r="F636" s="40" t="n">
        <f aca="false">'Aug 18'!$A$41</f>
        <v>0</v>
      </c>
      <c r="G636" s="41" t="n">
        <f aca="false">'Aug 18'!$F$41</f>
        <v>0</v>
      </c>
      <c r="H636" s="41" t="n">
        <f aca="false">'Aug 18'!$G$41</f>
        <v>0</v>
      </c>
      <c r="I636" s="41" t="str">
        <f aca="false">'Aug 18'!$M$41</f>
        <v/>
      </c>
      <c r="J636" s="42" t="str">
        <f aca="false">'Aug 18'!$S$41</f>
        <v/>
      </c>
      <c r="K636" s="40" t="n">
        <f aca="false">'Aug 18'!$AG$41</f>
        <v>0</v>
      </c>
      <c r="L636" s="40" t="n">
        <f aca="false">'Aug 18'!$N$41</f>
        <v>0</v>
      </c>
    </row>
    <row r="637" customFormat="false" ht="15" hidden="false" customHeight="false" outlineLevel="0" collapsed="false">
      <c r="A637" s="38" t="str">
        <f aca="false">IF(OR(C637="",C637=0),"",IF(AND(OR($B$5="",G637=$B$5,H637=$B$5),OR($D$5="",F637=$D$5),OR($E$5="",K637=$E$5),OR($G$5="",L637=$G$5),OR($H$5="",N(J637)&gt;=$H$5),OR($I$5="",ISNUMBER(SEARCH($I$5,C637&amp;" "&amp;D637&amp;" "&amp;E637&amp;" "&amp;I637)))),"✓",""))</f>
        <v/>
      </c>
      <c r="B637" s="39" t="n">
        <v>46252</v>
      </c>
      <c r="C637" s="40" t="n">
        <f aca="false">'Aug 18'!$D$42</f>
        <v>0</v>
      </c>
      <c r="D637" s="40" t="n">
        <f aca="false">'Aug 18'!$B$42</f>
        <v>0</v>
      </c>
      <c r="E637" s="41" t="n">
        <f aca="false">'Aug 18'!$E$42</f>
        <v>0</v>
      </c>
      <c r="F637" s="40" t="n">
        <f aca="false">'Aug 18'!$A$42</f>
        <v>0</v>
      </c>
      <c r="G637" s="41" t="n">
        <f aca="false">'Aug 18'!$F$42</f>
        <v>0</v>
      </c>
      <c r="H637" s="41" t="n">
        <f aca="false">'Aug 18'!$G$42</f>
        <v>0</v>
      </c>
      <c r="I637" s="41" t="str">
        <f aca="false">'Aug 18'!$M$42</f>
        <v/>
      </c>
      <c r="J637" s="42" t="str">
        <f aca="false">'Aug 18'!$S$42</f>
        <v/>
      </c>
      <c r="K637" s="40" t="n">
        <f aca="false">'Aug 18'!$AG$42</f>
        <v>0</v>
      </c>
      <c r="L637" s="40" t="n">
        <f aca="false">'Aug 18'!$N$42</f>
        <v>0</v>
      </c>
    </row>
    <row r="638" customFormat="false" ht="15" hidden="false" customHeight="false" outlineLevel="0" collapsed="false">
      <c r="A638" s="38" t="str">
        <f aca="false">IF(OR(C638="",C638=0),"",IF(AND(OR($B$5="",G638=$B$5,H638=$B$5),OR($D$5="",F638=$D$5),OR($E$5="",K638=$E$5),OR($G$5="",L638=$G$5),OR($H$5="",N(J638)&gt;=$H$5),OR($I$5="",ISNUMBER(SEARCH($I$5,C638&amp;" "&amp;D638&amp;" "&amp;E638&amp;" "&amp;I638)))),"✓",""))</f>
        <v/>
      </c>
      <c r="B638" s="39" t="n">
        <v>46253</v>
      </c>
      <c r="C638" s="40" t="n">
        <f aca="false">'Aug 19'!$D$8</f>
        <v>0</v>
      </c>
      <c r="D638" s="40" t="n">
        <f aca="false">'Aug 19'!$B$8</f>
        <v>0</v>
      </c>
      <c r="E638" s="41" t="n">
        <f aca="false">'Aug 19'!$E$8</f>
        <v>0</v>
      </c>
      <c r="F638" s="40" t="n">
        <f aca="false">'Aug 19'!$A$8</f>
        <v>0</v>
      </c>
      <c r="G638" s="41" t="n">
        <f aca="false">'Aug 19'!$F$8</f>
        <v>0</v>
      </c>
      <c r="H638" s="41" t="n">
        <f aca="false">'Aug 19'!$G$8</f>
        <v>0</v>
      </c>
      <c r="I638" s="41" t="str">
        <f aca="false">'Aug 19'!$M$8</f>
        <v/>
      </c>
      <c r="J638" s="42" t="str">
        <f aca="false">'Aug 19'!$S$8</f>
        <v/>
      </c>
      <c r="K638" s="40" t="n">
        <f aca="false">'Aug 19'!$AG$8</f>
        <v>0</v>
      </c>
      <c r="L638" s="40" t="n">
        <f aca="false">'Aug 19'!$N$8</f>
        <v>0</v>
      </c>
    </row>
    <row r="639" customFormat="false" ht="15" hidden="false" customHeight="false" outlineLevel="0" collapsed="false">
      <c r="A639" s="38" t="str">
        <f aca="false">IF(OR(C639="",C639=0),"",IF(AND(OR($B$5="",G639=$B$5,H639=$B$5),OR($D$5="",F639=$D$5),OR($E$5="",K639=$E$5),OR($G$5="",L639=$G$5),OR($H$5="",N(J639)&gt;=$H$5),OR($I$5="",ISNUMBER(SEARCH($I$5,C639&amp;" "&amp;D639&amp;" "&amp;E639&amp;" "&amp;I639)))),"✓",""))</f>
        <v/>
      </c>
      <c r="B639" s="39" t="n">
        <v>46253</v>
      </c>
      <c r="C639" s="40" t="n">
        <f aca="false">'Aug 19'!$D$9</f>
        <v>0</v>
      </c>
      <c r="D639" s="40" t="n">
        <f aca="false">'Aug 19'!$B$9</f>
        <v>0</v>
      </c>
      <c r="E639" s="41" t="n">
        <f aca="false">'Aug 19'!$E$9</f>
        <v>0</v>
      </c>
      <c r="F639" s="40" t="n">
        <f aca="false">'Aug 19'!$A$9</f>
        <v>0</v>
      </c>
      <c r="G639" s="41" t="n">
        <f aca="false">'Aug 19'!$F$9</f>
        <v>0</v>
      </c>
      <c r="H639" s="41" t="n">
        <f aca="false">'Aug 19'!$G$9</f>
        <v>0</v>
      </c>
      <c r="I639" s="41" t="str">
        <f aca="false">'Aug 19'!$M$9</f>
        <v/>
      </c>
      <c r="J639" s="42" t="str">
        <f aca="false">'Aug 19'!$S$9</f>
        <v/>
      </c>
      <c r="K639" s="40" t="n">
        <f aca="false">'Aug 19'!$AG$9</f>
        <v>0</v>
      </c>
      <c r="L639" s="40" t="n">
        <f aca="false">'Aug 19'!$N$9</f>
        <v>0</v>
      </c>
    </row>
    <row r="640" customFormat="false" ht="15" hidden="false" customHeight="false" outlineLevel="0" collapsed="false">
      <c r="A640" s="38" t="str">
        <f aca="false">IF(OR(C640="",C640=0),"",IF(AND(OR($B$5="",G640=$B$5,H640=$B$5),OR($D$5="",F640=$D$5),OR($E$5="",K640=$E$5),OR($G$5="",L640=$G$5),OR($H$5="",N(J640)&gt;=$H$5),OR($I$5="",ISNUMBER(SEARCH($I$5,C640&amp;" "&amp;D640&amp;" "&amp;E640&amp;" "&amp;I640)))),"✓",""))</f>
        <v/>
      </c>
      <c r="B640" s="39" t="n">
        <v>46253</v>
      </c>
      <c r="C640" s="40" t="n">
        <f aca="false">'Aug 19'!$D$10</f>
        <v>0</v>
      </c>
      <c r="D640" s="40" t="n">
        <f aca="false">'Aug 19'!$B$10</f>
        <v>0</v>
      </c>
      <c r="E640" s="41" t="n">
        <f aca="false">'Aug 19'!$E$10</f>
        <v>0</v>
      </c>
      <c r="F640" s="40" t="n">
        <f aca="false">'Aug 19'!$A$10</f>
        <v>0</v>
      </c>
      <c r="G640" s="41" t="n">
        <f aca="false">'Aug 19'!$F$10</f>
        <v>0</v>
      </c>
      <c r="H640" s="41" t="n">
        <f aca="false">'Aug 19'!$G$10</f>
        <v>0</v>
      </c>
      <c r="I640" s="41" t="str">
        <f aca="false">'Aug 19'!$M$10</f>
        <v/>
      </c>
      <c r="J640" s="42" t="str">
        <f aca="false">'Aug 19'!$S$10</f>
        <v/>
      </c>
      <c r="K640" s="40" t="n">
        <f aca="false">'Aug 19'!$AG$10</f>
        <v>0</v>
      </c>
      <c r="L640" s="40" t="n">
        <f aca="false">'Aug 19'!$N$10</f>
        <v>0</v>
      </c>
    </row>
    <row r="641" customFormat="false" ht="15" hidden="false" customHeight="false" outlineLevel="0" collapsed="false">
      <c r="A641" s="38" t="str">
        <f aca="false">IF(OR(C641="",C641=0),"",IF(AND(OR($B$5="",G641=$B$5,H641=$B$5),OR($D$5="",F641=$D$5),OR($E$5="",K641=$E$5),OR($G$5="",L641=$G$5),OR($H$5="",N(J641)&gt;=$H$5),OR($I$5="",ISNUMBER(SEARCH($I$5,C641&amp;" "&amp;D641&amp;" "&amp;E641&amp;" "&amp;I641)))),"✓",""))</f>
        <v/>
      </c>
      <c r="B641" s="39" t="n">
        <v>46253</v>
      </c>
      <c r="C641" s="40" t="n">
        <f aca="false">'Aug 19'!$D$11</f>
        <v>0</v>
      </c>
      <c r="D641" s="40" t="n">
        <f aca="false">'Aug 19'!$B$11</f>
        <v>0</v>
      </c>
      <c r="E641" s="41" t="n">
        <f aca="false">'Aug 19'!$E$11</f>
        <v>0</v>
      </c>
      <c r="F641" s="40" t="n">
        <f aca="false">'Aug 19'!$A$11</f>
        <v>0</v>
      </c>
      <c r="G641" s="41" t="n">
        <f aca="false">'Aug 19'!$F$11</f>
        <v>0</v>
      </c>
      <c r="H641" s="41" t="n">
        <f aca="false">'Aug 19'!$G$11</f>
        <v>0</v>
      </c>
      <c r="I641" s="41" t="str">
        <f aca="false">'Aug 19'!$M$11</f>
        <v/>
      </c>
      <c r="J641" s="42" t="str">
        <f aca="false">'Aug 19'!$S$11</f>
        <v/>
      </c>
      <c r="K641" s="40" t="n">
        <f aca="false">'Aug 19'!$AG$11</f>
        <v>0</v>
      </c>
      <c r="L641" s="40" t="n">
        <f aca="false">'Aug 19'!$N$11</f>
        <v>0</v>
      </c>
    </row>
    <row r="642" customFormat="false" ht="15" hidden="false" customHeight="false" outlineLevel="0" collapsed="false">
      <c r="A642" s="38" t="str">
        <f aca="false">IF(OR(C642="",C642=0),"",IF(AND(OR($B$5="",G642=$B$5,H642=$B$5),OR($D$5="",F642=$D$5),OR($E$5="",K642=$E$5),OR($G$5="",L642=$G$5),OR($H$5="",N(J642)&gt;=$H$5),OR($I$5="",ISNUMBER(SEARCH($I$5,C642&amp;" "&amp;D642&amp;" "&amp;E642&amp;" "&amp;I642)))),"✓",""))</f>
        <v/>
      </c>
      <c r="B642" s="39" t="n">
        <v>46253</v>
      </c>
      <c r="C642" s="40" t="n">
        <f aca="false">'Aug 19'!$D$12</f>
        <v>0</v>
      </c>
      <c r="D642" s="40" t="n">
        <f aca="false">'Aug 19'!$B$12</f>
        <v>0</v>
      </c>
      <c r="E642" s="41" t="n">
        <f aca="false">'Aug 19'!$E$12</f>
        <v>0</v>
      </c>
      <c r="F642" s="40" t="n">
        <f aca="false">'Aug 19'!$A$12</f>
        <v>0</v>
      </c>
      <c r="G642" s="41" t="n">
        <f aca="false">'Aug 19'!$F$12</f>
        <v>0</v>
      </c>
      <c r="H642" s="41" t="n">
        <f aca="false">'Aug 19'!$G$12</f>
        <v>0</v>
      </c>
      <c r="I642" s="41" t="str">
        <f aca="false">'Aug 19'!$M$12</f>
        <v/>
      </c>
      <c r="J642" s="42" t="str">
        <f aca="false">'Aug 19'!$S$12</f>
        <v/>
      </c>
      <c r="K642" s="40" t="n">
        <f aca="false">'Aug 19'!$AG$12</f>
        <v>0</v>
      </c>
      <c r="L642" s="40" t="n">
        <f aca="false">'Aug 19'!$N$12</f>
        <v>0</v>
      </c>
    </row>
    <row r="643" customFormat="false" ht="15" hidden="false" customHeight="false" outlineLevel="0" collapsed="false">
      <c r="A643" s="38" t="str">
        <f aca="false">IF(OR(C643="",C643=0),"",IF(AND(OR($B$5="",G643=$B$5,H643=$B$5),OR($D$5="",F643=$D$5),OR($E$5="",K643=$E$5),OR($G$5="",L643=$G$5),OR($H$5="",N(J643)&gt;=$H$5),OR($I$5="",ISNUMBER(SEARCH($I$5,C643&amp;" "&amp;D643&amp;" "&amp;E643&amp;" "&amp;I643)))),"✓",""))</f>
        <v/>
      </c>
      <c r="B643" s="39" t="n">
        <v>46253</v>
      </c>
      <c r="C643" s="40" t="n">
        <f aca="false">'Aug 19'!$D$13</f>
        <v>0</v>
      </c>
      <c r="D643" s="40" t="n">
        <f aca="false">'Aug 19'!$B$13</f>
        <v>0</v>
      </c>
      <c r="E643" s="41" t="n">
        <f aca="false">'Aug 19'!$E$13</f>
        <v>0</v>
      </c>
      <c r="F643" s="40" t="n">
        <f aca="false">'Aug 19'!$A$13</f>
        <v>0</v>
      </c>
      <c r="G643" s="41" t="n">
        <f aca="false">'Aug 19'!$F$13</f>
        <v>0</v>
      </c>
      <c r="H643" s="41" t="n">
        <f aca="false">'Aug 19'!$G$13</f>
        <v>0</v>
      </c>
      <c r="I643" s="41" t="str">
        <f aca="false">'Aug 19'!$M$13</f>
        <v/>
      </c>
      <c r="J643" s="42" t="str">
        <f aca="false">'Aug 19'!$S$13</f>
        <v/>
      </c>
      <c r="K643" s="40" t="n">
        <f aca="false">'Aug 19'!$AG$13</f>
        <v>0</v>
      </c>
      <c r="L643" s="40" t="n">
        <f aca="false">'Aug 19'!$N$13</f>
        <v>0</v>
      </c>
    </row>
    <row r="644" customFormat="false" ht="15" hidden="false" customHeight="false" outlineLevel="0" collapsed="false">
      <c r="A644" s="38" t="str">
        <f aca="false">IF(OR(C644="",C644=0),"",IF(AND(OR($B$5="",G644=$B$5,H644=$B$5),OR($D$5="",F644=$D$5),OR($E$5="",K644=$E$5),OR($G$5="",L644=$G$5),OR($H$5="",N(J644)&gt;=$H$5),OR($I$5="",ISNUMBER(SEARCH($I$5,C644&amp;" "&amp;D644&amp;" "&amp;E644&amp;" "&amp;I644)))),"✓",""))</f>
        <v/>
      </c>
      <c r="B644" s="39" t="n">
        <v>46253</v>
      </c>
      <c r="C644" s="40" t="n">
        <f aca="false">'Aug 19'!$D$14</f>
        <v>0</v>
      </c>
      <c r="D644" s="40" t="n">
        <f aca="false">'Aug 19'!$B$14</f>
        <v>0</v>
      </c>
      <c r="E644" s="41" t="n">
        <f aca="false">'Aug 19'!$E$14</f>
        <v>0</v>
      </c>
      <c r="F644" s="40" t="n">
        <f aca="false">'Aug 19'!$A$14</f>
        <v>0</v>
      </c>
      <c r="G644" s="41" t="n">
        <f aca="false">'Aug 19'!$F$14</f>
        <v>0</v>
      </c>
      <c r="H644" s="41" t="n">
        <f aca="false">'Aug 19'!$G$14</f>
        <v>0</v>
      </c>
      <c r="I644" s="41" t="str">
        <f aca="false">'Aug 19'!$M$14</f>
        <v/>
      </c>
      <c r="J644" s="42" t="str">
        <f aca="false">'Aug 19'!$S$14</f>
        <v/>
      </c>
      <c r="K644" s="40" t="n">
        <f aca="false">'Aug 19'!$AG$14</f>
        <v>0</v>
      </c>
      <c r="L644" s="40" t="n">
        <f aca="false">'Aug 19'!$N$14</f>
        <v>0</v>
      </c>
    </row>
    <row r="645" customFormat="false" ht="15" hidden="false" customHeight="false" outlineLevel="0" collapsed="false">
      <c r="A645" s="38" t="str">
        <f aca="false">IF(OR(C645="",C645=0),"",IF(AND(OR($B$5="",G645=$B$5,H645=$B$5),OR($D$5="",F645=$D$5),OR($E$5="",K645=$E$5),OR($G$5="",L645=$G$5),OR($H$5="",N(J645)&gt;=$H$5),OR($I$5="",ISNUMBER(SEARCH($I$5,C645&amp;" "&amp;D645&amp;" "&amp;E645&amp;" "&amp;I645)))),"✓",""))</f>
        <v/>
      </c>
      <c r="B645" s="39" t="n">
        <v>46253</v>
      </c>
      <c r="C645" s="40" t="n">
        <f aca="false">'Aug 19'!$D$15</f>
        <v>0</v>
      </c>
      <c r="D645" s="40" t="n">
        <f aca="false">'Aug 19'!$B$15</f>
        <v>0</v>
      </c>
      <c r="E645" s="41" t="n">
        <f aca="false">'Aug 19'!$E$15</f>
        <v>0</v>
      </c>
      <c r="F645" s="40" t="n">
        <f aca="false">'Aug 19'!$A$15</f>
        <v>0</v>
      </c>
      <c r="G645" s="41" t="n">
        <f aca="false">'Aug 19'!$F$15</f>
        <v>0</v>
      </c>
      <c r="H645" s="41" t="n">
        <f aca="false">'Aug 19'!$G$15</f>
        <v>0</v>
      </c>
      <c r="I645" s="41" t="str">
        <f aca="false">'Aug 19'!$M$15</f>
        <v/>
      </c>
      <c r="J645" s="42" t="str">
        <f aca="false">'Aug 19'!$S$15</f>
        <v/>
      </c>
      <c r="K645" s="40" t="n">
        <f aca="false">'Aug 19'!$AG$15</f>
        <v>0</v>
      </c>
      <c r="L645" s="40" t="n">
        <f aca="false">'Aug 19'!$N$15</f>
        <v>0</v>
      </c>
    </row>
    <row r="646" customFormat="false" ht="15" hidden="false" customHeight="false" outlineLevel="0" collapsed="false">
      <c r="A646" s="38" t="str">
        <f aca="false">IF(OR(C646="",C646=0),"",IF(AND(OR($B$5="",G646=$B$5,H646=$B$5),OR($D$5="",F646=$D$5),OR($E$5="",K646=$E$5),OR($G$5="",L646=$G$5),OR($H$5="",N(J646)&gt;=$H$5),OR($I$5="",ISNUMBER(SEARCH($I$5,C646&amp;" "&amp;D646&amp;" "&amp;E646&amp;" "&amp;I646)))),"✓",""))</f>
        <v/>
      </c>
      <c r="B646" s="39" t="n">
        <v>46253</v>
      </c>
      <c r="C646" s="40" t="n">
        <f aca="false">'Aug 19'!$D$16</f>
        <v>0</v>
      </c>
      <c r="D646" s="40" t="n">
        <f aca="false">'Aug 19'!$B$16</f>
        <v>0</v>
      </c>
      <c r="E646" s="41" t="n">
        <f aca="false">'Aug 19'!$E$16</f>
        <v>0</v>
      </c>
      <c r="F646" s="40" t="n">
        <f aca="false">'Aug 19'!$A$16</f>
        <v>0</v>
      </c>
      <c r="G646" s="41" t="n">
        <f aca="false">'Aug 19'!$F$16</f>
        <v>0</v>
      </c>
      <c r="H646" s="41" t="n">
        <f aca="false">'Aug 19'!$G$16</f>
        <v>0</v>
      </c>
      <c r="I646" s="41" t="str">
        <f aca="false">'Aug 19'!$M$16</f>
        <v/>
      </c>
      <c r="J646" s="42" t="str">
        <f aca="false">'Aug 19'!$S$16</f>
        <v/>
      </c>
      <c r="K646" s="40" t="n">
        <f aca="false">'Aug 19'!$AG$16</f>
        <v>0</v>
      </c>
      <c r="L646" s="40" t="n">
        <f aca="false">'Aug 19'!$N$16</f>
        <v>0</v>
      </c>
    </row>
    <row r="647" customFormat="false" ht="15" hidden="false" customHeight="false" outlineLevel="0" collapsed="false">
      <c r="A647" s="38" t="str">
        <f aca="false">IF(OR(C647="",C647=0),"",IF(AND(OR($B$5="",G647=$B$5,H647=$B$5),OR($D$5="",F647=$D$5),OR($E$5="",K647=$E$5),OR($G$5="",L647=$G$5),OR($H$5="",N(J647)&gt;=$H$5),OR($I$5="",ISNUMBER(SEARCH($I$5,C647&amp;" "&amp;D647&amp;" "&amp;E647&amp;" "&amp;I647)))),"✓",""))</f>
        <v/>
      </c>
      <c r="B647" s="39" t="n">
        <v>46253</v>
      </c>
      <c r="C647" s="40" t="n">
        <f aca="false">'Aug 19'!$D$17</f>
        <v>0</v>
      </c>
      <c r="D647" s="40" t="n">
        <f aca="false">'Aug 19'!$B$17</f>
        <v>0</v>
      </c>
      <c r="E647" s="41" t="n">
        <f aca="false">'Aug 19'!$E$17</f>
        <v>0</v>
      </c>
      <c r="F647" s="40" t="n">
        <f aca="false">'Aug 19'!$A$17</f>
        <v>0</v>
      </c>
      <c r="G647" s="41" t="n">
        <f aca="false">'Aug 19'!$F$17</f>
        <v>0</v>
      </c>
      <c r="H647" s="41" t="n">
        <f aca="false">'Aug 19'!$G$17</f>
        <v>0</v>
      </c>
      <c r="I647" s="41" t="str">
        <f aca="false">'Aug 19'!$M$17</f>
        <v/>
      </c>
      <c r="J647" s="42" t="str">
        <f aca="false">'Aug 19'!$S$17</f>
        <v/>
      </c>
      <c r="K647" s="40" t="n">
        <f aca="false">'Aug 19'!$AG$17</f>
        <v>0</v>
      </c>
      <c r="L647" s="40" t="n">
        <f aca="false">'Aug 19'!$N$17</f>
        <v>0</v>
      </c>
    </row>
    <row r="648" customFormat="false" ht="15" hidden="false" customHeight="false" outlineLevel="0" collapsed="false">
      <c r="A648" s="38" t="str">
        <f aca="false">IF(OR(C648="",C648=0),"",IF(AND(OR($B$5="",G648=$B$5,H648=$B$5),OR($D$5="",F648=$D$5),OR($E$5="",K648=$E$5),OR($G$5="",L648=$G$5),OR($H$5="",N(J648)&gt;=$H$5),OR($I$5="",ISNUMBER(SEARCH($I$5,C648&amp;" "&amp;D648&amp;" "&amp;E648&amp;" "&amp;I648)))),"✓",""))</f>
        <v/>
      </c>
      <c r="B648" s="39" t="n">
        <v>46253</v>
      </c>
      <c r="C648" s="40" t="n">
        <f aca="false">'Aug 19'!$D$18</f>
        <v>0</v>
      </c>
      <c r="D648" s="40" t="n">
        <f aca="false">'Aug 19'!$B$18</f>
        <v>0</v>
      </c>
      <c r="E648" s="41" t="n">
        <f aca="false">'Aug 19'!$E$18</f>
        <v>0</v>
      </c>
      <c r="F648" s="40" t="n">
        <f aca="false">'Aug 19'!$A$18</f>
        <v>0</v>
      </c>
      <c r="G648" s="41" t="n">
        <f aca="false">'Aug 19'!$F$18</f>
        <v>0</v>
      </c>
      <c r="H648" s="41" t="n">
        <f aca="false">'Aug 19'!$G$18</f>
        <v>0</v>
      </c>
      <c r="I648" s="41" t="str">
        <f aca="false">'Aug 19'!$M$18</f>
        <v/>
      </c>
      <c r="J648" s="42" t="str">
        <f aca="false">'Aug 19'!$S$18</f>
        <v/>
      </c>
      <c r="K648" s="40" t="n">
        <f aca="false">'Aug 19'!$AG$18</f>
        <v>0</v>
      </c>
      <c r="L648" s="40" t="n">
        <f aca="false">'Aug 19'!$N$18</f>
        <v>0</v>
      </c>
    </row>
    <row r="649" customFormat="false" ht="15" hidden="false" customHeight="false" outlineLevel="0" collapsed="false">
      <c r="A649" s="38" t="str">
        <f aca="false">IF(OR(C649="",C649=0),"",IF(AND(OR($B$5="",G649=$B$5,H649=$B$5),OR($D$5="",F649=$D$5),OR($E$5="",K649=$E$5),OR($G$5="",L649=$G$5),OR($H$5="",N(J649)&gt;=$H$5),OR($I$5="",ISNUMBER(SEARCH($I$5,C649&amp;" "&amp;D649&amp;" "&amp;E649&amp;" "&amp;I649)))),"✓",""))</f>
        <v/>
      </c>
      <c r="B649" s="39" t="n">
        <v>46253</v>
      </c>
      <c r="C649" s="40" t="n">
        <f aca="false">'Aug 19'!$D$19</f>
        <v>0</v>
      </c>
      <c r="D649" s="40" t="n">
        <f aca="false">'Aug 19'!$B$19</f>
        <v>0</v>
      </c>
      <c r="E649" s="41" t="n">
        <f aca="false">'Aug 19'!$E$19</f>
        <v>0</v>
      </c>
      <c r="F649" s="40" t="n">
        <f aca="false">'Aug 19'!$A$19</f>
        <v>0</v>
      </c>
      <c r="G649" s="41" t="n">
        <f aca="false">'Aug 19'!$F$19</f>
        <v>0</v>
      </c>
      <c r="H649" s="41" t="n">
        <f aca="false">'Aug 19'!$G$19</f>
        <v>0</v>
      </c>
      <c r="I649" s="41" t="str">
        <f aca="false">'Aug 19'!$M$19</f>
        <v/>
      </c>
      <c r="J649" s="42" t="str">
        <f aca="false">'Aug 19'!$S$19</f>
        <v/>
      </c>
      <c r="K649" s="40" t="n">
        <f aca="false">'Aug 19'!$AG$19</f>
        <v>0</v>
      </c>
      <c r="L649" s="40" t="n">
        <f aca="false">'Aug 19'!$N$19</f>
        <v>0</v>
      </c>
    </row>
    <row r="650" customFormat="false" ht="15" hidden="false" customHeight="false" outlineLevel="0" collapsed="false">
      <c r="A650" s="38" t="str">
        <f aca="false">IF(OR(C650="",C650=0),"",IF(AND(OR($B$5="",G650=$B$5,H650=$B$5),OR($D$5="",F650=$D$5),OR($E$5="",K650=$E$5),OR($G$5="",L650=$G$5),OR($H$5="",N(J650)&gt;=$H$5),OR($I$5="",ISNUMBER(SEARCH($I$5,C650&amp;" "&amp;D650&amp;" "&amp;E650&amp;" "&amp;I650)))),"✓",""))</f>
        <v/>
      </c>
      <c r="B650" s="39" t="n">
        <v>46253</v>
      </c>
      <c r="C650" s="40" t="n">
        <f aca="false">'Aug 19'!$D$20</f>
        <v>0</v>
      </c>
      <c r="D650" s="40" t="n">
        <f aca="false">'Aug 19'!$B$20</f>
        <v>0</v>
      </c>
      <c r="E650" s="41" t="n">
        <f aca="false">'Aug 19'!$E$20</f>
        <v>0</v>
      </c>
      <c r="F650" s="40" t="n">
        <f aca="false">'Aug 19'!$A$20</f>
        <v>0</v>
      </c>
      <c r="G650" s="41" t="n">
        <f aca="false">'Aug 19'!$F$20</f>
        <v>0</v>
      </c>
      <c r="H650" s="41" t="n">
        <f aca="false">'Aug 19'!$G$20</f>
        <v>0</v>
      </c>
      <c r="I650" s="41" t="str">
        <f aca="false">'Aug 19'!$M$20</f>
        <v/>
      </c>
      <c r="J650" s="42" t="str">
        <f aca="false">'Aug 19'!$S$20</f>
        <v/>
      </c>
      <c r="K650" s="40" t="n">
        <f aca="false">'Aug 19'!$AG$20</f>
        <v>0</v>
      </c>
      <c r="L650" s="40" t="n">
        <f aca="false">'Aug 19'!$N$20</f>
        <v>0</v>
      </c>
    </row>
    <row r="651" customFormat="false" ht="15" hidden="false" customHeight="false" outlineLevel="0" collapsed="false">
      <c r="A651" s="38" t="str">
        <f aca="false">IF(OR(C651="",C651=0),"",IF(AND(OR($B$5="",G651=$B$5,H651=$B$5),OR($D$5="",F651=$D$5),OR($E$5="",K651=$E$5),OR($G$5="",L651=$G$5),OR($H$5="",N(J651)&gt;=$H$5),OR($I$5="",ISNUMBER(SEARCH($I$5,C651&amp;" "&amp;D651&amp;" "&amp;E651&amp;" "&amp;I651)))),"✓",""))</f>
        <v/>
      </c>
      <c r="B651" s="39" t="n">
        <v>46253</v>
      </c>
      <c r="C651" s="40" t="n">
        <f aca="false">'Aug 19'!$D$21</f>
        <v>0</v>
      </c>
      <c r="D651" s="40" t="n">
        <f aca="false">'Aug 19'!$B$21</f>
        <v>0</v>
      </c>
      <c r="E651" s="41" t="n">
        <f aca="false">'Aug 19'!$E$21</f>
        <v>0</v>
      </c>
      <c r="F651" s="40" t="n">
        <f aca="false">'Aug 19'!$A$21</f>
        <v>0</v>
      </c>
      <c r="G651" s="41" t="n">
        <f aca="false">'Aug 19'!$F$21</f>
        <v>0</v>
      </c>
      <c r="H651" s="41" t="n">
        <f aca="false">'Aug 19'!$G$21</f>
        <v>0</v>
      </c>
      <c r="I651" s="41" t="str">
        <f aca="false">'Aug 19'!$M$21</f>
        <v/>
      </c>
      <c r="J651" s="42" t="str">
        <f aca="false">'Aug 19'!$S$21</f>
        <v/>
      </c>
      <c r="K651" s="40" t="n">
        <f aca="false">'Aug 19'!$AG$21</f>
        <v>0</v>
      </c>
      <c r="L651" s="40" t="n">
        <f aca="false">'Aug 19'!$N$21</f>
        <v>0</v>
      </c>
    </row>
    <row r="652" customFormat="false" ht="15" hidden="false" customHeight="false" outlineLevel="0" collapsed="false">
      <c r="A652" s="38" t="str">
        <f aca="false">IF(OR(C652="",C652=0),"",IF(AND(OR($B$5="",G652=$B$5,H652=$B$5),OR($D$5="",F652=$D$5),OR($E$5="",K652=$E$5),OR($G$5="",L652=$G$5),OR($H$5="",N(J652)&gt;=$H$5),OR($I$5="",ISNUMBER(SEARCH($I$5,C652&amp;" "&amp;D652&amp;" "&amp;E652&amp;" "&amp;I652)))),"✓",""))</f>
        <v/>
      </c>
      <c r="B652" s="39" t="n">
        <v>46253</v>
      </c>
      <c r="C652" s="40" t="n">
        <f aca="false">'Aug 19'!$D$22</f>
        <v>0</v>
      </c>
      <c r="D652" s="40" t="n">
        <f aca="false">'Aug 19'!$B$22</f>
        <v>0</v>
      </c>
      <c r="E652" s="41" t="n">
        <f aca="false">'Aug 19'!$E$22</f>
        <v>0</v>
      </c>
      <c r="F652" s="40" t="n">
        <f aca="false">'Aug 19'!$A$22</f>
        <v>0</v>
      </c>
      <c r="G652" s="41" t="n">
        <f aca="false">'Aug 19'!$F$22</f>
        <v>0</v>
      </c>
      <c r="H652" s="41" t="n">
        <f aca="false">'Aug 19'!$G$22</f>
        <v>0</v>
      </c>
      <c r="I652" s="41" t="str">
        <f aca="false">'Aug 19'!$M$22</f>
        <v/>
      </c>
      <c r="J652" s="42" t="str">
        <f aca="false">'Aug 19'!$S$22</f>
        <v/>
      </c>
      <c r="K652" s="40" t="n">
        <f aca="false">'Aug 19'!$AG$22</f>
        <v>0</v>
      </c>
      <c r="L652" s="40" t="n">
        <f aca="false">'Aug 19'!$N$22</f>
        <v>0</v>
      </c>
    </row>
    <row r="653" customFormat="false" ht="15" hidden="false" customHeight="false" outlineLevel="0" collapsed="false">
      <c r="A653" s="38" t="str">
        <f aca="false">IF(OR(C653="",C653=0),"",IF(AND(OR($B$5="",G653=$B$5,H653=$B$5),OR($D$5="",F653=$D$5),OR($E$5="",K653=$E$5),OR($G$5="",L653=$G$5),OR($H$5="",N(J653)&gt;=$H$5),OR($I$5="",ISNUMBER(SEARCH($I$5,C653&amp;" "&amp;D653&amp;" "&amp;E653&amp;" "&amp;I653)))),"✓",""))</f>
        <v/>
      </c>
      <c r="B653" s="39" t="n">
        <v>46253</v>
      </c>
      <c r="C653" s="40" t="n">
        <f aca="false">'Aug 19'!$D$23</f>
        <v>0</v>
      </c>
      <c r="D653" s="40" t="n">
        <f aca="false">'Aug 19'!$B$23</f>
        <v>0</v>
      </c>
      <c r="E653" s="41" t="n">
        <f aca="false">'Aug 19'!$E$23</f>
        <v>0</v>
      </c>
      <c r="F653" s="40" t="n">
        <f aca="false">'Aug 19'!$A$23</f>
        <v>0</v>
      </c>
      <c r="G653" s="41" t="n">
        <f aca="false">'Aug 19'!$F$23</f>
        <v>0</v>
      </c>
      <c r="H653" s="41" t="n">
        <f aca="false">'Aug 19'!$G$23</f>
        <v>0</v>
      </c>
      <c r="I653" s="41" t="str">
        <f aca="false">'Aug 19'!$M$23</f>
        <v/>
      </c>
      <c r="J653" s="42" t="str">
        <f aca="false">'Aug 19'!$S$23</f>
        <v/>
      </c>
      <c r="K653" s="40" t="n">
        <f aca="false">'Aug 19'!$AG$23</f>
        <v>0</v>
      </c>
      <c r="L653" s="40" t="n">
        <f aca="false">'Aug 19'!$N$23</f>
        <v>0</v>
      </c>
    </row>
    <row r="654" customFormat="false" ht="15" hidden="false" customHeight="false" outlineLevel="0" collapsed="false">
      <c r="A654" s="38" t="str">
        <f aca="false">IF(OR(C654="",C654=0),"",IF(AND(OR($B$5="",G654=$B$5,H654=$B$5),OR($D$5="",F654=$D$5),OR($E$5="",K654=$E$5),OR($G$5="",L654=$G$5),OR($H$5="",N(J654)&gt;=$H$5),OR($I$5="",ISNUMBER(SEARCH($I$5,C654&amp;" "&amp;D654&amp;" "&amp;E654&amp;" "&amp;I654)))),"✓",""))</f>
        <v/>
      </c>
      <c r="B654" s="39" t="n">
        <v>46253</v>
      </c>
      <c r="C654" s="40" t="n">
        <f aca="false">'Aug 19'!$D$24</f>
        <v>0</v>
      </c>
      <c r="D654" s="40" t="n">
        <f aca="false">'Aug 19'!$B$24</f>
        <v>0</v>
      </c>
      <c r="E654" s="41" t="n">
        <f aca="false">'Aug 19'!$E$24</f>
        <v>0</v>
      </c>
      <c r="F654" s="40" t="n">
        <f aca="false">'Aug 19'!$A$24</f>
        <v>0</v>
      </c>
      <c r="G654" s="41" t="n">
        <f aca="false">'Aug 19'!$F$24</f>
        <v>0</v>
      </c>
      <c r="H654" s="41" t="n">
        <f aca="false">'Aug 19'!$G$24</f>
        <v>0</v>
      </c>
      <c r="I654" s="41" t="str">
        <f aca="false">'Aug 19'!$M$24</f>
        <v/>
      </c>
      <c r="J654" s="42" t="str">
        <f aca="false">'Aug 19'!$S$24</f>
        <v/>
      </c>
      <c r="K654" s="40" t="n">
        <f aca="false">'Aug 19'!$AG$24</f>
        <v>0</v>
      </c>
      <c r="L654" s="40" t="n">
        <f aca="false">'Aug 19'!$N$24</f>
        <v>0</v>
      </c>
    </row>
    <row r="655" customFormat="false" ht="15" hidden="false" customHeight="false" outlineLevel="0" collapsed="false">
      <c r="A655" s="38" t="str">
        <f aca="false">IF(OR(C655="",C655=0),"",IF(AND(OR($B$5="",G655=$B$5,H655=$B$5),OR($D$5="",F655=$D$5),OR($E$5="",K655=$E$5),OR($G$5="",L655=$G$5),OR($H$5="",N(J655)&gt;=$H$5),OR($I$5="",ISNUMBER(SEARCH($I$5,C655&amp;" "&amp;D655&amp;" "&amp;E655&amp;" "&amp;I655)))),"✓",""))</f>
        <v/>
      </c>
      <c r="B655" s="39" t="n">
        <v>46253</v>
      </c>
      <c r="C655" s="40" t="n">
        <f aca="false">'Aug 19'!$D$25</f>
        <v>0</v>
      </c>
      <c r="D655" s="40" t="n">
        <f aca="false">'Aug 19'!$B$25</f>
        <v>0</v>
      </c>
      <c r="E655" s="41" t="n">
        <f aca="false">'Aug 19'!$E$25</f>
        <v>0</v>
      </c>
      <c r="F655" s="40" t="n">
        <f aca="false">'Aug 19'!$A$25</f>
        <v>0</v>
      </c>
      <c r="G655" s="41" t="n">
        <f aca="false">'Aug 19'!$F$25</f>
        <v>0</v>
      </c>
      <c r="H655" s="41" t="n">
        <f aca="false">'Aug 19'!$G$25</f>
        <v>0</v>
      </c>
      <c r="I655" s="41" t="str">
        <f aca="false">'Aug 19'!$M$25</f>
        <v/>
      </c>
      <c r="J655" s="42" t="str">
        <f aca="false">'Aug 19'!$S$25</f>
        <v/>
      </c>
      <c r="K655" s="40" t="n">
        <f aca="false">'Aug 19'!$AG$25</f>
        <v>0</v>
      </c>
      <c r="L655" s="40" t="n">
        <f aca="false">'Aug 19'!$N$25</f>
        <v>0</v>
      </c>
    </row>
    <row r="656" customFormat="false" ht="15" hidden="false" customHeight="false" outlineLevel="0" collapsed="false">
      <c r="A656" s="38" t="str">
        <f aca="false">IF(OR(C656="",C656=0),"",IF(AND(OR($B$5="",G656=$B$5,H656=$B$5),OR($D$5="",F656=$D$5),OR($E$5="",K656=$E$5),OR($G$5="",L656=$G$5),OR($H$5="",N(J656)&gt;=$H$5),OR($I$5="",ISNUMBER(SEARCH($I$5,C656&amp;" "&amp;D656&amp;" "&amp;E656&amp;" "&amp;I656)))),"✓",""))</f>
        <v/>
      </c>
      <c r="B656" s="39" t="n">
        <v>46253</v>
      </c>
      <c r="C656" s="40" t="n">
        <f aca="false">'Aug 19'!$D$26</f>
        <v>0</v>
      </c>
      <c r="D656" s="40" t="n">
        <f aca="false">'Aug 19'!$B$26</f>
        <v>0</v>
      </c>
      <c r="E656" s="41" t="n">
        <f aca="false">'Aug 19'!$E$26</f>
        <v>0</v>
      </c>
      <c r="F656" s="40" t="n">
        <f aca="false">'Aug 19'!$A$26</f>
        <v>0</v>
      </c>
      <c r="G656" s="41" t="n">
        <f aca="false">'Aug 19'!$F$26</f>
        <v>0</v>
      </c>
      <c r="H656" s="41" t="n">
        <f aca="false">'Aug 19'!$G$26</f>
        <v>0</v>
      </c>
      <c r="I656" s="41" t="str">
        <f aca="false">'Aug 19'!$M$26</f>
        <v/>
      </c>
      <c r="J656" s="42" t="str">
        <f aca="false">'Aug 19'!$S$26</f>
        <v/>
      </c>
      <c r="K656" s="40" t="n">
        <f aca="false">'Aug 19'!$AG$26</f>
        <v>0</v>
      </c>
      <c r="L656" s="40" t="n">
        <f aca="false">'Aug 19'!$N$26</f>
        <v>0</v>
      </c>
    </row>
    <row r="657" customFormat="false" ht="15" hidden="false" customHeight="false" outlineLevel="0" collapsed="false">
      <c r="A657" s="38" t="str">
        <f aca="false">IF(OR(C657="",C657=0),"",IF(AND(OR($B$5="",G657=$B$5,H657=$B$5),OR($D$5="",F657=$D$5),OR($E$5="",K657=$E$5),OR($G$5="",L657=$G$5),OR($H$5="",N(J657)&gt;=$H$5),OR($I$5="",ISNUMBER(SEARCH($I$5,C657&amp;" "&amp;D657&amp;" "&amp;E657&amp;" "&amp;I657)))),"✓",""))</f>
        <v/>
      </c>
      <c r="B657" s="39" t="n">
        <v>46253</v>
      </c>
      <c r="C657" s="40" t="n">
        <f aca="false">'Aug 19'!$D$27</f>
        <v>0</v>
      </c>
      <c r="D657" s="40" t="n">
        <f aca="false">'Aug 19'!$B$27</f>
        <v>0</v>
      </c>
      <c r="E657" s="41" t="n">
        <f aca="false">'Aug 19'!$E$27</f>
        <v>0</v>
      </c>
      <c r="F657" s="40" t="n">
        <f aca="false">'Aug 19'!$A$27</f>
        <v>0</v>
      </c>
      <c r="G657" s="41" t="n">
        <f aca="false">'Aug 19'!$F$27</f>
        <v>0</v>
      </c>
      <c r="H657" s="41" t="n">
        <f aca="false">'Aug 19'!$G$27</f>
        <v>0</v>
      </c>
      <c r="I657" s="41" t="str">
        <f aca="false">'Aug 19'!$M$27</f>
        <v/>
      </c>
      <c r="J657" s="42" t="str">
        <f aca="false">'Aug 19'!$S$27</f>
        <v/>
      </c>
      <c r="K657" s="40" t="n">
        <f aca="false">'Aug 19'!$AG$27</f>
        <v>0</v>
      </c>
      <c r="L657" s="40" t="n">
        <f aca="false">'Aug 19'!$N$27</f>
        <v>0</v>
      </c>
    </row>
    <row r="658" customFormat="false" ht="15" hidden="false" customHeight="false" outlineLevel="0" collapsed="false">
      <c r="A658" s="38" t="str">
        <f aca="false">IF(OR(C658="",C658=0),"",IF(AND(OR($B$5="",G658=$B$5,H658=$B$5),OR($D$5="",F658=$D$5),OR($E$5="",K658=$E$5),OR($G$5="",L658=$G$5),OR($H$5="",N(J658)&gt;=$H$5),OR($I$5="",ISNUMBER(SEARCH($I$5,C658&amp;" "&amp;D658&amp;" "&amp;E658&amp;" "&amp;I658)))),"✓",""))</f>
        <v/>
      </c>
      <c r="B658" s="39" t="n">
        <v>46253</v>
      </c>
      <c r="C658" s="40" t="n">
        <f aca="false">'Aug 19'!$D$28</f>
        <v>0</v>
      </c>
      <c r="D658" s="40" t="n">
        <f aca="false">'Aug 19'!$B$28</f>
        <v>0</v>
      </c>
      <c r="E658" s="41" t="n">
        <f aca="false">'Aug 19'!$E$28</f>
        <v>0</v>
      </c>
      <c r="F658" s="40" t="n">
        <f aca="false">'Aug 19'!$A$28</f>
        <v>0</v>
      </c>
      <c r="G658" s="41" t="n">
        <f aca="false">'Aug 19'!$F$28</f>
        <v>0</v>
      </c>
      <c r="H658" s="41" t="n">
        <f aca="false">'Aug 19'!$G$28</f>
        <v>0</v>
      </c>
      <c r="I658" s="41" t="str">
        <f aca="false">'Aug 19'!$M$28</f>
        <v/>
      </c>
      <c r="J658" s="42" t="str">
        <f aca="false">'Aug 19'!$S$28</f>
        <v/>
      </c>
      <c r="K658" s="40" t="n">
        <f aca="false">'Aug 19'!$AG$28</f>
        <v>0</v>
      </c>
      <c r="L658" s="40" t="n">
        <f aca="false">'Aug 19'!$N$28</f>
        <v>0</v>
      </c>
    </row>
    <row r="659" customFormat="false" ht="15" hidden="false" customHeight="false" outlineLevel="0" collapsed="false">
      <c r="A659" s="38" t="str">
        <f aca="false">IF(OR(C659="",C659=0),"",IF(AND(OR($B$5="",G659=$B$5,H659=$B$5),OR($D$5="",F659=$D$5),OR($E$5="",K659=$E$5),OR($G$5="",L659=$G$5),OR($H$5="",N(J659)&gt;=$H$5),OR($I$5="",ISNUMBER(SEARCH($I$5,C659&amp;" "&amp;D659&amp;" "&amp;E659&amp;" "&amp;I659)))),"✓",""))</f>
        <v/>
      </c>
      <c r="B659" s="39" t="n">
        <v>46253</v>
      </c>
      <c r="C659" s="40" t="n">
        <f aca="false">'Aug 19'!$D$29</f>
        <v>0</v>
      </c>
      <c r="D659" s="40" t="n">
        <f aca="false">'Aug 19'!$B$29</f>
        <v>0</v>
      </c>
      <c r="E659" s="41" t="n">
        <f aca="false">'Aug 19'!$E$29</f>
        <v>0</v>
      </c>
      <c r="F659" s="40" t="n">
        <f aca="false">'Aug 19'!$A$29</f>
        <v>0</v>
      </c>
      <c r="G659" s="41" t="n">
        <f aca="false">'Aug 19'!$F$29</f>
        <v>0</v>
      </c>
      <c r="H659" s="41" t="n">
        <f aca="false">'Aug 19'!$G$29</f>
        <v>0</v>
      </c>
      <c r="I659" s="41" t="str">
        <f aca="false">'Aug 19'!$M$29</f>
        <v/>
      </c>
      <c r="J659" s="42" t="str">
        <f aca="false">'Aug 19'!$S$29</f>
        <v/>
      </c>
      <c r="K659" s="40" t="n">
        <f aca="false">'Aug 19'!$AG$29</f>
        <v>0</v>
      </c>
      <c r="L659" s="40" t="n">
        <f aca="false">'Aug 19'!$N$29</f>
        <v>0</v>
      </c>
    </row>
    <row r="660" customFormat="false" ht="15" hidden="false" customHeight="false" outlineLevel="0" collapsed="false">
      <c r="A660" s="38" t="str">
        <f aca="false">IF(OR(C660="",C660=0),"",IF(AND(OR($B$5="",G660=$B$5,H660=$B$5),OR($D$5="",F660=$D$5),OR($E$5="",K660=$E$5),OR($G$5="",L660=$G$5),OR($H$5="",N(J660)&gt;=$H$5),OR($I$5="",ISNUMBER(SEARCH($I$5,C660&amp;" "&amp;D660&amp;" "&amp;E660&amp;" "&amp;I660)))),"✓",""))</f>
        <v/>
      </c>
      <c r="B660" s="39" t="n">
        <v>46253</v>
      </c>
      <c r="C660" s="40" t="n">
        <f aca="false">'Aug 19'!$D$30</f>
        <v>0</v>
      </c>
      <c r="D660" s="40" t="n">
        <f aca="false">'Aug 19'!$B$30</f>
        <v>0</v>
      </c>
      <c r="E660" s="41" t="n">
        <f aca="false">'Aug 19'!$E$30</f>
        <v>0</v>
      </c>
      <c r="F660" s="40" t="n">
        <f aca="false">'Aug 19'!$A$30</f>
        <v>0</v>
      </c>
      <c r="G660" s="41" t="n">
        <f aca="false">'Aug 19'!$F$30</f>
        <v>0</v>
      </c>
      <c r="H660" s="41" t="n">
        <f aca="false">'Aug 19'!$G$30</f>
        <v>0</v>
      </c>
      <c r="I660" s="41" t="str">
        <f aca="false">'Aug 19'!$M$30</f>
        <v/>
      </c>
      <c r="J660" s="42" t="str">
        <f aca="false">'Aug 19'!$S$30</f>
        <v/>
      </c>
      <c r="K660" s="40" t="n">
        <f aca="false">'Aug 19'!$AG$30</f>
        <v>0</v>
      </c>
      <c r="L660" s="40" t="n">
        <f aca="false">'Aug 19'!$N$30</f>
        <v>0</v>
      </c>
    </row>
    <row r="661" customFormat="false" ht="15" hidden="false" customHeight="false" outlineLevel="0" collapsed="false">
      <c r="A661" s="38" t="str">
        <f aca="false">IF(OR(C661="",C661=0),"",IF(AND(OR($B$5="",G661=$B$5,H661=$B$5),OR($D$5="",F661=$D$5),OR($E$5="",K661=$E$5),OR($G$5="",L661=$G$5),OR($H$5="",N(J661)&gt;=$H$5),OR($I$5="",ISNUMBER(SEARCH($I$5,C661&amp;" "&amp;D661&amp;" "&amp;E661&amp;" "&amp;I661)))),"✓",""))</f>
        <v/>
      </c>
      <c r="B661" s="39" t="n">
        <v>46253</v>
      </c>
      <c r="C661" s="40" t="n">
        <f aca="false">'Aug 19'!$D$31</f>
        <v>0</v>
      </c>
      <c r="D661" s="40" t="n">
        <f aca="false">'Aug 19'!$B$31</f>
        <v>0</v>
      </c>
      <c r="E661" s="41" t="n">
        <f aca="false">'Aug 19'!$E$31</f>
        <v>0</v>
      </c>
      <c r="F661" s="40" t="n">
        <f aca="false">'Aug 19'!$A$31</f>
        <v>0</v>
      </c>
      <c r="G661" s="41" t="n">
        <f aca="false">'Aug 19'!$F$31</f>
        <v>0</v>
      </c>
      <c r="H661" s="41" t="n">
        <f aca="false">'Aug 19'!$G$31</f>
        <v>0</v>
      </c>
      <c r="I661" s="41" t="str">
        <f aca="false">'Aug 19'!$M$31</f>
        <v/>
      </c>
      <c r="J661" s="42" t="str">
        <f aca="false">'Aug 19'!$S$31</f>
        <v/>
      </c>
      <c r="K661" s="40" t="n">
        <f aca="false">'Aug 19'!$AG$31</f>
        <v>0</v>
      </c>
      <c r="L661" s="40" t="n">
        <f aca="false">'Aug 19'!$N$31</f>
        <v>0</v>
      </c>
    </row>
    <row r="662" customFormat="false" ht="15" hidden="false" customHeight="false" outlineLevel="0" collapsed="false">
      <c r="A662" s="38" t="str">
        <f aca="false">IF(OR(C662="",C662=0),"",IF(AND(OR($B$5="",G662=$B$5,H662=$B$5),OR($D$5="",F662=$D$5),OR($E$5="",K662=$E$5),OR($G$5="",L662=$G$5),OR($H$5="",N(J662)&gt;=$H$5),OR($I$5="",ISNUMBER(SEARCH($I$5,C662&amp;" "&amp;D662&amp;" "&amp;E662&amp;" "&amp;I662)))),"✓",""))</f>
        <v/>
      </c>
      <c r="B662" s="39" t="n">
        <v>46253</v>
      </c>
      <c r="C662" s="40" t="n">
        <f aca="false">'Aug 19'!$D$32</f>
        <v>0</v>
      </c>
      <c r="D662" s="40" t="n">
        <f aca="false">'Aug 19'!$B$32</f>
        <v>0</v>
      </c>
      <c r="E662" s="41" t="n">
        <f aca="false">'Aug 19'!$E$32</f>
        <v>0</v>
      </c>
      <c r="F662" s="40" t="n">
        <f aca="false">'Aug 19'!$A$32</f>
        <v>0</v>
      </c>
      <c r="G662" s="41" t="n">
        <f aca="false">'Aug 19'!$F$32</f>
        <v>0</v>
      </c>
      <c r="H662" s="41" t="n">
        <f aca="false">'Aug 19'!$G$32</f>
        <v>0</v>
      </c>
      <c r="I662" s="41" t="str">
        <f aca="false">'Aug 19'!$M$32</f>
        <v/>
      </c>
      <c r="J662" s="42" t="str">
        <f aca="false">'Aug 19'!$S$32</f>
        <v/>
      </c>
      <c r="K662" s="40" t="n">
        <f aca="false">'Aug 19'!$AG$32</f>
        <v>0</v>
      </c>
      <c r="L662" s="40" t="n">
        <f aca="false">'Aug 19'!$N$32</f>
        <v>0</v>
      </c>
    </row>
    <row r="663" customFormat="false" ht="15" hidden="false" customHeight="false" outlineLevel="0" collapsed="false">
      <c r="A663" s="38" t="str">
        <f aca="false">IF(OR(C663="",C663=0),"",IF(AND(OR($B$5="",G663=$B$5,H663=$B$5),OR($D$5="",F663=$D$5),OR($E$5="",K663=$E$5),OR($G$5="",L663=$G$5),OR($H$5="",N(J663)&gt;=$H$5),OR($I$5="",ISNUMBER(SEARCH($I$5,C663&amp;" "&amp;D663&amp;" "&amp;E663&amp;" "&amp;I663)))),"✓",""))</f>
        <v/>
      </c>
      <c r="B663" s="39" t="n">
        <v>46253</v>
      </c>
      <c r="C663" s="40" t="n">
        <f aca="false">'Aug 19'!$D$33</f>
        <v>0</v>
      </c>
      <c r="D663" s="40" t="n">
        <f aca="false">'Aug 19'!$B$33</f>
        <v>0</v>
      </c>
      <c r="E663" s="41" t="n">
        <f aca="false">'Aug 19'!$E$33</f>
        <v>0</v>
      </c>
      <c r="F663" s="40" t="n">
        <f aca="false">'Aug 19'!$A$33</f>
        <v>0</v>
      </c>
      <c r="G663" s="41" t="n">
        <f aca="false">'Aug 19'!$F$33</f>
        <v>0</v>
      </c>
      <c r="H663" s="41" t="n">
        <f aca="false">'Aug 19'!$G$33</f>
        <v>0</v>
      </c>
      <c r="I663" s="41" t="str">
        <f aca="false">'Aug 19'!$M$33</f>
        <v/>
      </c>
      <c r="J663" s="42" t="str">
        <f aca="false">'Aug 19'!$S$33</f>
        <v/>
      </c>
      <c r="K663" s="40" t="n">
        <f aca="false">'Aug 19'!$AG$33</f>
        <v>0</v>
      </c>
      <c r="L663" s="40" t="n">
        <f aca="false">'Aug 19'!$N$33</f>
        <v>0</v>
      </c>
    </row>
    <row r="664" customFormat="false" ht="15" hidden="false" customHeight="false" outlineLevel="0" collapsed="false">
      <c r="A664" s="38" t="str">
        <f aca="false">IF(OR(C664="",C664=0),"",IF(AND(OR($B$5="",G664=$B$5,H664=$B$5),OR($D$5="",F664=$D$5),OR($E$5="",K664=$E$5),OR($G$5="",L664=$G$5),OR($H$5="",N(J664)&gt;=$H$5),OR($I$5="",ISNUMBER(SEARCH($I$5,C664&amp;" "&amp;D664&amp;" "&amp;E664&amp;" "&amp;I664)))),"✓",""))</f>
        <v/>
      </c>
      <c r="B664" s="39" t="n">
        <v>46253</v>
      </c>
      <c r="C664" s="40" t="n">
        <f aca="false">'Aug 19'!$D$34</f>
        <v>0</v>
      </c>
      <c r="D664" s="40" t="n">
        <f aca="false">'Aug 19'!$B$34</f>
        <v>0</v>
      </c>
      <c r="E664" s="41" t="n">
        <f aca="false">'Aug 19'!$E$34</f>
        <v>0</v>
      </c>
      <c r="F664" s="40" t="n">
        <f aca="false">'Aug 19'!$A$34</f>
        <v>0</v>
      </c>
      <c r="G664" s="41" t="n">
        <f aca="false">'Aug 19'!$F$34</f>
        <v>0</v>
      </c>
      <c r="H664" s="41" t="n">
        <f aca="false">'Aug 19'!$G$34</f>
        <v>0</v>
      </c>
      <c r="I664" s="41" t="str">
        <f aca="false">'Aug 19'!$M$34</f>
        <v/>
      </c>
      <c r="J664" s="42" t="str">
        <f aca="false">'Aug 19'!$S$34</f>
        <v/>
      </c>
      <c r="K664" s="40" t="n">
        <f aca="false">'Aug 19'!$AG$34</f>
        <v>0</v>
      </c>
      <c r="L664" s="40" t="n">
        <f aca="false">'Aug 19'!$N$34</f>
        <v>0</v>
      </c>
    </row>
    <row r="665" customFormat="false" ht="15" hidden="false" customHeight="false" outlineLevel="0" collapsed="false">
      <c r="A665" s="38" t="str">
        <f aca="false">IF(OR(C665="",C665=0),"",IF(AND(OR($B$5="",G665=$B$5,H665=$B$5),OR($D$5="",F665=$D$5),OR($E$5="",K665=$E$5),OR($G$5="",L665=$G$5),OR($H$5="",N(J665)&gt;=$H$5),OR($I$5="",ISNUMBER(SEARCH($I$5,C665&amp;" "&amp;D665&amp;" "&amp;E665&amp;" "&amp;I665)))),"✓",""))</f>
        <v/>
      </c>
      <c r="B665" s="39" t="n">
        <v>46253</v>
      </c>
      <c r="C665" s="40" t="n">
        <f aca="false">'Aug 19'!$D$35</f>
        <v>0</v>
      </c>
      <c r="D665" s="40" t="n">
        <f aca="false">'Aug 19'!$B$35</f>
        <v>0</v>
      </c>
      <c r="E665" s="41" t="n">
        <f aca="false">'Aug 19'!$E$35</f>
        <v>0</v>
      </c>
      <c r="F665" s="40" t="n">
        <f aca="false">'Aug 19'!$A$35</f>
        <v>0</v>
      </c>
      <c r="G665" s="41" t="n">
        <f aca="false">'Aug 19'!$F$35</f>
        <v>0</v>
      </c>
      <c r="H665" s="41" t="n">
        <f aca="false">'Aug 19'!$G$35</f>
        <v>0</v>
      </c>
      <c r="I665" s="41" t="str">
        <f aca="false">'Aug 19'!$M$35</f>
        <v/>
      </c>
      <c r="J665" s="42" t="str">
        <f aca="false">'Aug 19'!$S$35</f>
        <v/>
      </c>
      <c r="K665" s="40" t="n">
        <f aca="false">'Aug 19'!$AG$35</f>
        <v>0</v>
      </c>
      <c r="L665" s="40" t="n">
        <f aca="false">'Aug 19'!$N$35</f>
        <v>0</v>
      </c>
    </row>
    <row r="666" customFormat="false" ht="15" hidden="false" customHeight="false" outlineLevel="0" collapsed="false">
      <c r="A666" s="38" t="str">
        <f aca="false">IF(OR(C666="",C666=0),"",IF(AND(OR($B$5="",G666=$B$5,H666=$B$5),OR($D$5="",F666=$D$5),OR($E$5="",K666=$E$5),OR($G$5="",L666=$G$5),OR($H$5="",N(J666)&gt;=$H$5),OR($I$5="",ISNUMBER(SEARCH($I$5,C666&amp;" "&amp;D666&amp;" "&amp;E666&amp;" "&amp;I666)))),"✓",""))</f>
        <v/>
      </c>
      <c r="B666" s="39" t="n">
        <v>46253</v>
      </c>
      <c r="C666" s="40" t="n">
        <f aca="false">'Aug 19'!$D$36</f>
        <v>0</v>
      </c>
      <c r="D666" s="40" t="n">
        <f aca="false">'Aug 19'!$B$36</f>
        <v>0</v>
      </c>
      <c r="E666" s="41" t="n">
        <f aca="false">'Aug 19'!$E$36</f>
        <v>0</v>
      </c>
      <c r="F666" s="40" t="n">
        <f aca="false">'Aug 19'!$A$36</f>
        <v>0</v>
      </c>
      <c r="G666" s="41" t="n">
        <f aca="false">'Aug 19'!$F$36</f>
        <v>0</v>
      </c>
      <c r="H666" s="41" t="n">
        <f aca="false">'Aug 19'!$G$36</f>
        <v>0</v>
      </c>
      <c r="I666" s="41" t="str">
        <f aca="false">'Aug 19'!$M$36</f>
        <v/>
      </c>
      <c r="J666" s="42" t="str">
        <f aca="false">'Aug 19'!$S$36</f>
        <v/>
      </c>
      <c r="K666" s="40" t="n">
        <f aca="false">'Aug 19'!$AG$36</f>
        <v>0</v>
      </c>
      <c r="L666" s="40" t="n">
        <f aca="false">'Aug 19'!$N$36</f>
        <v>0</v>
      </c>
    </row>
    <row r="667" customFormat="false" ht="15" hidden="false" customHeight="false" outlineLevel="0" collapsed="false">
      <c r="A667" s="38" t="str">
        <f aca="false">IF(OR(C667="",C667=0),"",IF(AND(OR($B$5="",G667=$B$5,H667=$B$5),OR($D$5="",F667=$D$5),OR($E$5="",K667=$E$5),OR($G$5="",L667=$G$5),OR($H$5="",N(J667)&gt;=$H$5),OR($I$5="",ISNUMBER(SEARCH($I$5,C667&amp;" "&amp;D667&amp;" "&amp;E667&amp;" "&amp;I667)))),"✓",""))</f>
        <v/>
      </c>
      <c r="B667" s="39" t="n">
        <v>46253</v>
      </c>
      <c r="C667" s="40" t="n">
        <f aca="false">'Aug 19'!$D$37</f>
        <v>0</v>
      </c>
      <c r="D667" s="40" t="n">
        <f aca="false">'Aug 19'!$B$37</f>
        <v>0</v>
      </c>
      <c r="E667" s="41" t="n">
        <f aca="false">'Aug 19'!$E$37</f>
        <v>0</v>
      </c>
      <c r="F667" s="40" t="n">
        <f aca="false">'Aug 19'!$A$37</f>
        <v>0</v>
      </c>
      <c r="G667" s="41" t="n">
        <f aca="false">'Aug 19'!$F$37</f>
        <v>0</v>
      </c>
      <c r="H667" s="41" t="n">
        <f aca="false">'Aug 19'!$G$37</f>
        <v>0</v>
      </c>
      <c r="I667" s="41" t="str">
        <f aca="false">'Aug 19'!$M$37</f>
        <v/>
      </c>
      <c r="J667" s="42" t="str">
        <f aca="false">'Aug 19'!$S$37</f>
        <v/>
      </c>
      <c r="K667" s="40" t="n">
        <f aca="false">'Aug 19'!$AG$37</f>
        <v>0</v>
      </c>
      <c r="L667" s="40" t="n">
        <f aca="false">'Aug 19'!$N$37</f>
        <v>0</v>
      </c>
    </row>
    <row r="668" customFormat="false" ht="15" hidden="false" customHeight="false" outlineLevel="0" collapsed="false">
      <c r="A668" s="38" t="str">
        <f aca="false">IF(OR(C668="",C668=0),"",IF(AND(OR($B$5="",G668=$B$5,H668=$B$5),OR($D$5="",F668=$D$5),OR($E$5="",K668=$E$5),OR($G$5="",L668=$G$5),OR($H$5="",N(J668)&gt;=$H$5),OR($I$5="",ISNUMBER(SEARCH($I$5,C668&amp;" "&amp;D668&amp;" "&amp;E668&amp;" "&amp;I668)))),"✓",""))</f>
        <v/>
      </c>
      <c r="B668" s="39" t="n">
        <v>46253</v>
      </c>
      <c r="C668" s="40" t="n">
        <f aca="false">'Aug 19'!$D$38</f>
        <v>0</v>
      </c>
      <c r="D668" s="40" t="n">
        <f aca="false">'Aug 19'!$B$38</f>
        <v>0</v>
      </c>
      <c r="E668" s="41" t="n">
        <f aca="false">'Aug 19'!$E$38</f>
        <v>0</v>
      </c>
      <c r="F668" s="40" t="n">
        <f aca="false">'Aug 19'!$A$38</f>
        <v>0</v>
      </c>
      <c r="G668" s="41" t="n">
        <f aca="false">'Aug 19'!$F$38</f>
        <v>0</v>
      </c>
      <c r="H668" s="41" t="n">
        <f aca="false">'Aug 19'!$G$38</f>
        <v>0</v>
      </c>
      <c r="I668" s="41" t="str">
        <f aca="false">'Aug 19'!$M$38</f>
        <v/>
      </c>
      <c r="J668" s="42" t="str">
        <f aca="false">'Aug 19'!$S$38</f>
        <v/>
      </c>
      <c r="K668" s="40" t="n">
        <f aca="false">'Aug 19'!$AG$38</f>
        <v>0</v>
      </c>
      <c r="L668" s="40" t="n">
        <f aca="false">'Aug 19'!$N$38</f>
        <v>0</v>
      </c>
    </row>
    <row r="669" customFormat="false" ht="15" hidden="false" customHeight="false" outlineLevel="0" collapsed="false">
      <c r="A669" s="38" t="str">
        <f aca="false">IF(OR(C669="",C669=0),"",IF(AND(OR($B$5="",G669=$B$5,H669=$B$5),OR($D$5="",F669=$D$5),OR($E$5="",K669=$E$5),OR($G$5="",L669=$G$5),OR($H$5="",N(J669)&gt;=$H$5),OR($I$5="",ISNUMBER(SEARCH($I$5,C669&amp;" "&amp;D669&amp;" "&amp;E669&amp;" "&amp;I669)))),"✓",""))</f>
        <v/>
      </c>
      <c r="B669" s="39" t="n">
        <v>46253</v>
      </c>
      <c r="C669" s="40" t="n">
        <f aca="false">'Aug 19'!$D$39</f>
        <v>0</v>
      </c>
      <c r="D669" s="40" t="n">
        <f aca="false">'Aug 19'!$B$39</f>
        <v>0</v>
      </c>
      <c r="E669" s="41" t="n">
        <f aca="false">'Aug 19'!$E$39</f>
        <v>0</v>
      </c>
      <c r="F669" s="40" t="n">
        <f aca="false">'Aug 19'!$A$39</f>
        <v>0</v>
      </c>
      <c r="G669" s="41" t="n">
        <f aca="false">'Aug 19'!$F$39</f>
        <v>0</v>
      </c>
      <c r="H669" s="41" t="n">
        <f aca="false">'Aug 19'!$G$39</f>
        <v>0</v>
      </c>
      <c r="I669" s="41" t="str">
        <f aca="false">'Aug 19'!$M$39</f>
        <v/>
      </c>
      <c r="J669" s="42" t="str">
        <f aca="false">'Aug 19'!$S$39</f>
        <v/>
      </c>
      <c r="K669" s="40" t="n">
        <f aca="false">'Aug 19'!$AG$39</f>
        <v>0</v>
      </c>
      <c r="L669" s="40" t="n">
        <f aca="false">'Aug 19'!$N$39</f>
        <v>0</v>
      </c>
    </row>
    <row r="670" customFormat="false" ht="15" hidden="false" customHeight="false" outlineLevel="0" collapsed="false">
      <c r="A670" s="38" t="str">
        <f aca="false">IF(OR(C670="",C670=0),"",IF(AND(OR($B$5="",G670=$B$5,H670=$B$5),OR($D$5="",F670=$D$5),OR($E$5="",K670=$E$5),OR($G$5="",L670=$G$5),OR($H$5="",N(J670)&gt;=$H$5),OR($I$5="",ISNUMBER(SEARCH($I$5,C670&amp;" "&amp;D670&amp;" "&amp;E670&amp;" "&amp;I670)))),"✓",""))</f>
        <v/>
      </c>
      <c r="B670" s="39" t="n">
        <v>46253</v>
      </c>
      <c r="C670" s="40" t="n">
        <f aca="false">'Aug 19'!$D$40</f>
        <v>0</v>
      </c>
      <c r="D670" s="40" t="n">
        <f aca="false">'Aug 19'!$B$40</f>
        <v>0</v>
      </c>
      <c r="E670" s="41" t="n">
        <f aca="false">'Aug 19'!$E$40</f>
        <v>0</v>
      </c>
      <c r="F670" s="40" t="n">
        <f aca="false">'Aug 19'!$A$40</f>
        <v>0</v>
      </c>
      <c r="G670" s="41" t="n">
        <f aca="false">'Aug 19'!$F$40</f>
        <v>0</v>
      </c>
      <c r="H670" s="41" t="n">
        <f aca="false">'Aug 19'!$G$40</f>
        <v>0</v>
      </c>
      <c r="I670" s="41" t="str">
        <f aca="false">'Aug 19'!$M$40</f>
        <v/>
      </c>
      <c r="J670" s="42" t="str">
        <f aca="false">'Aug 19'!$S$40</f>
        <v/>
      </c>
      <c r="K670" s="40" t="n">
        <f aca="false">'Aug 19'!$AG$40</f>
        <v>0</v>
      </c>
      <c r="L670" s="40" t="n">
        <f aca="false">'Aug 19'!$N$40</f>
        <v>0</v>
      </c>
    </row>
    <row r="671" customFormat="false" ht="15" hidden="false" customHeight="false" outlineLevel="0" collapsed="false">
      <c r="A671" s="38" t="str">
        <f aca="false">IF(OR(C671="",C671=0),"",IF(AND(OR($B$5="",G671=$B$5,H671=$B$5),OR($D$5="",F671=$D$5),OR($E$5="",K671=$E$5),OR($G$5="",L671=$G$5),OR($H$5="",N(J671)&gt;=$H$5),OR($I$5="",ISNUMBER(SEARCH($I$5,C671&amp;" "&amp;D671&amp;" "&amp;E671&amp;" "&amp;I671)))),"✓",""))</f>
        <v/>
      </c>
      <c r="B671" s="39" t="n">
        <v>46253</v>
      </c>
      <c r="C671" s="40" t="n">
        <f aca="false">'Aug 19'!$D$41</f>
        <v>0</v>
      </c>
      <c r="D671" s="40" t="n">
        <f aca="false">'Aug 19'!$B$41</f>
        <v>0</v>
      </c>
      <c r="E671" s="41" t="n">
        <f aca="false">'Aug 19'!$E$41</f>
        <v>0</v>
      </c>
      <c r="F671" s="40" t="n">
        <f aca="false">'Aug 19'!$A$41</f>
        <v>0</v>
      </c>
      <c r="G671" s="41" t="n">
        <f aca="false">'Aug 19'!$F$41</f>
        <v>0</v>
      </c>
      <c r="H671" s="41" t="n">
        <f aca="false">'Aug 19'!$G$41</f>
        <v>0</v>
      </c>
      <c r="I671" s="41" t="str">
        <f aca="false">'Aug 19'!$M$41</f>
        <v/>
      </c>
      <c r="J671" s="42" t="str">
        <f aca="false">'Aug 19'!$S$41</f>
        <v/>
      </c>
      <c r="K671" s="40" t="n">
        <f aca="false">'Aug 19'!$AG$41</f>
        <v>0</v>
      </c>
      <c r="L671" s="40" t="n">
        <f aca="false">'Aug 19'!$N$41</f>
        <v>0</v>
      </c>
    </row>
    <row r="672" customFormat="false" ht="15" hidden="false" customHeight="false" outlineLevel="0" collapsed="false">
      <c r="A672" s="38" t="str">
        <f aca="false">IF(OR(C672="",C672=0),"",IF(AND(OR($B$5="",G672=$B$5,H672=$B$5),OR($D$5="",F672=$D$5),OR($E$5="",K672=$E$5),OR($G$5="",L672=$G$5),OR($H$5="",N(J672)&gt;=$H$5),OR($I$5="",ISNUMBER(SEARCH($I$5,C672&amp;" "&amp;D672&amp;" "&amp;E672&amp;" "&amp;I672)))),"✓",""))</f>
        <v/>
      </c>
      <c r="B672" s="39" t="n">
        <v>46253</v>
      </c>
      <c r="C672" s="40" t="n">
        <f aca="false">'Aug 19'!$D$42</f>
        <v>0</v>
      </c>
      <c r="D672" s="40" t="n">
        <f aca="false">'Aug 19'!$B$42</f>
        <v>0</v>
      </c>
      <c r="E672" s="41" t="n">
        <f aca="false">'Aug 19'!$E$42</f>
        <v>0</v>
      </c>
      <c r="F672" s="40" t="n">
        <f aca="false">'Aug 19'!$A$42</f>
        <v>0</v>
      </c>
      <c r="G672" s="41" t="n">
        <f aca="false">'Aug 19'!$F$42</f>
        <v>0</v>
      </c>
      <c r="H672" s="41" t="n">
        <f aca="false">'Aug 19'!$G$42</f>
        <v>0</v>
      </c>
      <c r="I672" s="41" t="str">
        <f aca="false">'Aug 19'!$M$42</f>
        <v/>
      </c>
      <c r="J672" s="42" t="str">
        <f aca="false">'Aug 19'!$S$42</f>
        <v/>
      </c>
      <c r="K672" s="40" t="n">
        <f aca="false">'Aug 19'!$AG$42</f>
        <v>0</v>
      </c>
      <c r="L672" s="40" t="n">
        <f aca="false">'Aug 19'!$N$42</f>
        <v>0</v>
      </c>
    </row>
    <row r="673" customFormat="false" ht="15" hidden="false" customHeight="false" outlineLevel="0" collapsed="false">
      <c r="A673" s="38" t="str">
        <f aca="false">IF(OR(C673="",C673=0),"",IF(AND(OR($B$5="",G673=$B$5,H673=$B$5),OR($D$5="",F673=$D$5),OR($E$5="",K673=$E$5),OR($G$5="",L673=$G$5),OR($H$5="",N(J673)&gt;=$H$5),OR($I$5="",ISNUMBER(SEARCH($I$5,C673&amp;" "&amp;D673&amp;" "&amp;E673&amp;" "&amp;I673)))),"✓",""))</f>
        <v/>
      </c>
      <c r="B673" s="39" t="n">
        <v>46254</v>
      </c>
      <c r="C673" s="40" t="n">
        <f aca="false">'Aug 20'!$D$8</f>
        <v>0</v>
      </c>
      <c r="D673" s="40" t="n">
        <f aca="false">'Aug 20'!$B$8</f>
        <v>0</v>
      </c>
      <c r="E673" s="41" t="n">
        <f aca="false">'Aug 20'!$E$8</f>
        <v>0</v>
      </c>
      <c r="F673" s="40" t="n">
        <f aca="false">'Aug 20'!$A$8</f>
        <v>0</v>
      </c>
      <c r="G673" s="41" t="n">
        <f aca="false">'Aug 20'!$F$8</f>
        <v>0</v>
      </c>
      <c r="H673" s="41" t="n">
        <f aca="false">'Aug 20'!$G$8</f>
        <v>0</v>
      </c>
      <c r="I673" s="41" t="str">
        <f aca="false">'Aug 20'!$M$8</f>
        <v/>
      </c>
      <c r="J673" s="42" t="str">
        <f aca="false">'Aug 20'!$S$8</f>
        <v/>
      </c>
      <c r="K673" s="40" t="n">
        <f aca="false">'Aug 20'!$AG$8</f>
        <v>0</v>
      </c>
      <c r="L673" s="40" t="n">
        <f aca="false">'Aug 20'!$N$8</f>
        <v>0</v>
      </c>
    </row>
    <row r="674" customFormat="false" ht="15" hidden="false" customHeight="false" outlineLevel="0" collapsed="false">
      <c r="A674" s="38" t="str">
        <f aca="false">IF(OR(C674="",C674=0),"",IF(AND(OR($B$5="",G674=$B$5,H674=$B$5),OR($D$5="",F674=$D$5),OR($E$5="",K674=$E$5),OR($G$5="",L674=$G$5),OR($H$5="",N(J674)&gt;=$H$5),OR($I$5="",ISNUMBER(SEARCH($I$5,C674&amp;" "&amp;D674&amp;" "&amp;E674&amp;" "&amp;I674)))),"✓",""))</f>
        <v/>
      </c>
      <c r="B674" s="39" t="n">
        <v>46254</v>
      </c>
      <c r="C674" s="40" t="n">
        <f aca="false">'Aug 20'!$D$9</f>
        <v>0</v>
      </c>
      <c r="D674" s="40" t="n">
        <f aca="false">'Aug 20'!$B$9</f>
        <v>0</v>
      </c>
      <c r="E674" s="41" t="n">
        <f aca="false">'Aug 20'!$E$9</f>
        <v>0</v>
      </c>
      <c r="F674" s="40" t="n">
        <f aca="false">'Aug 20'!$A$9</f>
        <v>0</v>
      </c>
      <c r="G674" s="41" t="n">
        <f aca="false">'Aug 20'!$F$9</f>
        <v>0</v>
      </c>
      <c r="H674" s="41" t="n">
        <f aca="false">'Aug 20'!$G$9</f>
        <v>0</v>
      </c>
      <c r="I674" s="41" t="str">
        <f aca="false">'Aug 20'!$M$9</f>
        <v/>
      </c>
      <c r="J674" s="42" t="str">
        <f aca="false">'Aug 20'!$S$9</f>
        <v/>
      </c>
      <c r="K674" s="40" t="n">
        <f aca="false">'Aug 20'!$AG$9</f>
        <v>0</v>
      </c>
      <c r="L674" s="40" t="n">
        <f aca="false">'Aug 20'!$N$9</f>
        <v>0</v>
      </c>
    </row>
    <row r="675" customFormat="false" ht="15" hidden="false" customHeight="false" outlineLevel="0" collapsed="false">
      <c r="A675" s="38" t="str">
        <f aca="false">IF(OR(C675="",C675=0),"",IF(AND(OR($B$5="",G675=$B$5,H675=$B$5),OR($D$5="",F675=$D$5),OR($E$5="",K675=$E$5),OR($G$5="",L675=$G$5),OR($H$5="",N(J675)&gt;=$H$5),OR($I$5="",ISNUMBER(SEARCH($I$5,C675&amp;" "&amp;D675&amp;" "&amp;E675&amp;" "&amp;I675)))),"✓",""))</f>
        <v/>
      </c>
      <c r="B675" s="39" t="n">
        <v>46254</v>
      </c>
      <c r="C675" s="40" t="n">
        <f aca="false">'Aug 20'!$D$10</f>
        <v>0</v>
      </c>
      <c r="D675" s="40" t="n">
        <f aca="false">'Aug 20'!$B$10</f>
        <v>0</v>
      </c>
      <c r="E675" s="41" t="n">
        <f aca="false">'Aug 20'!$E$10</f>
        <v>0</v>
      </c>
      <c r="F675" s="40" t="n">
        <f aca="false">'Aug 20'!$A$10</f>
        <v>0</v>
      </c>
      <c r="G675" s="41" t="n">
        <f aca="false">'Aug 20'!$F$10</f>
        <v>0</v>
      </c>
      <c r="H675" s="41" t="n">
        <f aca="false">'Aug 20'!$G$10</f>
        <v>0</v>
      </c>
      <c r="I675" s="41" t="str">
        <f aca="false">'Aug 20'!$M$10</f>
        <v/>
      </c>
      <c r="J675" s="42" t="str">
        <f aca="false">'Aug 20'!$S$10</f>
        <v/>
      </c>
      <c r="K675" s="40" t="n">
        <f aca="false">'Aug 20'!$AG$10</f>
        <v>0</v>
      </c>
      <c r="L675" s="40" t="n">
        <f aca="false">'Aug 20'!$N$10</f>
        <v>0</v>
      </c>
    </row>
    <row r="676" customFormat="false" ht="15" hidden="false" customHeight="false" outlineLevel="0" collapsed="false">
      <c r="A676" s="38" t="str">
        <f aca="false">IF(OR(C676="",C676=0),"",IF(AND(OR($B$5="",G676=$B$5,H676=$B$5),OR($D$5="",F676=$D$5),OR($E$5="",K676=$E$5),OR($G$5="",L676=$G$5),OR($H$5="",N(J676)&gt;=$H$5),OR($I$5="",ISNUMBER(SEARCH($I$5,C676&amp;" "&amp;D676&amp;" "&amp;E676&amp;" "&amp;I676)))),"✓",""))</f>
        <v/>
      </c>
      <c r="B676" s="39" t="n">
        <v>46254</v>
      </c>
      <c r="C676" s="40" t="n">
        <f aca="false">'Aug 20'!$D$11</f>
        <v>0</v>
      </c>
      <c r="D676" s="40" t="n">
        <f aca="false">'Aug 20'!$B$11</f>
        <v>0</v>
      </c>
      <c r="E676" s="41" t="n">
        <f aca="false">'Aug 20'!$E$11</f>
        <v>0</v>
      </c>
      <c r="F676" s="40" t="n">
        <f aca="false">'Aug 20'!$A$11</f>
        <v>0</v>
      </c>
      <c r="G676" s="41" t="n">
        <f aca="false">'Aug 20'!$F$11</f>
        <v>0</v>
      </c>
      <c r="H676" s="41" t="n">
        <f aca="false">'Aug 20'!$G$11</f>
        <v>0</v>
      </c>
      <c r="I676" s="41" t="str">
        <f aca="false">'Aug 20'!$M$11</f>
        <v/>
      </c>
      <c r="J676" s="42" t="str">
        <f aca="false">'Aug 20'!$S$11</f>
        <v/>
      </c>
      <c r="K676" s="40" t="n">
        <f aca="false">'Aug 20'!$AG$11</f>
        <v>0</v>
      </c>
      <c r="L676" s="40" t="n">
        <f aca="false">'Aug 20'!$N$11</f>
        <v>0</v>
      </c>
    </row>
    <row r="677" customFormat="false" ht="15" hidden="false" customHeight="false" outlineLevel="0" collapsed="false">
      <c r="A677" s="38" t="str">
        <f aca="false">IF(OR(C677="",C677=0),"",IF(AND(OR($B$5="",G677=$B$5,H677=$B$5),OR($D$5="",F677=$D$5),OR($E$5="",K677=$E$5),OR($G$5="",L677=$G$5),OR($H$5="",N(J677)&gt;=$H$5),OR($I$5="",ISNUMBER(SEARCH($I$5,C677&amp;" "&amp;D677&amp;" "&amp;E677&amp;" "&amp;I677)))),"✓",""))</f>
        <v/>
      </c>
      <c r="B677" s="39" t="n">
        <v>46254</v>
      </c>
      <c r="C677" s="40" t="n">
        <f aca="false">'Aug 20'!$D$12</f>
        <v>0</v>
      </c>
      <c r="D677" s="40" t="n">
        <f aca="false">'Aug 20'!$B$12</f>
        <v>0</v>
      </c>
      <c r="E677" s="41" t="n">
        <f aca="false">'Aug 20'!$E$12</f>
        <v>0</v>
      </c>
      <c r="F677" s="40" t="n">
        <f aca="false">'Aug 20'!$A$12</f>
        <v>0</v>
      </c>
      <c r="G677" s="41" t="n">
        <f aca="false">'Aug 20'!$F$12</f>
        <v>0</v>
      </c>
      <c r="H677" s="41" t="n">
        <f aca="false">'Aug 20'!$G$12</f>
        <v>0</v>
      </c>
      <c r="I677" s="41" t="str">
        <f aca="false">'Aug 20'!$M$12</f>
        <v/>
      </c>
      <c r="J677" s="42" t="str">
        <f aca="false">'Aug 20'!$S$12</f>
        <v/>
      </c>
      <c r="K677" s="40" t="n">
        <f aca="false">'Aug 20'!$AG$12</f>
        <v>0</v>
      </c>
      <c r="L677" s="40" t="n">
        <f aca="false">'Aug 20'!$N$12</f>
        <v>0</v>
      </c>
    </row>
    <row r="678" customFormat="false" ht="15" hidden="false" customHeight="false" outlineLevel="0" collapsed="false">
      <c r="A678" s="38" t="str">
        <f aca="false">IF(OR(C678="",C678=0),"",IF(AND(OR($B$5="",G678=$B$5,H678=$B$5),OR($D$5="",F678=$D$5),OR($E$5="",K678=$E$5),OR($G$5="",L678=$G$5),OR($H$5="",N(J678)&gt;=$H$5),OR($I$5="",ISNUMBER(SEARCH($I$5,C678&amp;" "&amp;D678&amp;" "&amp;E678&amp;" "&amp;I678)))),"✓",""))</f>
        <v/>
      </c>
      <c r="B678" s="39" t="n">
        <v>46254</v>
      </c>
      <c r="C678" s="40" t="n">
        <f aca="false">'Aug 20'!$D$13</f>
        <v>0</v>
      </c>
      <c r="D678" s="40" t="n">
        <f aca="false">'Aug 20'!$B$13</f>
        <v>0</v>
      </c>
      <c r="E678" s="41" t="n">
        <f aca="false">'Aug 20'!$E$13</f>
        <v>0</v>
      </c>
      <c r="F678" s="40" t="n">
        <f aca="false">'Aug 20'!$A$13</f>
        <v>0</v>
      </c>
      <c r="G678" s="41" t="n">
        <f aca="false">'Aug 20'!$F$13</f>
        <v>0</v>
      </c>
      <c r="H678" s="41" t="n">
        <f aca="false">'Aug 20'!$G$13</f>
        <v>0</v>
      </c>
      <c r="I678" s="41" t="str">
        <f aca="false">'Aug 20'!$M$13</f>
        <v/>
      </c>
      <c r="J678" s="42" t="str">
        <f aca="false">'Aug 20'!$S$13</f>
        <v/>
      </c>
      <c r="K678" s="40" t="n">
        <f aca="false">'Aug 20'!$AG$13</f>
        <v>0</v>
      </c>
      <c r="L678" s="40" t="n">
        <f aca="false">'Aug 20'!$N$13</f>
        <v>0</v>
      </c>
    </row>
    <row r="679" customFormat="false" ht="15" hidden="false" customHeight="false" outlineLevel="0" collapsed="false">
      <c r="A679" s="38" t="str">
        <f aca="false">IF(OR(C679="",C679=0),"",IF(AND(OR($B$5="",G679=$B$5,H679=$B$5),OR($D$5="",F679=$D$5),OR($E$5="",K679=$E$5),OR($G$5="",L679=$G$5),OR($H$5="",N(J679)&gt;=$H$5),OR($I$5="",ISNUMBER(SEARCH($I$5,C679&amp;" "&amp;D679&amp;" "&amp;E679&amp;" "&amp;I679)))),"✓",""))</f>
        <v/>
      </c>
      <c r="B679" s="39" t="n">
        <v>46254</v>
      </c>
      <c r="C679" s="40" t="n">
        <f aca="false">'Aug 20'!$D$14</f>
        <v>0</v>
      </c>
      <c r="D679" s="40" t="n">
        <f aca="false">'Aug 20'!$B$14</f>
        <v>0</v>
      </c>
      <c r="E679" s="41" t="n">
        <f aca="false">'Aug 20'!$E$14</f>
        <v>0</v>
      </c>
      <c r="F679" s="40" t="n">
        <f aca="false">'Aug 20'!$A$14</f>
        <v>0</v>
      </c>
      <c r="G679" s="41" t="n">
        <f aca="false">'Aug 20'!$F$14</f>
        <v>0</v>
      </c>
      <c r="H679" s="41" t="n">
        <f aca="false">'Aug 20'!$G$14</f>
        <v>0</v>
      </c>
      <c r="I679" s="41" t="str">
        <f aca="false">'Aug 20'!$M$14</f>
        <v/>
      </c>
      <c r="J679" s="42" t="str">
        <f aca="false">'Aug 20'!$S$14</f>
        <v/>
      </c>
      <c r="K679" s="40" t="n">
        <f aca="false">'Aug 20'!$AG$14</f>
        <v>0</v>
      </c>
      <c r="L679" s="40" t="n">
        <f aca="false">'Aug 20'!$N$14</f>
        <v>0</v>
      </c>
    </row>
    <row r="680" customFormat="false" ht="15" hidden="false" customHeight="false" outlineLevel="0" collapsed="false">
      <c r="A680" s="38" t="str">
        <f aca="false">IF(OR(C680="",C680=0),"",IF(AND(OR($B$5="",G680=$B$5,H680=$B$5),OR($D$5="",F680=$D$5),OR($E$5="",K680=$E$5),OR($G$5="",L680=$G$5),OR($H$5="",N(J680)&gt;=$H$5),OR($I$5="",ISNUMBER(SEARCH($I$5,C680&amp;" "&amp;D680&amp;" "&amp;E680&amp;" "&amp;I680)))),"✓",""))</f>
        <v/>
      </c>
      <c r="B680" s="39" t="n">
        <v>46254</v>
      </c>
      <c r="C680" s="40" t="n">
        <f aca="false">'Aug 20'!$D$15</f>
        <v>0</v>
      </c>
      <c r="D680" s="40" t="n">
        <f aca="false">'Aug 20'!$B$15</f>
        <v>0</v>
      </c>
      <c r="E680" s="41" t="n">
        <f aca="false">'Aug 20'!$E$15</f>
        <v>0</v>
      </c>
      <c r="F680" s="40" t="n">
        <f aca="false">'Aug 20'!$A$15</f>
        <v>0</v>
      </c>
      <c r="G680" s="41" t="n">
        <f aca="false">'Aug 20'!$F$15</f>
        <v>0</v>
      </c>
      <c r="H680" s="41" t="n">
        <f aca="false">'Aug 20'!$G$15</f>
        <v>0</v>
      </c>
      <c r="I680" s="41" t="str">
        <f aca="false">'Aug 20'!$M$15</f>
        <v/>
      </c>
      <c r="J680" s="42" t="str">
        <f aca="false">'Aug 20'!$S$15</f>
        <v/>
      </c>
      <c r="K680" s="40" t="n">
        <f aca="false">'Aug 20'!$AG$15</f>
        <v>0</v>
      </c>
      <c r="L680" s="40" t="n">
        <f aca="false">'Aug 20'!$N$15</f>
        <v>0</v>
      </c>
    </row>
    <row r="681" customFormat="false" ht="15" hidden="false" customHeight="false" outlineLevel="0" collapsed="false">
      <c r="A681" s="38" t="str">
        <f aca="false">IF(OR(C681="",C681=0),"",IF(AND(OR($B$5="",G681=$B$5,H681=$B$5),OR($D$5="",F681=$D$5),OR($E$5="",K681=$E$5),OR($G$5="",L681=$G$5),OR($H$5="",N(J681)&gt;=$H$5),OR($I$5="",ISNUMBER(SEARCH($I$5,C681&amp;" "&amp;D681&amp;" "&amp;E681&amp;" "&amp;I681)))),"✓",""))</f>
        <v/>
      </c>
      <c r="B681" s="39" t="n">
        <v>46254</v>
      </c>
      <c r="C681" s="40" t="n">
        <f aca="false">'Aug 20'!$D$16</f>
        <v>0</v>
      </c>
      <c r="D681" s="40" t="n">
        <f aca="false">'Aug 20'!$B$16</f>
        <v>0</v>
      </c>
      <c r="E681" s="41" t="n">
        <f aca="false">'Aug 20'!$E$16</f>
        <v>0</v>
      </c>
      <c r="F681" s="40" t="n">
        <f aca="false">'Aug 20'!$A$16</f>
        <v>0</v>
      </c>
      <c r="G681" s="41" t="n">
        <f aca="false">'Aug 20'!$F$16</f>
        <v>0</v>
      </c>
      <c r="H681" s="41" t="n">
        <f aca="false">'Aug 20'!$G$16</f>
        <v>0</v>
      </c>
      <c r="I681" s="41" t="str">
        <f aca="false">'Aug 20'!$M$16</f>
        <v/>
      </c>
      <c r="J681" s="42" t="str">
        <f aca="false">'Aug 20'!$S$16</f>
        <v/>
      </c>
      <c r="K681" s="40" t="n">
        <f aca="false">'Aug 20'!$AG$16</f>
        <v>0</v>
      </c>
      <c r="L681" s="40" t="n">
        <f aca="false">'Aug 20'!$N$16</f>
        <v>0</v>
      </c>
    </row>
    <row r="682" customFormat="false" ht="15" hidden="false" customHeight="false" outlineLevel="0" collapsed="false">
      <c r="A682" s="38" t="str">
        <f aca="false">IF(OR(C682="",C682=0),"",IF(AND(OR($B$5="",G682=$B$5,H682=$B$5),OR($D$5="",F682=$D$5),OR($E$5="",K682=$E$5),OR($G$5="",L682=$G$5),OR($H$5="",N(J682)&gt;=$H$5),OR($I$5="",ISNUMBER(SEARCH($I$5,C682&amp;" "&amp;D682&amp;" "&amp;E682&amp;" "&amp;I682)))),"✓",""))</f>
        <v/>
      </c>
      <c r="B682" s="39" t="n">
        <v>46254</v>
      </c>
      <c r="C682" s="40" t="n">
        <f aca="false">'Aug 20'!$D$17</f>
        <v>0</v>
      </c>
      <c r="D682" s="40" t="n">
        <f aca="false">'Aug 20'!$B$17</f>
        <v>0</v>
      </c>
      <c r="E682" s="41" t="n">
        <f aca="false">'Aug 20'!$E$17</f>
        <v>0</v>
      </c>
      <c r="F682" s="40" t="n">
        <f aca="false">'Aug 20'!$A$17</f>
        <v>0</v>
      </c>
      <c r="G682" s="41" t="n">
        <f aca="false">'Aug 20'!$F$17</f>
        <v>0</v>
      </c>
      <c r="H682" s="41" t="n">
        <f aca="false">'Aug 20'!$G$17</f>
        <v>0</v>
      </c>
      <c r="I682" s="41" t="str">
        <f aca="false">'Aug 20'!$M$17</f>
        <v/>
      </c>
      <c r="J682" s="42" t="str">
        <f aca="false">'Aug 20'!$S$17</f>
        <v/>
      </c>
      <c r="K682" s="40" t="n">
        <f aca="false">'Aug 20'!$AG$17</f>
        <v>0</v>
      </c>
      <c r="L682" s="40" t="n">
        <f aca="false">'Aug 20'!$N$17</f>
        <v>0</v>
      </c>
    </row>
    <row r="683" customFormat="false" ht="15" hidden="false" customHeight="false" outlineLevel="0" collapsed="false">
      <c r="A683" s="38" t="str">
        <f aca="false">IF(OR(C683="",C683=0),"",IF(AND(OR($B$5="",G683=$B$5,H683=$B$5),OR($D$5="",F683=$D$5),OR($E$5="",K683=$E$5),OR($G$5="",L683=$G$5),OR($H$5="",N(J683)&gt;=$H$5),OR($I$5="",ISNUMBER(SEARCH($I$5,C683&amp;" "&amp;D683&amp;" "&amp;E683&amp;" "&amp;I683)))),"✓",""))</f>
        <v/>
      </c>
      <c r="B683" s="39" t="n">
        <v>46254</v>
      </c>
      <c r="C683" s="40" t="n">
        <f aca="false">'Aug 20'!$D$18</f>
        <v>0</v>
      </c>
      <c r="D683" s="40" t="n">
        <f aca="false">'Aug 20'!$B$18</f>
        <v>0</v>
      </c>
      <c r="E683" s="41" t="n">
        <f aca="false">'Aug 20'!$E$18</f>
        <v>0</v>
      </c>
      <c r="F683" s="40" t="n">
        <f aca="false">'Aug 20'!$A$18</f>
        <v>0</v>
      </c>
      <c r="G683" s="41" t="n">
        <f aca="false">'Aug 20'!$F$18</f>
        <v>0</v>
      </c>
      <c r="H683" s="41" t="n">
        <f aca="false">'Aug 20'!$G$18</f>
        <v>0</v>
      </c>
      <c r="I683" s="41" t="str">
        <f aca="false">'Aug 20'!$M$18</f>
        <v/>
      </c>
      <c r="J683" s="42" t="str">
        <f aca="false">'Aug 20'!$S$18</f>
        <v/>
      </c>
      <c r="K683" s="40" t="n">
        <f aca="false">'Aug 20'!$AG$18</f>
        <v>0</v>
      </c>
      <c r="L683" s="40" t="n">
        <f aca="false">'Aug 20'!$N$18</f>
        <v>0</v>
      </c>
    </row>
    <row r="684" customFormat="false" ht="15" hidden="false" customHeight="false" outlineLevel="0" collapsed="false">
      <c r="A684" s="38" t="str">
        <f aca="false">IF(OR(C684="",C684=0),"",IF(AND(OR($B$5="",G684=$B$5,H684=$B$5),OR($D$5="",F684=$D$5),OR($E$5="",K684=$E$5),OR($G$5="",L684=$G$5),OR($H$5="",N(J684)&gt;=$H$5),OR($I$5="",ISNUMBER(SEARCH($I$5,C684&amp;" "&amp;D684&amp;" "&amp;E684&amp;" "&amp;I684)))),"✓",""))</f>
        <v/>
      </c>
      <c r="B684" s="39" t="n">
        <v>46254</v>
      </c>
      <c r="C684" s="40" t="n">
        <f aca="false">'Aug 20'!$D$19</f>
        <v>0</v>
      </c>
      <c r="D684" s="40" t="n">
        <f aca="false">'Aug 20'!$B$19</f>
        <v>0</v>
      </c>
      <c r="E684" s="41" t="n">
        <f aca="false">'Aug 20'!$E$19</f>
        <v>0</v>
      </c>
      <c r="F684" s="40" t="n">
        <f aca="false">'Aug 20'!$A$19</f>
        <v>0</v>
      </c>
      <c r="G684" s="41" t="n">
        <f aca="false">'Aug 20'!$F$19</f>
        <v>0</v>
      </c>
      <c r="H684" s="41" t="n">
        <f aca="false">'Aug 20'!$G$19</f>
        <v>0</v>
      </c>
      <c r="I684" s="41" t="str">
        <f aca="false">'Aug 20'!$M$19</f>
        <v/>
      </c>
      <c r="J684" s="42" t="str">
        <f aca="false">'Aug 20'!$S$19</f>
        <v/>
      </c>
      <c r="K684" s="40" t="n">
        <f aca="false">'Aug 20'!$AG$19</f>
        <v>0</v>
      </c>
      <c r="L684" s="40" t="n">
        <f aca="false">'Aug 20'!$N$19</f>
        <v>0</v>
      </c>
    </row>
    <row r="685" customFormat="false" ht="15" hidden="false" customHeight="false" outlineLevel="0" collapsed="false">
      <c r="A685" s="38" t="str">
        <f aca="false">IF(OR(C685="",C685=0),"",IF(AND(OR($B$5="",G685=$B$5,H685=$B$5),OR($D$5="",F685=$D$5),OR($E$5="",K685=$E$5),OR($G$5="",L685=$G$5),OR($H$5="",N(J685)&gt;=$H$5),OR($I$5="",ISNUMBER(SEARCH($I$5,C685&amp;" "&amp;D685&amp;" "&amp;E685&amp;" "&amp;I685)))),"✓",""))</f>
        <v/>
      </c>
      <c r="B685" s="39" t="n">
        <v>46254</v>
      </c>
      <c r="C685" s="40" t="n">
        <f aca="false">'Aug 20'!$D$20</f>
        <v>0</v>
      </c>
      <c r="D685" s="40" t="n">
        <f aca="false">'Aug 20'!$B$20</f>
        <v>0</v>
      </c>
      <c r="E685" s="41" t="n">
        <f aca="false">'Aug 20'!$E$20</f>
        <v>0</v>
      </c>
      <c r="F685" s="40" t="n">
        <f aca="false">'Aug 20'!$A$20</f>
        <v>0</v>
      </c>
      <c r="G685" s="41" t="n">
        <f aca="false">'Aug 20'!$F$20</f>
        <v>0</v>
      </c>
      <c r="H685" s="41" t="n">
        <f aca="false">'Aug 20'!$G$20</f>
        <v>0</v>
      </c>
      <c r="I685" s="41" t="str">
        <f aca="false">'Aug 20'!$M$20</f>
        <v/>
      </c>
      <c r="J685" s="42" t="str">
        <f aca="false">'Aug 20'!$S$20</f>
        <v/>
      </c>
      <c r="K685" s="40" t="n">
        <f aca="false">'Aug 20'!$AG$20</f>
        <v>0</v>
      </c>
      <c r="L685" s="40" t="n">
        <f aca="false">'Aug 20'!$N$20</f>
        <v>0</v>
      </c>
    </row>
    <row r="686" customFormat="false" ht="15" hidden="false" customHeight="false" outlineLevel="0" collapsed="false">
      <c r="A686" s="38" t="str">
        <f aca="false">IF(OR(C686="",C686=0),"",IF(AND(OR($B$5="",G686=$B$5,H686=$B$5),OR($D$5="",F686=$D$5),OR($E$5="",K686=$E$5),OR($G$5="",L686=$G$5),OR($H$5="",N(J686)&gt;=$H$5),OR($I$5="",ISNUMBER(SEARCH($I$5,C686&amp;" "&amp;D686&amp;" "&amp;E686&amp;" "&amp;I686)))),"✓",""))</f>
        <v/>
      </c>
      <c r="B686" s="39" t="n">
        <v>46254</v>
      </c>
      <c r="C686" s="40" t="n">
        <f aca="false">'Aug 20'!$D$21</f>
        <v>0</v>
      </c>
      <c r="D686" s="40" t="n">
        <f aca="false">'Aug 20'!$B$21</f>
        <v>0</v>
      </c>
      <c r="E686" s="41" t="n">
        <f aca="false">'Aug 20'!$E$21</f>
        <v>0</v>
      </c>
      <c r="F686" s="40" t="n">
        <f aca="false">'Aug 20'!$A$21</f>
        <v>0</v>
      </c>
      <c r="G686" s="41" t="n">
        <f aca="false">'Aug 20'!$F$21</f>
        <v>0</v>
      </c>
      <c r="H686" s="41" t="n">
        <f aca="false">'Aug 20'!$G$21</f>
        <v>0</v>
      </c>
      <c r="I686" s="41" t="str">
        <f aca="false">'Aug 20'!$M$21</f>
        <v/>
      </c>
      <c r="J686" s="42" t="str">
        <f aca="false">'Aug 20'!$S$21</f>
        <v/>
      </c>
      <c r="K686" s="40" t="n">
        <f aca="false">'Aug 20'!$AG$21</f>
        <v>0</v>
      </c>
      <c r="L686" s="40" t="n">
        <f aca="false">'Aug 20'!$N$21</f>
        <v>0</v>
      </c>
    </row>
    <row r="687" customFormat="false" ht="15" hidden="false" customHeight="false" outlineLevel="0" collapsed="false">
      <c r="A687" s="38" t="str">
        <f aca="false">IF(OR(C687="",C687=0),"",IF(AND(OR($B$5="",G687=$B$5,H687=$B$5),OR($D$5="",F687=$D$5),OR($E$5="",K687=$E$5),OR($G$5="",L687=$G$5),OR($H$5="",N(J687)&gt;=$H$5),OR($I$5="",ISNUMBER(SEARCH($I$5,C687&amp;" "&amp;D687&amp;" "&amp;E687&amp;" "&amp;I687)))),"✓",""))</f>
        <v/>
      </c>
      <c r="B687" s="39" t="n">
        <v>46254</v>
      </c>
      <c r="C687" s="40" t="n">
        <f aca="false">'Aug 20'!$D$22</f>
        <v>0</v>
      </c>
      <c r="D687" s="40" t="n">
        <f aca="false">'Aug 20'!$B$22</f>
        <v>0</v>
      </c>
      <c r="E687" s="41" t="n">
        <f aca="false">'Aug 20'!$E$22</f>
        <v>0</v>
      </c>
      <c r="F687" s="40" t="n">
        <f aca="false">'Aug 20'!$A$22</f>
        <v>0</v>
      </c>
      <c r="G687" s="41" t="n">
        <f aca="false">'Aug 20'!$F$22</f>
        <v>0</v>
      </c>
      <c r="H687" s="41" t="n">
        <f aca="false">'Aug 20'!$G$22</f>
        <v>0</v>
      </c>
      <c r="I687" s="41" t="str">
        <f aca="false">'Aug 20'!$M$22</f>
        <v/>
      </c>
      <c r="J687" s="42" t="str">
        <f aca="false">'Aug 20'!$S$22</f>
        <v/>
      </c>
      <c r="K687" s="40" t="n">
        <f aca="false">'Aug 20'!$AG$22</f>
        <v>0</v>
      </c>
      <c r="L687" s="40" t="n">
        <f aca="false">'Aug 20'!$N$22</f>
        <v>0</v>
      </c>
    </row>
    <row r="688" customFormat="false" ht="15" hidden="false" customHeight="false" outlineLevel="0" collapsed="false">
      <c r="A688" s="38" t="str">
        <f aca="false">IF(OR(C688="",C688=0),"",IF(AND(OR($B$5="",G688=$B$5,H688=$B$5),OR($D$5="",F688=$D$5),OR($E$5="",K688=$E$5),OR($G$5="",L688=$G$5),OR($H$5="",N(J688)&gt;=$H$5),OR($I$5="",ISNUMBER(SEARCH($I$5,C688&amp;" "&amp;D688&amp;" "&amp;E688&amp;" "&amp;I688)))),"✓",""))</f>
        <v/>
      </c>
      <c r="B688" s="39" t="n">
        <v>46254</v>
      </c>
      <c r="C688" s="40" t="n">
        <f aca="false">'Aug 20'!$D$23</f>
        <v>0</v>
      </c>
      <c r="D688" s="40" t="n">
        <f aca="false">'Aug 20'!$B$23</f>
        <v>0</v>
      </c>
      <c r="E688" s="41" t="n">
        <f aca="false">'Aug 20'!$E$23</f>
        <v>0</v>
      </c>
      <c r="F688" s="40" t="n">
        <f aca="false">'Aug 20'!$A$23</f>
        <v>0</v>
      </c>
      <c r="G688" s="41" t="n">
        <f aca="false">'Aug 20'!$F$23</f>
        <v>0</v>
      </c>
      <c r="H688" s="41" t="n">
        <f aca="false">'Aug 20'!$G$23</f>
        <v>0</v>
      </c>
      <c r="I688" s="41" t="str">
        <f aca="false">'Aug 20'!$M$23</f>
        <v/>
      </c>
      <c r="J688" s="42" t="str">
        <f aca="false">'Aug 20'!$S$23</f>
        <v/>
      </c>
      <c r="K688" s="40" t="n">
        <f aca="false">'Aug 20'!$AG$23</f>
        <v>0</v>
      </c>
      <c r="L688" s="40" t="n">
        <f aca="false">'Aug 20'!$N$23</f>
        <v>0</v>
      </c>
    </row>
    <row r="689" customFormat="false" ht="15" hidden="false" customHeight="false" outlineLevel="0" collapsed="false">
      <c r="A689" s="38" t="str">
        <f aca="false">IF(OR(C689="",C689=0),"",IF(AND(OR($B$5="",G689=$B$5,H689=$B$5),OR($D$5="",F689=$D$5),OR($E$5="",K689=$E$5),OR($G$5="",L689=$G$5),OR($H$5="",N(J689)&gt;=$H$5),OR($I$5="",ISNUMBER(SEARCH($I$5,C689&amp;" "&amp;D689&amp;" "&amp;E689&amp;" "&amp;I689)))),"✓",""))</f>
        <v/>
      </c>
      <c r="B689" s="39" t="n">
        <v>46254</v>
      </c>
      <c r="C689" s="40" t="n">
        <f aca="false">'Aug 20'!$D$24</f>
        <v>0</v>
      </c>
      <c r="D689" s="40" t="n">
        <f aca="false">'Aug 20'!$B$24</f>
        <v>0</v>
      </c>
      <c r="E689" s="41" t="n">
        <f aca="false">'Aug 20'!$E$24</f>
        <v>0</v>
      </c>
      <c r="F689" s="40" t="n">
        <f aca="false">'Aug 20'!$A$24</f>
        <v>0</v>
      </c>
      <c r="G689" s="41" t="n">
        <f aca="false">'Aug 20'!$F$24</f>
        <v>0</v>
      </c>
      <c r="H689" s="41" t="n">
        <f aca="false">'Aug 20'!$G$24</f>
        <v>0</v>
      </c>
      <c r="I689" s="41" t="str">
        <f aca="false">'Aug 20'!$M$24</f>
        <v/>
      </c>
      <c r="J689" s="42" t="str">
        <f aca="false">'Aug 20'!$S$24</f>
        <v/>
      </c>
      <c r="K689" s="40" t="n">
        <f aca="false">'Aug 20'!$AG$24</f>
        <v>0</v>
      </c>
      <c r="L689" s="40" t="n">
        <f aca="false">'Aug 20'!$N$24</f>
        <v>0</v>
      </c>
    </row>
    <row r="690" customFormat="false" ht="15" hidden="false" customHeight="false" outlineLevel="0" collapsed="false">
      <c r="A690" s="38" t="str">
        <f aca="false">IF(OR(C690="",C690=0),"",IF(AND(OR($B$5="",G690=$B$5,H690=$B$5),OR($D$5="",F690=$D$5),OR($E$5="",K690=$E$5),OR($G$5="",L690=$G$5),OR($H$5="",N(J690)&gt;=$H$5),OR($I$5="",ISNUMBER(SEARCH($I$5,C690&amp;" "&amp;D690&amp;" "&amp;E690&amp;" "&amp;I690)))),"✓",""))</f>
        <v/>
      </c>
      <c r="B690" s="39" t="n">
        <v>46254</v>
      </c>
      <c r="C690" s="40" t="n">
        <f aca="false">'Aug 20'!$D$25</f>
        <v>0</v>
      </c>
      <c r="D690" s="40" t="n">
        <f aca="false">'Aug 20'!$B$25</f>
        <v>0</v>
      </c>
      <c r="E690" s="41" t="n">
        <f aca="false">'Aug 20'!$E$25</f>
        <v>0</v>
      </c>
      <c r="F690" s="40" t="n">
        <f aca="false">'Aug 20'!$A$25</f>
        <v>0</v>
      </c>
      <c r="G690" s="41" t="n">
        <f aca="false">'Aug 20'!$F$25</f>
        <v>0</v>
      </c>
      <c r="H690" s="41" t="n">
        <f aca="false">'Aug 20'!$G$25</f>
        <v>0</v>
      </c>
      <c r="I690" s="41" t="str">
        <f aca="false">'Aug 20'!$M$25</f>
        <v/>
      </c>
      <c r="J690" s="42" t="str">
        <f aca="false">'Aug 20'!$S$25</f>
        <v/>
      </c>
      <c r="K690" s="40" t="n">
        <f aca="false">'Aug 20'!$AG$25</f>
        <v>0</v>
      </c>
      <c r="L690" s="40" t="n">
        <f aca="false">'Aug 20'!$N$25</f>
        <v>0</v>
      </c>
    </row>
    <row r="691" customFormat="false" ht="15" hidden="false" customHeight="false" outlineLevel="0" collapsed="false">
      <c r="A691" s="38" t="str">
        <f aca="false">IF(OR(C691="",C691=0),"",IF(AND(OR($B$5="",G691=$B$5,H691=$B$5),OR($D$5="",F691=$D$5),OR($E$5="",K691=$E$5),OR($G$5="",L691=$G$5),OR($H$5="",N(J691)&gt;=$H$5),OR($I$5="",ISNUMBER(SEARCH($I$5,C691&amp;" "&amp;D691&amp;" "&amp;E691&amp;" "&amp;I691)))),"✓",""))</f>
        <v/>
      </c>
      <c r="B691" s="39" t="n">
        <v>46254</v>
      </c>
      <c r="C691" s="40" t="n">
        <f aca="false">'Aug 20'!$D$26</f>
        <v>0</v>
      </c>
      <c r="D691" s="40" t="n">
        <f aca="false">'Aug 20'!$B$26</f>
        <v>0</v>
      </c>
      <c r="E691" s="41" t="n">
        <f aca="false">'Aug 20'!$E$26</f>
        <v>0</v>
      </c>
      <c r="F691" s="40" t="n">
        <f aca="false">'Aug 20'!$A$26</f>
        <v>0</v>
      </c>
      <c r="G691" s="41" t="n">
        <f aca="false">'Aug 20'!$F$26</f>
        <v>0</v>
      </c>
      <c r="H691" s="41" t="n">
        <f aca="false">'Aug 20'!$G$26</f>
        <v>0</v>
      </c>
      <c r="I691" s="41" t="str">
        <f aca="false">'Aug 20'!$M$26</f>
        <v/>
      </c>
      <c r="J691" s="42" t="str">
        <f aca="false">'Aug 20'!$S$26</f>
        <v/>
      </c>
      <c r="K691" s="40" t="n">
        <f aca="false">'Aug 20'!$AG$26</f>
        <v>0</v>
      </c>
      <c r="L691" s="40" t="n">
        <f aca="false">'Aug 20'!$N$26</f>
        <v>0</v>
      </c>
    </row>
    <row r="692" customFormat="false" ht="15" hidden="false" customHeight="false" outlineLevel="0" collapsed="false">
      <c r="A692" s="38" t="str">
        <f aca="false">IF(OR(C692="",C692=0),"",IF(AND(OR($B$5="",G692=$B$5,H692=$B$5),OR($D$5="",F692=$D$5),OR($E$5="",K692=$E$5),OR($G$5="",L692=$G$5),OR($H$5="",N(J692)&gt;=$H$5),OR($I$5="",ISNUMBER(SEARCH($I$5,C692&amp;" "&amp;D692&amp;" "&amp;E692&amp;" "&amp;I692)))),"✓",""))</f>
        <v/>
      </c>
      <c r="B692" s="39" t="n">
        <v>46254</v>
      </c>
      <c r="C692" s="40" t="n">
        <f aca="false">'Aug 20'!$D$27</f>
        <v>0</v>
      </c>
      <c r="D692" s="40" t="n">
        <f aca="false">'Aug 20'!$B$27</f>
        <v>0</v>
      </c>
      <c r="E692" s="41" t="n">
        <f aca="false">'Aug 20'!$E$27</f>
        <v>0</v>
      </c>
      <c r="F692" s="40" t="n">
        <f aca="false">'Aug 20'!$A$27</f>
        <v>0</v>
      </c>
      <c r="G692" s="41" t="n">
        <f aca="false">'Aug 20'!$F$27</f>
        <v>0</v>
      </c>
      <c r="H692" s="41" t="n">
        <f aca="false">'Aug 20'!$G$27</f>
        <v>0</v>
      </c>
      <c r="I692" s="41" t="str">
        <f aca="false">'Aug 20'!$M$27</f>
        <v/>
      </c>
      <c r="J692" s="42" t="str">
        <f aca="false">'Aug 20'!$S$27</f>
        <v/>
      </c>
      <c r="K692" s="40" t="n">
        <f aca="false">'Aug 20'!$AG$27</f>
        <v>0</v>
      </c>
      <c r="L692" s="40" t="n">
        <f aca="false">'Aug 20'!$N$27</f>
        <v>0</v>
      </c>
    </row>
    <row r="693" customFormat="false" ht="15" hidden="false" customHeight="false" outlineLevel="0" collapsed="false">
      <c r="A693" s="38" t="str">
        <f aca="false">IF(OR(C693="",C693=0),"",IF(AND(OR($B$5="",G693=$B$5,H693=$B$5),OR($D$5="",F693=$D$5),OR($E$5="",K693=$E$5),OR($G$5="",L693=$G$5),OR($H$5="",N(J693)&gt;=$H$5),OR($I$5="",ISNUMBER(SEARCH($I$5,C693&amp;" "&amp;D693&amp;" "&amp;E693&amp;" "&amp;I693)))),"✓",""))</f>
        <v/>
      </c>
      <c r="B693" s="39" t="n">
        <v>46254</v>
      </c>
      <c r="C693" s="40" t="n">
        <f aca="false">'Aug 20'!$D$28</f>
        <v>0</v>
      </c>
      <c r="D693" s="40" t="n">
        <f aca="false">'Aug 20'!$B$28</f>
        <v>0</v>
      </c>
      <c r="E693" s="41" t="n">
        <f aca="false">'Aug 20'!$E$28</f>
        <v>0</v>
      </c>
      <c r="F693" s="40" t="n">
        <f aca="false">'Aug 20'!$A$28</f>
        <v>0</v>
      </c>
      <c r="G693" s="41" t="n">
        <f aca="false">'Aug 20'!$F$28</f>
        <v>0</v>
      </c>
      <c r="H693" s="41" t="n">
        <f aca="false">'Aug 20'!$G$28</f>
        <v>0</v>
      </c>
      <c r="I693" s="41" t="str">
        <f aca="false">'Aug 20'!$M$28</f>
        <v/>
      </c>
      <c r="J693" s="42" t="str">
        <f aca="false">'Aug 20'!$S$28</f>
        <v/>
      </c>
      <c r="K693" s="40" t="n">
        <f aca="false">'Aug 20'!$AG$28</f>
        <v>0</v>
      </c>
      <c r="L693" s="40" t="n">
        <f aca="false">'Aug 20'!$N$28</f>
        <v>0</v>
      </c>
    </row>
    <row r="694" customFormat="false" ht="15" hidden="false" customHeight="false" outlineLevel="0" collapsed="false">
      <c r="A694" s="38" t="str">
        <f aca="false">IF(OR(C694="",C694=0),"",IF(AND(OR($B$5="",G694=$B$5,H694=$B$5),OR($D$5="",F694=$D$5),OR($E$5="",K694=$E$5),OR($G$5="",L694=$G$5),OR($H$5="",N(J694)&gt;=$H$5),OR($I$5="",ISNUMBER(SEARCH($I$5,C694&amp;" "&amp;D694&amp;" "&amp;E694&amp;" "&amp;I694)))),"✓",""))</f>
        <v/>
      </c>
      <c r="B694" s="39" t="n">
        <v>46254</v>
      </c>
      <c r="C694" s="40" t="n">
        <f aca="false">'Aug 20'!$D$29</f>
        <v>0</v>
      </c>
      <c r="D694" s="40" t="n">
        <f aca="false">'Aug 20'!$B$29</f>
        <v>0</v>
      </c>
      <c r="E694" s="41" t="n">
        <f aca="false">'Aug 20'!$E$29</f>
        <v>0</v>
      </c>
      <c r="F694" s="40" t="n">
        <f aca="false">'Aug 20'!$A$29</f>
        <v>0</v>
      </c>
      <c r="G694" s="41" t="n">
        <f aca="false">'Aug 20'!$F$29</f>
        <v>0</v>
      </c>
      <c r="H694" s="41" t="n">
        <f aca="false">'Aug 20'!$G$29</f>
        <v>0</v>
      </c>
      <c r="I694" s="41" t="str">
        <f aca="false">'Aug 20'!$M$29</f>
        <v/>
      </c>
      <c r="J694" s="42" t="str">
        <f aca="false">'Aug 20'!$S$29</f>
        <v/>
      </c>
      <c r="K694" s="40" t="n">
        <f aca="false">'Aug 20'!$AG$29</f>
        <v>0</v>
      </c>
      <c r="L694" s="40" t="n">
        <f aca="false">'Aug 20'!$N$29</f>
        <v>0</v>
      </c>
    </row>
    <row r="695" customFormat="false" ht="15" hidden="false" customHeight="false" outlineLevel="0" collapsed="false">
      <c r="A695" s="38" t="str">
        <f aca="false">IF(OR(C695="",C695=0),"",IF(AND(OR($B$5="",G695=$B$5,H695=$B$5),OR($D$5="",F695=$D$5),OR($E$5="",K695=$E$5),OR($G$5="",L695=$G$5),OR($H$5="",N(J695)&gt;=$H$5),OR($I$5="",ISNUMBER(SEARCH($I$5,C695&amp;" "&amp;D695&amp;" "&amp;E695&amp;" "&amp;I695)))),"✓",""))</f>
        <v/>
      </c>
      <c r="B695" s="39" t="n">
        <v>46254</v>
      </c>
      <c r="C695" s="40" t="n">
        <f aca="false">'Aug 20'!$D$30</f>
        <v>0</v>
      </c>
      <c r="D695" s="40" t="n">
        <f aca="false">'Aug 20'!$B$30</f>
        <v>0</v>
      </c>
      <c r="E695" s="41" t="n">
        <f aca="false">'Aug 20'!$E$30</f>
        <v>0</v>
      </c>
      <c r="F695" s="40" t="n">
        <f aca="false">'Aug 20'!$A$30</f>
        <v>0</v>
      </c>
      <c r="G695" s="41" t="n">
        <f aca="false">'Aug 20'!$F$30</f>
        <v>0</v>
      </c>
      <c r="H695" s="41" t="n">
        <f aca="false">'Aug 20'!$G$30</f>
        <v>0</v>
      </c>
      <c r="I695" s="41" t="str">
        <f aca="false">'Aug 20'!$M$30</f>
        <v/>
      </c>
      <c r="J695" s="42" t="str">
        <f aca="false">'Aug 20'!$S$30</f>
        <v/>
      </c>
      <c r="K695" s="40" t="n">
        <f aca="false">'Aug 20'!$AG$30</f>
        <v>0</v>
      </c>
      <c r="L695" s="40" t="n">
        <f aca="false">'Aug 20'!$N$30</f>
        <v>0</v>
      </c>
    </row>
    <row r="696" customFormat="false" ht="15" hidden="false" customHeight="false" outlineLevel="0" collapsed="false">
      <c r="A696" s="38" t="str">
        <f aca="false">IF(OR(C696="",C696=0),"",IF(AND(OR($B$5="",G696=$B$5,H696=$B$5),OR($D$5="",F696=$D$5),OR($E$5="",K696=$E$5),OR($G$5="",L696=$G$5),OR($H$5="",N(J696)&gt;=$H$5),OR($I$5="",ISNUMBER(SEARCH($I$5,C696&amp;" "&amp;D696&amp;" "&amp;E696&amp;" "&amp;I696)))),"✓",""))</f>
        <v/>
      </c>
      <c r="B696" s="39" t="n">
        <v>46254</v>
      </c>
      <c r="C696" s="40" t="n">
        <f aca="false">'Aug 20'!$D$31</f>
        <v>0</v>
      </c>
      <c r="D696" s="40" t="n">
        <f aca="false">'Aug 20'!$B$31</f>
        <v>0</v>
      </c>
      <c r="E696" s="41" t="n">
        <f aca="false">'Aug 20'!$E$31</f>
        <v>0</v>
      </c>
      <c r="F696" s="40" t="n">
        <f aca="false">'Aug 20'!$A$31</f>
        <v>0</v>
      </c>
      <c r="G696" s="41" t="n">
        <f aca="false">'Aug 20'!$F$31</f>
        <v>0</v>
      </c>
      <c r="H696" s="41" t="n">
        <f aca="false">'Aug 20'!$G$31</f>
        <v>0</v>
      </c>
      <c r="I696" s="41" t="str">
        <f aca="false">'Aug 20'!$M$31</f>
        <v/>
      </c>
      <c r="J696" s="42" t="str">
        <f aca="false">'Aug 20'!$S$31</f>
        <v/>
      </c>
      <c r="K696" s="40" t="n">
        <f aca="false">'Aug 20'!$AG$31</f>
        <v>0</v>
      </c>
      <c r="L696" s="40" t="n">
        <f aca="false">'Aug 20'!$N$31</f>
        <v>0</v>
      </c>
    </row>
    <row r="697" customFormat="false" ht="15" hidden="false" customHeight="false" outlineLevel="0" collapsed="false">
      <c r="A697" s="38" t="str">
        <f aca="false">IF(OR(C697="",C697=0),"",IF(AND(OR($B$5="",G697=$B$5,H697=$B$5),OR($D$5="",F697=$D$5),OR($E$5="",K697=$E$5),OR($G$5="",L697=$G$5),OR($H$5="",N(J697)&gt;=$H$5),OR($I$5="",ISNUMBER(SEARCH($I$5,C697&amp;" "&amp;D697&amp;" "&amp;E697&amp;" "&amp;I697)))),"✓",""))</f>
        <v/>
      </c>
      <c r="B697" s="39" t="n">
        <v>46254</v>
      </c>
      <c r="C697" s="40" t="n">
        <f aca="false">'Aug 20'!$D$32</f>
        <v>0</v>
      </c>
      <c r="D697" s="40" t="n">
        <f aca="false">'Aug 20'!$B$32</f>
        <v>0</v>
      </c>
      <c r="E697" s="41" t="n">
        <f aca="false">'Aug 20'!$E$32</f>
        <v>0</v>
      </c>
      <c r="F697" s="40" t="n">
        <f aca="false">'Aug 20'!$A$32</f>
        <v>0</v>
      </c>
      <c r="G697" s="41" t="n">
        <f aca="false">'Aug 20'!$F$32</f>
        <v>0</v>
      </c>
      <c r="H697" s="41" t="n">
        <f aca="false">'Aug 20'!$G$32</f>
        <v>0</v>
      </c>
      <c r="I697" s="41" t="str">
        <f aca="false">'Aug 20'!$M$32</f>
        <v/>
      </c>
      <c r="J697" s="42" t="str">
        <f aca="false">'Aug 20'!$S$32</f>
        <v/>
      </c>
      <c r="K697" s="40" t="n">
        <f aca="false">'Aug 20'!$AG$32</f>
        <v>0</v>
      </c>
      <c r="L697" s="40" t="n">
        <f aca="false">'Aug 20'!$N$32</f>
        <v>0</v>
      </c>
    </row>
    <row r="698" customFormat="false" ht="15" hidden="false" customHeight="false" outlineLevel="0" collapsed="false">
      <c r="A698" s="38" t="str">
        <f aca="false">IF(OR(C698="",C698=0),"",IF(AND(OR($B$5="",G698=$B$5,H698=$B$5),OR($D$5="",F698=$D$5),OR($E$5="",K698=$E$5),OR($G$5="",L698=$G$5),OR($H$5="",N(J698)&gt;=$H$5),OR($I$5="",ISNUMBER(SEARCH($I$5,C698&amp;" "&amp;D698&amp;" "&amp;E698&amp;" "&amp;I698)))),"✓",""))</f>
        <v/>
      </c>
      <c r="B698" s="39" t="n">
        <v>46254</v>
      </c>
      <c r="C698" s="40" t="n">
        <f aca="false">'Aug 20'!$D$33</f>
        <v>0</v>
      </c>
      <c r="D698" s="40" t="n">
        <f aca="false">'Aug 20'!$B$33</f>
        <v>0</v>
      </c>
      <c r="E698" s="41" t="n">
        <f aca="false">'Aug 20'!$E$33</f>
        <v>0</v>
      </c>
      <c r="F698" s="40" t="n">
        <f aca="false">'Aug 20'!$A$33</f>
        <v>0</v>
      </c>
      <c r="G698" s="41" t="n">
        <f aca="false">'Aug 20'!$F$33</f>
        <v>0</v>
      </c>
      <c r="H698" s="41" t="n">
        <f aca="false">'Aug 20'!$G$33</f>
        <v>0</v>
      </c>
      <c r="I698" s="41" t="str">
        <f aca="false">'Aug 20'!$M$33</f>
        <v/>
      </c>
      <c r="J698" s="42" t="str">
        <f aca="false">'Aug 20'!$S$33</f>
        <v/>
      </c>
      <c r="K698" s="40" t="n">
        <f aca="false">'Aug 20'!$AG$33</f>
        <v>0</v>
      </c>
      <c r="L698" s="40" t="n">
        <f aca="false">'Aug 20'!$N$33</f>
        <v>0</v>
      </c>
    </row>
    <row r="699" customFormat="false" ht="15" hidden="false" customHeight="false" outlineLevel="0" collapsed="false">
      <c r="A699" s="38" t="str">
        <f aca="false">IF(OR(C699="",C699=0),"",IF(AND(OR($B$5="",G699=$B$5,H699=$B$5),OR($D$5="",F699=$D$5),OR($E$5="",K699=$E$5),OR($G$5="",L699=$G$5),OR($H$5="",N(J699)&gt;=$H$5),OR($I$5="",ISNUMBER(SEARCH($I$5,C699&amp;" "&amp;D699&amp;" "&amp;E699&amp;" "&amp;I699)))),"✓",""))</f>
        <v/>
      </c>
      <c r="B699" s="39" t="n">
        <v>46254</v>
      </c>
      <c r="C699" s="40" t="n">
        <f aca="false">'Aug 20'!$D$34</f>
        <v>0</v>
      </c>
      <c r="D699" s="40" t="n">
        <f aca="false">'Aug 20'!$B$34</f>
        <v>0</v>
      </c>
      <c r="E699" s="41" t="n">
        <f aca="false">'Aug 20'!$E$34</f>
        <v>0</v>
      </c>
      <c r="F699" s="40" t="n">
        <f aca="false">'Aug 20'!$A$34</f>
        <v>0</v>
      </c>
      <c r="G699" s="41" t="n">
        <f aca="false">'Aug 20'!$F$34</f>
        <v>0</v>
      </c>
      <c r="H699" s="41" t="n">
        <f aca="false">'Aug 20'!$G$34</f>
        <v>0</v>
      </c>
      <c r="I699" s="41" t="str">
        <f aca="false">'Aug 20'!$M$34</f>
        <v/>
      </c>
      <c r="J699" s="42" t="str">
        <f aca="false">'Aug 20'!$S$34</f>
        <v/>
      </c>
      <c r="K699" s="40" t="n">
        <f aca="false">'Aug 20'!$AG$34</f>
        <v>0</v>
      </c>
      <c r="L699" s="40" t="n">
        <f aca="false">'Aug 20'!$N$34</f>
        <v>0</v>
      </c>
    </row>
    <row r="700" customFormat="false" ht="15" hidden="false" customHeight="false" outlineLevel="0" collapsed="false">
      <c r="A700" s="38" t="str">
        <f aca="false">IF(OR(C700="",C700=0),"",IF(AND(OR($B$5="",G700=$B$5,H700=$B$5),OR($D$5="",F700=$D$5),OR($E$5="",K700=$E$5),OR($G$5="",L700=$G$5),OR($H$5="",N(J700)&gt;=$H$5),OR($I$5="",ISNUMBER(SEARCH($I$5,C700&amp;" "&amp;D700&amp;" "&amp;E700&amp;" "&amp;I700)))),"✓",""))</f>
        <v/>
      </c>
      <c r="B700" s="39" t="n">
        <v>46254</v>
      </c>
      <c r="C700" s="40" t="n">
        <f aca="false">'Aug 20'!$D$35</f>
        <v>0</v>
      </c>
      <c r="D700" s="40" t="n">
        <f aca="false">'Aug 20'!$B$35</f>
        <v>0</v>
      </c>
      <c r="E700" s="41" t="n">
        <f aca="false">'Aug 20'!$E$35</f>
        <v>0</v>
      </c>
      <c r="F700" s="40" t="n">
        <f aca="false">'Aug 20'!$A$35</f>
        <v>0</v>
      </c>
      <c r="G700" s="41" t="n">
        <f aca="false">'Aug 20'!$F$35</f>
        <v>0</v>
      </c>
      <c r="H700" s="41" t="n">
        <f aca="false">'Aug 20'!$G$35</f>
        <v>0</v>
      </c>
      <c r="I700" s="41" t="str">
        <f aca="false">'Aug 20'!$M$35</f>
        <v/>
      </c>
      <c r="J700" s="42" t="str">
        <f aca="false">'Aug 20'!$S$35</f>
        <v/>
      </c>
      <c r="K700" s="40" t="n">
        <f aca="false">'Aug 20'!$AG$35</f>
        <v>0</v>
      </c>
      <c r="L700" s="40" t="n">
        <f aca="false">'Aug 20'!$N$35</f>
        <v>0</v>
      </c>
    </row>
    <row r="701" customFormat="false" ht="15" hidden="false" customHeight="false" outlineLevel="0" collapsed="false">
      <c r="A701" s="38" t="str">
        <f aca="false">IF(OR(C701="",C701=0),"",IF(AND(OR($B$5="",G701=$B$5,H701=$B$5),OR($D$5="",F701=$D$5),OR($E$5="",K701=$E$5),OR($G$5="",L701=$G$5),OR($H$5="",N(J701)&gt;=$H$5),OR($I$5="",ISNUMBER(SEARCH($I$5,C701&amp;" "&amp;D701&amp;" "&amp;E701&amp;" "&amp;I701)))),"✓",""))</f>
        <v/>
      </c>
      <c r="B701" s="39" t="n">
        <v>46254</v>
      </c>
      <c r="C701" s="40" t="n">
        <f aca="false">'Aug 20'!$D$36</f>
        <v>0</v>
      </c>
      <c r="D701" s="40" t="n">
        <f aca="false">'Aug 20'!$B$36</f>
        <v>0</v>
      </c>
      <c r="E701" s="41" t="n">
        <f aca="false">'Aug 20'!$E$36</f>
        <v>0</v>
      </c>
      <c r="F701" s="40" t="n">
        <f aca="false">'Aug 20'!$A$36</f>
        <v>0</v>
      </c>
      <c r="G701" s="41" t="n">
        <f aca="false">'Aug 20'!$F$36</f>
        <v>0</v>
      </c>
      <c r="H701" s="41" t="n">
        <f aca="false">'Aug 20'!$G$36</f>
        <v>0</v>
      </c>
      <c r="I701" s="41" t="str">
        <f aca="false">'Aug 20'!$M$36</f>
        <v/>
      </c>
      <c r="J701" s="42" t="str">
        <f aca="false">'Aug 20'!$S$36</f>
        <v/>
      </c>
      <c r="K701" s="40" t="n">
        <f aca="false">'Aug 20'!$AG$36</f>
        <v>0</v>
      </c>
      <c r="L701" s="40" t="n">
        <f aca="false">'Aug 20'!$N$36</f>
        <v>0</v>
      </c>
    </row>
    <row r="702" customFormat="false" ht="15" hidden="false" customHeight="false" outlineLevel="0" collapsed="false">
      <c r="A702" s="38" t="str">
        <f aca="false">IF(OR(C702="",C702=0),"",IF(AND(OR($B$5="",G702=$B$5,H702=$B$5),OR($D$5="",F702=$D$5),OR($E$5="",K702=$E$5),OR($G$5="",L702=$G$5),OR($H$5="",N(J702)&gt;=$H$5),OR($I$5="",ISNUMBER(SEARCH($I$5,C702&amp;" "&amp;D702&amp;" "&amp;E702&amp;" "&amp;I702)))),"✓",""))</f>
        <v/>
      </c>
      <c r="B702" s="39" t="n">
        <v>46254</v>
      </c>
      <c r="C702" s="40" t="n">
        <f aca="false">'Aug 20'!$D$37</f>
        <v>0</v>
      </c>
      <c r="D702" s="40" t="n">
        <f aca="false">'Aug 20'!$B$37</f>
        <v>0</v>
      </c>
      <c r="E702" s="41" t="n">
        <f aca="false">'Aug 20'!$E$37</f>
        <v>0</v>
      </c>
      <c r="F702" s="40" t="n">
        <f aca="false">'Aug 20'!$A$37</f>
        <v>0</v>
      </c>
      <c r="G702" s="41" t="n">
        <f aca="false">'Aug 20'!$F$37</f>
        <v>0</v>
      </c>
      <c r="H702" s="41" t="n">
        <f aca="false">'Aug 20'!$G$37</f>
        <v>0</v>
      </c>
      <c r="I702" s="41" t="str">
        <f aca="false">'Aug 20'!$M$37</f>
        <v/>
      </c>
      <c r="J702" s="42" t="str">
        <f aca="false">'Aug 20'!$S$37</f>
        <v/>
      </c>
      <c r="K702" s="40" t="n">
        <f aca="false">'Aug 20'!$AG$37</f>
        <v>0</v>
      </c>
      <c r="L702" s="40" t="n">
        <f aca="false">'Aug 20'!$N$37</f>
        <v>0</v>
      </c>
    </row>
    <row r="703" customFormat="false" ht="15" hidden="false" customHeight="false" outlineLevel="0" collapsed="false">
      <c r="A703" s="38" t="str">
        <f aca="false">IF(OR(C703="",C703=0),"",IF(AND(OR($B$5="",G703=$B$5,H703=$B$5),OR($D$5="",F703=$D$5),OR($E$5="",K703=$E$5),OR($G$5="",L703=$G$5),OR($H$5="",N(J703)&gt;=$H$5),OR($I$5="",ISNUMBER(SEARCH($I$5,C703&amp;" "&amp;D703&amp;" "&amp;E703&amp;" "&amp;I703)))),"✓",""))</f>
        <v/>
      </c>
      <c r="B703" s="39" t="n">
        <v>46254</v>
      </c>
      <c r="C703" s="40" t="n">
        <f aca="false">'Aug 20'!$D$38</f>
        <v>0</v>
      </c>
      <c r="D703" s="40" t="n">
        <f aca="false">'Aug 20'!$B$38</f>
        <v>0</v>
      </c>
      <c r="E703" s="41" t="n">
        <f aca="false">'Aug 20'!$E$38</f>
        <v>0</v>
      </c>
      <c r="F703" s="40" t="n">
        <f aca="false">'Aug 20'!$A$38</f>
        <v>0</v>
      </c>
      <c r="G703" s="41" t="n">
        <f aca="false">'Aug 20'!$F$38</f>
        <v>0</v>
      </c>
      <c r="H703" s="41" t="n">
        <f aca="false">'Aug 20'!$G$38</f>
        <v>0</v>
      </c>
      <c r="I703" s="41" t="str">
        <f aca="false">'Aug 20'!$M$38</f>
        <v/>
      </c>
      <c r="J703" s="42" t="str">
        <f aca="false">'Aug 20'!$S$38</f>
        <v/>
      </c>
      <c r="K703" s="40" t="n">
        <f aca="false">'Aug 20'!$AG$38</f>
        <v>0</v>
      </c>
      <c r="L703" s="40" t="n">
        <f aca="false">'Aug 20'!$N$38</f>
        <v>0</v>
      </c>
    </row>
    <row r="704" customFormat="false" ht="15" hidden="false" customHeight="false" outlineLevel="0" collapsed="false">
      <c r="A704" s="38" t="str">
        <f aca="false">IF(OR(C704="",C704=0),"",IF(AND(OR($B$5="",G704=$B$5,H704=$B$5),OR($D$5="",F704=$D$5),OR($E$5="",K704=$E$5),OR($G$5="",L704=$G$5),OR($H$5="",N(J704)&gt;=$H$5),OR($I$5="",ISNUMBER(SEARCH($I$5,C704&amp;" "&amp;D704&amp;" "&amp;E704&amp;" "&amp;I704)))),"✓",""))</f>
        <v/>
      </c>
      <c r="B704" s="39" t="n">
        <v>46254</v>
      </c>
      <c r="C704" s="40" t="n">
        <f aca="false">'Aug 20'!$D$39</f>
        <v>0</v>
      </c>
      <c r="D704" s="40" t="n">
        <f aca="false">'Aug 20'!$B$39</f>
        <v>0</v>
      </c>
      <c r="E704" s="41" t="n">
        <f aca="false">'Aug 20'!$E$39</f>
        <v>0</v>
      </c>
      <c r="F704" s="40" t="n">
        <f aca="false">'Aug 20'!$A$39</f>
        <v>0</v>
      </c>
      <c r="G704" s="41" t="n">
        <f aca="false">'Aug 20'!$F$39</f>
        <v>0</v>
      </c>
      <c r="H704" s="41" t="n">
        <f aca="false">'Aug 20'!$G$39</f>
        <v>0</v>
      </c>
      <c r="I704" s="41" t="str">
        <f aca="false">'Aug 20'!$M$39</f>
        <v/>
      </c>
      <c r="J704" s="42" t="str">
        <f aca="false">'Aug 20'!$S$39</f>
        <v/>
      </c>
      <c r="K704" s="40" t="n">
        <f aca="false">'Aug 20'!$AG$39</f>
        <v>0</v>
      </c>
      <c r="L704" s="40" t="n">
        <f aca="false">'Aug 20'!$N$39</f>
        <v>0</v>
      </c>
    </row>
    <row r="705" customFormat="false" ht="15" hidden="false" customHeight="false" outlineLevel="0" collapsed="false">
      <c r="A705" s="38" t="str">
        <f aca="false">IF(OR(C705="",C705=0),"",IF(AND(OR($B$5="",G705=$B$5,H705=$B$5),OR($D$5="",F705=$D$5),OR($E$5="",K705=$E$5),OR($G$5="",L705=$G$5),OR($H$5="",N(J705)&gt;=$H$5),OR($I$5="",ISNUMBER(SEARCH($I$5,C705&amp;" "&amp;D705&amp;" "&amp;E705&amp;" "&amp;I705)))),"✓",""))</f>
        <v/>
      </c>
      <c r="B705" s="39" t="n">
        <v>46254</v>
      </c>
      <c r="C705" s="40" t="n">
        <f aca="false">'Aug 20'!$D$40</f>
        <v>0</v>
      </c>
      <c r="D705" s="40" t="n">
        <f aca="false">'Aug 20'!$B$40</f>
        <v>0</v>
      </c>
      <c r="E705" s="41" t="n">
        <f aca="false">'Aug 20'!$E$40</f>
        <v>0</v>
      </c>
      <c r="F705" s="40" t="n">
        <f aca="false">'Aug 20'!$A$40</f>
        <v>0</v>
      </c>
      <c r="G705" s="41" t="n">
        <f aca="false">'Aug 20'!$F$40</f>
        <v>0</v>
      </c>
      <c r="H705" s="41" t="n">
        <f aca="false">'Aug 20'!$G$40</f>
        <v>0</v>
      </c>
      <c r="I705" s="41" t="str">
        <f aca="false">'Aug 20'!$M$40</f>
        <v/>
      </c>
      <c r="J705" s="42" t="str">
        <f aca="false">'Aug 20'!$S$40</f>
        <v/>
      </c>
      <c r="K705" s="40" t="n">
        <f aca="false">'Aug 20'!$AG$40</f>
        <v>0</v>
      </c>
      <c r="L705" s="40" t="n">
        <f aca="false">'Aug 20'!$N$40</f>
        <v>0</v>
      </c>
    </row>
    <row r="706" customFormat="false" ht="15" hidden="false" customHeight="false" outlineLevel="0" collapsed="false">
      <c r="A706" s="38" t="str">
        <f aca="false">IF(OR(C706="",C706=0),"",IF(AND(OR($B$5="",G706=$B$5,H706=$B$5),OR($D$5="",F706=$D$5),OR($E$5="",K706=$E$5),OR($G$5="",L706=$G$5),OR($H$5="",N(J706)&gt;=$H$5),OR($I$5="",ISNUMBER(SEARCH($I$5,C706&amp;" "&amp;D706&amp;" "&amp;E706&amp;" "&amp;I706)))),"✓",""))</f>
        <v/>
      </c>
      <c r="B706" s="39" t="n">
        <v>46254</v>
      </c>
      <c r="C706" s="40" t="n">
        <f aca="false">'Aug 20'!$D$41</f>
        <v>0</v>
      </c>
      <c r="D706" s="40" t="n">
        <f aca="false">'Aug 20'!$B$41</f>
        <v>0</v>
      </c>
      <c r="E706" s="41" t="n">
        <f aca="false">'Aug 20'!$E$41</f>
        <v>0</v>
      </c>
      <c r="F706" s="40" t="n">
        <f aca="false">'Aug 20'!$A$41</f>
        <v>0</v>
      </c>
      <c r="G706" s="41" t="n">
        <f aca="false">'Aug 20'!$F$41</f>
        <v>0</v>
      </c>
      <c r="H706" s="41" t="n">
        <f aca="false">'Aug 20'!$G$41</f>
        <v>0</v>
      </c>
      <c r="I706" s="41" t="str">
        <f aca="false">'Aug 20'!$M$41</f>
        <v/>
      </c>
      <c r="J706" s="42" t="str">
        <f aca="false">'Aug 20'!$S$41</f>
        <v/>
      </c>
      <c r="K706" s="40" t="n">
        <f aca="false">'Aug 20'!$AG$41</f>
        <v>0</v>
      </c>
      <c r="L706" s="40" t="n">
        <f aca="false">'Aug 20'!$N$41</f>
        <v>0</v>
      </c>
    </row>
    <row r="707" customFormat="false" ht="15" hidden="false" customHeight="false" outlineLevel="0" collapsed="false">
      <c r="A707" s="38" t="str">
        <f aca="false">IF(OR(C707="",C707=0),"",IF(AND(OR($B$5="",G707=$B$5,H707=$B$5),OR($D$5="",F707=$D$5),OR($E$5="",K707=$E$5),OR($G$5="",L707=$G$5),OR($H$5="",N(J707)&gt;=$H$5),OR($I$5="",ISNUMBER(SEARCH($I$5,C707&amp;" "&amp;D707&amp;" "&amp;E707&amp;" "&amp;I707)))),"✓",""))</f>
        <v/>
      </c>
      <c r="B707" s="39" t="n">
        <v>46254</v>
      </c>
      <c r="C707" s="40" t="n">
        <f aca="false">'Aug 20'!$D$42</f>
        <v>0</v>
      </c>
      <c r="D707" s="40" t="n">
        <f aca="false">'Aug 20'!$B$42</f>
        <v>0</v>
      </c>
      <c r="E707" s="41" t="n">
        <f aca="false">'Aug 20'!$E$42</f>
        <v>0</v>
      </c>
      <c r="F707" s="40" t="n">
        <f aca="false">'Aug 20'!$A$42</f>
        <v>0</v>
      </c>
      <c r="G707" s="41" t="n">
        <f aca="false">'Aug 20'!$F$42</f>
        <v>0</v>
      </c>
      <c r="H707" s="41" t="n">
        <f aca="false">'Aug 20'!$G$42</f>
        <v>0</v>
      </c>
      <c r="I707" s="41" t="str">
        <f aca="false">'Aug 20'!$M$42</f>
        <v/>
      </c>
      <c r="J707" s="42" t="str">
        <f aca="false">'Aug 20'!$S$42</f>
        <v/>
      </c>
      <c r="K707" s="40" t="n">
        <f aca="false">'Aug 20'!$AG$42</f>
        <v>0</v>
      </c>
      <c r="L707" s="40" t="n">
        <f aca="false">'Aug 20'!$N$42</f>
        <v>0</v>
      </c>
    </row>
    <row r="708" customFormat="false" ht="15" hidden="false" customHeight="false" outlineLevel="0" collapsed="false">
      <c r="A708" s="38" t="str">
        <f aca="false">IF(OR(C708="",C708=0),"",IF(AND(OR($B$5="",G708=$B$5,H708=$B$5),OR($D$5="",F708=$D$5),OR($E$5="",K708=$E$5),OR($G$5="",L708=$G$5),OR($H$5="",N(J708)&gt;=$H$5),OR($I$5="",ISNUMBER(SEARCH($I$5,C708&amp;" "&amp;D708&amp;" "&amp;E708&amp;" "&amp;I708)))),"✓",""))</f>
        <v/>
      </c>
      <c r="B708" s="39" t="n">
        <v>46255</v>
      </c>
      <c r="C708" s="40" t="n">
        <f aca="false">'Aug 21'!$D$8</f>
        <v>0</v>
      </c>
      <c r="D708" s="40" t="n">
        <f aca="false">'Aug 21'!$B$8</f>
        <v>0</v>
      </c>
      <c r="E708" s="41" t="n">
        <f aca="false">'Aug 21'!$E$8</f>
        <v>0</v>
      </c>
      <c r="F708" s="40" t="n">
        <f aca="false">'Aug 21'!$A$8</f>
        <v>0</v>
      </c>
      <c r="G708" s="41" t="n">
        <f aca="false">'Aug 21'!$F$8</f>
        <v>0</v>
      </c>
      <c r="H708" s="41" t="n">
        <f aca="false">'Aug 21'!$G$8</f>
        <v>0</v>
      </c>
      <c r="I708" s="41" t="str">
        <f aca="false">'Aug 21'!$M$8</f>
        <v/>
      </c>
      <c r="J708" s="42" t="str">
        <f aca="false">'Aug 21'!$S$8</f>
        <v/>
      </c>
      <c r="K708" s="40" t="n">
        <f aca="false">'Aug 21'!$AG$8</f>
        <v>0</v>
      </c>
      <c r="L708" s="40" t="n">
        <f aca="false">'Aug 21'!$N$8</f>
        <v>0</v>
      </c>
    </row>
    <row r="709" customFormat="false" ht="15" hidden="false" customHeight="false" outlineLevel="0" collapsed="false">
      <c r="A709" s="38" t="str">
        <f aca="false">IF(OR(C709="",C709=0),"",IF(AND(OR($B$5="",G709=$B$5,H709=$B$5),OR($D$5="",F709=$D$5),OR($E$5="",K709=$E$5),OR($G$5="",L709=$G$5),OR($H$5="",N(J709)&gt;=$H$5),OR($I$5="",ISNUMBER(SEARCH($I$5,C709&amp;" "&amp;D709&amp;" "&amp;E709&amp;" "&amp;I709)))),"✓",""))</f>
        <v/>
      </c>
      <c r="B709" s="39" t="n">
        <v>46255</v>
      </c>
      <c r="C709" s="40" t="n">
        <f aca="false">'Aug 21'!$D$9</f>
        <v>0</v>
      </c>
      <c r="D709" s="40" t="n">
        <f aca="false">'Aug 21'!$B$9</f>
        <v>0</v>
      </c>
      <c r="E709" s="41" t="n">
        <f aca="false">'Aug 21'!$E$9</f>
        <v>0</v>
      </c>
      <c r="F709" s="40" t="n">
        <f aca="false">'Aug 21'!$A$9</f>
        <v>0</v>
      </c>
      <c r="G709" s="41" t="n">
        <f aca="false">'Aug 21'!$F$9</f>
        <v>0</v>
      </c>
      <c r="H709" s="41" t="n">
        <f aca="false">'Aug 21'!$G$9</f>
        <v>0</v>
      </c>
      <c r="I709" s="41" t="str">
        <f aca="false">'Aug 21'!$M$9</f>
        <v/>
      </c>
      <c r="J709" s="42" t="str">
        <f aca="false">'Aug 21'!$S$9</f>
        <v/>
      </c>
      <c r="K709" s="40" t="n">
        <f aca="false">'Aug 21'!$AG$9</f>
        <v>0</v>
      </c>
      <c r="L709" s="40" t="n">
        <f aca="false">'Aug 21'!$N$9</f>
        <v>0</v>
      </c>
    </row>
    <row r="710" customFormat="false" ht="15" hidden="false" customHeight="false" outlineLevel="0" collapsed="false">
      <c r="A710" s="38" t="str">
        <f aca="false">IF(OR(C710="",C710=0),"",IF(AND(OR($B$5="",G710=$B$5,H710=$B$5),OR($D$5="",F710=$D$5),OR($E$5="",K710=$E$5),OR($G$5="",L710=$G$5),OR($H$5="",N(J710)&gt;=$H$5),OR($I$5="",ISNUMBER(SEARCH($I$5,C710&amp;" "&amp;D710&amp;" "&amp;E710&amp;" "&amp;I710)))),"✓",""))</f>
        <v/>
      </c>
      <c r="B710" s="39" t="n">
        <v>46255</v>
      </c>
      <c r="C710" s="40" t="n">
        <f aca="false">'Aug 21'!$D$10</f>
        <v>0</v>
      </c>
      <c r="D710" s="40" t="n">
        <f aca="false">'Aug 21'!$B$10</f>
        <v>0</v>
      </c>
      <c r="E710" s="41" t="n">
        <f aca="false">'Aug 21'!$E$10</f>
        <v>0</v>
      </c>
      <c r="F710" s="40" t="n">
        <f aca="false">'Aug 21'!$A$10</f>
        <v>0</v>
      </c>
      <c r="G710" s="41" t="n">
        <f aca="false">'Aug 21'!$F$10</f>
        <v>0</v>
      </c>
      <c r="H710" s="41" t="n">
        <f aca="false">'Aug 21'!$G$10</f>
        <v>0</v>
      </c>
      <c r="I710" s="41" t="str">
        <f aca="false">'Aug 21'!$M$10</f>
        <v/>
      </c>
      <c r="J710" s="42" t="str">
        <f aca="false">'Aug 21'!$S$10</f>
        <v/>
      </c>
      <c r="K710" s="40" t="n">
        <f aca="false">'Aug 21'!$AG$10</f>
        <v>0</v>
      </c>
      <c r="L710" s="40" t="n">
        <f aca="false">'Aug 21'!$N$10</f>
        <v>0</v>
      </c>
    </row>
    <row r="711" customFormat="false" ht="15" hidden="false" customHeight="false" outlineLevel="0" collapsed="false">
      <c r="A711" s="38" t="str">
        <f aca="false">IF(OR(C711="",C711=0),"",IF(AND(OR($B$5="",G711=$B$5,H711=$B$5),OR($D$5="",F711=$D$5),OR($E$5="",K711=$E$5),OR($G$5="",L711=$G$5),OR($H$5="",N(J711)&gt;=$H$5),OR($I$5="",ISNUMBER(SEARCH($I$5,C711&amp;" "&amp;D711&amp;" "&amp;E711&amp;" "&amp;I711)))),"✓",""))</f>
        <v/>
      </c>
      <c r="B711" s="39" t="n">
        <v>46255</v>
      </c>
      <c r="C711" s="40" t="n">
        <f aca="false">'Aug 21'!$D$11</f>
        <v>0</v>
      </c>
      <c r="D711" s="40" t="n">
        <f aca="false">'Aug 21'!$B$11</f>
        <v>0</v>
      </c>
      <c r="E711" s="41" t="n">
        <f aca="false">'Aug 21'!$E$11</f>
        <v>0</v>
      </c>
      <c r="F711" s="40" t="n">
        <f aca="false">'Aug 21'!$A$11</f>
        <v>0</v>
      </c>
      <c r="G711" s="41" t="n">
        <f aca="false">'Aug 21'!$F$11</f>
        <v>0</v>
      </c>
      <c r="H711" s="41" t="n">
        <f aca="false">'Aug 21'!$G$11</f>
        <v>0</v>
      </c>
      <c r="I711" s="41" t="str">
        <f aca="false">'Aug 21'!$M$11</f>
        <v/>
      </c>
      <c r="J711" s="42" t="str">
        <f aca="false">'Aug 21'!$S$11</f>
        <v/>
      </c>
      <c r="K711" s="40" t="n">
        <f aca="false">'Aug 21'!$AG$11</f>
        <v>0</v>
      </c>
      <c r="L711" s="40" t="n">
        <f aca="false">'Aug 21'!$N$11</f>
        <v>0</v>
      </c>
    </row>
    <row r="712" customFormat="false" ht="15" hidden="false" customHeight="false" outlineLevel="0" collapsed="false">
      <c r="A712" s="38" t="str">
        <f aca="false">IF(OR(C712="",C712=0),"",IF(AND(OR($B$5="",G712=$B$5,H712=$B$5),OR($D$5="",F712=$D$5),OR($E$5="",K712=$E$5),OR($G$5="",L712=$G$5),OR($H$5="",N(J712)&gt;=$H$5),OR($I$5="",ISNUMBER(SEARCH($I$5,C712&amp;" "&amp;D712&amp;" "&amp;E712&amp;" "&amp;I712)))),"✓",""))</f>
        <v/>
      </c>
      <c r="B712" s="39" t="n">
        <v>46255</v>
      </c>
      <c r="C712" s="40" t="n">
        <f aca="false">'Aug 21'!$D$12</f>
        <v>0</v>
      </c>
      <c r="D712" s="40" t="n">
        <f aca="false">'Aug 21'!$B$12</f>
        <v>0</v>
      </c>
      <c r="E712" s="41" t="n">
        <f aca="false">'Aug 21'!$E$12</f>
        <v>0</v>
      </c>
      <c r="F712" s="40" t="n">
        <f aca="false">'Aug 21'!$A$12</f>
        <v>0</v>
      </c>
      <c r="G712" s="41" t="n">
        <f aca="false">'Aug 21'!$F$12</f>
        <v>0</v>
      </c>
      <c r="H712" s="41" t="n">
        <f aca="false">'Aug 21'!$G$12</f>
        <v>0</v>
      </c>
      <c r="I712" s="41" t="str">
        <f aca="false">'Aug 21'!$M$12</f>
        <v/>
      </c>
      <c r="J712" s="42" t="str">
        <f aca="false">'Aug 21'!$S$12</f>
        <v/>
      </c>
      <c r="K712" s="40" t="n">
        <f aca="false">'Aug 21'!$AG$12</f>
        <v>0</v>
      </c>
      <c r="L712" s="40" t="n">
        <f aca="false">'Aug 21'!$N$12</f>
        <v>0</v>
      </c>
    </row>
    <row r="713" customFormat="false" ht="15" hidden="false" customHeight="false" outlineLevel="0" collapsed="false">
      <c r="A713" s="38" t="str">
        <f aca="false">IF(OR(C713="",C713=0),"",IF(AND(OR($B$5="",G713=$B$5,H713=$B$5),OR($D$5="",F713=$D$5),OR($E$5="",K713=$E$5),OR($G$5="",L713=$G$5),OR($H$5="",N(J713)&gt;=$H$5),OR($I$5="",ISNUMBER(SEARCH($I$5,C713&amp;" "&amp;D713&amp;" "&amp;E713&amp;" "&amp;I713)))),"✓",""))</f>
        <v/>
      </c>
      <c r="B713" s="39" t="n">
        <v>46255</v>
      </c>
      <c r="C713" s="40" t="n">
        <f aca="false">'Aug 21'!$D$13</f>
        <v>0</v>
      </c>
      <c r="D713" s="40" t="n">
        <f aca="false">'Aug 21'!$B$13</f>
        <v>0</v>
      </c>
      <c r="E713" s="41" t="n">
        <f aca="false">'Aug 21'!$E$13</f>
        <v>0</v>
      </c>
      <c r="F713" s="40" t="n">
        <f aca="false">'Aug 21'!$A$13</f>
        <v>0</v>
      </c>
      <c r="G713" s="41" t="n">
        <f aca="false">'Aug 21'!$F$13</f>
        <v>0</v>
      </c>
      <c r="H713" s="41" t="n">
        <f aca="false">'Aug 21'!$G$13</f>
        <v>0</v>
      </c>
      <c r="I713" s="41" t="str">
        <f aca="false">'Aug 21'!$M$13</f>
        <v/>
      </c>
      <c r="J713" s="42" t="str">
        <f aca="false">'Aug 21'!$S$13</f>
        <v/>
      </c>
      <c r="K713" s="40" t="n">
        <f aca="false">'Aug 21'!$AG$13</f>
        <v>0</v>
      </c>
      <c r="L713" s="40" t="n">
        <f aca="false">'Aug 21'!$N$13</f>
        <v>0</v>
      </c>
    </row>
    <row r="714" customFormat="false" ht="15" hidden="false" customHeight="false" outlineLevel="0" collapsed="false">
      <c r="A714" s="38" t="str">
        <f aca="false">IF(OR(C714="",C714=0),"",IF(AND(OR($B$5="",G714=$B$5,H714=$B$5),OR($D$5="",F714=$D$5),OR($E$5="",K714=$E$5),OR($G$5="",L714=$G$5),OR($H$5="",N(J714)&gt;=$H$5),OR($I$5="",ISNUMBER(SEARCH($I$5,C714&amp;" "&amp;D714&amp;" "&amp;E714&amp;" "&amp;I714)))),"✓",""))</f>
        <v/>
      </c>
      <c r="B714" s="39" t="n">
        <v>46255</v>
      </c>
      <c r="C714" s="40" t="n">
        <f aca="false">'Aug 21'!$D$14</f>
        <v>0</v>
      </c>
      <c r="D714" s="40" t="n">
        <f aca="false">'Aug 21'!$B$14</f>
        <v>0</v>
      </c>
      <c r="E714" s="41" t="n">
        <f aca="false">'Aug 21'!$E$14</f>
        <v>0</v>
      </c>
      <c r="F714" s="40" t="n">
        <f aca="false">'Aug 21'!$A$14</f>
        <v>0</v>
      </c>
      <c r="G714" s="41" t="n">
        <f aca="false">'Aug 21'!$F$14</f>
        <v>0</v>
      </c>
      <c r="H714" s="41" t="n">
        <f aca="false">'Aug 21'!$G$14</f>
        <v>0</v>
      </c>
      <c r="I714" s="41" t="str">
        <f aca="false">'Aug 21'!$M$14</f>
        <v/>
      </c>
      <c r="J714" s="42" t="str">
        <f aca="false">'Aug 21'!$S$14</f>
        <v/>
      </c>
      <c r="K714" s="40" t="n">
        <f aca="false">'Aug 21'!$AG$14</f>
        <v>0</v>
      </c>
      <c r="L714" s="40" t="n">
        <f aca="false">'Aug 21'!$N$14</f>
        <v>0</v>
      </c>
    </row>
    <row r="715" customFormat="false" ht="15" hidden="false" customHeight="false" outlineLevel="0" collapsed="false">
      <c r="A715" s="38" t="str">
        <f aca="false">IF(OR(C715="",C715=0),"",IF(AND(OR($B$5="",G715=$B$5,H715=$B$5),OR($D$5="",F715=$D$5),OR($E$5="",K715=$E$5),OR($G$5="",L715=$G$5),OR($H$5="",N(J715)&gt;=$H$5),OR($I$5="",ISNUMBER(SEARCH($I$5,C715&amp;" "&amp;D715&amp;" "&amp;E715&amp;" "&amp;I715)))),"✓",""))</f>
        <v/>
      </c>
      <c r="B715" s="39" t="n">
        <v>46255</v>
      </c>
      <c r="C715" s="40" t="n">
        <f aca="false">'Aug 21'!$D$15</f>
        <v>0</v>
      </c>
      <c r="D715" s="40" t="n">
        <f aca="false">'Aug 21'!$B$15</f>
        <v>0</v>
      </c>
      <c r="E715" s="41" t="n">
        <f aca="false">'Aug 21'!$E$15</f>
        <v>0</v>
      </c>
      <c r="F715" s="40" t="n">
        <f aca="false">'Aug 21'!$A$15</f>
        <v>0</v>
      </c>
      <c r="G715" s="41" t="n">
        <f aca="false">'Aug 21'!$F$15</f>
        <v>0</v>
      </c>
      <c r="H715" s="41" t="n">
        <f aca="false">'Aug 21'!$G$15</f>
        <v>0</v>
      </c>
      <c r="I715" s="41" t="str">
        <f aca="false">'Aug 21'!$M$15</f>
        <v/>
      </c>
      <c r="J715" s="42" t="str">
        <f aca="false">'Aug 21'!$S$15</f>
        <v/>
      </c>
      <c r="K715" s="40" t="n">
        <f aca="false">'Aug 21'!$AG$15</f>
        <v>0</v>
      </c>
      <c r="L715" s="40" t="n">
        <f aca="false">'Aug 21'!$N$15</f>
        <v>0</v>
      </c>
    </row>
    <row r="716" customFormat="false" ht="15" hidden="false" customHeight="false" outlineLevel="0" collapsed="false">
      <c r="A716" s="38" t="str">
        <f aca="false">IF(OR(C716="",C716=0),"",IF(AND(OR($B$5="",G716=$B$5,H716=$B$5),OR($D$5="",F716=$D$5),OR($E$5="",K716=$E$5),OR($G$5="",L716=$G$5),OR($H$5="",N(J716)&gt;=$H$5),OR($I$5="",ISNUMBER(SEARCH($I$5,C716&amp;" "&amp;D716&amp;" "&amp;E716&amp;" "&amp;I716)))),"✓",""))</f>
        <v/>
      </c>
      <c r="B716" s="39" t="n">
        <v>46255</v>
      </c>
      <c r="C716" s="40" t="n">
        <f aca="false">'Aug 21'!$D$16</f>
        <v>0</v>
      </c>
      <c r="D716" s="40" t="n">
        <f aca="false">'Aug 21'!$B$16</f>
        <v>0</v>
      </c>
      <c r="E716" s="41" t="n">
        <f aca="false">'Aug 21'!$E$16</f>
        <v>0</v>
      </c>
      <c r="F716" s="40" t="n">
        <f aca="false">'Aug 21'!$A$16</f>
        <v>0</v>
      </c>
      <c r="G716" s="41" t="n">
        <f aca="false">'Aug 21'!$F$16</f>
        <v>0</v>
      </c>
      <c r="H716" s="41" t="n">
        <f aca="false">'Aug 21'!$G$16</f>
        <v>0</v>
      </c>
      <c r="I716" s="41" t="str">
        <f aca="false">'Aug 21'!$M$16</f>
        <v/>
      </c>
      <c r="J716" s="42" t="str">
        <f aca="false">'Aug 21'!$S$16</f>
        <v/>
      </c>
      <c r="K716" s="40" t="n">
        <f aca="false">'Aug 21'!$AG$16</f>
        <v>0</v>
      </c>
      <c r="L716" s="40" t="n">
        <f aca="false">'Aug 21'!$N$16</f>
        <v>0</v>
      </c>
    </row>
    <row r="717" customFormat="false" ht="15" hidden="false" customHeight="false" outlineLevel="0" collapsed="false">
      <c r="A717" s="38" t="str">
        <f aca="false">IF(OR(C717="",C717=0),"",IF(AND(OR($B$5="",G717=$B$5,H717=$B$5),OR($D$5="",F717=$D$5),OR($E$5="",K717=$E$5),OR($G$5="",L717=$G$5),OR($H$5="",N(J717)&gt;=$H$5),OR($I$5="",ISNUMBER(SEARCH($I$5,C717&amp;" "&amp;D717&amp;" "&amp;E717&amp;" "&amp;I717)))),"✓",""))</f>
        <v/>
      </c>
      <c r="B717" s="39" t="n">
        <v>46255</v>
      </c>
      <c r="C717" s="40" t="n">
        <f aca="false">'Aug 21'!$D$17</f>
        <v>0</v>
      </c>
      <c r="D717" s="40" t="n">
        <f aca="false">'Aug 21'!$B$17</f>
        <v>0</v>
      </c>
      <c r="E717" s="41" t="n">
        <f aca="false">'Aug 21'!$E$17</f>
        <v>0</v>
      </c>
      <c r="F717" s="40" t="n">
        <f aca="false">'Aug 21'!$A$17</f>
        <v>0</v>
      </c>
      <c r="G717" s="41" t="n">
        <f aca="false">'Aug 21'!$F$17</f>
        <v>0</v>
      </c>
      <c r="H717" s="41" t="n">
        <f aca="false">'Aug 21'!$G$17</f>
        <v>0</v>
      </c>
      <c r="I717" s="41" t="str">
        <f aca="false">'Aug 21'!$M$17</f>
        <v/>
      </c>
      <c r="J717" s="42" t="str">
        <f aca="false">'Aug 21'!$S$17</f>
        <v/>
      </c>
      <c r="K717" s="40" t="n">
        <f aca="false">'Aug 21'!$AG$17</f>
        <v>0</v>
      </c>
      <c r="L717" s="40" t="n">
        <f aca="false">'Aug 21'!$N$17</f>
        <v>0</v>
      </c>
    </row>
    <row r="718" customFormat="false" ht="15" hidden="false" customHeight="false" outlineLevel="0" collapsed="false">
      <c r="A718" s="38" t="str">
        <f aca="false">IF(OR(C718="",C718=0),"",IF(AND(OR($B$5="",G718=$B$5,H718=$B$5),OR($D$5="",F718=$D$5),OR($E$5="",K718=$E$5),OR($G$5="",L718=$G$5),OR($H$5="",N(J718)&gt;=$H$5),OR($I$5="",ISNUMBER(SEARCH($I$5,C718&amp;" "&amp;D718&amp;" "&amp;E718&amp;" "&amp;I718)))),"✓",""))</f>
        <v/>
      </c>
      <c r="B718" s="39" t="n">
        <v>46255</v>
      </c>
      <c r="C718" s="40" t="n">
        <f aca="false">'Aug 21'!$D$18</f>
        <v>0</v>
      </c>
      <c r="D718" s="40" t="n">
        <f aca="false">'Aug 21'!$B$18</f>
        <v>0</v>
      </c>
      <c r="E718" s="41" t="n">
        <f aca="false">'Aug 21'!$E$18</f>
        <v>0</v>
      </c>
      <c r="F718" s="40" t="n">
        <f aca="false">'Aug 21'!$A$18</f>
        <v>0</v>
      </c>
      <c r="G718" s="41" t="n">
        <f aca="false">'Aug 21'!$F$18</f>
        <v>0</v>
      </c>
      <c r="H718" s="41" t="n">
        <f aca="false">'Aug 21'!$G$18</f>
        <v>0</v>
      </c>
      <c r="I718" s="41" t="str">
        <f aca="false">'Aug 21'!$M$18</f>
        <v/>
      </c>
      <c r="J718" s="42" t="str">
        <f aca="false">'Aug 21'!$S$18</f>
        <v/>
      </c>
      <c r="K718" s="40" t="n">
        <f aca="false">'Aug 21'!$AG$18</f>
        <v>0</v>
      </c>
      <c r="L718" s="40" t="n">
        <f aca="false">'Aug 21'!$N$18</f>
        <v>0</v>
      </c>
    </row>
    <row r="719" customFormat="false" ht="15" hidden="false" customHeight="false" outlineLevel="0" collapsed="false">
      <c r="A719" s="38" t="str">
        <f aca="false">IF(OR(C719="",C719=0),"",IF(AND(OR($B$5="",G719=$B$5,H719=$B$5),OR($D$5="",F719=$D$5),OR($E$5="",K719=$E$5),OR($G$5="",L719=$G$5),OR($H$5="",N(J719)&gt;=$H$5),OR($I$5="",ISNUMBER(SEARCH($I$5,C719&amp;" "&amp;D719&amp;" "&amp;E719&amp;" "&amp;I719)))),"✓",""))</f>
        <v/>
      </c>
      <c r="B719" s="39" t="n">
        <v>46255</v>
      </c>
      <c r="C719" s="40" t="n">
        <f aca="false">'Aug 21'!$D$19</f>
        <v>0</v>
      </c>
      <c r="D719" s="40" t="n">
        <f aca="false">'Aug 21'!$B$19</f>
        <v>0</v>
      </c>
      <c r="E719" s="41" t="n">
        <f aca="false">'Aug 21'!$E$19</f>
        <v>0</v>
      </c>
      <c r="F719" s="40" t="n">
        <f aca="false">'Aug 21'!$A$19</f>
        <v>0</v>
      </c>
      <c r="G719" s="41" t="n">
        <f aca="false">'Aug 21'!$F$19</f>
        <v>0</v>
      </c>
      <c r="H719" s="41" t="n">
        <f aca="false">'Aug 21'!$G$19</f>
        <v>0</v>
      </c>
      <c r="I719" s="41" t="str">
        <f aca="false">'Aug 21'!$M$19</f>
        <v/>
      </c>
      <c r="J719" s="42" t="str">
        <f aca="false">'Aug 21'!$S$19</f>
        <v/>
      </c>
      <c r="K719" s="40" t="n">
        <f aca="false">'Aug 21'!$AG$19</f>
        <v>0</v>
      </c>
      <c r="L719" s="40" t="n">
        <f aca="false">'Aug 21'!$N$19</f>
        <v>0</v>
      </c>
    </row>
    <row r="720" customFormat="false" ht="15" hidden="false" customHeight="false" outlineLevel="0" collapsed="false">
      <c r="A720" s="38" t="str">
        <f aca="false">IF(OR(C720="",C720=0),"",IF(AND(OR($B$5="",G720=$B$5,H720=$B$5),OR($D$5="",F720=$D$5),OR($E$5="",K720=$E$5),OR($G$5="",L720=$G$5),OR($H$5="",N(J720)&gt;=$H$5),OR($I$5="",ISNUMBER(SEARCH($I$5,C720&amp;" "&amp;D720&amp;" "&amp;E720&amp;" "&amp;I720)))),"✓",""))</f>
        <v/>
      </c>
      <c r="B720" s="39" t="n">
        <v>46255</v>
      </c>
      <c r="C720" s="40" t="n">
        <f aca="false">'Aug 21'!$D$20</f>
        <v>0</v>
      </c>
      <c r="D720" s="40" t="n">
        <f aca="false">'Aug 21'!$B$20</f>
        <v>0</v>
      </c>
      <c r="E720" s="41" t="n">
        <f aca="false">'Aug 21'!$E$20</f>
        <v>0</v>
      </c>
      <c r="F720" s="40" t="n">
        <f aca="false">'Aug 21'!$A$20</f>
        <v>0</v>
      </c>
      <c r="G720" s="41" t="n">
        <f aca="false">'Aug 21'!$F$20</f>
        <v>0</v>
      </c>
      <c r="H720" s="41" t="n">
        <f aca="false">'Aug 21'!$G$20</f>
        <v>0</v>
      </c>
      <c r="I720" s="41" t="str">
        <f aca="false">'Aug 21'!$M$20</f>
        <v/>
      </c>
      <c r="J720" s="42" t="str">
        <f aca="false">'Aug 21'!$S$20</f>
        <v/>
      </c>
      <c r="K720" s="40" t="n">
        <f aca="false">'Aug 21'!$AG$20</f>
        <v>0</v>
      </c>
      <c r="L720" s="40" t="n">
        <f aca="false">'Aug 21'!$N$20</f>
        <v>0</v>
      </c>
    </row>
    <row r="721" customFormat="false" ht="15" hidden="false" customHeight="false" outlineLevel="0" collapsed="false">
      <c r="A721" s="38" t="str">
        <f aca="false">IF(OR(C721="",C721=0),"",IF(AND(OR($B$5="",G721=$B$5,H721=$B$5),OR($D$5="",F721=$D$5),OR($E$5="",K721=$E$5),OR($G$5="",L721=$G$5),OR($H$5="",N(J721)&gt;=$H$5),OR($I$5="",ISNUMBER(SEARCH($I$5,C721&amp;" "&amp;D721&amp;" "&amp;E721&amp;" "&amp;I721)))),"✓",""))</f>
        <v/>
      </c>
      <c r="B721" s="39" t="n">
        <v>46255</v>
      </c>
      <c r="C721" s="40" t="n">
        <f aca="false">'Aug 21'!$D$21</f>
        <v>0</v>
      </c>
      <c r="D721" s="40" t="n">
        <f aca="false">'Aug 21'!$B$21</f>
        <v>0</v>
      </c>
      <c r="E721" s="41" t="n">
        <f aca="false">'Aug 21'!$E$21</f>
        <v>0</v>
      </c>
      <c r="F721" s="40" t="n">
        <f aca="false">'Aug 21'!$A$21</f>
        <v>0</v>
      </c>
      <c r="G721" s="41" t="n">
        <f aca="false">'Aug 21'!$F$21</f>
        <v>0</v>
      </c>
      <c r="H721" s="41" t="n">
        <f aca="false">'Aug 21'!$G$21</f>
        <v>0</v>
      </c>
      <c r="I721" s="41" t="str">
        <f aca="false">'Aug 21'!$M$21</f>
        <v/>
      </c>
      <c r="J721" s="42" t="str">
        <f aca="false">'Aug 21'!$S$21</f>
        <v/>
      </c>
      <c r="K721" s="40" t="n">
        <f aca="false">'Aug 21'!$AG$21</f>
        <v>0</v>
      </c>
      <c r="L721" s="40" t="n">
        <f aca="false">'Aug 21'!$N$21</f>
        <v>0</v>
      </c>
    </row>
    <row r="722" customFormat="false" ht="15" hidden="false" customHeight="false" outlineLevel="0" collapsed="false">
      <c r="A722" s="38" t="str">
        <f aca="false">IF(OR(C722="",C722=0),"",IF(AND(OR($B$5="",G722=$B$5,H722=$B$5),OR($D$5="",F722=$D$5),OR($E$5="",K722=$E$5),OR($G$5="",L722=$G$5),OR($H$5="",N(J722)&gt;=$H$5),OR($I$5="",ISNUMBER(SEARCH($I$5,C722&amp;" "&amp;D722&amp;" "&amp;E722&amp;" "&amp;I722)))),"✓",""))</f>
        <v/>
      </c>
      <c r="B722" s="39" t="n">
        <v>46255</v>
      </c>
      <c r="C722" s="40" t="n">
        <f aca="false">'Aug 21'!$D$22</f>
        <v>0</v>
      </c>
      <c r="D722" s="40" t="n">
        <f aca="false">'Aug 21'!$B$22</f>
        <v>0</v>
      </c>
      <c r="E722" s="41" t="n">
        <f aca="false">'Aug 21'!$E$22</f>
        <v>0</v>
      </c>
      <c r="F722" s="40" t="n">
        <f aca="false">'Aug 21'!$A$22</f>
        <v>0</v>
      </c>
      <c r="G722" s="41" t="n">
        <f aca="false">'Aug 21'!$F$22</f>
        <v>0</v>
      </c>
      <c r="H722" s="41" t="n">
        <f aca="false">'Aug 21'!$G$22</f>
        <v>0</v>
      </c>
      <c r="I722" s="41" t="str">
        <f aca="false">'Aug 21'!$M$22</f>
        <v/>
      </c>
      <c r="J722" s="42" t="str">
        <f aca="false">'Aug 21'!$S$22</f>
        <v/>
      </c>
      <c r="K722" s="40" t="n">
        <f aca="false">'Aug 21'!$AG$22</f>
        <v>0</v>
      </c>
      <c r="L722" s="40" t="n">
        <f aca="false">'Aug 21'!$N$22</f>
        <v>0</v>
      </c>
    </row>
    <row r="723" customFormat="false" ht="15" hidden="false" customHeight="false" outlineLevel="0" collapsed="false">
      <c r="A723" s="38" t="str">
        <f aca="false">IF(OR(C723="",C723=0),"",IF(AND(OR($B$5="",G723=$B$5,H723=$B$5),OR($D$5="",F723=$D$5),OR($E$5="",K723=$E$5),OR($G$5="",L723=$G$5),OR($H$5="",N(J723)&gt;=$H$5),OR($I$5="",ISNUMBER(SEARCH($I$5,C723&amp;" "&amp;D723&amp;" "&amp;E723&amp;" "&amp;I723)))),"✓",""))</f>
        <v/>
      </c>
      <c r="B723" s="39" t="n">
        <v>46255</v>
      </c>
      <c r="C723" s="40" t="n">
        <f aca="false">'Aug 21'!$D$23</f>
        <v>0</v>
      </c>
      <c r="D723" s="40" t="n">
        <f aca="false">'Aug 21'!$B$23</f>
        <v>0</v>
      </c>
      <c r="E723" s="41" t="n">
        <f aca="false">'Aug 21'!$E$23</f>
        <v>0</v>
      </c>
      <c r="F723" s="40" t="n">
        <f aca="false">'Aug 21'!$A$23</f>
        <v>0</v>
      </c>
      <c r="G723" s="41" t="n">
        <f aca="false">'Aug 21'!$F$23</f>
        <v>0</v>
      </c>
      <c r="H723" s="41" t="n">
        <f aca="false">'Aug 21'!$G$23</f>
        <v>0</v>
      </c>
      <c r="I723" s="41" t="str">
        <f aca="false">'Aug 21'!$M$23</f>
        <v/>
      </c>
      <c r="J723" s="42" t="str">
        <f aca="false">'Aug 21'!$S$23</f>
        <v/>
      </c>
      <c r="K723" s="40" t="n">
        <f aca="false">'Aug 21'!$AG$23</f>
        <v>0</v>
      </c>
      <c r="L723" s="40" t="n">
        <f aca="false">'Aug 21'!$N$23</f>
        <v>0</v>
      </c>
    </row>
    <row r="724" customFormat="false" ht="15" hidden="false" customHeight="false" outlineLevel="0" collapsed="false">
      <c r="A724" s="38" t="str">
        <f aca="false">IF(OR(C724="",C724=0),"",IF(AND(OR($B$5="",G724=$B$5,H724=$B$5),OR($D$5="",F724=$D$5),OR($E$5="",K724=$E$5),OR($G$5="",L724=$G$5),OR($H$5="",N(J724)&gt;=$H$5),OR($I$5="",ISNUMBER(SEARCH($I$5,C724&amp;" "&amp;D724&amp;" "&amp;E724&amp;" "&amp;I724)))),"✓",""))</f>
        <v/>
      </c>
      <c r="B724" s="39" t="n">
        <v>46255</v>
      </c>
      <c r="C724" s="40" t="n">
        <f aca="false">'Aug 21'!$D$24</f>
        <v>0</v>
      </c>
      <c r="D724" s="40" t="n">
        <f aca="false">'Aug 21'!$B$24</f>
        <v>0</v>
      </c>
      <c r="E724" s="41" t="n">
        <f aca="false">'Aug 21'!$E$24</f>
        <v>0</v>
      </c>
      <c r="F724" s="40" t="n">
        <f aca="false">'Aug 21'!$A$24</f>
        <v>0</v>
      </c>
      <c r="G724" s="41" t="n">
        <f aca="false">'Aug 21'!$F$24</f>
        <v>0</v>
      </c>
      <c r="H724" s="41" t="n">
        <f aca="false">'Aug 21'!$G$24</f>
        <v>0</v>
      </c>
      <c r="I724" s="41" t="str">
        <f aca="false">'Aug 21'!$M$24</f>
        <v/>
      </c>
      <c r="J724" s="42" t="str">
        <f aca="false">'Aug 21'!$S$24</f>
        <v/>
      </c>
      <c r="K724" s="40" t="n">
        <f aca="false">'Aug 21'!$AG$24</f>
        <v>0</v>
      </c>
      <c r="L724" s="40" t="n">
        <f aca="false">'Aug 21'!$N$24</f>
        <v>0</v>
      </c>
    </row>
    <row r="725" customFormat="false" ht="15" hidden="false" customHeight="false" outlineLevel="0" collapsed="false">
      <c r="A725" s="38" t="str">
        <f aca="false">IF(OR(C725="",C725=0),"",IF(AND(OR($B$5="",G725=$B$5,H725=$B$5),OR($D$5="",F725=$D$5),OR($E$5="",K725=$E$5),OR($G$5="",L725=$G$5),OR($H$5="",N(J725)&gt;=$H$5),OR($I$5="",ISNUMBER(SEARCH($I$5,C725&amp;" "&amp;D725&amp;" "&amp;E725&amp;" "&amp;I725)))),"✓",""))</f>
        <v/>
      </c>
      <c r="B725" s="39" t="n">
        <v>46255</v>
      </c>
      <c r="C725" s="40" t="n">
        <f aca="false">'Aug 21'!$D$25</f>
        <v>0</v>
      </c>
      <c r="D725" s="40" t="n">
        <f aca="false">'Aug 21'!$B$25</f>
        <v>0</v>
      </c>
      <c r="E725" s="41" t="n">
        <f aca="false">'Aug 21'!$E$25</f>
        <v>0</v>
      </c>
      <c r="F725" s="40" t="n">
        <f aca="false">'Aug 21'!$A$25</f>
        <v>0</v>
      </c>
      <c r="G725" s="41" t="n">
        <f aca="false">'Aug 21'!$F$25</f>
        <v>0</v>
      </c>
      <c r="H725" s="41" t="n">
        <f aca="false">'Aug 21'!$G$25</f>
        <v>0</v>
      </c>
      <c r="I725" s="41" t="str">
        <f aca="false">'Aug 21'!$M$25</f>
        <v/>
      </c>
      <c r="J725" s="42" t="str">
        <f aca="false">'Aug 21'!$S$25</f>
        <v/>
      </c>
      <c r="K725" s="40" t="n">
        <f aca="false">'Aug 21'!$AG$25</f>
        <v>0</v>
      </c>
      <c r="L725" s="40" t="n">
        <f aca="false">'Aug 21'!$N$25</f>
        <v>0</v>
      </c>
    </row>
    <row r="726" customFormat="false" ht="15" hidden="false" customHeight="false" outlineLevel="0" collapsed="false">
      <c r="A726" s="38" t="str">
        <f aca="false">IF(OR(C726="",C726=0),"",IF(AND(OR($B$5="",G726=$B$5,H726=$B$5),OR($D$5="",F726=$D$5),OR($E$5="",K726=$E$5),OR($G$5="",L726=$G$5),OR($H$5="",N(J726)&gt;=$H$5),OR($I$5="",ISNUMBER(SEARCH($I$5,C726&amp;" "&amp;D726&amp;" "&amp;E726&amp;" "&amp;I726)))),"✓",""))</f>
        <v/>
      </c>
      <c r="B726" s="39" t="n">
        <v>46255</v>
      </c>
      <c r="C726" s="40" t="n">
        <f aca="false">'Aug 21'!$D$26</f>
        <v>0</v>
      </c>
      <c r="D726" s="40" t="n">
        <f aca="false">'Aug 21'!$B$26</f>
        <v>0</v>
      </c>
      <c r="E726" s="41" t="n">
        <f aca="false">'Aug 21'!$E$26</f>
        <v>0</v>
      </c>
      <c r="F726" s="40" t="n">
        <f aca="false">'Aug 21'!$A$26</f>
        <v>0</v>
      </c>
      <c r="G726" s="41" t="n">
        <f aca="false">'Aug 21'!$F$26</f>
        <v>0</v>
      </c>
      <c r="H726" s="41" t="n">
        <f aca="false">'Aug 21'!$G$26</f>
        <v>0</v>
      </c>
      <c r="I726" s="41" t="str">
        <f aca="false">'Aug 21'!$M$26</f>
        <v/>
      </c>
      <c r="J726" s="42" t="str">
        <f aca="false">'Aug 21'!$S$26</f>
        <v/>
      </c>
      <c r="K726" s="40" t="n">
        <f aca="false">'Aug 21'!$AG$26</f>
        <v>0</v>
      </c>
      <c r="L726" s="40" t="n">
        <f aca="false">'Aug 21'!$N$26</f>
        <v>0</v>
      </c>
    </row>
    <row r="727" customFormat="false" ht="15" hidden="false" customHeight="false" outlineLevel="0" collapsed="false">
      <c r="A727" s="38" t="str">
        <f aca="false">IF(OR(C727="",C727=0),"",IF(AND(OR($B$5="",G727=$B$5,H727=$B$5),OR($D$5="",F727=$D$5),OR($E$5="",K727=$E$5),OR($G$5="",L727=$G$5),OR($H$5="",N(J727)&gt;=$H$5),OR($I$5="",ISNUMBER(SEARCH($I$5,C727&amp;" "&amp;D727&amp;" "&amp;E727&amp;" "&amp;I727)))),"✓",""))</f>
        <v/>
      </c>
      <c r="B727" s="39" t="n">
        <v>46255</v>
      </c>
      <c r="C727" s="40" t="n">
        <f aca="false">'Aug 21'!$D$27</f>
        <v>0</v>
      </c>
      <c r="D727" s="40" t="n">
        <f aca="false">'Aug 21'!$B$27</f>
        <v>0</v>
      </c>
      <c r="E727" s="41" t="n">
        <f aca="false">'Aug 21'!$E$27</f>
        <v>0</v>
      </c>
      <c r="F727" s="40" t="n">
        <f aca="false">'Aug 21'!$A$27</f>
        <v>0</v>
      </c>
      <c r="G727" s="41" t="n">
        <f aca="false">'Aug 21'!$F$27</f>
        <v>0</v>
      </c>
      <c r="H727" s="41" t="n">
        <f aca="false">'Aug 21'!$G$27</f>
        <v>0</v>
      </c>
      <c r="I727" s="41" t="str">
        <f aca="false">'Aug 21'!$M$27</f>
        <v/>
      </c>
      <c r="J727" s="42" t="str">
        <f aca="false">'Aug 21'!$S$27</f>
        <v/>
      </c>
      <c r="K727" s="40" t="n">
        <f aca="false">'Aug 21'!$AG$27</f>
        <v>0</v>
      </c>
      <c r="L727" s="40" t="n">
        <f aca="false">'Aug 21'!$N$27</f>
        <v>0</v>
      </c>
    </row>
    <row r="728" customFormat="false" ht="15" hidden="false" customHeight="false" outlineLevel="0" collapsed="false">
      <c r="A728" s="38" t="str">
        <f aca="false">IF(OR(C728="",C728=0),"",IF(AND(OR($B$5="",G728=$B$5,H728=$B$5),OR($D$5="",F728=$D$5),OR($E$5="",K728=$E$5),OR($G$5="",L728=$G$5),OR($H$5="",N(J728)&gt;=$H$5),OR($I$5="",ISNUMBER(SEARCH($I$5,C728&amp;" "&amp;D728&amp;" "&amp;E728&amp;" "&amp;I728)))),"✓",""))</f>
        <v/>
      </c>
      <c r="B728" s="39" t="n">
        <v>46255</v>
      </c>
      <c r="C728" s="40" t="n">
        <f aca="false">'Aug 21'!$D$28</f>
        <v>0</v>
      </c>
      <c r="D728" s="40" t="n">
        <f aca="false">'Aug 21'!$B$28</f>
        <v>0</v>
      </c>
      <c r="E728" s="41" t="n">
        <f aca="false">'Aug 21'!$E$28</f>
        <v>0</v>
      </c>
      <c r="F728" s="40" t="n">
        <f aca="false">'Aug 21'!$A$28</f>
        <v>0</v>
      </c>
      <c r="G728" s="41" t="n">
        <f aca="false">'Aug 21'!$F$28</f>
        <v>0</v>
      </c>
      <c r="H728" s="41" t="n">
        <f aca="false">'Aug 21'!$G$28</f>
        <v>0</v>
      </c>
      <c r="I728" s="41" t="str">
        <f aca="false">'Aug 21'!$M$28</f>
        <v/>
      </c>
      <c r="J728" s="42" t="str">
        <f aca="false">'Aug 21'!$S$28</f>
        <v/>
      </c>
      <c r="K728" s="40" t="n">
        <f aca="false">'Aug 21'!$AG$28</f>
        <v>0</v>
      </c>
      <c r="L728" s="40" t="n">
        <f aca="false">'Aug 21'!$N$28</f>
        <v>0</v>
      </c>
    </row>
    <row r="729" customFormat="false" ht="15" hidden="false" customHeight="false" outlineLevel="0" collapsed="false">
      <c r="A729" s="38" t="str">
        <f aca="false">IF(OR(C729="",C729=0),"",IF(AND(OR($B$5="",G729=$B$5,H729=$B$5),OR($D$5="",F729=$D$5),OR($E$5="",K729=$E$5),OR($G$5="",L729=$G$5),OR($H$5="",N(J729)&gt;=$H$5),OR($I$5="",ISNUMBER(SEARCH($I$5,C729&amp;" "&amp;D729&amp;" "&amp;E729&amp;" "&amp;I729)))),"✓",""))</f>
        <v/>
      </c>
      <c r="B729" s="39" t="n">
        <v>46255</v>
      </c>
      <c r="C729" s="40" t="n">
        <f aca="false">'Aug 21'!$D$29</f>
        <v>0</v>
      </c>
      <c r="D729" s="40" t="n">
        <f aca="false">'Aug 21'!$B$29</f>
        <v>0</v>
      </c>
      <c r="E729" s="41" t="n">
        <f aca="false">'Aug 21'!$E$29</f>
        <v>0</v>
      </c>
      <c r="F729" s="40" t="n">
        <f aca="false">'Aug 21'!$A$29</f>
        <v>0</v>
      </c>
      <c r="G729" s="41" t="n">
        <f aca="false">'Aug 21'!$F$29</f>
        <v>0</v>
      </c>
      <c r="H729" s="41" t="n">
        <f aca="false">'Aug 21'!$G$29</f>
        <v>0</v>
      </c>
      <c r="I729" s="41" t="str">
        <f aca="false">'Aug 21'!$M$29</f>
        <v/>
      </c>
      <c r="J729" s="42" t="str">
        <f aca="false">'Aug 21'!$S$29</f>
        <v/>
      </c>
      <c r="K729" s="40" t="n">
        <f aca="false">'Aug 21'!$AG$29</f>
        <v>0</v>
      </c>
      <c r="L729" s="40" t="n">
        <f aca="false">'Aug 21'!$N$29</f>
        <v>0</v>
      </c>
    </row>
    <row r="730" customFormat="false" ht="15" hidden="false" customHeight="false" outlineLevel="0" collapsed="false">
      <c r="A730" s="38" t="str">
        <f aca="false">IF(OR(C730="",C730=0),"",IF(AND(OR($B$5="",G730=$B$5,H730=$B$5),OR($D$5="",F730=$D$5),OR($E$5="",K730=$E$5),OR($G$5="",L730=$G$5),OR($H$5="",N(J730)&gt;=$H$5),OR($I$5="",ISNUMBER(SEARCH($I$5,C730&amp;" "&amp;D730&amp;" "&amp;E730&amp;" "&amp;I730)))),"✓",""))</f>
        <v/>
      </c>
      <c r="B730" s="39" t="n">
        <v>46255</v>
      </c>
      <c r="C730" s="40" t="n">
        <f aca="false">'Aug 21'!$D$30</f>
        <v>0</v>
      </c>
      <c r="D730" s="40" t="n">
        <f aca="false">'Aug 21'!$B$30</f>
        <v>0</v>
      </c>
      <c r="E730" s="41" t="n">
        <f aca="false">'Aug 21'!$E$30</f>
        <v>0</v>
      </c>
      <c r="F730" s="40" t="n">
        <f aca="false">'Aug 21'!$A$30</f>
        <v>0</v>
      </c>
      <c r="G730" s="41" t="n">
        <f aca="false">'Aug 21'!$F$30</f>
        <v>0</v>
      </c>
      <c r="H730" s="41" t="n">
        <f aca="false">'Aug 21'!$G$30</f>
        <v>0</v>
      </c>
      <c r="I730" s="41" t="str">
        <f aca="false">'Aug 21'!$M$30</f>
        <v/>
      </c>
      <c r="J730" s="42" t="str">
        <f aca="false">'Aug 21'!$S$30</f>
        <v/>
      </c>
      <c r="K730" s="40" t="n">
        <f aca="false">'Aug 21'!$AG$30</f>
        <v>0</v>
      </c>
      <c r="L730" s="40" t="n">
        <f aca="false">'Aug 21'!$N$30</f>
        <v>0</v>
      </c>
    </row>
    <row r="731" customFormat="false" ht="15" hidden="false" customHeight="false" outlineLevel="0" collapsed="false">
      <c r="A731" s="38" t="str">
        <f aca="false">IF(OR(C731="",C731=0),"",IF(AND(OR($B$5="",G731=$B$5,H731=$B$5),OR($D$5="",F731=$D$5),OR($E$5="",K731=$E$5),OR($G$5="",L731=$G$5),OR($H$5="",N(J731)&gt;=$H$5),OR($I$5="",ISNUMBER(SEARCH($I$5,C731&amp;" "&amp;D731&amp;" "&amp;E731&amp;" "&amp;I731)))),"✓",""))</f>
        <v/>
      </c>
      <c r="B731" s="39" t="n">
        <v>46255</v>
      </c>
      <c r="C731" s="40" t="n">
        <f aca="false">'Aug 21'!$D$31</f>
        <v>0</v>
      </c>
      <c r="D731" s="40" t="n">
        <f aca="false">'Aug 21'!$B$31</f>
        <v>0</v>
      </c>
      <c r="E731" s="41" t="n">
        <f aca="false">'Aug 21'!$E$31</f>
        <v>0</v>
      </c>
      <c r="F731" s="40" t="n">
        <f aca="false">'Aug 21'!$A$31</f>
        <v>0</v>
      </c>
      <c r="G731" s="41" t="n">
        <f aca="false">'Aug 21'!$F$31</f>
        <v>0</v>
      </c>
      <c r="H731" s="41" t="n">
        <f aca="false">'Aug 21'!$G$31</f>
        <v>0</v>
      </c>
      <c r="I731" s="41" t="str">
        <f aca="false">'Aug 21'!$M$31</f>
        <v/>
      </c>
      <c r="J731" s="42" t="str">
        <f aca="false">'Aug 21'!$S$31</f>
        <v/>
      </c>
      <c r="K731" s="40" t="n">
        <f aca="false">'Aug 21'!$AG$31</f>
        <v>0</v>
      </c>
      <c r="L731" s="40" t="n">
        <f aca="false">'Aug 21'!$N$31</f>
        <v>0</v>
      </c>
    </row>
    <row r="732" customFormat="false" ht="15" hidden="false" customHeight="false" outlineLevel="0" collapsed="false">
      <c r="A732" s="38" t="str">
        <f aca="false">IF(OR(C732="",C732=0),"",IF(AND(OR($B$5="",G732=$B$5,H732=$B$5),OR($D$5="",F732=$D$5),OR($E$5="",K732=$E$5),OR($G$5="",L732=$G$5),OR($H$5="",N(J732)&gt;=$H$5),OR($I$5="",ISNUMBER(SEARCH($I$5,C732&amp;" "&amp;D732&amp;" "&amp;E732&amp;" "&amp;I732)))),"✓",""))</f>
        <v/>
      </c>
      <c r="B732" s="39" t="n">
        <v>46255</v>
      </c>
      <c r="C732" s="40" t="n">
        <f aca="false">'Aug 21'!$D$32</f>
        <v>0</v>
      </c>
      <c r="D732" s="40" t="n">
        <f aca="false">'Aug 21'!$B$32</f>
        <v>0</v>
      </c>
      <c r="E732" s="41" t="n">
        <f aca="false">'Aug 21'!$E$32</f>
        <v>0</v>
      </c>
      <c r="F732" s="40" t="n">
        <f aca="false">'Aug 21'!$A$32</f>
        <v>0</v>
      </c>
      <c r="G732" s="41" t="n">
        <f aca="false">'Aug 21'!$F$32</f>
        <v>0</v>
      </c>
      <c r="H732" s="41" t="n">
        <f aca="false">'Aug 21'!$G$32</f>
        <v>0</v>
      </c>
      <c r="I732" s="41" t="str">
        <f aca="false">'Aug 21'!$M$32</f>
        <v/>
      </c>
      <c r="J732" s="42" t="str">
        <f aca="false">'Aug 21'!$S$32</f>
        <v/>
      </c>
      <c r="K732" s="40" t="n">
        <f aca="false">'Aug 21'!$AG$32</f>
        <v>0</v>
      </c>
      <c r="L732" s="40" t="n">
        <f aca="false">'Aug 21'!$N$32</f>
        <v>0</v>
      </c>
    </row>
    <row r="733" customFormat="false" ht="15" hidden="false" customHeight="false" outlineLevel="0" collapsed="false">
      <c r="A733" s="38" t="str">
        <f aca="false">IF(OR(C733="",C733=0),"",IF(AND(OR($B$5="",G733=$B$5,H733=$B$5),OR($D$5="",F733=$D$5),OR($E$5="",K733=$E$5),OR($G$5="",L733=$G$5),OR($H$5="",N(J733)&gt;=$H$5),OR($I$5="",ISNUMBER(SEARCH($I$5,C733&amp;" "&amp;D733&amp;" "&amp;E733&amp;" "&amp;I733)))),"✓",""))</f>
        <v/>
      </c>
      <c r="B733" s="39" t="n">
        <v>46255</v>
      </c>
      <c r="C733" s="40" t="n">
        <f aca="false">'Aug 21'!$D$33</f>
        <v>0</v>
      </c>
      <c r="D733" s="40" t="n">
        <f aca="false">'Aug 21'!$B$33</f>
        <v>0</v>
      </c>
      <c r="E733" s="41" t="n">
        <f aca="false">'Aug 21'!$E$33</f>
        <v>0</v>
      </c>
      <c r="F733" s="40" t="n">
        <f aca="false">'Aug 21'!$A$33</f>
        <v>0</v>
      </c>
      <c r="G733" s="41" t="n">
        <f aca="false">'Aug 21'!$F$33</f>
        <v>0</v>
      </c>
      <c r="H733" s="41" t="n">
        <f aca="false">'Aug 21'!$G$33</f>
        <v>0</v>
      </c>
      <c r="I733" s="41" t="str">
        <f aca="false">'Aug 21'!$M$33</f>
        <v/>
      </c>
      <c r="J733" s="42" t="str">
        <f aca="false">'Aug 21'!$S$33</f>
        <v/>
      </c>
      <c r="K733" s="40" t="n">
        <f aca="false">'Aug 21'!$AG$33</f>
        <v>0</v>
      </c>
      <c r="L733" s="40" t="n">
        <f aca="false">'Aug 21'!$N$33</f>
        <v>0</v>
      </c>
    </row>
    <row r="734" customFormat="false" ht="15" hidden="false" customHeight="false" outlineLevel="0" collapsed="false">
      <c r="A734" s="38" t="str">
        <f aca="false">IF(OR(C734="",C734=0),"",IF(AND(OR($B$5="",G734=$B$5,H734=$B$5),OR($D$5="",F734=$D$5),OR($E$5="",K734=$E$5),OR($G$5="",L734=$G$5),OR($H$5="",N(J734)&gt;=$H$5),OR($I$5="",ISNUMBER(SEARCH($I$5,C734&amp;" "&amp;D734&amp;" "&amp;E734&amp;" "&amp;I734)))),"✓",""))</f>
        <v/>
      </c>
      <c r="B734" s="39" t="n">
        <v>46255</v>
      </c>
      <c r="C734" s="40" t="n">
        <f aca="false">'Aug 21'!$D$34</f>
        <v>0</v>
      </c>
      <c r="D734" s="40" t="n">
        <f aca="false">'Aug 21'!$B$34</f>
        <v>0</v>
      </c>
      <c r="E734" s="41" t="n">
        <f aca="false">'Aug 21'!$E$34</f>
        <v>0</v>
      </c>
      <c r="F734" s="40" t="n">
        <f aca="false">'Aug 21'!$A$34</f>
        <v>0</v>
      </c>
      <c r="G734" s="41" t="n">
        <f aca="false">'Aug 21'!$F$34</f>
        <v>0</v>
      </c>
      <c r="H734" s="41" t="n">
        <f aca="false">'Aug 21'!$G$34</f>
        <v>0</v>
      </c>
      <c r="I734" s="41" t="str">
        <f aca="false">'Aug 21'!$M$34</f>
        <v/>
      </c>
      <c r="J734" s="42" t="str">
        <f aca="false">'Aug 21'!$S$34</f>
        <v/>
      </c>
      <c r="K734" s="40" t="n">
        <f aca="false">'Aug 21'!$AG$34</f>
        <v>0</v>
      </c>
      <c r="L734" s="40" t="n">
        <f aca="false">'Aug 21'!$N$34</f>
        <v>0</v>
      </c>
    </row>
    <row r="735" customFormat="false" ht="15" hidden="false" customHeight="false" outlineLevel="0" collapsed="false">
      <c r="A735" s="38" t="str">
        <f aca="false">IF(OR(C735="",C735=0),"",IF(AND(OR($B$5="",G735=$B$5,H735=$B$5),OR($D$5="",F735=$D$5),OR($E$5="",K735=$E$5),OR($G$5="",L735=$G$5),OR($H$5="",N(J735)&gt;=$H$5),OR($I$5="",ISNUMBER(SEARCH($I$5,C735&amp;" "&amp;D735&amp;" "&amp;E735&amp;" "&amp;I735)))),"✓",""))</f>
        <v/>
      </c>
      <c r="B735" s="39" t="n">
        <v>46255</v>
      </c>
      <c r="C735" s="40" t="n">
        <f aca="false">'Aug 21'!$D$35</f>
        <v>0</v>
      </c>
      <c r="D735" s="40" t="n">
        <f aca="false">'Aug 21'!$B$35</f>
        <v>0</v>
      </c>
      <c r="E735" s="41" t="n">
        <f aca="false">'Aug 21'!$E$35</f>
        <v>0</v>
      </c>
      <c r="F735" s="40" t="n">
        <f aca="false">'Aug 21'!$A$35</f>
        <v>0</v>
      </c>
      <c r="G735" s="41" t="n">
        <f aca="false">'Aug 21'!$F$35</f>
        <v>0</v>
      </c>
      <c r="H735" s="41" t="n">
        <f aca="false">'Aug 21'!$G$35</f>
        <v>0</v>
      </c>
      <c r="I735" s="41" t="str">
        <f aca="false">'Aug 21'!$M$35</f>
        <v/>
      </c>
      <c r="J735" s="42" t="str">
        <f aca="false">'Aug 21'!$S$35</f>
        <v/>
      </c>
      <c r="K735" s="40" t="n">
        <f aca="false">'Aug 21'!$AG$35</f>
        <v>0</v>
      </c>
      <c r="L735" s="40" t="n">
        <f aca="false">'Aug 21'!$N$35</f>
        <v>0</v>
      </c>
    </row>
    <row r="736" customFormat="false" ht="15" hidden="false" customHeight="false" outlineLevel="0" collapsed="false">
      <c r="A736" s="38" t="str">
        <f aca="false">IF(OR(C736="",C736=0),"",IF(AND(OR($B$5="",G736=$B$5,H736=$B$5),OR($D$5="",F736=$D$5),OR($E$5="",K736=$E$5),OR($G$5="",L736=$G$5),OR($H$5="",N(J736)&gt;=$H$5),OR($I$5="",ISNUMBER(SEARCH($I$5,C736&amp;" "&amp;D736&amp;" "&amp;E736&amp;" "&amp;I736)))),"✓",""))</f>
        <v/>
      </c>
      <c r="B736" s="39" t="n">
        <v>46255</v>
      </c>
      <c r="C736" s="40" t="n">
        <f aca="false">'Aug 21'!$D$36</f>
        <v>0</v>
      </c>
      <c r="D736" s="40" t="n">
        <f aca="false">'Aug 21'!$B$36</f>
        <v>0</v>
      </c>
      <c r="E736" s="41" t="n">
        <f aca="false">'Aug 21'!$E$36</f>
        <v>0</v>
      </c>
      <c r="F736" s="40" t="n">
        <f aca="false">'Aug 21'!$A$36</f>
        <v>0</v>
      </c>
      <c r="G736" s="41" t="n">
        <f aca="false">'Aug 21'!$F$36</f>
        <v>0</v>
      </c>
      <c r="H736" s="41" t="n">
        <f aca="false">'Aug 21'!$G$36</f>
        <v>0</v>
      </c>
      <c r="I736" s="41" t="str">
        <f aca="false">'Aug 21'!$M$36</f>
        <v/>
      </c>
      <c r="J736" s="42" t="str">
        <f aca="false">'Aug 21'!$S$36</f>
        <v/>
      </c>
      <c r="K736" s="40" t="n">
        <f aca="false">'Aug 21'!$AG$36</f>
        <v>0</v>
      </c>
      <c r="L736" s="40" t="n">
        <f aca="false">'Aug 21'!$N$36</f>
        <v>0</v>
      </c>
    </row>
    <row r="737" customFormat="false" ht="15" hidden="false" customHeight="false" outlineLevel="0" collapsed="false">
      <c r="A737" s="38" t="str">
        <f aca="false">IF(OR(C737="",C737=0),"",IF(AND(OR($B$5="",G737=$B$5,H737=$B$5),OR($D$5="",F737=$D$5),OR($E$5="",K737=$E$5),OR($G$5="",L737=$G$5),OR($H$5="",N(J737)&gt;=$H$5),OR($I$5="",ISNUMBER(SEARCH($I$5,C737&amp;" "&amp;D737&amp;" "&amp;E737&amp;" "&amp;I737)))),"✓",""))</f>
        <v/>
      </c>
      <c r="B737" s="39" t="n">
        <v>46255</v>
      </c>
      <c r="C737" s="40" t="n">
        <f aca="false">'Aug 21'!$D$37</f>
        <v>0</v>
      </c>
      <c r="D737" s="40" t="n">
        <f aca="false">'Aug 21'!$B$37</f>
        <v>0</v>
      </c>
      <c r="E737" s="41" t="n">
        <f aca="false">'Aug 21'!$E$37</f>
        <v>0</v>
      </c>
      <c r="F737" s="40" t="n">
        <f aca="false">'Aug 21'!$A$37</f>
        <v>0</v>
      </c>
      <c r="G737" s="41" t="n">
        <f aca="false">'Aug 21'!$F$37</f>
        <v>0</v>
      </c>
      <c r="H737" s="41" t="n">
        <f aca="false">'Aug 21'!$G$37</f>
        <v>0</v>
      </c>
      <c r="I737" s="41" t="str">
        <f aca="false">'Aug 21'!$M$37</f>
        <v/>
      </c>
      <c r="J737" s="42" t="str">
        <f aca="false">'Aug 21'!$S$37</f>
        <v/>
      </c>
      <c r="K737" s="40" t="n">
        <f aca="false">'Aug 21'!$AG$37</f>
        <v>0</v>
      </c>
      <c r="L737" s="40" t="n">
        <f aca="false">'Aug 21'!$N$37</f>
        <v>0</v>
      </c>
    </row>
    <row r="738" customFormat="false" ht="15" hidden="false" customHeight="false" outlineLevel="0" collapsed="false">
      <c r="A738" s="38" t="str">
        <f aca="false">IF(OR(C738="",C738=0),"",IF(AND(OR($B$5="",G738=$B$5,H738=$B$5),OR($D$5="",F738=$D$5),OR($E$5="",K738=$E$5),OR($G$5="",L738=$G$5),OR($H$5="",N(J738)&gt;=$H$5),OR($I$5="",ISNUMBER(SEARCH($I$5,C738&amp;" "&amp;D738&amp;" "&amp;E738&amp;" "&amp;I738)))),"✓",""))</f>
        <v/>
      </c>
      <c r="B738" s="39" t="n">
        <v>46255</v>
      </c>
      <c r="C738" s="40" t="n">
        <f aca="false">'Aug 21'!$D$38</f>
        <v>0</v>
      </c>
      <c r="D738" s="40" t="n">
        <f aca="false">'Aug 21'!$B$38</f>
        <v>0</v>
      </c>
      <c r="E738" s="41" t="n">
        <f aca="false">'Aug 21'!$E$38</f>
        <v>0</v>
      </c>
      <c r="F738" s="40" t="n">
        <f aca="false">'Aug 21'!$A$38</f>
        <v>0</v>
      </c>
      <c r="G738" s="41" t="n">
        <f aca="false">'Aug 21'!$F$38</f>
        <v>0</v>
      </c>
      <c r="H738" s="41" t="n">
        <f aca="false">'Aug 21'!$G$38</f>
        <v>0</v>
      </c>
      <c r="I738" s="41" t="str">
        <f aca="false">'Aug 21'!$M$38</f>
        <v/>
      </c>
      <c r="J738" s="42" t="str">
        <f aca="false">'Aug 21'!$S$38</f>
        <v/>
      </c>
      <c r="K738" s="40" t="n">
        <f aca="false">'Aug 21'!$AG$38</f>
        <v>0</v>
      </c>
      <c r="L738" s="40" t="n">
        <f aca="false">'Aug 21'!$N$38</f>
        <v>0</v>
      </c>
    </row>
    <row r="739" customFormat="false" ht="15" hidden="false" customHeight="false" outlineLevel="0" collapsed="false">
      <c r="A739" s="38" t="str">
        <f aca="false">IF(OR(C739="",C739=0),"",IF(AND(OR($B$5="",G739=$B$5,H739=$B$5),OR($D$5="",F739=$D$5),OR($E$5="",K739=$E$5),OR($G$5="",L739=$G$5),OR($H$5="",N(J739)&gt;=$H$5),OR($I$5="",ISNUMBER(SEARCH($I$5,C739&amp;" "&amp;D739&amp;" "&amp;E739&amp;" "&amp;I739)))),"✓",""))</f>
        <v/>
      </c>
      <c r="B739" s="39" t="n">
        <v>46255</v>
      </c>
      <c r="C739" s="40" t="n">
        <f aca="false">'Aug 21'!$D$39</f>
        <v>0</v>
      </c>
      <c r="D739" s="40" t="n">
        <f aca="false">'Aug 21'!$B$39</f>
        <v>0</v>
      </c>
      <c r="E739" s="41" t="n">
        <f aca="false">'Aug 21'!$E$39</f>
        <v>0</v>
      </c>
      <c r="F739" s="40" t="n">
        <f aca="false">'Aug 21'!$A$39</f>
        <v>0</v>
      </c>
      <c r="G739" s="41" t="n">
        <f aca="false">'Aug 21'!$F$39</f>
        <v>0</v>
      </c>
      <c r="H739" s="41" t="n">
        <f aca="false">'Aug 21'!$G$39</f>
        <v>0</v>
      </c>
      <c r="I739" s="41" t="str">
        <f aca="false">'Aug 21'!$M$39</f>
        <v/>
      </c>
      <c r="J739" s="42" t="str">
        <f aca="false">'Aug 21'!$S$39</f>
        <v/>
      </c>
      <c r="K739" s="40" t="n">
        <f aca="false">'Aug 21'!$AG$39</f>
        <v>0</v>
      </c>
      <c r="L739" s="40" t="n">
        <f aca="false">'Aug 21'!$N$39</f>
        <v>0</v>
      </c>
    </row>
    <row r="740" customFormat="false" ht="15" hidden="false" customHeight="false" outlineLevel="0" collapsed="false">
      <c r="A740" s="38" t="str">
        <f aca="false">IF(OR(C740="",C740=0),"",IF(AND(OR($B$5="",G740=$B$5,H740=$B$5),OR($D$5="",F740=$D$5),OR($E$5="",K740=$E$5),OR($G$5="",L740=$G$5),OR($H$5="",N(J740)&gt;=$H$5),OR($I$5="",ISNUMBER(SEARCH($I$5,C740&amp;" "&amp;D740&amp;" "&amp;E740&amp;" "&amp;I740)))),"✓",""))</f>
        <v/>
      </c>
      <c r="B740" s="39" t="n">
        <v>46255</v>
      </c>
      <c r="C740" s="40" t="n">
        <f aca="false">'Aug 21'!$D$40</f>
        <v>0</v>
      </c>
      <c r="D740" s="40" t="n">
        <f aca="false">'Aug 21'!$B$40</f>
        <v>0</v>
      </c>
      <c r="E740" s="41" t="n">
        <f aca="false">'Aug 21'!$E$40</f>
        <v>0</v>
      </c>
      <c r="F740" s="40" t="n">
        <f aca="false">'Aug 21'!$A$40</f>
        <v>0</v>
      </c>
      <c r="G740" s="41" t="n">
        <f aca="false">'Aug 21'!$F$40</f>
        <v>0</v>
      </c>
      <c r="H740" s="41" t="n">
        <f aca="false">'Aug 21'!$G$40</f>
        <v>0</v>
      </c>
      <c r="I740" s="41" t="str">
        <f aca="false">'Aug 21'!$M$40</f>
        <v/>
      </c>
      <c r="J740" s="42" t="str">
        <f aca="false">'Aug 21'!$S$40</f>
        <v/>
      </c>
      <c r="K740" s="40" t="n">
        <f aca="false">'Aug 21'!$AG$40</f>
        <v>0</v>
      </c>
      <c r="L740" s="40" t="n">
        <f aca="false">'Aug 21'!$N$40</f>
        <v>0</v>
      </c>
    </row>
    <row r="741" customFormat="false" ht="15" hidden="false" customHeight="false" outlineLevel="0" collapsed="false">
      <c r="A741" s="38" t="str">
        <f aca="false">IF(OR(C741="",C741=0),"",IF(AND(OR($B$5="",G741=$B$5,H741=$B$5),OR($D$5="",F741=$D$5),OR($E$5="",K741=$E$5),OR($G$5="",L741=$G$5),OR($H$5="",N(J741)&gt;=$H$5),OR($I$5="",ISNUMBER(SEARCH($I$5,C741&amp;" "&amp;D741&amp;" "&amp;E741&amp;" "&amp;I741)))),"✓",""))</f>
        <v/>
      </c>
      <c r="B741" s="39" t="n">
        <v>46255</v>
      </c>
      <c r="C741" s="40" t="n">
        <f aca="false">'Aug 21'!$D$41</f>
        <v>0</v>
      </c>
      <c r="D741" s="40" t="n">
        <f aca="false">'Aug 21'!$B$41</f>
        <v>0</v>
      </c>
      <c r="E741" s="41" t="n">
        <f aca="false">'Aug 21'!$E$41</f>
        <v>0</v>
      </c>
      <c r="F741" s="40" t="n">
        <f aca="false">'Aug 21'!$A$41</f>
        <v>0</v>
      </c>
      <c r="G741" s="41" t="n">
        <f aca="false">'Aug 21'!$F$41</f>
        <v>0</v>
      </c>
      <c r="H741" s="41" t="n">
        <f aca="false">'Aug 21'!$G$41</f>
        <v>0</v>
      </c>
      <c r="I741" s="41" t="str">
        <f aca="false">'Aug 21'!$M$41</f>
        <v/>
      </c>
      <c r="J741" s="42" t="str">
        <f aca="false">'Aug 21'!$S$41</f>
        <v/>
      </c>
      <c r="K741" s="40" t="n">
        <f aca="false">'Aug 21'!$AG$41</f>
        <v>0</v>
      </c>
      <c r="L741" s="40" t="n">
        <f aca="false">'Aug 21'!$N$41</f>
        <v>0</v>
      </c>
    </row>
    <row r="742" customFormat="false" ht="15" hidden="false" customHeight="false" outlineLevel="0" collapsed="false">
      <c r="A742" s="38" t="str">
        <f aca="false">IF(OR(C742="",C742=0),"",IF(AND(OR($B$5="",G742=$B$5,H742=$B$5),OR($D$5="",F742=$D$5),OR($E$5="",K742=$E$5),OR($G$5="",L742=$G$5),OR($H$5="",N(J742)&gt;=$H$5),OR($I$5="",ISNUMBER(SEARCH($I$5,C742&amp;" "&amp;D742&amp;" "&amp;E742&amp;" "&amp;I742)))),"✓",""))</f>
        <v/>
      </c>
      <c r="B742" s="39" t="n">
        <v>46255</v>
      </c>
      <c r="C742" s="40" t="n">
        <f aca="false">'Aug 21'!$D$42</f>
        <v>0</v>
      </c>
      <c r="D742" s="40" t="n">
        <f aca="false">'Aug 21'!$B$42</f>
        <v>0</v>
      </c>
      <c r="E742" s="41" t="n">
        <f aca="false">'Aug 21'!$E$42</f>
        <v>0</v>
      </c>
      <c r="F742" s="40" t="n">
        <f aca="false">'Aug 21'!$A$42</f>
        <v>0</v>
      </c>
      <c r="G742" s="41" t="n">
        <f aca="false">'Aug 21'!$F$42</f>
        <v>0</v>
      </c>
      <c r="H742" s="41" t="n">
        <f aca="false">'Aug 21'!$G$42</f>
        <v>0</v>
      </c>
      <c r="I742" s="41" t="str">
        <f aca="false">'Aug 21'!$M$42</f>
        <v/>
      </c>
      <c r="J742" s="42" t="str">
        <f aca="false">'Aug 21'!$S$42</f>
        <v/>
      </c>
      <c r="K742" s="40" t="n">
        <f aca="false">'Aug 21'!$AG$42</f>
        <v>0</v>
      </c>
      <c r="L742" s="40" t="n">
        <f aca="false">'Aug 21'!$N$42</f>
        <v>0</v>
      </c>
    </row>
    <row r="743" customFormat="false" ht="15" hidden="false" customHeight="false" outlineLevel="0" collapsed="false">
      <c r="A743" s="38" t="str">
        <f aca="false">IF(OR(C743="",C743=0),"",IF(AND(OR($B$5="",G743=$B$5,H743=$B$5),OR($D$5="",F743=$D$5),OR($E$5="",K743=$E$5),OR($G$5="",L743=$G$5),OR($H$5="",N(J743)&gt;=$H$5),OR($I$5="",ISNUMBER(SEARCH($I$5,C743&amp;" "&amp;D743&amp;" "&amp;E743&amp;" "&amp;I743)))),"✓",""))</f>
        <v/>
      </c>
      <c r="B743" s="39" t="n">
        <v>46256</v>
      </c>
      <c r="C743" s="40" t="n">
        <f aca="false">'Aug 22'!$D$8</f>
        <v>0</v>
      </c>
      <c r="D743" s="40" t="n">
        <f aca="false">'Aug 22'!$B$8</f>
        <v>0</v>
      </c>
      <c r="E743" s="41" t="n">
        <f aca="false">'Aug 22'!$E$8</f>
        <v>0</v>
      </c>
      <c r="F743" s="40" t="n">
        <f aca="false">'Aug 22'!$A$8</f>
        <v>0</v>
      </c>
      <c r="G743" s="41" t="n">
        <f aca="false">'Aug 22'!$F$8</f>
        <v>0</v>
      </c>
      <c r="H743" s="41" t="n">
        <f aca="false">'Aug 22'!$G$8</f>
        <v>0</v>
      </c>
      <c r="I743" s="41" t="str">
        <f aca="false">'Aug 22'!$M$8</f>
        <v/>
      </c>
      <c r="J743" s="42" t="str">
        <f aca="false">'Aug 22'!$S$8</f>
        <v/>
      </c>
      <c r="K743" s="40" t="n">
        <f aca="false">'Aug 22'!$AG$8</f>
        <v>0</v>
      </c>
      <c r="L743" s="40" t="n">
        <f aca="false">'Aug 22'!$N$8</f>
        <v>0</v>
      </c>
    </row>
    <row r="744" customFormat="false" ht="15" hidden="false" customHeight="false" outlineLevel="0" collapsed="false">
      <c r="A744" s="38" t="str">
        <f aca="false">IF(OR(C744="",C744=0),"",IF(AND(OR($B$5="",G744=$B$5,H744=$B$5),OR($D$5="",F744=$D$5),OR($E$5="",K744=$E$5),OR($G$5="",L744=$G$5),OR($H$5="",N(J744)&gt;=$H$5),OR($I$5="",ISNUMBER(SEARCH($I$5,C744&amp;" "&amp;D744&amp;" "&amp;E744&amp;" "&amp;I744)))),"✓",""))</f>
        <v/>
      </c>
      <c r="B744" s="39" t="n">
        <v>46256</v>
      </c>
      <c r="C744" s="40" t="n">
        <f aca="false">'Aug 22'!$D$9</f>
        <v>0</v>
      </c>
      <c r="D744" s="40" t="n">
        <f aca="false">'Aug 22'!$B$9</f>
        <v>0</v>
      </c>
      <c r="E744" s="41" t="n">
        <f aca="false">'Aug 22'!$E$9</f>
        <v>0</v>
      </c>
      <c r="F744" s="40" t="n">
        <f aca="false">'Aug 22'!$A$9</f>
        <v>0</v>
      </c>
      <c r="G744" s="41" t="n">
        <f aca="false">'Aug 22'!$F$9</f>
        <v>0</v>
      </c>
      <c r="H744" s="41" t="n">
        <f aca="false">'Aug 22'!$G$9</f>
        <v>0</v>
      </c>
      <c r="I744" s="41" t="str">
        <f aca="false">'Aug 22'!$M$9</f>
        <v/>
      </c>
      <c r="J744" s="42" t="str">
        <f aca="false">'Aug 22'!$S$9</f>
        <v/>
      </c>
      <c r="K744" s="40" t="n">
        <f aca="false">'Aug 22'!$AG$9</f>
        <v>0</v>
      </c>
      <c r="L744" s="40" t="n">
        <f aca="false">'Aug 22'!$N$9</f>
        <v>0</v>
      </c>
    </row>
    <row r="745" customFormat="false" ht="15" hidden="false" customHeight="false" outlineLevel="0" collapsed="false">
      <c r="A745" s="38" t="str">
        <f aca="false">IF(OR(C745="",C745=0),"",IF(AND(OR($B$5="",G745=$B$5,H745=$B$5),OR($D$5="",F745=$D$5),OR($E$5="",K745=$E$5),OR($G$5="",L745=$G$5),OR($H$5="",N(J745)&gt;=$H$5),OR($I$5="",ISNUMBER(SEARCH($I$5,C745&amp;" "&amp;D745&amp;" "&amp;E745&amp;" "&amp;I745)))),"✓",""))</f>
        <v/>
      </c>
      <c r="B745" s="39" t="n">
        <v>46256</v>
      </c>
      <c r="C745" s="40" t="n">
        <f aca="false">'Aug 22'!$D$10</f>
        <v>0</v>
      </c>
      <c r="D745" s="40" t="n">
        <f aca="false">'Aug 22'!$B$10</f>
        <v>0</v>
      </c>
      <c r="E745" s="41" t="n">
        <f aca="false">'Aug 22'!$E$10</f>
        <v>0</v>
      </c>
      <c r="F745" s="40" t="n">
        <f aca="false">'Aug 22'!$A$10</f>
        <v>0</v>
      </c>
      <c r="G745" s="41" t="n">
        <f aca="false">'Aug 22'!$F$10</f>
        <v>0</v>
      </c>
      <c r="H745" s="41" t="n">
        <f aca="false">'Aug 22'!$G$10</f>
        <v>0</v>
      </c>
      <c r="I745" s="41" t="str">
        <f aca="false">'Aug 22'!$M$10</f>
        <v/>
      </c>
      <c r="J745" s="42" t="str">
        <f aca="false">'Aug 22'!$S$10</f>
        <v/>
      </c>
      <c r="K745" s="40" t="n">
        <f aca="false">'Aug 22'!$AG$10</f>
        <v>0</v>
      </c>
      <c r="L745" s="40" t="n">
        <f aca="false">'Aug 22'!$N$10</f>
        <v>0</v>
      </c>
    </row>
    <row r="746" customFormat="false" ht="15" hidden="false" customHeight="false" outlineLevel="0" collapsed="false">
      <c r="A746" s="38" t="str">
        <f aca="false">IF(OR(C746="",C746=0),"",IF(AND(OR($B$5="",G746=$B$5,H746=$B$5),OR($D$5="",F746=$D$5),OR($E$5="",K746=$E$5),OR($G$5="",L746=$G$5),OR($H$5="",N(J746)&gt;=$H$5),OR($I$5="",ISNUMBER(SEARCH($I$5,C746&amp;" "&amp;D746&amp;" "&amp;E746&amp;" "&amp;I746)))),"✓",""))</f>
        <v/>
      </c>
      <c r="B746" s="39" t="n">
        <v>46256</v>
      </c>
      <c r="C746" s="40" t="n">
        <f aca="false">'Aug 22'!$D$11</f>
        <v>0</v>
      </c>
      <c r="D746" s="40" t="n">
        <f aca="false">'Aug 22'!$B$11</f>
        <v>0</v>
      </c>
      <c r="E746" s="41" t="n">
        <f aca="false">'Aug 22'!$E$11</f>
        <v>0</v>
      </c>
      <c r="F746" s="40" t="n">
        <f aca="false">'Aug 22'!$A$11</f>
        <v>0</v>
      </c>
      <c r="G746" s="41" t="n">
        <f aca="false">'Aug 22'!$F$11</f>
        <v>0</v>
      </c>
      <c r="H746" s="41" t="n">
        <f aca="false">'Aug 22'!$G$11</f>
        <v>0</v>
      </c>
      <c r="I746" s="41" t="str">
        <f aca="false">'Aug 22'!$M$11</f>
        <v/>
      </c>
      <c r="J746" s="42" t="str">
        <f aca="false">'Aug 22'!$S$11</f>
        <v/>
      </c>
      <c r="K746" s="40" t="n">
        <f aca="false">'Aug 22'!$AG$11</f>
        <v>0</v>
      </c>
      <c r="L746" s="40" t="n">
        <f aca="false">'Aug 22'!$N$11</f>
        <v>0</v>
      </c>
    </row>
    <row r="747" customFormat="false" ht="15" hidden="false" customHeight="false" outlineLevel="0" collapsed="false">
      <c r="A747" s="38" t="str">
        <f aca="false">IF(OR(C747="",C747=0),"",IF(AND(OR($B$5="",G747=$B$5,H747=$B$5),OR($D$5="",F747=$D$5),OR($E$5="",K747=$E$5),OR($G$5="",L747=$G$5),OR($H$5="",N(J747)&gt;=$H$5),OR($I$5="",ISNUMBER(SEARCH($I$5,C747&amp;" "&amp;D747&amp;" "&amp;E747&amp;" "&amp;I747)))),"✓",""))</f>
        <v/>
      </c>
      <c r="B747" s="39" t="n">
        <v>46256</v>
      </c>
      <c r="C747" s="40" t="n">
        <f aca="false">'Aug 22'!$D$12</f>
        <v>0</v>
      </c>
      <c r="D747" s="40" t="n">
        <f aca="false">'Aug 22'!$B$12</f>
        <v>0</v>
      </c>
      <c r="E747" s="41" t="n">
        <f aca="false">'Aug 22'!$E$12</f>
        <v>0</v>
      </c>
      <c r="F747" s="40" t="n">
        <f aca="false">'Aug 22'!$A$12</f>
        <v>0</v>
      </c>
      <c r="G747" s="41" t="n">
        <f aca="false">'Aug 22'!$F$12</f>
        <v>0</v>
      </c>
      <c r="H747" s="41" t="n">
        <f aca="false">'Aug 22'!$G$12</f>
        <v>0</v>
      </c>
      <c r="I747" s="41" t="str">
        <f aca="false">'Aug 22'!$M$12</f>
        <v/>
      </c>
      <c r="J747" s="42" t="str">
        <f aca="false">'Aug 22'!$S$12</f>
        <v/>
      </c>
      <c r="K747" s="40" t="n">
        <f aca="false">'Aug 22'!$AG$12</f>
        <v>0</v>
      </c>
      <c r="L747" s="40" t="n">
        <f aca="false">'Aug 22'!$N$12</f>
        <v>0</v>
      </c>
    </row>
    <row r="748" customFormat="false" ht="15" hidden="false" customHeight="false" outlineLevel="0" collapsed="false">
      <c r="A748" s="38" t="str">
        <f aca="false">IF(OR(C748="",C748=0),"",IF(AND(OR($B$5="",G748=$B$5,H748=$B$5),OR($D$5="",F748=$D$5),OR($E$5="",K748=$E$5),OR($G$5="",L748=$G$5),OR($H$5="",N(J748)&gt;=$H$5),OR($I$5="",ISNUMBER(SEARCH($I$5,C748&amp;" "&amp;D748&amp;" "&amp;E748&amp;" "&amp;I748)))),"✓",""))</f>
        <v/>
      </c>
      <c r="B748" s="39" t="n">
        <v>46256</v>
      </c>
      <c r="C748" s="40" t="n">
        <f aca="false">'Aug 22'!$D$13</f>
        <v>0</v>
      </c>
      <c r="D748" s="40" t="n">
        <f aca="false">'Aug 22'!$B$13</f>
        <v>0</v>
      </c>
      <c r="E748" s="41" t="n">
        <f aca="false">'Aug 22'!$E$13</f>
        <v>0</v>
      </c>
      <c r="F748" s="40" t="n">
        <f aca="false">'Aug 22'!$A$13</f>
        <v>0</v>
      </c>
      <c r="G748" s="41" t="n">
        <f aca="false">'Aug 22'!$F$13</f>
        <v>0</v>
      </c>
      <c r="H748" s="41" t="n">
        <f aca="false">'Aug 22'!$G$13</f>
        <v>0</v>
      </c>
      <c r="I748" s="41" t="str">
        <f aca="false">'Aug 22'!$M$13</f>
        <v/>
      </c>
      <c r="J748" s="42" t="str">
        <f aca="false">'Aug 22'!$S$13</f>
        <v/>
      </c>
      <c r="K748" s="40" t="n">
        <f aca="false">'Aug 22'!$AG$13</f>
        <v>0</v>
      </c>
      <c r="L748" s="40" t="n">
        <f aca="false">'Aug 22'!$N$13</f>
        <v>0</v>
      </c>
    </row>
    <row r="749" customFormat="false" ht="15" hidden="false" customHeight="false" outlineLevel="0" collapsed="false">
      <c r="A749" s="38" t="str">
        <f aca="false">IF(OR(C749="",C749=0),"",IF(AND(OR($B$5="",G749=$B$5,H749=$B$5),OR($D$5="",F749=$D$5),OR($E$5="",K749=$E$5),OR($G$5="",L749=$G$5),OR($H$5="",N(J749)&gt;=$H$5),OR($I$5="",ISNUMBER(SEARCH($I$5,C749&amp;" "&amp;D749&amp;" "&amp;E749&amp;" "&amp;I749)))),"✓",""))</f>
        <v/>
      </c>
      <c r="B749" s="39" t="n">
        <v>46256</v>
      </c>
      <c r="C749" s="40" t="n">
        <f aca="false">'Aug 22'!$D$14</f>
        <v>0</v>
      </c>
      <c r="D749" s="40" t="n">
        <f aca="false">'Aug 22'!$B$14</f>
        <v>0</v>
      </c>
      <c r="E749" s="41" t="n">
        <f aca="false">'Aug 22'!$E$14</f>
        <v>0</v>
      </c>
      <c r="F749" s="40" t="n">
        <f aca="false">'Aug 22'!$A$14</f>
        <v>0</v>
      </c>
      <c r="G749" s="41" t="n">
        <f aca="false">'Aug 22'!$F$14</f>
        <v>0</v>
      </c>
      <c r="H749" s="41" t="n">
        <f aca="false">'Aug 22'!$G$14</f>
        <v>0</v>
      </c>
      <c r="I749" s="41" t="str">
        <f aca="false">'Aug 22'!$M$14</f>
        <v/>
      </c>
      <c r="J749" s="42" t="str">
        <f aca="false">'Aug 22'!$S$14</f>
        <v/>
      </c>
      <c r="K749" s="40" t="n">
        <f aca="false">'Aug 22'!$AG$14</f>
        <v>0</v>
      </c>
      <c r="L749" s="40" t="n">
        <f aca="false">'Aug 22'!$N$14</f>
        <v>0</v>
      </c>
    </row>
    <row r="750" customFormat="false" ht="15" hidden="false" customHeight="false" outlineLevel="0" collapsed="false">
      <c r="A750" s="38" t="str">
        <f aca="false">IF(OR(C750="",C750=0),"",IF(AND(OR($B$5="",G750=$B$5,H750=$B$5),OR($D$5="",F750=$D$5),OR($E$5="",K750=$E$5),OR($G$5="",L750=$G$5),OR($H$5="",N(J750)&gt;=$H$5),OR($I$5="",ISNUMBER(SEARCH($I$5,C750&amp;" "&amp;D750&amp;" "&amp;E750&amp;" "&amp;I750)))),"✓",""))</f>
        <v/>
      </c>
      <c r="B750" s="39" t="n">
        <v>46256</v>
      </c>
      <c r="C750" s="40" t="n">
        <f aca="false">'Aug 22'!$D$15</f>
        <v>0</v>
      </c>
      <c r="D750" s="40" t="n">
        <f aca="false">'Aug 22'!$B$15</f>
        <v>0</v>
      </c>
      <c r="E750" s="41" t="n">
        <f aca="false">'Aug 22'!$E$15</f>
        <v>0</v>
      </c>
      <c r="F750" s="40" t="n">
        <f aca="false">'Aug 22'!$A$15</f>
        <v>0</v>
      </c>
      <c r="G750" s="41" t="n">
        <f aca="false">'Aug 22'!$F$15</f>
        <v>0</v>
      </c>
      <c r="H750" s="41" t="n">
        <f aca="false">'Aug 22'!$G$15</f>
        <v>0</v>
      </c>
      <c r="I750" s="41" t="str">
        <f aca="false">'Aug 22'!$M$15</f>
        <v/>
      </c>
      <c r="J750" s="42" t="str">
        <f aca="false">'Aug 22'!$S$15</f>
        <v/>
      </c>
      <c r="K750" s="40" t="n">
        <f aca="false">'Aug 22'!$AG$15</f>
        <v>0</v>
      </c>
      <c r="L750" s="40" t="n">
        <f aca="false">'Aug 22'!$N$15</f>
        <v>0</v>
      </c>
    </row>
    <row r="751" customFormat="false" ht="15" hidden="false" customHeight="false" outlineLevel="0" collapsed="false">
      <c r="A751" s="38" t="str">
        <f aca="false">IF(OR(C751="",C751=0),"",IF(AND(OR($B$5="",G751=$B$5,H751=$B$5),OR($D$5="",F751=$D$5),OR($E$5="",K751=$E$5),OR($G$5="",L751=$G$5),OR($H$5="",N(J751)&gt;=$H$5),OR($I$5="",ISNUMBER(SEARCH($I$5,C751&amp;" "&amp;D751&amp;" "&amp;E751&amp;" "&amp;I751)))),"✓",""))</f>
        <v/>
      </c>
      <c r="B751" s="39" t="n">
        <v>46256</v>
      </c>
      <c r="C751" s="40" t="n">
        <f aca="false">'Aug 22'!$D$16</f>
        <v>0</v>
      </c>
      <c r="D751" s="40" t="n">
        <f aca="false">'Aug 22'!$B$16</f>
        <v>0</v>
      </c>
      <c r="E751" s="41" t="n">
        <f aca="false">'Aug 22'!$E$16</f>
        <v>0</v>
      </c>
      <c r="F751" s="40" t="n">
        <f aca="false">'Aug 22'!$A$16</f>
        <v>0</v>
      </c>
      <c r="G751" s="41" t="n">
        <f aca="false">'Aug 22'!$F$16</f>
        <v>0</v>
      </c>
      <c r="H751" s="41" t="n">
        <f aca="false">'Aug 22'!$G$16</f>
        <v>0</v>
      </c>
      <c r="I751" s="41" t="str">
        <f aca="false">'Aug 22'!$M$16</f>
        <v/>
      </c>
      <c r="J751" s="42" t="str">
        <f aca="false">'Aug 22'!$S$16</f>
        <v/>
      </c>
      <c r="K751" s="40" t="n">
        <f aca="false">'Aug 22'!$AG$16</f>
        <v>0</v>
      </c>
      <c r="L751" s="40" t="n">
        <f aca="false">'Aug 22'!$N$16</f>
        <v>0</v>
      </c>
    </row>
    <row r="752" customFormat="false" ht="15" hidden="false" customHeight="false" outlineLevel="0" collapsed="false">
      <c r="A752" s="38" t="str">
        <f aca="false">IF(OR(C752="",C752=0),"",IF(AND(OR($B$5="",G752=$B$5,H752=$B$5),OR($D$5="",F752=$D$5),OR($E$5="",K752=$E$5),OR($G$5="",L752=$G$5),OR($H$5="",N(J752)&gt;=$H$5),OR($I$5="",ISNUMBER(SEARCH($I$5,C752&amp;" "&amp;D752&amp;" "&amp;E752&amp;" "&amp;I752)))),"✓",""))</f>
        <v/>
      </c>
      <c r="B752" s="39" t="n">
        <v>46256</v>
      </c>
      <c r="C752" s="40" t="n">
        <f aca="false">'Aug 22'!$D$17</f>
        <v>0</v>
      </c>
      <c r="D752" s="40" t="n">
        <f aca="false">'Aug 22'!$B$17</f>
        <v>0</v>
      </c>
      <c r="E752" s="41" t="n">
        <f aca="false">'Aug 22'!$E$17</f>
        <v>0</v>
      </c>
      <c r="F752" s="40" t="n">
        <f aca="false">'Aug 22'!$A$17</f>
        <v>0</v>
      </c>
      <c r="G752" s="41" t="n">
        <f aca="false">'Aug 22'!$F$17</f>
        <v>0</v>
      </c>
      <c r="H752" s="41" t="n">
        <f aca="false">'Aug 22'!$G$17</f>
        <v>0</v>
      </c>
      <c r="I752" s="41" t="str">
        <f aca="false">'Aug 22'!$M$17</f>
        <v/>
      </c>
      <c r="J752" s="42" t="str">
        <f aca="false">'Aug 22'!$S$17</f>
        <v/>
      </c>
      <c r="K752" s="40" t="n">
        <f aca="false">'Aug 22'!$AG$17</f>
        <v>0</v>
      </c>
      <c r="L752" s="40" t="n">
        <f aca="false">'Aug 22'!$N$17</f>
        <v>0</v>
      </c>
    </row>
    <row r="753" customFormat="false" ht="15" hidden="false" customHeight="false" outlineLevel="0" collapsed="false">
      <c r="A753" s="38" t="str">
        <f aca="false">IF(OR(C753="",C753=0),"",IF(AND(OR($B$5="",G753=$B$5,H753=$B$5),OR($D$5="",F753=$D$5),OR($E$5="",K753=$E$5),OR($G$5="",L753=$G$5),OR($H$5="",N(J753)&gt;=$H$5),OR($I$5="",ISNUMBER(SEARCH($I$5,C753&amp;" "&amp;D753&amp;" "&amp;E753&amp;" "&amp;I753)))),"✓",""))</f>
        <v/>
      </c>
      <c r="B753" s="39" t="n">
        <v>46256</v>
      </c>
      <c r="C753" s="40" t="n">
        <f aca="false">'Aug 22'!$D$18</f>
        <v>0</v>
      </c>
      <c r="D753" s="40" t="n">
        <f aca="false">'Aug 22'!$B$18</f>
        <v>0</v>
      </c>
      <c r="E753" s="41" t="n">
        <f aca="false">'Aug 22'!$E$18</f>
        <v>0</v>
      </c>
      <c r="F753" s="40" t="n">
        <f aca="false">'Aug 22'!$A$18</f>
        <v>0</v>
      </c>
      <c r="G753" s="41" t="n">
        <f aca="false">'Aug 22'!$F$18</f>
        <v>0</v>
      </c>
      <c r="H753" s="41" t="n">
        <f aca="false">'Aug 22'!$G$18</f>
        <v>0</v>
      </c>
      <c r="I753" s="41" t="str">
        <f aca="false">'Aug 22'!$M$18</f>
        <v/>
      </c>
      <c r="J753" s="42" t="str">
        <f aca="false">'Aug 22'!$S$18</f>
        <v/>
      </c>
      <c r="K753" s="40" t="n">
        <f aca="false">'Aug 22'!$AG$18</f>
        <v>0</v>
      </c>
      <c r="L753" s="40" t="n">
        <f aca="false">'Aug 22'!$N$18</f>
        <v>0</v>
      </c>
    </row>
    <row r="754" customFormat="false" ht="15" hidden="false" customHeight="false" outlineLevel="0" collapsed="false">
      <c r="A754" s="38" t="str">
        <f aca="false">IF(OR(C754="",C754=0),"",IF(AND(OR($B$5="",G754=$B$5,H754=$B$5),OR($D$5="",F754=$D$5),OR($E$5="",K754=$E$5),OR($G$5="",L754=$G$5),OR($H$5="",N(J754)&gt;=$H$5),OR($I$5="",ISNUMBER(SEARCH($I$5,C754&amp;" "&amp;D754&amp;" "&amp;E754&amp;" "&amp;I754)))),"✓",""))</f>
        <v/>
      </c>
      <c r="B754" s="39" t="n">
        <v>46256</v>
      </c>
      <c r="C754" s="40" t="n">
        <f aca="false">'Aug 22'!$D$19</f>
        <v>0</v>
      </c>
      <c r="D754" s="40" t="n">
        <f aca="false">'Aug 22'!$B$19</f>
        <v>0</v>
      </c>
      <c r="E754" s="41" t="n">
        <f aca="false">'Aug 22'!$E$19</f>
        <v>0</v>
      </c>
      <c r="F754" s="40" t="n">
        <f aca="false">'Aug 22'!$A$19</f>
        <v>0</v>
      </c>
      <c r="G754" s="41" t="n">
        <f aca="false">'Aug 22'!$F$19</f>
        <v>0</v>
      </c>
      <c r="H754" s="41" t="n">
        <f aca="false">'Aug 22'!$G$19</f>
        <v>0</v>
      </c>
      <c r="I754" s="41" t="str">
        <f aca="false">'Aug 22'!$M$19</f>
        <v/>
      </c>
      <c r="J754" s="42" t="str">
        <f aca="false">'Aug 22'!$S$19</f>
        <v/>
      </c>
      <c r="K754" s="40" t="n">
        <f aca="false">'Aug 22'!$AG$19</f>
        <v>0</v>
      </c>
      <c r="L754" s="40" t="n">
        <f aca="false">'Aug 22'!$N$19</f>
        <v>0</v>
      </c>
    </row>
    <row r="755" customFormat="false" ht="15" hidden="false" customHeight="false" outlineLevel="0" collapsed="false">
      <c r="A755" s="38" t="str">
        <f aca="false">IF(OR(C755="",C755=0),"",IF(AND(OR($B$5="",G755=$B$5,H755=$B$5),OR($D$5="",F755=$D$5),OR($E$5="",K755=$E$5),OR($G$5="",L755=$G$5),OR($H$5="",N(J755)&gt;=$H$5),OR($I$5="",ISNUMBER(SEARCH($I$5,C755&amp;" "&amp;D755&amp;" "&amp;E755&amp;" "&amp;I755)))),"✓",""))</f>
        <v/>
      </c>
      <c r="B755" s="39" t="n">
        <v>46256</v>
      </c>
      <c r="C755" s="40" t="n">
        <f aca="false">'Aug 22'!$D$20</f>
        <v>0</v>
      </c>
      <c r="D755" s="40" t="n">
        <f aca="false">'Aug 22'!$B$20</f>
        <v>0</v>
      </c>
      <c r="E755" s="41" t="n">
        <f aca="false">'Aug 22'!$E$20</f>
        <v>0</v>
      </c>
      <c r="F755" s="40" t="n">
        <f aca="false">'Aug 22'!$A$20</f>
        <v>0</v>
      </c>
      <c r="G755" s="41" t="n">
        <f aca="false">'Aug 22'!$F$20</f>
        <v>0</v>
      </c>
      <c r="H755" s="41" t="n">
        <f aca="false">'Aug 22'!$G$20</f>
        <v>0</v>
      </c>
      <c r="I755" s="41" t="str">
        <f aca="false">'Aug 22'!$M$20</f>
        <v/>
      </c>
      <c r="J755" s="42" t="str">
        <f aca="false">'Aug 22'!$S$20</f>
        <v/>
      </c>
      <c r="K755" s="40" t="n">
        <f aca="false">'Aug 22'!$AG$20</f>
        <v>0</v>
      </c>
      <c r="L755" s="40" t="n">
        <f aca="false">'Aug 22'!$N$20</f>
        <v>0</v>
      </c>
    </row>
    <row r="756" customFormat="false" ht="15" hidden="false" customHeight="false" outlineLevel="0" collapsed="false">
      <c r="A756" s="38" t="str">
        <f aca="false">IF(OR(C756="",C756=0),"",IF(AND(OR($B$5="",G756=$B$5,H756=$B$5),OR($D$5="",F756=$D$5),OR($E$5="",K756=$E$5),OR($G$5="",L756=$G$5),OR($H$5="",N(J756)&gt;=$H$5),OR($I$5="",ISNUMBER(SEARCH($I$5,C756&amp;" "&amp;D756&amp;" "&amp;E756&amp;" "&amp;I756)))),"✓",""))</f>
        <v/>
      </c>
      <c r="B756" s="39" t="n">
        <v>46256</v>
      </c>
      <c r="C756" s="40" t="n">
        <f aca="false">'Aug 22'!$D$21</f>
        <v>0</v>
      </c>
      <c r="D756" s="40" t="n">
        <f aca="false">'Aug 22'!$B$21</f>
        <v>0</v>
      </c>
      <c r="E756" s="41" t="n">
        <f aca="false">'Aug 22'!$E$21</f>
        <v>0</v>
      </c>
      <c r="F756" s="40" t="n">
        <f aca="false">'Aug 22'!$A$21</f>
        <v>0</v>
      </c>
      <c r="G756" s="41" t="n">
        <f aca="false">'Aug 22'!$F$21</f>
        <v>0</v>
      </c>
      <c r="H756" s="41" t="n">
        <f aca="false">'Aug 22'!$G$21</f>
        <v>0</v>
      </c>
      <c r="I756" s="41" t="str">
        <f aca="false">'Aug 22'!$M$21</f>
        <v/>
      </c>
      <c r="J756" s="42" t="str">
        <f aca="false">'Aug 22'!$S$21</f>
        <v/>
      </c>
      <c r="K756" s="40" t="n">
        <f aca="false">'Aug 22'!$AG$21</f>
        <v>0</v>
      </c>
      <c r="L756" s="40" t="n">
        <f aca="false">'Aug 22'!$N$21</f>
        <v>0</v>
      </c>
    </row>
    <row r="757" customFormat="false" ht="15" hidden="false" customHeight="false" outlineLevel="0" collapsed="false">
      <c r="A757" s="38" t="str">
        <f aca="false">IF(OR(C757="",C757=0),"",IF(AND(OR($B$5="",G757=$B$5,H757=$B$5),OR($D$5="",F757=$D$5),OR($E$5="",K757=$E$5),OR($G$5="",L757=$G$5),OR($H$5="",N(J757)&gt;=$H$5),OR($I$5="",ISNUMBER(SEARCH($I$5,C757&amp;" "&amp;D757&amp;" "&amp;E757&amp;" "&amp;I757)))),"✓",""))</f>
        <v/>
      </c>
      <c r="B757" s="39" t="n">
        <v>46256</v>
      </c>
      <c r="C757" s="40" t="n">
        <f aca="false">'Aug 22'!$D$22</f>
        <v>0</v>
      </c>
      <c r="D757" s="40" t="n">
        <f aca="false">'Aug 22'!$B$22</f>
        <v>0</v>
      </c>
      <c r="E757" s="41" t="n">
        <f aca="false">'Aug 22'!$E$22</f>
        <v>0</v>
      </c>
      <c r="F757" s="40" t="n">
        <f aca="false">'Aug 22'!$A$22</f>
        <v>0</v>
      </c>
      <c r="G757" s="41" t="n">
        <f aca="false">'Aug 22'!$F$22</f>
        <v>0</v>
      </c>
      <c r="H757" s="41" t="n">
        <f aca="false">'Aug 22'!$G$22</f>
        <v>0</v>
      </c>
      <c r="I757" s="41" t="str">
        <f aca="false">'Aug 22'!$M$22</f>
        <v/>
      </c>
      <c r="J757" s="42" t="str">
        <f aca="false">'Aug 22'!$S$22</f>
        <v/>
      </c>
      <c r="K757" s="40" t="n">
        <f aca="false">'Aug 22'!$AG$22</f>
        <v>0</v>
      </c>
      <c r="L757" s="40" t="n">
        <f aca="false">'Aug 22'!$N$22</f>
        <v>0</v>
      </c>
    </row>
    <row r="758" customFormat="false" ht="15" hidden="false" customHeight="false" outlineLevel="0" collapsed="false">
      <c r="A758" s="38" t="str">
        <f aca="false">IF(OR(C758="",C758=0),"",IF(AND(OR($B$5="",G758=$B$5,H758=$B$5),OR($D$5="",F758=$D$5),OR($E$5="",K758=$E$5),OR($G$5="",L758=$G$5),OR($H$5="",N(J758)&gt;=$H$5),OR($I$5="",ISNUMBER(SEARCH($I$5,C758&amp;" "&amp;D758&amp;" "&amp;E758&amp;" "&amp;I758)))),"✓",""))</f>
        <v/>
      </c>
      <c r="B758" s="39" t="n">
        <v>46256</v>
      </c>
      <c r="C758" s="40" t="n">
        <f aca="false">'Aug 22'!$D$23</f>
        <v>0</v>
      </c>
      <c r="D758" s="40" t="n">
        <f aca="false">'Aug 22'!$B$23</f>
        <v>0</v>
      </c>
      <c r="E758" s="41" t="n">
        <f aca="false">'Aug 22'!$E$23</f>
        <v>0</v>
      </c>
      <c r="F758" s="40" t="n">
        <f aca="false">'Aug 22'!$A$23</f>
        <v>0</v>
      </c>
      <c r="G758" s="41" t="n">
        <f aca="false">'Aug 22'!$F$23</f>
        <v>0</v>
      </c>
      <c r="H758" s="41" t="n">
        <f aca="false">'Aug 22'!$G$23</f>
        <v>0</v>
      </c>
      <c r="I758" s="41" t="str">
        <f aca="false">'Aug 22'!$M$23</f>
        <v/>
      </c>
      <c r="J758" s="42" t="str">
        <f aca="false">'Aug 22'!$S$23</f>
        <v/>
      </c>
      <c r="K758" s="40" t="n">
        <f aca="false">'Aug 22'!$AG$23</f>
        <v>0</v>
      </c>
      <c r="L758" s="40" t="n">
        <f aca="false">'Aug 22'!$N$23</f>
        <v>0</v>
      </c>
    </row>
    <row r="759" customFormat="false" ht="15" hidden="false" customHeight="false" outlineLevel="0" collapsed="false">
      <c r="A759" s="38" t="str">
        <f aca="false">IF(OR(C759="",C759=0),"",IF(AND(OR($B$5="",G759=$B$5,H759=$B$5),OR($D$5="",F759=$D$5),OR($E$5="",K759=$E$5),OR($G$5="",L759=$G$5),OR($H$5="",N(J759)&gt;=$H$5),OR($I$5="",ISNUMBER(SEARCH($I$5,C759&amp;" "&amp;D759&amp;" "&amp;E759&amp;" "&amp;I759)))),"✓",""))</f>
        <v/>
      </c>
      <c r="B759" s="39" t="n">
        <v>46256</v>
      </c>
      <c r="C759" s="40" t="n">
        <f aca="false">'Aug 22'!$D$24</f>
        <v>0</v>
      </c>
      <c r="D759" s="40" t="n">
        <f aca="false">'Aug 22'!$B$24</f>
        <v>0</v>
      </c>
      <c r="E759" s="41" t="n">
        <f aca="false">'Aug 22'!$E$24</f>
        <v>0</v>
      </c>
      <c r="F759" s="40" t="n">
        <f aca="false">'Aug 22'!$A$24</f>
        <v>0</v>
      </c>
      <c r="G759" s="41" t="n">
        <f aca="false">'Aug 22'!$F$24</f>
        <v>0</v>
      </c>
      <c r="H759" s="41" t="n">
        <f aca="false">'Aug 22'!$G$24</f>
        <v>0</v>
      </c>
      <c r="I759" s="41" t="str">
        <f aca="false">'Aug 22'!$M$24</f>
        <v/>
      </c>
      <c r="J759" s="42" t="str">
        <f aca="false">'Aug 22'!$S$24</f>
        <v/>
      </c>
      <c r="K759" s="40" t="n">
        <f aca="false">'Aug 22'!$AG$24</f>
        <v>0</v>
      </c>
      <c r="L759" s="40" t="n">
        <f aca="false">'Aug 22'!$N$24</f>
        <v>0</v>
      </c>
    </row>
    <row r="760" customFormat="false" ht="15" hidden="false" customHeight="false" outlineLevel="0" collapsed="false">
      <c r="A760" s="38" t="str">
        <f aca="false">IF(OR(C760="",C760=0),"",IF(AND(OR($B$5="",G760=$B$5,H760=$B$5),OR($D$5="",F760=$D$5),OR($E$5="",K760=$E$5),OR($G$5="",L760=$G$5),OR($H$5="",N(J760)&gt;=$H$5),OR($I$5="",ISNUMBER(SEARCH($I$5,C760&amp;" "&amp;D760&amp;" "&amp;E760&amp;" "&amp;I760)))),"✓",""))</f>
        <v/>
      </c>
      <c r="B760" s="39" t="n">
        <v>46256</v>
      </c>
      <c r="C760" s="40" t="n">
        <f aca="false">'Aug 22'!$D$25</f>
        <v>0</v>
      </c>
      <c r="D760" s="40" t="n">
        <f aca="false">'Aug 22'!$B$25</f>
        <v>0</v>
      </c>
      <c r="E760" s="41" t="n">
        <f aca="false">'Aug 22'!$E$25</f>
        <v>0</v>
      </c>
      <c r="F760" s="40" t="n">
        <f aca="false">'Aug 22'!$A$25</f>
        <v>0</v>
      </c>
      <c r="G760" s="41" t="n">
        <f aca="false">'Aug 22'!$F$25</f>
        <v>0</v>
      </c>
      <c r="H760" s="41" t="n">
        <f aca="false">'Aug 22'!$G$25</f>
        <v>0</v>
      </c>
      <c r="I760" s="41" t="str">
        <f aca="false">'Aug 22'!$M$25</f>
        <v/>
      </c>
      <c r="J760" s="42" t="str">
        <f aca="false">'Aug 22'!$S$25</f>
        <v/>
      </c>
      <c r="K760" s="40" t="n">
        <f aca="false">'Aug 22'!$AG$25</f>
        <v>0</v>
      </c>
      <c r="L760" s="40" t="n">
        <f aca="false">'Aug 22'!$N$25</f>
        <v>0</v>
      </c>
    </row>
    <row r="761" customFormat="false" ht="15" hidden="false" customHeight="false" outlineLevel="0" collapsed="false">
      <c r="A761" s="38" t="str">
        <f aca="false">IF(OR(C761="",C761=0),"",IF(AND(OR($B$5="",G761=$B$5,H761=$B$5),OR($D$5="",F761=$D$5),OR($E$5="",K761=$E$5),OR($G$5="",L761=$G$5),OR($H$5="",N(J761)&gt;=$H$5),OR($I$5="",ISNUMBER(SEARCH($I$5,C761&amp;" "&amp;D761&amp;" "&amp;E761&amp;" "&amp;I761)))),"✓",""))</f>
        <v/>
      </c>
      <c r="B761" s="39" t="n">
        <v>46256</v>
      </c>
      <c r="C761" s="40" t="n">
        <f aca="false">'Aug 22'!$D$26</f>
        <v>0</v>
      </c>
      <c r="D761" s="40" t="n">
        <f aca="false">'Aug 22'!$B$26</f>
        <v>0</v>
      </c>
      <c r="E761" s="41" t="n">
        <f aca="false">'Aug 22'!$E$26</f>
        <v>0</v>
      </c>
      <c r="F761" s="40" t="n">
        <f aca="false">'Aug 22'!$A$26</f>
        <v>0</v>
      </c>
      <c r="G761" s="41" t="n">
        <f aca="false">'Aug 22'!$F$26</f>
        <v>0</v>
      </c>
      <c r="H761" s="41" t="n">
        <f aca="false">'Aug 22'!$G$26</f>
        <v>0</v>
      </c>
      <c r="I761" s="41" t="str">
        <f aca="false">'Aug 22'!$M$26</f>
        <v/>
      </c>
      <c r="J761" s="42" t="str">
        <f aca="false">'Aug 22'!$S$26</f>
        <v/>
      </c>
      <c r="K761" s="40" t="n">
        <f aca="false">'Aug 22'!$AG$26</f>
        <v>0</v>
      </c>
      <c r="L761" s="40" t="n">
        <f aca="false">'Aug 22'!$N$26</f>
        <v>0</v>
      </c>
    </row>
    <row r="762" customFormat="false" ht="15" hidden="false" customHeight="false" outlineLevel="0" collapsed="false">
      <c r="A762" s="38" t="str">
        <f aca="false">IF(OR(C762="",C762=0),"",IF(AND(OR($B$5="",G762=$B$5,H762=$B$5),OR($D$5="",F762=$D$5),OR($E$5="",K762=$E$5),OR($G$5="",L762=$G$5),OR($H$5="",N(J762)&gt;=$H$5),OR($I$5="",ISNUMBER(SEARCH($I$5,C762&amp;" "&amp;D762&amp;" "&amp;E762&amp;" "&amp;I762)))),"✓",""))</f>
        <v/>
      </c>
      <c r="B762" s="39" t="n">
        <v>46256</v>
      </c>
      <c r="C762" s="40" t="n">
        <f aca="false">'Aug 22'!$D$27</f>
        <v>0</v>
      </c>
      <c r="D762" s="40" t="n">
        <f aca="false">'Aug 22'!$B$27</f>
        <v>0</v>
      </c>
      <c r="E762" s="41" t="n">
        <f aca="false">'Aug 22'!$E$27</f>
        <v>0</v>
      </c>
      <c r="F762" s="40" t="n">
        <f aca="false">'Aug 22'!$A$27</f>
        <v>0</v>
      </c>
      <c r="G762" s="41" t="n">
        <f aca="false">'Aug 22'!$F$27</f>
        <v>0</v>
      </c>
      <c r="H762" s="41" t="n">
        <f aca="false">'Aug 22'!$G$27</f>
        <v>0</v>
      </c>
      <c r="I762" s="41" t="str">
        <f aca="false">'Aug 22'!$M$27</f>
        <v/>
      </c>
      <c r="J762" s="42" t="str">
        <f aca="false">'Aug 22'!$S$27</f>
        <v/>
      </c>
      <c r="K762" s="40" t="n">
        <f aca="false">'Aug 22'!$AG$27</f>
        <v>0</v>
      </c>
      <c r="L762" s="40" t="n">
        <f aca="false">'Aug 22'!$N$27</f>
        <v>0</v>
      </c>
    </row>
    <row r="763" customFormat="false" ht="15" hidden="false" customHeight="false" outlineLevel="0" collapsed="false">
      <c r="A763" s="38" t="str">
        <f aca="false">IF(OR(C763="",C763=0),"",IF(AND(OR($B$5="",G763=$B$5,H763=$B$5),OR($D$5="",F763=$D$5),OR($E$5="",K763=$E$5),OR($G$5="",L763=$G$5),OR($H$5="",N(J763)&gt;=$H$5),OR($I$5="",ISNUMBER(SEARCH($I$5,C763&amp;" "&amp;D763&amp;" "&amp;E763&amp;" "&amp;I763)))),"✓",""))</f>
        <v/>
      </c>
      <c r="B763" s="39" t="n">
        <v>46256</v>
      </c>
      <c r="C763" s="40" t="n">
        <f aca="false">'Aug 22'!$D$28</f>
        <v>0</v>
      </c>
      <c r="D763" s="40" t="n">
        <f aca="false">'Aug 22'!$B$28</f>
        <v>0</v>
      </c>
      <c r="E763" s="41" t="n">
        <f aca="false">'Aug 22'!$E$28</f>
        <v>0</v>
      </c>
      <c r="F763" s="40" t="n">
        <f aca="false">'Aug 22'!$A$28</f>
        <v>0</v>
      </c>
      <c r="G763" s="41" t="n">
        <f aca="false">'Aug 22'!$F$28</f>
        <v>0</v>
      </c>
      <c r="H763" s="41" t="n">
        <f aca="false">'Aug 22'!$G$28</f>
        <v>0</v>
      </c>
      <c r="I763" s="41" t="str">
        <f aca="false">'Aug 22'!$M$28</f>
        <v/>
      </c>
      <c r="J763" s="42" t="str">
        <f aca="false">'Aug 22'!$S$28</f>
        <v/>
      </c>
      <c r="K763" s="40" t="n">
        <f aca="false">'Aug 22'!$AG$28</f>
        <v>0</v>
      </c>
      <c r="L763" s="40" t="n">
        <f aca="false">'Aug 22'!$N$28</f>
        <v>0</v>
      </c>
    </row>
    <row r="764" customFormat="false" ht="15" hidden="false" customHeight="false" outlineLevel="0" collapsed="false">
      <c r="A764" s="38" t="str">
        <f aca="false">IF(OR(C764="",C764=0),"",IF(AND(OR($B$5="",G764=$B$5,H764=$B$5),OR($D$5="",F764=$D$5),OR($E$5="",K764=$E$5),OR($G$5="",L764=$G$5),OR($H$5="",N(J764)&gt;=$H$5),OR($I$5="",ISNUMBER(SEARCH($I$5,C764&amp;" "&amp;D764&amp;" "&amp;E764&amp;" "&amp;I764)))),"✓",""))</f>
        <v/>
      </c>
      <c r="B764" s="39" t="n">
        <v>46256</v>
      </c>
      <c r="C764" s="40" t="n">
        <f aca="false">'Aug 22'!$D$29</f>
        <v>0</v>
      </c>
      <c r="D764" s="40" t="n">
        <f aca="false">'Aug 22'!$B$29</f>
        <v>0</v>
      </c>
      <c r="E764" s="41" t="n">
        <f aca="false">'Aug 22'!$E$29</f>
        <v>0</v>
      </c>
      <c r="F764" s="40" t="n">
        <f aca="false">'Aug 22'!$A$29</f>
        <v>0</v>
      </c>
      <c r="G764" s="41" t="n">
        <f aca="false">'Aug 22'!$F$29</f>
        <v>0</v>
      </c>
      <c r="H764" s="41" t="n">
        <f aca="false">'Aug 22'!$G$29</f>
        <v>0</v>
      </c>
      <c r="I764" s="41" t="str">
        <f aca="false">'Aug 22'!$M$29</f>
        <v/>
      </c>
      <c r="J764" s="42" t="str">
        <f aca="false">'Aug 22'!$S$29</f>
        <v/>
      </c>
      <c r="K764" s="40" t="n">
        <f aca="false">'Aug 22'!$AG$29</f>
        <v>0</v>
      </c>
      <c r="L764" s="40" t="n">
        <f aca="false">'Aug 22'!$N$29</f>
        <v>0</v>
      </c>
    </row>
    <row r="765" customFormat="false" ht="15" hidden="false" customHeight="false" outlineLevel="0" collapsed="false">
      <c r="A765" s="38" t="str">
        <f aca="false">IF(OR(C765="",C765=0),"",IF(AND(OR($B$5="",G765=$B$5,H765=$B$5),OR($D$5="",F765=$D$5),OR($E$5="",K765=$E$5),OR($G$5="",L765=$G$5),OR($H$5="",N(J765)&gt;=$H$5),OR($I$5="",ISNUMBER(SEARCH($I$5,C765&amp;" "&amp;D765&amp;" "&amp;E765&amp;" "&amp;I765)))),"✓",""))</f>
        <v/>
      </c>
      <c r="B765" s="39" t="n">
        <v>46256</v>
      </c>
      <c r="C765" s="40" t="n">
        <f aca="false">'Aug 22'!$D$30</f>
        <v>0</v>
      </c>
      <c r="D765" s="40" t="n">
        <f aca="false">'Aug 22'!$B$30</f>
        <v>0</v>
      </c>
      <c r="E765" s="41" t="n">
        <f aca="false">'Aug 22'!$E$30</f>
        <v>0</v>
      </c>
      <c r="F765" s="40" t="n">
        <f aca="false">'Aug 22'!$A$30</f>
        <v>0</v>
      </c>
      <c r="G765" s="41" t="n">
        <f aca="false">'Aug 22'!$F$30</f>
        <v>0</v>
      </c>
      <c r="H765" s="41" t="n">
        <f aca="false">'Aug 22'!$G$30</f>
        <v>0</v>
      </c>
      <c r="I765" s="41" t="str">
        <f aca="false">'Aug 22'!$M$30</f>
        <v/>
      </c>
      <c r="J765" s="42" t="str">
        <f aca="false">'Aug 22'!$S$30</f>
        <v/>
      </c>
      <c r="K765" s="40" t="n">
        <f aca="false">'Aug 22'!$AG$30</f>
        <v>0</v>
      </c>
      <c r="L765" s="40" t="n">
        <f aca="false">'Aug 22'!$N$30</f>
        <v>0</v>
      </c>
    </row>
    <row r="766" customFormat="false" ht="15" hidden="false" customHeight="false" outlineLevel="0" collapsed="false">
      <c r="A766" s="38" t="str">
        <f aca="false">IF(OR(C766="",C766=0),"",IF(AND(OR($B$5="",G766=$B$5,H766=$B$5),OR($D$5="",F766=$D$5),OR($E$5="",K766=$E$5),OR($G$5="",L766=$G$5),OR($H$5="",N(J766)&gt;=$H$5),OR($I$5="",ISNUMBER(SEARCH($I$5,C766&amp;" "&amp;D766&amp;" "&amp;E766&amp;" "&amp;I766)))),"✓",""))</f>
        <v/>
      </c>
      <c r="B766" s="39" t="n">
        <v>46256</v>
      </c>
      <c r="C766" s="40" t="n">
        <f aca="false">'Aug 22'!$D$31</f>
        <v>0</v>
      </c>
      <c r="D766" s="40" t="n">
        <f aca="false">'Aug 22'!$B$31</f>
        <v>0</v>
      </c>
      <c r="E766" s="41" t="n">
        <f aca="false">'Aug 22'!$E$31</f>
        <v>0</v>
      </c>
      <c r="F766" s="40" t="n">
        <f aca="false">'Aug 22'!$A$31</f>
        <v>0</v>
      </c>
      <c r="G766" s="41" t="n">
        <f aca="false">'Aug 22'!$F$31</f>
        <v>0</v>
      </c>
      <c r="H766" s="41" t="n">
        <f aca="false">'Aug 22'!$G$31</f>
        <v>0</v>
      </c>
      <c r="I766" s="41" t="str">
        <f aca="false">'Aug 22'!$M$31</f>
        <v/>
      </c>
      <c r="J766" s="42" t="str">
        <f aca="false">'Aug 22'!$S$31</f>
        <v/>
      </c>
      <c r="K766" s="40" t="n">
        <f aca="false">'Aug 22'!$AG$31</f>
        <v>0</v>
      </c>
      <c r="L766" s="40" t="n">
        <f aca="false">'Aug 22'!$N$31</f>
        <v>0</v>
      </c>
    </row>
    <row r="767" customFormat="false" ht="15" hidden="false" customHeight="false" outlineLevel="0" collapsed="false">
      <c r="A767" s="38" t="str">
        <f aca="false">IF(OR(C767="",C767=0),"",IF(AND(OR($B$5="",G767=$B$5,H767=$B$5),OR($D$5="",F767=$D$5),OR($E$5="",K767=$E$5),OR($G$5="",L767=$G$5),OR($H$5="",N(J767)&gt;=$H$5),OR($I$5="",ISNUMBER(SEARCH($I$5,C767&amp;" "&amp;D767&amp;" "&amp;E767&amp;" "&amp;I767)))),"✓",""))</f>
        <v/>
      </c>
      <c r="B767" s="39" t="n">
        <v>46256</v>
      </c>
      <c r="C767" s="40" t="n">
        <f aca="false">'Aug 22'!$D$32</f>
        <v>0</v>
      </c>
      <c r="D767" s="40" t="n">
        <f aca="false">'Aug 22'!$B$32</f>
        <v>0</v>
      </c>
      <c r="E767" s="41" t="n">
        <f aca="false">'Aug 22'!$E$32</f>
        <v>0</v>
      </c>
      <c r="F767" s="40" t="n">
        <f aca="false">'Aug 22'!$A$32</f>
        <v>0</v>
      </c>
      <c r="G767" s="41" t="n">
        <f aca="false">'Aug 22'!$F$32</f>
        <v>0</v>
      </c>
      <c r="H767" s="41" t="n">
        <f aca="false">'Aug 22'!$G$32</f>
        <v>0</v>
      </c>
      <c r="I767" s="41" t="str">
        <f aca="false">'Aug 22'!$M$32</f>
        <v/>
      </c>
      <c r="J767" s="42" t="str">
        <f aca="false">'Aug 22'!$S$32</f>
        <v/>
      </c>
      <c r="K767" s="40" t="n">
        <f aca="false">'Aug 22'!$AG$32</f>
        <v>0</v>
      </c>
      <c r="L767" s="40" t="n">
        <f aca="false">'Aug 22'!$N$32</f>
        <v>0</v>
      </c>
    </row>
    <row r="768" customFormat="false" ht="15" hidden="false" customHeight="false" outlineLevel="0" collapsed="false">
      <c r="A768" s="38" t="str">
        <f aca="false">IF(OR(C768="",C768=0),"",IF(AND(OR($B$5="",G768=$B$5,H768=$B$5),OR($D$5="",F768=$D$5),OR($E$5="",K768=$E$5),OR($G$5="",L768=$G$5),OR($H$5="",N(J768)&gt;=$H$5),OR($I$5="",ISNUMBER(SEARCH($I$5,C768&amp;" "&amp;D768&amp;" "&amp;E768&amp;" "&amp;I768)))),"✓",""))</f>
        <v/>
      </c>
      <c r="B768" s="39" t="n">
        <v>46256</v>
      </c>
      <c r="C768" s="40" t="n">
        <f aca="false">'Aug 22'!$D$33</f>
        <v>0</v>
      </c>
      <c r="D768" s="40" t="n">
        <f aca="false">'Aug 22'!$B$33</f>
        <v>0</v>
      </c>
      <c r="E768" s="41" t="n">
        <f aca="false">'Aug 22'!$E$33</f>
        <v>0</v>
      </c>
      <c r="F768" s="40" t="n">
        <f aca="false">'Aug 22'!$A$33</f>
        <v>0</v>
      </c>
      <c r="G768" s="41" t="n">
        <f aca="false">'Aug 22'!$F$33</f>
        <v>0</v>
      </c>
      <c r="H768" s="41" t="n">
        <f aca="false">'Aug 22'!$G$33</f>
        <v>0</v>
      </c>
      <c r="I768" s="41" t="str">
        <f aca="false">'Aug 22'!$M$33</f>
        <v/>
      </c>
      <c r="J768" s="42" t="str">
        <f aca="false">'Aug 22'!$S$33</f>
        <v/>
      </c>
      <c r="K768" s="40" t="n">
        <f aca="false">'Aug 22'!$AG$33</f>
        <v>0</v>
      </c>
      <c r="L768" s="40" t="n">
        <f aca="false">'Aug 22'!$N$33</f>
        <v>0</v>
      </c>
    </row>
    <row r="769" customFormat="false" ht="15" hidden="false" customHeight="false" outlineLevel="0" collapsed="false">
      <c r="A769" s="38" t="str">
        <f aca="false">IF(OR(C769="",C769=0),"",IF(AND(OR($B$5="",G769=$B$5,H769=$B$5),OR($D$5="",F769=$D$5),OR($E$5="",K769=$E$5),OR($G$5="",L769=$G$5),OR($H$5="",N(J769)&gt;=$H$5),OR($I$5="",ISNUMBER(SEARCH($I$5,C769&amp;" "&amp;D769&amp;" "&amp;E769&amp;" "&amp;I769)))),"✓",""))</f>
        <v/>
      </c>
      <c r="B769" s="39" t="n">
        <v>46256</v>
      </c>
      <c r="C769" s="40" t="n">
        <f aca="false">'Aug 22'!$D$34</f>
        <v>0</v>
      </c>
      <c r="D769" s="40" t="n">
        <f aca="false">'Aug 22'!$B$34</f>
        <v>0</v>
      </c>
      <c r="E769" s="41" t="n">
        <f aca="false">'Aug 22'!$E$34</f>
        <v>0</v>
      </c>
      <c r="F769" s="40" t="n">
        <f aca="false">'Aug 22'!$A$34</f>
        <v>0</v>
      </c>
      <c r="G769" s="41" t="n">
        <f aca="false">'Aug 22'!$F$34</f>
        <v>0</v>
      </c>
      <c r="H769" s="41" t="n">
        <f aca="false">'Aug 22'!$G$34</f>
        <v>0</v>
      </c>
      <c r="I769" s="41" t="str">
        <f aca="false">'Aug 22'!$M$34</f>
        <v/>
      </c>
      <c r="J769" s="42" t="str">
        <f aca="false">'Aug 22'!$S$34</f>
        <v/>
      </c>
      <c r="K769" s="40" t="n">
        <f aca="false">'Aug 22'!$AG$34</f>
        <v>0</v>
      </c>
      <c r="L769" s="40" t="n">
        <f aca="false">'Aug 22'!$N$34</f>
        <v>0</v>
      </c>
    </row>
    <row r="770" customFormat="false" ht="15" hidden="false" customHeight="false" outlineLevel="0" collapsed="false">
      <c r="A770" s="38" t="str">
        <f aca="false">IF(OR(C770="",C770=0),"",IF(AND(OR($B$5="",G770=$B$5,H770=$B$5),OR($D$5="",F770=$D$5),OR($E$5="",K770=$E$5),OR($G$5="",L770=$G$5),OR($H$5="",N(J770)&gt;=$H$5),OR($I$5="",ISNUMBER(SEARCH($I$5,C770&amp;" "&amp;D770&amp;" "&amp;E770&amp;" "&amp;I770)))),"✓",""))</f>
        <v/>
      </c>
      <c r="B770" s="39" t="n">
        <v>46256</v>
      </c>
      <c r="C770" s="40" t="n">
        <f aca="false">'Aug 22'!$D$35</f>
        <v>0</v>
      </c>
      <c r="D770" s="40" t="n">
        <f aca="false">'Aug 22'!$B$35</f>
        <v>0</v>
      </c>
      <c r="E770" s="41" t="n">
        <f aca="false">'Aug 22'!$E$35</f>
        <v>0</v>
      </c>
      <c r="F770" s="40" t="n">
        <f aca="false">'Aug 22'!$A$35</f>
        <v>0</v>
      </c>
      <c r="G770" s="41" t="n">
        <f aca="false">'Aug 22'!$F$35</f>
        <v>0</v>
      </c>
      <c r="H770" s="41" t="n">
        <f aca="false">'Aug 22'!$G$35</f>
        <v>0</v>
      </c>
      <c r="I770" s="41" t="str">
        <f aca="false">'Aug 22'!$M$35</f>
        <v/>
      </c>
      <c r="J770" s="42" t="str">
        <f aca="false">'Aug 22'!$S$35</f>
        <v/>
      </c>
      <c r="K770" s="40" t="n">
        <f aca="false">'Aug 22'!$AG$35</f>
        <v>0</v>
      </c>
      <c r="L770" s="40" t="n">
        <f aca="false">'Aug 22'!$N$35</f>
        <v>0</v>
      </c>
    </row>
    <row r="771" customFormat="false" ht="15" hidden="false" customHeight="false" outlineLevel="0" collapsed="false">
      <c r="A771" s="38" t="str">
        <f aca="false">IF(OR(C771="",C771=0),"",IF(AND(OR($B$5="",G771=$B$5,H771=$B$5),OR($D$5="",F771=$D$5),OR($E$5="",K771=$E$5),OR($G$5="",L771=$G$5),OR($H$5="",N(J771)&gt;=$H$5),OR($I$5="",ISNUMBER(SEARCH($I$5,C771&amp;" "&amp;D771&amp;" "&amp;E771&amp;" "&amp;I771)))),"✓",""))</f>
        <v/>
      </c>
      <c r="B771" s="39" t="n">
        <v>46256</v>
      </c>
      <c r="C771" s="40" t="n">
        <f aca="false">'Aug 22'!$D$36</f>
        <v>0</v>
      </c>
      <c r="D771" s="40" t="n">
        <f aca="false">'Aug 22'!$B$36</f>
        <v>0</v>
      </c>
      <c r="E771" s="41" t="n">
        <f aca="false">'Aug 22'!$E$36</f>
        <v>0</v>
      </c>
      <c r="F771" s="40" t="n">
        <f aca="false">'Aug 22'!$A$36</f>
        <v>0</v>
      </c>
      <c r="G771" s="41" t="n">
        <f aca="false">'Aug 22'!$F$36</f>
        <v>0</v>
      </c>
      <c r="H771" s="41" t="n">
        <f aca="false">'Aug 22'!$G$36</f>
        <v>0</v>
      </c>
      <c r="I771" s="41" t="str">
        <f aca="false">'Aug 22'!$M$36</f>
        <v/>
      </c>
      <c r="J771" s="42" t="str">
        <f aca="false">'Aug 22'!$S$36</f>
        <v/>
      </c>
      <c r="K771" s="40" t="n">
        <f aca="false">'Aug 22'!$AG$36</f>
        <v>0</v>
      </c>
      <c r="L771" s="40" t="n">
        <f aca="false">'Aug 22'!$N$36</f>
        <v>0</v>
      </c>
    </row>
    <row r="772" customFormat="false" ht="15" hidden="false" customHeight="false" outlineLevel="0" collapsed="false">
      <c r="A772" s="38" t="str">
        <f aca="false">IF(OR(C772="",C772=0),"",IF(AND(OR($B$5="",G772=$B$5,H772=$B$5),OR($D$5="",F772=$D$5),OR($E$5="",K772=$E$5),OR($G$5="",L772=$G$5),OR($H$5="",N(J772)&gt;=$H$5),OR($I$5="",ISNUMBER(SEARCH($I$5,C772&amp;" "&amp;D772&amp;" "&amp;E772&amp;" "&amp;I772)))),"✓",""))</f>
        <v/>
      </c>
      <c r="B772" s="39" t="n">
        <v>46256</v>
      </c>
      <c r="C772" s="40" t="n">
        <f aca="false">'Aug 22'!$D$37</f>
        <v>0</v>
      </c>
      <c r="D772" s="40" t="n">
        <f aca="false">'Aug 22'!$B$37</f>
        <v>0</v>
      </c>
      <c r="E772" s="41" t="n">
        <f aca="false">'Aug 22'!$E$37</f>
        <v>0</v>
      </c>
      <c r="F772" s="40" t="n">
        <f aca="false">'Aug 22'!$A$37</f>
        <v>0</v>
      </c>
      <c r="G772" s="41" t="n">
        <f aca="false">'Aug 22'!$F$37</f>
        <v>0</v>
      </c>
      <c r="H772" s="41" t="n">
        <f aca="false">'Aug 22'!$G$37</f>
        <v>0</v>
      </c>
      <c r="I772" s="41" t="str">
        <f aca="false">'Aug 22'!$M$37</f>
        <v/>
      </c>
      <c r="J772" s="42" t="str">
        <f aca="false">'Aug 22'!$S$37</f>
        <v/>
      </c>
      <c r="K772" s="40" t="n">
        <f aca="false">'Aug 22'!$AG$37</f>
        <v>0</v>
      </c>
      <c r="L772" s="40" t="n">
        <f aca="false">'Aug 22'!$N$37</f>
        <v>0</v>
      </c>
    </row>
    <row r="773" customFormat="false" ht="15" hidden="false" customHeight="false" outlineLevel="0" collapsed="false">
      <c r="A773" s="38" t="str">
        <f aca="false">IF(OR(C773="",C773=0),"",IF(AND(OR($B$5="",G773=$B$5,H773=$B$5),OR($D$5="",F773=$D$5),OR($E$5="",K773=$E$5),OR($G$5="",L773=$G$5),OR($H$5="",N(J773)&gt;=$H$5),OR($I$5="",ISNUMBER(SEARCH($I$5,C773&amp;" "&amp;D773&amp;" "&amp;E773&amp;" "&amp;I773)))),"✓",""))</f>
        <v/>
      </c>
      <c r="B773" s="39" t="n">
        <v>46256</v>
      </c>
      <c r="C773" s="40" t="n">
        <f aca="false">'Aug 22'!$D$38</f>
        <v>0</v>
      </c>
      <c r="D773" s="40" t="n">
        <f aca="false">'Aug 22'!$B$38</f>
        <v>0</v>
      </c>
      <c r="E773" s="41" t="n">
        <f aca="false">'Aug 22'!$E$38</f>
        <v>0</v>
      </c>
      <c r="F773" s="40" t="n">
        <f aca="false">'Aug 22'!$A$38</f>
        <v>0</v>
      </c>
      <c r="G773" s="41" t="n">
        <f aca="false">'Aug 22'!$F$38</f>
        <v>0</v>
      </c>
      <c r="H773" s="41" t="n">
        <f aca="false">'Aug 22'!$G$38</f>
        <v>0</v>
      </c>
      <c r="I773" s="41" t="str">
        <f aca="false">'Aug 22'!$M$38</f>
        <v/>
      </c>
      <c r="J773" s="42" t="str">
        <f aca="false">'Aug 22'!$S$38</f>
        <v/>
      </c>
      <c r="K773" s="40" t="n">
        <f aca="false">'Aug 22'!$AG$38</f>
        <v>0</v>
      </c>
      <c r="L773" s="40" t="n">
        <f aca="false">'Aug 22'!$N$38</f>
        <v>0</v>
      </c>
    </row>
    <row r="774" customFormat="false" ht="15" hidden="false" customHeight="false" outlineLevel="0" collapsed="false">
      <c r="A774" s="38" t="str">
        <f aca="false">IF(OR(C774="",C774=0),"",IF(AND(OR($B$5="",G774=$B$5,H774=$B$5),OR($D$5="",F774=$D$5),OR($E$5="",K774=$E$5),OR($G$5="",L774=$G$5),OR($H$5="",N(J774)&gt;=$H$5),OR($I$5="",ISNUMBER(SEARCH($I$5,C774&amp;" "&amp;D774&amp;" "&amp;E774&amp;" "&amp;I774)))),"✓",""))</f>
        <v/>
      </c>
      <c r="B774" s="39" t="n">
        <v>46256</v>
      </c>
      <c r="C774" s="40" t="n">
        <f aca="false">'Aug 22'!$D$39</f>
        <v>0</v>
      </c>
      <c r="D774" s="40" t="n">
        <f aca="false">'Aug 22'!$B$39</f>
        <v>0</v>
      </c>
      <c r="E774" s="41" t="n">
        <f aca="false">'Aug 22'!$E$39</f>
        <v>0</v>
      </c>
      <c r="F774" s="40" t="n">
        <f aca="false">'Aug 22'!$A$39</f>
        <v>0</v>
      </c>
      <c r="G774" s="41" t="n">
        <f aca="false">'Aug 22'!$F$39</f>
        <v>0</v>
      </c>
      <c r="H774" s="41" t="n">
        <f aca="false">'Aug 22'!$G$39</f>
        <v>0</v>
      </c>
      <c r="I774" s="41" t="str">
        <f aca="false">'Aug 22'!$M$39</f>
        <v/>
      </c>
      <c r="J774" s="42" t="str">
        <f aca="false">'Aug 22'!$S$39</f>
        <v/>
      </c>
      <c r="K774" s="40" t="n">
        <f aca="false">'Aug 22'!$AG$39</f>
        <v>0</v>
      </c>
      <c r="L774" s="40" t="n">
        <f aca="false">'Aug 22'!$N$39</f>
        <v>0</v>
      </c>
    </row>
    <row r="775" customFormat="false" ht="15" hidden="false" customHeight="false" outlineLevel="0" collapsed="false">
      <c r="A775" s="38" t="str">
        <f aca="false">IF(OR(C775="",C775=0),"",IF(AND(OR($B$5="",G775=$B$5,H775=$B$5),OR($D$5="",F775=$D$5),OR($E$5="",K775=$E$5),OR($G$5="",L775=$G$5),OR($H$5="",N(J775)&gt;=$H$5),OR($I$5="",ISNUMBER(SEARCH($I$5,C775&amp;" "&amp;D775&amp;" "&amp;E775&amp;" "&amp;I775)))),"✓",""))</f>
        <v/>
      </c>
      <c r="B775" s="39" t="n">
        <v>46256</v>
      </c>
      <c r="C775" s="40" t="n">
        <f aca="false">'Aug 22'!$D$40</f>
        <v>0</v>
      </c>
      <c r="D775" s="40" t="n">
        <f aca="false">'Aug 22'!$B$40</f>
        <v>0</v>
      </c>
      <c r="E775" s="41" t="n">
        <f aca="false">'Aug 22'!$E$40</f>
        <v>0</v>
      </c>
      <c r="F775" s="40" t="n">
        <f aca="false">'Aug 22'!$A$40</f>
        <v>0</v>
      </c>
      <c r="G775" s="41" t="n">
        <f aca="false">'Aug 22'!$F$40</f>
        <v>0</v>
      </c>
      <c r="H775" s="41" t="n">
        <f aca="false">'Aug 22'!$G$40</f>
        <v>0</v>
      </c>
      <c r="I775" s="41" t="str">
        <f aca="false">'Aug 22'!$M$40</f>
        <v/>
      </c>
      <c r="J775" s="42" t="str">
        <f aca="false">'Aug 22'!$S$40</f>
        <v/>
      </c>
      <c r="K775" s="40" t="n">
        <f aca="false">'Aug 22'!$AG$40</f>
        <v>0</v>
      </c>
      <c r="L775" s="40" t="n">
        <f aca="false">'Aug 22'!$N$40</f>
        <v>0</v>
      </c>
    </row>
    <row r="776" customFormat="false" ht="15" hidden="false" customHeight="false" outlineLevel="0" collapsed="false">
      <c r="A776" s="38" t="str">
        <f aca="false">IF(OR(C776="",C776=0),"",IF(AND(OR($B$5="",G776=$B$5,H776=$B$5),OR($D$5="",F776=$D$5),OR($E$5="",K776=$E$5),OR($G$5="",L776=$G$5),OR($H$5="",N(J776)&gt;=$H$5),OR($I$5="",ISNUMBER(SEARCH($I$5,C776&amp;" "&amp;D776&amp;" "&amp;E776&amp;" "&amp;I776)))),"✓",""))</f>
        <v/>
      </c>
      <c r="B776" s="39" t="n">
        <v>46256</v>
      </c>
      <c r="C776" s="40" t="n">
        <f aca="false">'Aug 22'!$D$41</f>
        <v>0</v>
      </c>
      <c r="D776" s="40" t="n">
        <f aca="false">'Aug 22'!$B$41</f>
        <v>0</v>
      </c>
      <c r="E776" s="41" t="n">
        <f aca="false">'Aug 22'!$E$41</f>
        <v>0</v>
      </c>
      <c r="F776" s="40" t="n">
        <f aca="false">'Aug 22'!$A$41</f>
        <v>0</v>
      </c>
      <c r="G776" s="41" t="n">
        <f aca="false">'Aug 22'!$F$41</f>
        <v>0</v>
      </c>
      <c r="H776" s="41" t="n">
        <f aca="false">'Aug 22'!$G$41</f>
        <v>0</v>
      </c>
      <c r="I776" s="41" t="str">
        <f aca="false">'Aug 22'!$M$41</f>
        <v/>
      </c>
      <c r="J776" s="42" t="str">
        <f aca="false">'Aug 22'!$S$41</f>
        <v/>
      </c>
      <c r="K776" s="40" t="n">
        <f aca="false">'Aug 22'!$AG$41</f>
        <v>0</v>
      </c>
      <c r="L776" s="40" t="n">
        <f aca="false">'Aug 22'!$N$41</f>
        <v>0</v>
      </c>
    </row>
    <row r="777" customFormat="false" ht="15" hidden="false" customHeight="false" outlineLevel="0" collapsed="false">
      <c r="A777" s="38" t="str">
        <f aca="false">IF(OR(C777="",C777=0),"",IF(AND(OR($B$5="",G777=$B$5,H777=$B$5),OR($D$5="",F777=$D$5),OR($E$5="",K777=$E$5),OR($G$5="",L777=$G$5),OR($H$5="",N(J777)&gt;=$H$5),OR($I$5="",ISNUMBER(SEARCH($I$5,C777&amp;" "&amp;D777&amp;" "&amp;E777&amp;" "&amp;I777)))),"✓",""))</f>
        <v/>
      </c>
      <c r="B777" s="39" t="n">
        <v>46256</v>
      </c>
      <c r="C777" s="40" t="n">
        <f aca="false">'Aug 22'!$D$42</f>
        <v>0</v>
      </c>
      <c r="D777" s="40" t="n">
        <f aca="false">'Aug 22'!$B$42</f>
        <v>0</v>
      </c>
      <c r="E777" s="41" t="n">
        <f aca="false">'Aug 22'!$E$42</f>
        <v>0</v>
      </c>
      <c r="F777" s="40" t="n">
        <f aca="false">'Aug 22'!$A$42</f>
        <v>0</v>
      </c>
      <c r="G777" s="41" t="n">
        <f aca="false">'Aug 22'!$F$42</f>
        <v>0</v>
      </c>
      <c r="H777" s="41" t="n">
        <f aca="false">'Aug 22'!$G$42</f>
        <v>0</v>
      </c>
      <c r="I777" s="41" t="str">
        <f aca="false">'Aug 22'!$M$42</f>
        <v/>
      </c>
      <c r="J777" s="42" t="str">
        <f aca="false">'Aug 22'!$S$42</f>
        <v/>
      </c>
      <c r="K777" s="40" t="n">
        <f aca="false">'Aug 22'!$AG$42</f>
        <v>0</v>
      </c>
      <c r="L777" s="40" t="n">
        <f aca="false">'Aug 22'!$N$42</f>
        <v>0</v>
      </c>
    </row>
    <row r="778" customFormat="false" ht="15" hidden="false" customHeight="false" outlineLevel="0" collapsed="false">
      <c r="A778" s="38" t="str">
        <f aca="false">IF(OR(C778="",C778=0),"",IF(AND(OR($B$5="",G778=$B$5,H778=$B$5),OR($D$5="",F778=$D$5),OR($E$5="",K778=$E$5),OR($G$5="",L778=$G$5),OR($H$5="",N(J778)&gt;=$H$5),OR($I$5="",ISNUMBER(SEARCH($I$5,C778&amp;" "&amp;D778&amp;" "&amp;E778&amp;" "&amp;I778)))),"✓",""))</f>
        <v/>
      </c>
      <c r="B778" s="39" t="n">
        <v>46257</v>
      </c>
      <c r="C778" s="40" t="n">
        <f aca="false">'Aug 23'!$D$8</f>
        <v>0</v>
      </c>
      <c r="D778" s="40" t="n">
        <f aca="false">'Aug 23'!$B$8</f>
        <v>0</v>
      </c>
      <c r="E778" s="41" t="n">
        <f aca="false">'Aug 23'!$E$8</f>
        <v>0</v>
      </c>
      <c r="F778" s="40" t="n">
        <f aca="false">'Aug 23'!$A$8</f>
        <v>0</v>
      </c>
      <c r="G778" s="41" t="n">
        <f aca="false">'Aug 23'!$F$8</f>
        <v>0</v>
      </c>
      <c r="H778" s="41" t="n">
        <f aca="false">'Aug 23'!$G$8</f>
        <v>0</v>
      </c>
      <c r="I778" s="41" t="str">
        <f aca="false">'Aug 23'!$M$8</f>
        <v/>
      </c>
      <c r="J778" s="42" t="str">
        <f aca="false">'Aug 23'!$S$8</f>
        <v/>
      </c>
      <c r="K778" s="40" t="n">
        <f aca="false">'Aug 23'!$AG$8</f>
        <v>0</v>
      </c>
      <c r="L778" s="40" t="n">
        <f aca="false">'Aug 23'!$N$8</f>
        <v>0</v>
      </c>
    </row>
    <row r="779" customFormat="false" ht="15" hidden="false" customHeight="false" outlineLevel="0" collapsed="false">
      <c r="A779" s="38" t="str">
        <f aca="false">IF(OR(C779="",C779=0),"",IF(AND(OR($B$5="",G779=$B$5,H779=$B$5),OR($D$5="",F779=$D$5),OR($E$5="",K779=$E$5),OR($G$5="",L779=$G$5),OR($H$5="",N(J779)&gt;=$H$5),OR($I$5="",ISNUMBER(SEARCH($I$5,C779&amp;" "&amp;D779&amp;" "&amp;E779&amp;" "&amp;I779)))),"✓",""))</f>
        <v/>
      </c>
      <c r="B779" s="39" t="n">
        <v>46257</v>
      </c>
      <c r="C779" s="40" t="n">
        <f aca="false">'Aug 23'!$D$9</f>
        <v>0</v>
      </c>
      <c r="D779" s="40" t="n">
        <f aca="false">'Aug 23'!$B$9</f>
        <v>0</v>
      </c>
      <c r="E779" s="41" t="n">
        <f aca="false">'Aug 23'!$E$9</f>
        <v>0</v>
      </c>
      <c r="F779" s="40" t="n">
        <f aca="false">'Aug 23'!$A$9</f>
        <v>0</v>
      </c>
      <c r="G779" s="41" t="n">
        <f aca="false">'Aug 23'!$F$9</f>
        <v>0</v>
      </c>
      <c r="H779" s="41" t="n">
        <f aca="false">'Aug 23'!$G$9</f>
        <v>0</v>
      </c>
      <c r="I779" s="41" t="str">
        <f aca="false">'Aug 23'!$M$9</f>
        <v/>
      </c>
      <c r="J779" s="42" t="str">
        <f aca="false">'Aug 23'!$S$9</f>
        <v/>
      </c>
      <c r="K779" s="40" t="n">
        <f aca="false">'Aug 23'!$AG$9</f>
        <v>0</v>
      </c>
      <c r="L779" s="40" t="n">
        <f aca="false">'Aug 23'!$N$9</f>
        <v>0</v>
      </c>
    </row>
    <row r="780" customFormat="false" ht="15" hidden="false" customHeight="false" outlineLevel="0" collapsed="false">
      <c r="A780" s="38" t="str">
        <f aca="false">IF(OR(C780="",C780=0),"",IF(AND(OR($B$5="",G780=$B$5,H780=$B$5),OR($D$5="",F780=$D$5),OR($E$5="",K780=$E$5),OR($G$5="",L780=$G$5),OR($H$5="",N(J780)&gt;=$H$5),OR($I$5="",ISNUMBER(SEARCH($I$5,C780&amp;" "&amp;D780&amp;" "&amp;E780&amp;" "&amp;I780)))),"✓",""))</f>
        <v/>
      </c>
      <c r="B780" s="39" t="n">
        <v>46257</v>
      </c>
      <c r="C780" s="40" t="n">
        <f aca="false">'Aug 23'!$D$10</f>
        <v>0</v>
      </c>
      <c r="D780" s="40" t="n">
        <f aca="false">'Aug 23'!$B$10</f>
        <v>0</v>
      </c>
      <c r="E780" s="41" t="n">
        <f aca="false">'Aug 23'!$E$10</f>
        <v>0</v>
      </c>
      <c r="F780" s="40" t="n">
        <f aca="false">'Aug 23'!$A$10</f>
        <v>0</v>
      </c>
      <c r="G780" s="41" t="n">
        <f aca="false">'Aug 23'!$F$10</f>
        <v>0</v>
      </c>
      <c r="H780" s="41" t="n">
        <f aca="false">'Aug 23'!$G$10</f>
        <v>0</v>
      </c>
      <c r="I780" s="41" t="str">
        <f aca="false">'Aug 23'!$M$10</f>
        <v/>
      </c>
      <c r="J780" s="42" t="str">
        <f aca="false">'Aug 23'!$S$10</f>
        <v/>
      </c>
      <c r="K780" s="40" t="n">
        <f aca="false">'Aug 23'!$AG$10</f>
        <v>0</v>
      </c>
      <c r="L780" s="40" t="n">
        <f aca="false">'Aug 23'!$N$10</f>
        <v>0</v>
      </c>
    </row>
    <row r="781" customFormat="false" ht="15" hidden="false" customHeight="false" outlineLevel="0" collapsed="false">
      <c r="A781" s="38" t="str">
        <f aca="false">IF(OR(C781="",C781=0),"",IF(AND(OR($B$5="",G781=$B$5,H781=$B$5),OR($D$5="",F781=$D$5),OR($E$5="",K781=$E$5),OR($G$5="",L781=$G$5),OR($H$5="",N(J781)&gt;=$H$5),OR($I$5="",ISNUMBER(SEARCH($I$5,C781&amp;" "&amp;D781&amp;" "&amp;E781&amp;" "&amp;I781)))),"✓",""))</f>
        <v/>
      </c>
      <c r="B781" s="39" t="n">
        <v>46257</v>
      </c>
      <c r="C781" s="40" t="n">
        <f aca="false">'Aug 23'!$D$11</f>
        <v>0</v>
      </c>
      <c r="D781" s="40" t="n">
        <f aca="false">'Aug 23'!$B$11</f>
        <v>0</v>
      </c>
      <c r="E781" s="41" t="n">
        <f aca="false">'Aug 23'!$E$11</f>
        <v>0</v>
      </c>
      <c r="F781" s="40" t="n">
        <f aca="false">'Aug 23'!$A$11</f>
        <v>0</v>
      </c>
      <c r="G781" s="41" t="n">
        <f aca="false">'Aug 23'!$F$11</f>
        <v>0</v>
      </c>
      <c r="H781" s="41" t="n">
        <f aca="false">'Aug 23'!$G$11</f>
        <v>0</v>
      </c>
      <c r="I781" s="41" t="str">
        <f aca="false">'Aug 23'!$M$11</f>
        <v/>
      </c>
      <c r="J781" s="42" t="str">
        <f aca="false">'Aug 23'!$S$11</f>
        <v/>
      </c>
      <c r="K781" s="40" t="n">
        <f aca="false">'Aug 23'!$AG$11</f>
        <v>0</v>
      </c>
      <c r="L781" s="40" t="n">
        <f aca="false">'Aug 23'!$N$11</f>
        <v>0</v>
      </c>
    </row>
    <row r="782" customFormat="false" ht="15" hidden="false" customHeight="false" outlineLevel="0" collapsed="false">
      <c r="A782" s="38" t="str">
        <f aca="false">IF(OR(C782="",C782=0),"",IF(AND(OR($B$5="",G782=$B$5,H782=$B$5),OR($D$5="",F782=$D$5),OR($E$5="",K782=$E$5),OR($G$5="",L782=$G$5),OR($H$5="",N(J782)&gt;=$H$5),OR($I$5="",ISNUMBER(SEARCH($I$5,C782&amp;" "&amp;D782&amp;" "&amp;E782&amp;" "&amp;I782)))),"✓",""))</f>
        <v/>
      </c>
      <c r="B782" s="39" t="n">
        <v>46257</v>
      </c>
      <c r="C782" s="40" t="n">
        <f aca="false">'Aug 23'!$D$12</f>
        <v>0</v>
      </c>
      <c r="D782" s="40" t="n">
        <f aca="false">'Aug 23'!$B$12</f>
        <v>0</v>
      </c>
      <c r="E782" s="41" t="n">
        <f aca="false">'Aug 23'!$E$12</f>
        <v>0</v>
      </c>
      <c r="F782" s="40" t="n">
        <f aca="false">'Aug 23'!$A$12</f>
        <v>0</v>
      </c>
      <c r="G782" s="41" t="n">
        <f aca="false">'Aug 23'!$F$12</f>
        <v>0</v>
      </c>
      <c r="H782" s="41" t="n">
        <f aca="false">'Aug 23'!$G$12</f>
        <v>0</v>
      </c>
      <c r="I782" s="41" t="str">
        <f aca="false">'Aug 23'!$M$12</f>
        <v/>
      </c>
      <c r="J782" s="42" t="str">
        <f aca="false">'Aug 23'!$S$12</f>
        <v/>
      </c>
      <c r="K782" s="40" t="n">
        <f aca="false">'Aug 23'!$AG$12</f>
        <v>0</v>
      </c>
      <c r="L782" s="40" t="n">
        <f aca="false">'Aug 23'!$N$12</f>
        <v>0</v>
      </c>
    </row>
    <row r="783" customFormat="false" ht="15" hidden="false" customHeight="false" outlineLevel="0" collapsed="false">
      <c r="A783" s="38" t="str">
        <f aca="false">IF(OR(C783="",C783=0),"",IF(AND(OR($B$5="",G783=$B$5,H783=$B$5),OR($D$5="",F783=$D$5),OR($E$5="",K783=$E$5),OR($G$5="",L783=$G$5),OR($H$5="",N(J783)&gt;=$H$5),OR($I$5="",ISNUMBER(SEARCH($I$5,C783&amp;" "&amp;D783&amp;" "&amp;E783&amp;" "&amp;I783)))),"✓",""))</f>
        <v/>
      </c>
      <c r="B783" s="39" t="n">
        <v>46257</v>
      </c>
      <c r="C783" s="40" t="n">
        <f aca="false">'Aug 23'!$D$13</f>
        <v>0</v>
      </c>
      <c r="D783" s="40" t="n">
        <f aca="false">'Aug 23'!$B$13</f>
        <v>0</v>
      </c>
      <c r="E783" s="41" t="n">
        <f aca="false">'Aug 23'!$E$13</f>
        <v>0</v>
      </c>
      <c r="F783" s="40" t="n">
        <f aca="false">'Aug 23'!$A$13</f>
        <v>0</v>
      </c>
      <c r="G783" s="41" t="n">
        <f aca="false">'Aug 23'!$F$13</f>
        <v>0</v>
      </c>
      <c r="H783" s="41" t="n">
        <f aca="false">'Aug 23'!$G$13</f>
        <v>0</v>
      </c>
      <c r="I783" s="41" t="str">
        <f aca="false">'Aug 23'!$M$13</f>
        <v/>
      </c>
      <c r="J783" s="42" t="str">
        <f aca="false">'Aug 23'!$S$13</f>
        <v/>
      </c>
      <c r="K783" s="40" t="n">
        <f aca="false">'Aug 23'!$AG$13</f>
        <v>0</v>
      </c>
      <c r="L783" s="40" t="n">
        <f aca="false">'Aug 23'!$N$13</f>
        <v>0</v>
      </c>
    </row>
    <row r="784" customFormat="false" ht="15" hidden="false" customHeight="false" outlineLevel="0" collapsed="false">
      <c r="A784" s="38" t="str">
        <f aca="false">IF(OR(C784="",C784=0),"",IF(AND(OR($B$5="",G784=$B$5,H784=$B$5),OR($D$5="",F784=$D$5),OR($E$5="",K784=$E$5),OR($G$5="",L784=$G$5),OR($H$5="",N(J784)&gt;=$H$5),OR($I$5="",ISNUMBER(SEARCH($I$5,C784&amp;" "&amp;D784&amp;" "&amp;E784&amp;" "&amp;I784)))),"✓",""))</f>
        <v/>
      </c>
      <c r="B784" s="39" t="n">
        <v>46257</v>
      </c>
      <c r="C784" s="40" t="n">
        <f aca="false">'Aug 23'!$D$14</f>
        <v>0</v>
      </c>
      <c r="D784" s="40" t="n">
        <f aca="false">'Aug 23'!$B$14</f>
        <v>0</v>
      </c>
      <c r="E784" s="41" t="n">
        <f aca="false">'Aug 23'!$E$14</f>
        <v>0</v>
      </c>
      <c r="F784" s="40" t="n">
        <f aca="false">'Aug 23'!$A$14</f>
        <v>0</v>
      </c>
      <c r="G784" s="41" t="n">
        <f aca="false">'Aug 23'!$F$14</f>
        <v>0</v>
      </c>
      <c r="H784" s="41" t="n">
        <f aca="false">'Aug 23'!$G$14</f>
        <v>0</v>
      </c>
      <c r="I784" s="41" t="str">
        <f aca="false">'Aug 23'!$M$14</f>
        <v/>
      </c>
      <c r="J784" s="42" t="str">
        <f aca="false">'Aug 23'!$S$14</f>
        <v/>
      </c>
      <c r="K784" s="40" t="n">
        <f aca="false">'Aug 23'!$AG$14</f>
        <v>0</v>
      </c>
      <c r="L784" s="40" t="n">
        <f aca="false">'Aug 23'!$N$14</f>
        <v>0</v>
      </c>
    </row>
    <row r="785" customFormat="false" ht="15" hidden="false" customHeight="false" outlineLevel="0" collapsed="false">
      <c r="A785" s="38" t="str">
        <f aca="false">IF(OR(C785="",C785=0),"",IF(AND(OR($B$5="",G785=$B$5,H785=$B$5),OR($D$5="",F785=$D$5),OR($E$5="",K785=$E$5),OR($G$5="",L785=$G$5),OR($H$5="",N(J785)&gt;=$H$5),OR($I$5="",ISNUMBER(SEARCH($I$5,C785&amp;" "&amp;D785&amp;" "&amp;E785&amp;" "&amp;I785)))),"✓",""))</f>
        <v/>
      </c>
      <c r="B785" s="39" t="n">
        <v>46257</v>
      </c>
      <c r="C785" s="40" t="n">
        <f aca="false">'Aug 23'!$D$15</f>
        <v>0</v>
      </c>
      <c r="D785" s="40" t="n">
        <f aca="false">'Aug 23'!$B$15</f>
        <v>0</v>
      </c>
      <c r="E785" s="41" t="n">
        <f aca="false">'Aug 23'!$E$15</f>
        <v>0</v>
      </c>
      <c r="F785" s="40" t="n">
        <f aca="false">'Aug 23'!$A$15</f>
        <v>0</v>
      </c>
      <c r="G785" s="41" t="n">
        <f aca="false">'Aug 23'!$F$15</f>
        <v>0</v>
      </c>
      <c r="H785" s="41" t="n">
        <f aca="false">'Aug 23'!$G$15</f>
        <v>0</v>
      </c>
      <c r="I785" s="41" t="str">
        <f aca="false">'Aug 23'!$M$15</f>
        <v/>
      </c>
      <c r="J785" s="42" t="str">
        <f aca="false">'Aug 23'!$S$15</f>
        <v/>
      </c>
      <c r="K785" s="40" t="n">
        <f aca="false">'Aug 23'!$AG$15</f>
        <v>0</v>
      </c>
      <c r="L785" s="40" t="n">
        <f aca="false">'Aug 23'!$N$15</f>
        <v>0</v>
      </c>
    </row>
    <row r="786" customFormat="false" ht="15" hidden="false" customHeight="false" outlineLevel="0" collapsed="false">
      <c r="A786" s="38" t="str">
        <f aca="false">IF(OR(C786="",C786=0),"",IF(AND(OR($B$5="",G786=$B$5,H786=$B$5),OR($D$5="",F786=$D$5),OR($E$5="",K786=$E$5),OR($G$5="",L786=$G$5),OR($H$5="",N(J786)&gt;=$H$5),OR($I$5="",ISNUMBER(SEARCH($I$5,C786&amp;" "&amp;D786&amp;" "&amp;E786&amp;" "&amp;I786)))),"✓",""))</f>
        <v/>
      </c>
      <c r="B786" s="39" t="n">
        <v>46257</v>
      </c>
      <c r="C786" s="40" t="n">
        <f aca="false">'Aug 23'!$D$16</f>
        <v>0</v>
      </c>
      <c r="D786" s="40" t="n">
        <f aca="false">'Aug 23'!$B$16</f>
        <v>0</v>
      </c>
      <c r="E786" s="41" t="n">
        <f aca="false">'Aug 23'!$E$16</f>
        <v>0</v>
      </c>
      <c r="F786" s="40" t="n">
        <f aca="false">'Aug 23'!$A$16</f>
        <v>0</v>
      </c>
      <c r="G786" s="41" t="n">
        <f aca="false">'Aug 23'!$F$16</f>
        <v>0</v>
      </c>
      <c r="H786" s="41" t="n">
        <f aca="false">'Aug 23'!$G$16</f>
        <v>0</v>
      </c>
      <c r="I786" s="41" t="str">
        <f aca="false">'Aug 23'!$M$16</f>
        <v/>
      </c>
      <c r="J786" s="42" t="str">
        <f aca="false">'Aug 23'!$S$16</f>
        <v/>
      </c>
      <c r="K786" s="40" t="n">
        <f aca="false">'Aug 23'!$AG$16</f>
        <v>0</v>
      </c>
      <c r="L786" s="40" t="n">
        <f aca="false">'Aug 23'!$N$16</f>
        <v>0</v>
      </c>
    </row>
    <row r="787" customFormat="false" ht="15" hidden="false" customHeight="false" outlineLevel="0" collapsed="false">
      <c r="A787" s="38" t="str">
        <f aca="false">IF(OR(C787="",C787=0),"",IF(AND(OR($B$5="",G787=$B$5,H787=$B$5),OR($D$5="",F787=$D$5),OR($E$5="",K787=$E$5),OR($G$5="",L787=$G$5),OR($H$5="",N(J787)&gt;=$H$5),OR($I$5="",ISNUMBER(SEARCH($I$5,C787&amp;" "&amp;D787&amp;" "&amp;E787&amp;" "&amp;I787)))),"✓",""))</f>
        <v/>
      </c>
      <c r="B787" s="39" t="n">
        <v>46257</v>
      </c>
      <c r="C787" s="40" t="n">
        <f aca="false">'Aug 23'!$D$17</f>
        <v>0</v>
      </c>
      <c r="D787" s="40" t="n">
        <f aca="false">'Aug 23'!$B$17</f>
        <v>0</v>
      </c>
      <c r="E787" s="41" t="n">
        <f aca="false">'Aug 23'!$E$17</f>
        <v>0</v>
      </c>
      <c r="F787" s="40" t="n">
        <f aca="false">'Aug 23'!$A$17</f>
        <v>0</v>
      </c>
      <c r="G787" s="41" t="n">
        <f aca="false">'Aug 23'!$F$17</f>
        <v>0</v>
      </c>
      <c r="H787" s="41" t="n">
        <f aca="false">'Aug 23'!$G$17</f>
        <v>0</v>
      </c>
      <c r="I787" s="41" t="str">
        <f aca="false">'Aug 23'!$M$17</f>
        <v/>
      </c>
      <c r="J787" s="42" t="str">
        <f aca="false">'Aug 23'!$S$17</f>
        <v/>
      </c>
      <c r="K787" s="40" t="n">
        <f aca="false">'Aug 23'!$AG$17</f>
        <v>0</v>
      </c>
      <c r="L787" s="40" t="n">
        <f aca="false">'Aug 23'!$N$17</f>
        <v>0</v>
      </c>
    </row>
    <row r="788" customFormat="false" ht="15" hidden="false" customHeight="false" outlineLevel="0" collapsed="false">
      <c r="A788" s="38" t="str">
        <f aca="false">IF(OR(C788="",C788=0),"",IF(AND(OR($B$5="",G788=$B$5,H788=$B$5),OR($D$5="",F788=$D$5),OR($E$5="",K788=$E$5),OR($G$5="",L788=$G$5),OR($H$5="",N(J788)&gt;=$H$5),OR($I$5="",ISNUMBER(SEARCH($I$5,C788&amp;" "&amp;D788&amp;" "&amp;E788&amp;" "&amp;I788)))),"✓",""))</f>
        <v/>
      </c>
      <c r="B788" s="39" t="n">
        <v>46257</v>
      </c>
      <c r="C788" s="40" t="n">
        <f aca="false">'Aug 23'!$D$18</f>
        <v>0</v>
      </c>
      <c r="D788" s="40" t="n">
        <f aca="false">'Aug 23'!$B$18</f>
        <v>0</v>
      </c>
      <c r="E788" s="41" t="n">
        <f aca="false">'Aug 23'!$E$18</f>
        <v>0</v>
      </c>
      <c r="F788" s="40" t="n">
        <f aca="false">'Aug 23'!$A$18</f>
        <v>0</v>
      </c>
      <c r="G788" s="41" t="n">
        <f aca="false">'Aug 23'!$F$18</f>
        <v>0</v>
      </c>
      <c r="H788" s="41" t="n">
        <f aca="false">'Aug 23'!$G$18</f>
        <v>0</v>
      </c>
      <c r="I788" s="41" t="str">
        <f aca="false">'Aug 23'!$M$18</f>
        <v/>
      </c>
      <c r="J788" s="42" t="str">
        <f aca="false">'Aug 23'!$S$18</f>
        <v/>
      </c>
      <c r="K788" s="40" t="n">
        <f aca="false">'Aug 23'!$AG$18</f>
        <v>0</v>
      </c>
      <c r="L788" s="40" t="n">
        <f aca="false">'Aug 23'!$N$18</f>
        <v>0</v>
      </c>
    </row>
    <row r="789" customFormat="false" ht="15" hidden="false" customHeight="false" outlineLevel="0" collapsed="false">
      <c r="A789" s="38" t="str">
        <f aca="false">IF(OR(C789="",C789=0),"",IF(AND(OR($B$5="",G789=$B$5,H789=$B$5),OR($D$5="",F789=$D$5),OR($E$5="",K789=$E$5),OR($G$5="",L789=$G$5),OR($H$5="",N(J789)&gt;=$H$5),OR($I$5="",ISNUMBER(SEARCH($I$5,C789&amp;" "&amp;D789&amp;" "&amp;E789&amp;" "&amp;I789)))),"✓",""))</f>
        <v/>
      </c>
      <c r="B789" s="39" t="n">
        <v>46257</v>
      </c>
      <c r="C789" s="40" t="n">
        <f aca="false">'Aug 23'!$D$19</f>
        <v>0</v>
      </c>
      <c r="D789" s="40" t="n">
        <f aca="false">'Aug 23'!$B$19</f>
        <v>0</v>
      </c>
      <c r="E789" s="41" t="n">
        <f aca="false">'Aug 23'!$E$19</f>
        <v>0</v>
      </c>
      <c r="F789" s="40" t="n">
        <f aca="false">'Aug 23'!$A$19</f>
        <v>0</v>
      </c>
      <c r="G789" s="41" t="n">
        <f aca="false">'Aug 23'!$F$19</f>
        <v>0</v>
      </c>
      <c r="H789" s="41" t="n">
        <f aca="false">'Aug 23'!$G$19</f>
        <v>0</v>
      </c>
      <c r="I789" s="41" t="str">
        <f aca="false">'Aug 23'!$M$19</f>
        <v/>
      </c>
      <c r="J789" s="42" t="str">
        <f aca="false">'Aug 23'!$S$19</f>
        <v/>
      </c>
      <c r="K789" s="40" t="n">
        <f aca="false">'Aug 23'!$AG$19</f>
        <v>0</v>
      </c>
      <c r="L789" s="40" t="n">
        <f aca="false">'Aug 23'!$N$19</f>
        <v>0</v>
      </c>
    </row>
    <row r="790" customFormat="false" ht="15" hidden="false" customHeight="false" outlineLevel="0" collapsed="false">
      <c r="A790" s="38" t="str">
        <f aca="false">IF(OR(C790="",C790=0),"",IF(AND(OR($B$5="",G790=$B$5,H790=$B$5),OR($D$5="",F790=$D$5),OR($E$5="",K790=$E$5),OR($G$5="",L790=$G$5),OR($H$5="",N(J790)&gt;=$H$5),OR($I$5="",ISNUMBER(SEARCH($I$5,C790&amp;" "&amp;D790&amp;" "&amp;E790&amp;" "&amp;I790)))),"✓",""))</f>
        <v/>
      </c>
      <c r="B790" s="39" t="n">
        <v>46257</v>
      </c>
      <c r="C790" s="40" t="n">
        <f aca="false">'Aug 23'!$D$20</f>
        <v>0</v>
      </c>
      <c r="D790" s="40" t="n">
        <f aca="false">'Aug 23'!$B$20</f>
        <v>0</v>
      </c>
      <c r="E790" s="41" t="n">
        <f aca="false">'Aug 23'!$E$20</f>
        <v>0</v>
      </c>
      <c r="F790" s="40" t="n">
        <f aca="false">'Aug 23'!$A$20</f>
        <v>0</v>
      </c>
      <c r="G790" s="41" t="n">
        <f aca="false">'Aug 23'!$F$20</f>
        <v>0</v>
      </c>
      <c r="H790" s="41" t="n">
        <f aca="false">'Aug 23'!$G$20</f>
        <v>0</v>
      </c>
      <c r="I790" s="41" t="str">
        <f aca="false">'Aug 23'!$M$20</f>
        <v/>
      </c>
      <c r="J790" s="42" t="str">
        <f aca="false">'Aug 23'!$S$20</f>
        <v/>
      </c>
      <c r="K790" s="40" t="n">
        <f aca="false">'Aug 23'!$AG$20</f>
        <v>0</v>
      </c>
      <c r="L790" s="40" t="n">
        <f aca="false">'Aug 23'!$N$20</f>
        <v>0</v>
      </c>
    </row>
    <row r="791" customFormat="false" ht="15" hidden="false" customHeight="false" outlineLevel="0" collapsed="false">
      <c r="A791" s="38" t="str">
        <f aca="false">IF(OR(C791="",C791=0),"",IF(AND(OR($B$5="",G791=$B$5,H791=$B$5),OR($D$5="",F791=$D$5),OR($E$5="",K791=$E$5),OR($G$5="",L791=$G$5),OR($H$5="",N(J791)&gt;=$H$5),OR($I$5="",ISNUMBER(SEARCH($I$5,C791&amp;" "&amp;D791&amp;" "&amp;E791&amp;" "&amp;I791)))),"✓",""))</f>
        <v/>
      </c>
      <c r="B791" s="39" t="n">
        <v>46257</v>
      </c>
      <c r="C791" s="40" t="n">
        <f aca="false">'Aug 23'!$D$21</f>
        <v>0</v>
      </c>
      <c r="D791" s="40" t="n">
        <f aca="false">'Aug 23'!$B$21</f>
        <v>0</v>
      </c>
      <c r="E791" s="41" t="n">
        <f aca="false">'Aug 23'!$E$21</f>
        <v>0</v>
      </c>
      <c r="F791" s="40" t="n">
        <f aca="false">'Aug 23'!$A$21</f>
        <v>0</v>
      </c>
      <c r="G791" s="41" t="n">
        <f aca="false">'Aug 23'!$F$21</f>
        <v>0</v>
      </c>
      <c r="H791" s="41" t="n">
        <f aca="false">'Aug 23'!$G$21</f>
        <v>0</v>
      </c>
      <c r="I791" s="41" t="str">
        <f aca="false">'Aug 23'!$M$21</f>
        <v/>
      </c>
      <c r="J791" s="42" t="str">
        <f aca="false">'Aug 23'!$S$21</f>
        <v/>
      </c>
      <c r="K791" s="40" t="n">
        <f aca="false">'Aug 23'!$AG$21</f>
        <v>0</v>
      </c>
      <c r="L791" s="40" t="n">
        <f aca="false">'Aug 23'!$N$21</f>
        <v>0</v>
      </c>
    </row>
    <row r="792" customFormat="false" ht="15" hidden="false" customHeight="false" outlineLevel="0" collapsed="false">
      <c r="A792" s="38" t="str">
        <f aca="false">IF(OR(C792="",C792=0),"",IF(AND(OR($B$5="",G792=$B$5,H792=$B$5),OR($D$5="",F792=$D$5),OR($E$5="",K792=$E$5),OR($G$5="",L792=$G$5),OR($H$5="",N(J792)&gt;=$H$5),OR($I$5="",ISNUMBER(SEARCH($I$5,C792&amp;" "&amp;D792&amp;" "&amp;E792&amp;" "&amp;I792)))),"✓",""))</f>
        <v/>
      </c>
      <c r="B792" s="39" t="n">
        <v>46257</v>
      </c>
      <c r="C792" s="40" t="n">
        <f aca="false">'Aug 23'!$D$22</f>
        <v>0</v>
      </c>
      <c r="D792" s="40" t="n">
        <f aca="false">'Aug 23'!$B$22</f>
        <v>0</v>
      </c>
      <c r="E792" s="41" t="n">
        <f aca="false">'Aug 23'!$E$22</f>
        <v>0</v>
      </c>
      <c r="F792" s="40" t="n">
        <f aca="false">'Aug 23'!$A$22</f>
        <v>0</v>
      </c>
      <c r="G792" s="41" t="n">
        <f aca="false">'Aug 23'!$F$22</f>
        <v>0</v>
      </c>
      <c r="H792" s="41" t="n">
        <f aca="false">'Aug 23'!$G$22</f>
        <v>0</v>
      </c>
      <c r="I792" s="41" t="str">
        <f aca="false">'Aug 23'!$M$22</f>
        <v/>
      </c>
      <c r="J792" s="42" t="str">
        <f aca="false">'Aug 23'!$S$22</f>
        <v/>
      </c>
      <c r="K792" s="40" t="n">
        <f aca="false">'Aug 23'!$AG$22</f>
        <v>0</v>
      </c>
      <c r="L792" s="40" t="n">
        <f aca="false">'Aug 23'!$N$22</f>
        <v>0</v>
      </c>
    </row>
    <row r="793" customFormat="false" ht="15" hidden="false" customHeight="false" outlineLevel="0" collapsed="false">
      <c r="A793" s="38" t="str">
        <f aca="false">IF(OR(C793="",C793=0),"",IF(AND(OR($B$5="",G793=$B$5,H793=$B$5),OR($D$5="",F793=$D$5),OR($E$5="",K793=$E$5),OR($G$5="",L793=$G$5),OR($H$5="",N(J793)&gt;=$H$5),OR($I$5="",ISNUMBER(SEARCH($I$5,C793&amp;" "&amp;D793&amp;" "&amp;E793&amp;" "&amp;I793)))),"✓",""))</f>
        <v/>
      </c>
      <c r="B793" s="39" t="n">
        <v>46257</v>
      </c>
      <c r="C793" s="40" t="n">
        <f aca="false">'Aug 23'!$D$23</f>
        <v>0</v>
      </c>
      <c r="D793" s="40" t="n">
        <f aca="false">'Aug 23'!$B$23</f>
        <v>0</v>
      </c>
      <c r="E793" s="41" t="n">
        <f aca="false">'Aug 23'!$E$23</f>
        <v>0</v>
      </c>
      <c r="F793" s="40" t="n">
        <f aca="false">'Aug 23'!$A$23</f>
        <v>0</v>
      </c>
      <c r="G793" s="41" t="n">
        <f aca="false">'Aug 23'!$F$23</f>
        <v>0</v>
      </c>
      <c r="H793" s="41" t="n">
        <f aca="false">'Aug 23'!$G$23</f>
        <v>0</v>
      </c>
      <c r="I793" s="41" t="str">
        <f aca="false">'Aug 23'!$M$23</f>
        <v/>
      </c>
      <c r="J793" s="42" t="str">
        <f aca="false">'Aug 23'!$S$23</f>
        <v/>
      </c>
      <c r="K793" s="40" t="n">
        <f aca="false">'Aug 23'!$AG$23</f>
        <v>0</v>
      </c>
      <c r="L793" s="40" t="n">
        <f aca="false">'Aug 23'!$N$23</f>
        <v>0</v>
      </c>
    </row>
    <row r="794" customFormat="false" ht="15" hidden="false" customHeight="false" outlineLevel="0" collapsed="false">
      <c r="A794" s="38" t="str">
        <f aca="false">IF(OR(C794="",C794=0),"",IF(AND(OR($B$5="",G794=$B$5,H794=$B$5),OR($D$5="",F794=$D$5),OR($E$5="",K794=$E$5),OR($G$5="",L794=$G$5),OR($H$5="",N(J794)&gt;=$H$5),OR($I$5="",ISNUMBER(SEARCH($I$5,C794&amp;" "&amp;D794&amp;" "&amp;E794&amp;" "&amp;I794)))),"✓",""))</f>
        <v/>
      </c>
      <c r="B794" s="39" t="n">
        <v>46257</v>
      </c>
      <c r="C794" s="40" t="n">
        <f aca="false">'Aug 23'!$D$24</f>
        <v>0</v>
      </c>
      <c r="D794" s="40" t="n">
        <f aca="false">'Aug 23'!$B$24</f>
        <v>0</v>
      </c>
      <c r="E794" s="41" t="n">
        <f aca="false">'Aug 23'!$E$24</f>
        <v>0</v>
      </c>
      <c r="F794" s="40" t="n">
        <f aca="false">'Aug 23'!$A$24</f>
        <v>0</v>
      </c>
      <c r="G794" s="41" t="n">
        <f aca="false">'Aug 23'!$F$24</f>
        <v>0</v>
      </c>
      <c r="H794" s="41" t="n">
        <f aca="false">'Aug 23'!$G$24</f>
        <v>0</v>
      </c>
      <c r="I794" s="41" t="str">
        <f aca="false">'Aug 23'!$M$24</f>
        <v/>
      </c>
      <c r="J794" s="42" t="str">
        <f aca="false">'Aug 23'!$S$24</f>
        <v/>
      </c>
      <c r="K794" s="40" t="n">
        <f aca="false">'Aug 23'!$AG$24</f>
        <v>0</v>
      </c>
      <c r="L794" s="40" t="n">
        <f aca="false">'Aug 23'!$N$24</f>
        <v>0</v>
      </c>
    </row>
    <row r="795" customFormat="false" ht="15" hidden="false" customHeight="false" outlineLevel="0" collapsed="false">
      <c r="A795" s="38" t="str">
        <f aca="false">IF(OR(C795="",C795=0),"",IF(AND(OR($B$5="",G795=$B$5,H795=$B$5),OR($D$5="",F795=$D$5),OR($E$5="",K795=$E$5),OR($G$5="",L795=$G$5),OR($H$5="",N(J795)&gt;=$H$5),OR($I$5="",ISNUMBER(SEARCH($I$5,C795&amp;" "&amp;D795&amp;" "&amp;E795&amp;" "&amp;I795)))),"✓",""))</f>
        <v/>
      </c>
      <c r="B795" s="39" t="n">
        <v>46257</v>
      </c>
      <c r="C795" s="40" t="n">
        <f aca="false">'Aug 23'!$D$25</f>
        <v>0</v>
      </c>
      <c r="D795" s="40" t="n">
        <f aca="false">'Aug 23'!$B$25</f>
        <v>0</v>
      </c>
      <c r="E795" s="41" t="n">
        <f aca="false">'Aug 23'!$E$25</f>
        <v>0</v>
      </c>
      <c r="F795" s="40" t="n">
        <f aca="false">'Aug 23'!$A$25</f>
        <v>0</v>
      </c>
      <c r="G795" s="41" t="n">
        <f aca="false">'Aug 23'!$F$25</f>
        <v>0</v>
      </c>
      <c r="H795" s="41" t="n">
        <f aca="false">'Aug 23'!$G$25</f>
        <v>0</v>
      </c>
      <c r="I795" s="41" t="str">
        <f aca="false">'Aug 23'!$M$25</f>
        <v/>
      </c>
      <c r="J795" s="42" t="str">
        <f aca="false">'Aug 23'!$S$25</f>
        <v/>
      </c>
      <c r="K795" s="40" t="n">
        <f aca="false">'Aug 23'!$AG$25</f>
        <v>0</v>
      </c>
      <c r="L795" s="40" t="n">
        <f aca="false">'Aug 23'!$N$25</f>
        <v>0</v>
      </c>
    </row>
    <row r="796" customFormat="false" ht="15" hidden="false" customHeight="false" outlineLevel="0" collapsed="false">
      <c r="A796" s="38" t="str">
        <f aca="false">IF(OR(C796="",C796=0),"",IF(AND(OR($B$5="",G796=$B$5,H796=$B$5),OR($D$5="",F796=$D$5),OR($E$5="",K796=$E$5),OR($G$5="",L796=$G$5),OR($H$5="",N(J796)&gt;=$H$5),OR($I$5="",ISNUMBER(SEARCH($I$5,C796&amp;" "&amp;D796&amp;" "&amp;E796&amp;" "&amp;I796)))),"✓",""))</f>
        <v/>
      </c>
      <c r="B796" s="39" t="n">
        <v>46257</v>
      </c>
      <c r="C796" s="40" t="n">
        <f aca="false">'Aug 23'!$D$26</f>
        <v>0</v>
      </c>
      <c r="D796" s="40" t="n">
        <f aca="false">'Aug 23'!$B$26</f>
        <v>0</v>
      </c>
      <c r="E796" s="41" t="n">
        <f aca="false">'Aug 23'!$E$26</f>
        <v>0</v>
      </c>
      <c r="F796" s="40" t="n">
        <f aca="false">'Aug 23'!$A$26</f>
        <v>0</v>
      </c>
      <c r="G796" s="41" t="n">
        <f aca="false">'Aug 23'!$F$26</f>
        <v>0</v>
      </c>
      <c r="H796" s="41" t="n">
        <f aca="false">'Aug 23'!$G$26</f>
        <v>0</v>
      </c>
      <c r="I796" s="41" t="str">
        <f aca="false">'Aug 23'!$M$26</f>
        <v/>
      </c>
      <c r="J796" s="42" t="str">
        <f aca="false">'Aug 23'!$S$26</f>
        <v/>
      </c>
      <c r="K796" s="40" t="n">
        <f aca="false">'Aug 23'!$AG$26</f>
        <v>0</v>
      </c>
      <c r="L796" s="40" t="n">
        <f aca="false">'Aug 23'!$N$26</f>
        <v>0</v>
      </c>
    </row>
    <row r="797" customFormat="false" ht="15" hidden="false" customHeight="false" outlineLevel="0" collapsed="false">
      <c r="A797" s="38" t="str">
        <f aca="false">IF(OR(C797="",C797=0),"",IF(AND(OR($B$5="",G797=$B$5,H797=$B$5),OR($D$5="",F797=$D$5),OR($E$5="",K797=$E$5),OR($G$5="",L797=$G$5),OR($H$5="",N(J797)&gt;=$H$5),OR($I$5="",ISNUMBER(SEARCH($I$5,C797&amp;" "&amp;D797&amp;" "&amp;E797&amp;" "&amp;I797)))),"✓",""))</f>
        <v/>
      </c>
      <c r="B797" s="39" t="n">
        <v>46257</v>
      </c>
      <c r="C797" s="40" t="n">
        <f aca="false">'Aug 23'!$D$27</f>
        <v>0</v>
      </c>
      <c r="D797" s="40" t="n">
        <f aca="false">'Aug 23'!$B$27</f>
        <v>0</v>
      </c>
      <c r="E797" s="41" t="n">
        <f aca="false">'Aug 23'!$E$27</f>
        <v>0</v>
      </c>
      <c r="F797" s="40" t="n">
        <f aca="false">'Aug 23'!$A$27</f>
        <v>0</v>
      </c>
      <c r="G797" s="41" t="n">
        <f aca="false">'Aug 23'!$F$27</f>
        <v>0</v>
      </c>
      <c r="H797" s="41" t="n">
        <f aca="false">'Aug 23'!$G$27</f>
        <v>0</v>
      </c>
      <c r="I797" s="41" t="str">
        <f aca="false">'Aug 23'!$M$27</f>
        <v/>
      </c>
      <c r="J797" s="42" t="str">
        <f aca="false">'Aug 23'!$S$27</f>
        <v/>
      </c>
      <c r="K797" s="40" t="n">
        <f aca="false">'Aug 23'!$AG$27</f>
        <v>0</v>
      </c>
      <c r="L797" s="40" t="n">
        <f aca="false">'Aug 23'!$N$27</f>
        <v>0</v>
      </c>
    </row>
    <row r="798" customFormat="false" ht="15" hidden="false" customHeight="false" outlineLevel="0" collapsed="false">
      <c r="A798" s="38" t="str">
        <f aca="false">IF(OR(C798="",C798=0),"",IF(AND(OR($B$5="",G798=$B$5,H798=$B$5),OR($D$5="",F798=$D$5),OR($E$5="",K798=$E$5),OR($G$5="",L798=$G$5),OR($H$5="",N(J798)&gt;=$H$5),OR($I$5="",ISNUMBER(SEARCH($I$5,C798&amp;" "&amp;D798&amp;" "&amp;E798&amp;" "&amp;I798)))),"✓",""))</f>
        <v/>
      </c>
      <c r="B798" s="39" t="n">
        <v>46257</v>
      </c>
      <c r="C798" s="40" t="n">
        <f aca="false">'Aug 23'!$D$28</f>
        <v>0</v>
      </c>
      <c r="D798" s="40" t="n">
        <f aca="false">'Aug 23'!$B$28</f>
        <v>0</v>
      </c>
      <c r="E798" s="41" t="n">
        <f aca="false">'Aug 23'!$E$28</f>
        <v>0</v>
      </c>
      <c r="F798" s="40" t="n">
        <f aca="false">'Aug 23'!$A$28</f>
        <v>0</v>
      </c>
      <c r="G798" s="41" t="n">
        <f aca="false">'Aug 23'!$F$28</f>
        <v>0</v>
      </c>
      <c r="H798" s="41" t="n">
        <f aca="false">'Aug 23'!$G$28</f>
        <v>0</v>
      </c>
      <c r="I798" s="41" t="str">
        <f aca="false">'Aug 23'!$M$28</f>
        <v/>
      </c>
      <c r="J798" s="42" t="str">
        <f aca="false">'Aug 23'!$S$28</f>
        <v/>
      </c>
      <c r="K798" s="40" t="n">
        <f aca="false">'Aug 23'!$AG$28</f>
        <v>0</v>
      </c>
      <c r="L798" s="40" t="n">
        <f aca="false">'Aug 23'!$N$28</f>
        <v>0</v>
      </c>
    </row>
    <row r="799" customFormat="false" ht="15" hidden="false" customHeight="false" outlineLevel="0" collapsed="false">
      <c r="A799" s="38" t="str">
        <f aca="false">IF(OR(C799="",C799=0),"",IF(AND(OR($B$5="",G799=$B$5,H799=$B$5),OR($D$5="",F799=$D$5),OR($E$5="",K799=$E$5),OR($G$5="",L799=$G$5),OR($H$5="",N(J799)&gt;=$H$5),OR($I$5="",ISNUMBER(SEARCH($I$5,C799&amp;" "&amp;D799&amp;" "&amp;E799&amp;" "&amp;I799)))),"✓",""))</f>
        <v/>
      </c>
      <c r="B799" s="39" t="n">
        <v>46257</v>
      </c>
      <c r="C799" s="40" t="n">
        <f aca="false">'Aug 23'!$D$29</f>
        <v>0</v>
      </c>
      <c r="D799" s="40" t="n">
        <f aca="false">'Aug 23'!$B$29</f>
        <v>0</v>
      </c>
      <c r="E799" s="41" t="n">
        <f aca="false">'Aug 23'!$E$29</f>
        <v>0</v>
      </c>
      <c r="F799" s="40" t="n">
        <f aca="false">'Aug 23'!$A$29</f>
        <v>0</v>
      </c>
      <c r="G799" s="41" t="n">
        <f aca="false">'Aug 23'!$F$29</f>
        <v>0</v>
      </c>
      <c r="H799" s="41" t="n">
        <f aca="false">'Aug 23'!$G$29</f>
        <v>0</v>
      </c>
      <c r="I799" s="41" t="str">
        <f aca="false">'Aug 23'!$M$29</f>
        <v/>
      </c>
      <c r="J799" s="42" t="str">
        <f aca="false">'Aug 23'!$S$29</f>
        <v/>
      </c>
      <c r="K799" s="40" t="n">
        <f aca="false">'Aug 23'!$AG$29</f>
        <v>0</v>
      </c>
      <c r="L799" s="40" t="n">
        <f aca="false">'Aug 23'!$N$29</f>
        <v>0</v>
      </c>
    </row>
    <row r="800" customFormat="false" ht="15" hidden="false" customHeight="false" outlineLevel="0" collapsed="false">
      <c r="A800" s="38" t="str">
        <f aca="false">IF(OR(C800="",C800=0),"",IF(AND(OR($B$5="",G800=$B$5,H800=$B$5),OR($D$5="",F800=$D$5),OR($E$5="",K800=$E$5),OR($G$5="",L800=$G$5),OR($H$5="",N(J800)&gt;=$H$5),OR($I$5="",ISNUMBER(SEARCH($I$5,C800&amp;" "&amp;D800&amp;" "&amp;E800&amp;" "&amp;I800)))),"✓",""))</f>
        <v/>
      </c>
      <c r="B800" s="39" t="n">
        <v>46257</v>
      </c>
      <c r="C800" s="40" t="n">
        <f aca="false">'Aug 23'!$D$30</f>
        <v>0</v>
      </c>
      <c r="D800" s="40" t="n">
        <f aca="false">'Aug 23'!$B$30</f>
        <v>0</v>
      </c>
      <c r="E800" s="41" t="n">
        <f aca="false">'Aug 23'!$E$30</f>
        <v>0</v>
      </c>
      <c r="F800" s="40" t="n">
        <f aca="false">'Aug 23'!$A$30</f>
        <v>0</v>
      </c>
      <c r="G800" s="41" t="n">
        <f aca="false">'Aug 23'!$F$30</f>
        <v>0</v>
      </c>
      <c r="H800" s="41" t="n">
        <f aca="false">'Aug 23'!$G$30</f>
        <v>0</v>
      </c>
      <c r="I800" s="41" t="str">
        <f aca="false">'Aug 23'!$M$30</f>
        <v/>
      </c>
      <c r="J800" s="42" t="str">
        <f aca="false">'Aug 23'!$S$30</f>
        <v/>
      </c>
      <c r="K800" s="40" t="n">
        <f aca="false">'Aug 23'!$AG$30</f>
        <v>0</v>
      </c>
      <c r="L800" s="40" t="n">
        <f aca="false">'Aug 23'!$N$30</f>
        <v>0</v>
      </c>
    </row>
    <row r="801" customFormat="false" ht="15" hidden="false" customHeight="false" outlineLevel="0" collapsed="false">
      <c r="A801" s="38" t="str">
        <f aca="false">IF(OR(C801="",C801=0),"",IF(AND(OR($B$5="",G801=$B$5,H801=$B$5),OR($D$5="",F801=$D$5),OR($E$5="",K801=$E$5),OR($G$5="",L801=$G$5),OR($H$5="",N(J801)&gt;=$H$5),OR($I$5="",ISNUMBER(SEARCH($I$5,C801&amp;" "&amp;D801&amp;" "&amp;E801&amp;" "&amp;I801)))),"✓",""))</f>
        <v/>
      </c>
      <c r="B801" s="39" t="n">
        <v>46257</v>
      </c>
      <c r="C801" s="40" t="n">
        <f aca="false">'Aug 23'!$D$31</f>
        <v>0</v>
      </c>
      <c r="D801" s="40" t="n">
        <f aca="false">'Aug 23'!$B$31</f>
        <v>0</v>
      </c>
      <c r="E801" s="41" t="n">
        <f aca="false">'Aug 23'!$E$31</f>
        <v>0</v>
      </c>
      <c r="F801" s="40" t="n">
        <f aca="false">'Aug 23'!$A$31</f>
        <v>0</v>
      </c>
      <c r="G801" s="41" t="n">
        <f aca="false">'Aug 23'!$F$31</f>
        <v>0</v>
      </c>
      <c r="H801" s="41" t="n">
        <f aca="false">'Aug 23'!$G$31</f>
        <v>0</v>
      </c>
      <c r="I801" s="41" t="str">
        <f aca="false">'Aug 23'!$M$31</f>
        <v/>
      </c>
      <c r="J801" s="42" t="str">
        <f aca="false">'Aug 23'!$S$31</f>
        <v/>
      </c>
      <c r="K801" s="40" t="n">
        <f aca="false">'Aug 23'!$AG$31</f>
        <v>0</v>
      </c>
      <c r="L801" s="40" t="n">
        <f aca="false">'Aug 23'!$N$31</f>
        <v>0</v>
      </c>
    </row>
    <row r="802" customFormat="false" ht="15" hidden="false" customHeight="false" outlineLevel="0" collapsed="false">
      <c r="A802" s="38" t="str">
        <f aca="false">IF(OR(C802="",C802=0),"",IF(AND(OR($B$5="",G802=$B$5,H802=$B$5),OR($D$5="",F802=$D$5),OR($E$5="",K802=$E$5),OR($G$5="",L802=$G$5),OR($H$5="",N(J802)&gt;=$H$5),OR($I$5="",ISNUMBER(SEARCH($I$5,C802&amp;" "&amp;D802&amp;" "&amp;E802&amp;" "&amp;I802)))),"✓",""))</f>
        <v/>
      </c>
      <c r="B802" s="39" t="n">
        <v>46257</v>
      </c>
      <c r="C802" s="40" t="n">
        <f aca="false">'Aug 23'!$D$32</f>
        <v>0</v>
      </c>
      <c r="D802" s="40" t="n">
        <f aca="false">'Aug 23'!$B$32</f>
        <v>0</v>
      </c>
      <c r="E802" s="41" t="n">
        <f aca="false">'Aug 23'!$E$32</f>
        <v>0</v>
      </c>
      <c r="F802" s="40" t="n">
        <f aca="false">'Aug 23'!$A$32</f>
        <v>0</v>
      </c>
      <c r="G802" s="41" t="n">
        <f aca="false">'Aug 23'!$F$32</f>
        <v>0</v>
      </c>
      <c r="H802" s="41" t="n">
        <f aca="false">'Aug 23'!$G$32</f>
        <v>0</v>
      </c>
      <c r="I802" s="41" t="str">
        <f aca="false">'Aug 23'!$M$32</f>
        <v/>
      </c>
      <c r="J802" s="42" t="str">
        <f aca="false">'Aug 23'!$S$32</f>
        <v/>
      </c>
      <c r="K802" s="40" t="n">
        <f aca="false">'Aug 23'!$AG$32</f>
        <v>0</v>
      </c>
      <c r="L802" s="40" t="n">
        <f aca="false">'Aug 23'!$N$32</f>
        <v>0</v>
      </c>
    </row>
    <row r="803" customFormat="false" ht="15" hidden="false" customHeight="false" outlineLevel="0" collapsed="false">
      <c r="A803" s="38" t="str">
        <f aca="false">IF(OR(C803="",C803=0),"",IF(AND(OR($B$5="",G803=$B$5,H803=$B$5),OR($D$5="",F803=$D$5),OR($E$5="",K803=$E$5),OR($G$5="",L803=$G$5),OR($H$5="",N(J803)&gt;=$H$5),OR($I$5="",ISNUMBER(SEARCH($I$5,C803&amp;" "&amp;D803&amp;" "&amp;E803&amp;" "&amp;I803)))),"✓",""))</f>
        <v/>
      </c>
      <c r="B803" s="39" t="n">
        <v>46257</v>
      </c>
      <c r="C803" s="40" t="n">
        <f aca="false">'Aug 23'!$D$33</f>
        <v>0</v>
      </c>
      <c r="D803" s="40" t="n">
        <f aca="false">'Aug 23'!$B$33</f>
        <v>0</v>
      </c>
      <c r="E803" s="41" t="n">
        <f aca="false">'Aug 23'!$E$33</f>
        <v>0</v>
      </c>
      <c r="F803" s="40" t="n">
        <f aca="false">'Aug 23'!$A$33</f>
        <v>0</v>
      </c>
      <c r="G803" s="41" t="n">
        <f aca="false">'Aug 23'!$F$33</f>
        <v>0</v>
      </c>
      <c r="H803" s="41" t="n">
        <f aca="false">'Aug 23'!$G$33</f>
        <v>0</v>
      </c>
      <c r="I803" s="41" t="str">
        <f aca="false">'Aug 23'!$M$33</f>
        <v/>
      </c>
      <c r="J803" s="42" t="str">
        <f aca="false">'Aug 23'!$S$33</f>
        <v/>
      </c>
      <c r="K803" s="40" t="n">
        <f aca="false">'Aug 23'!$AG$33</f>
        <v>0</v>
      </c>
      <c r="L803" s="40" t="n">
        <f aca="false">'Aug 23'!$N$33</f>
        <v>0</v>
      </c>
    </row>
    <row r="804" customFormat="false" ht="15" hidden="false" customHeight="false" outlineLevel="0" collapsed="false">
      <c r="A804" s="38" t="str">
        <f aca="false">IF(OR(C804="",C804=0),"",IF(AND(OR($B$5="",G804=$B$5,H804=$B$5),OR($D$5="",F804=$D$5),OR($E$5="",K804=$E$5),OR($G$5="",L804=$G$5),OR($H$5="",N(J804)&gt;=$H$5),OR($I$5="",ISNUMBER(SEARCH($I$5,C804&amp;" "&amp;D804&amp;" "&amp;E804&amp;" "&amp;I804)))),"✓",""))</f>
        <v/>
      </c>
      <c r="B804" s="39" t="n">
        <v>46257</v>
      </c>
      <c r="C804" s="40" t="n">
        <f aca="false">'Aug 23'!$D$34</f>
        <v>0</v>
      </c>
      <c r="D804" s="40" t="n">
        <f aca="false">'Aug 23'!$B$34</f>
        <v>0</v>
      </c>
      <c r="E804" s="41" t="n">
        <f aca="false">'Aug 23'!$E$34</f>
        <v>0</v>
      </c>
      <c r="F804" s="40" t="n">
        <f aca="false">'Aug 23'!$A$34</f>
        <v>0</v>
      </c>
      <c r="G804" s="41" t="n">
        <f aca="false">'Aug 23'!$F$34</f>
        <v>0</v>
      </c>
      <c r="H804" s="41" t="n">
        <f aca="false">'Aug 23'!$G$34</f>
        <v>0</v>
      </c>
      <c r="I804" s="41" t="str">
        <f aca="false">'Aug 23'!$M$34</f>
        <v/>
      </c>
      <c r="J804" s="42" t="str">
        <f aca="false">'Aug 23'!$S$34</f>
        <v/>
      </c>
      <c r="K804" s="40" t="n">
        <f aca="false">'Aug 23'!$AG$34</f>
        <v>0</v>
      </c>
      <c r="L804" s="40" t="n">
        <f aca="false">'Aug 23'!$N$34</f>
        <v>0</v>
      </c>
    </row>
    <row r="805" customFormat="false" ht="15" hidden="false" customHeight="false" outlineLevel="0" collapsed="false">
      <c r="A805" s="38" t="str">
        <f aca="false">IF(OR(C805="",C805=0),"",IF(AND(OR($B$5="",G805=$B$5,H805=$B$5),OR($D$5="",F805=$D$5),OR($E$5="",K805=$E$5),OR($G$5="",L805=$G$5),OR($H$5="",N(J805)&gt;=$H$5),OR($I$5="",ISNUMBER(SEARCH($I$5,C805&amp;" "&amp;D805&amp;" "&amp;E805&amp;" "&amp;I805)))),"✓",""))</f>
        <v/>
      </c>
      <c r="B805" s="39" t="n">
        <v>46257</v>
      </c>
      <c r="C805" s="40" t="n">
        <f aca="false">'Aug 23'!$D$35</f>
        <v>0</v>
      </c>
      <c r="D805" s="40" t="n">
        <f aca="false">'Aug 23'!$B$35</f>
        <v>0</v>
      </c>
      <c r="E805" s="41" t="n">
        <f aca="false">'Aug 23'!$E$35</f>
        <v>0</v>
      </c>
      <c r="F805" s="40" t="n">
        <f aca="false">'Aug 23'!$A$35</f>
        <v>0</v>
      </c>
      <c r="G805" s="41" t="n">
        <f aca="false">'Aug 23'!$F$35</f>
        <v>0</v>
      </c>
      <c r="H805" s="41" t="n">
        <f aca="false">'Aug 23'!$G$35</f>
        <v>0</v>
      </c>
      <c r="I805" s="41" t="str">
        <f aca="false">'Aug 23'!$M$35</f>
        <v/>
      </c>
      <c r="J805" s="42" t="str">
        <f aca="false">'Aug 23'!$S$35</f>
        <v/>
      </c>
      <c r="K805" s="40" t="n">
        <f aca="false">'Aug 23'!$AG$35</f>
        <v>0</v>
      </c>
      <c r="L805" s="40" t="n">
        <f aca="false">'Aug 23'!$N$35</f>
        <v>0</v>
      </c>
    </row>
    <row r="806" customFormat="false" ht="15" hidden="false" customHeight="false" outlineLevel="0" collapsed="false">
      <c r="A806" s="38" t="str">
        <f aca="false">IF(OR(C806="",C806=0),"",IF(AND(OR($B$5="",G806=$B$5,H806=$B$5),OR($D$5="",F806=$D$5),OR($E$5="",K806=$E$5),OR($G$5="",L806=$G$5),OR($H$5="",N(J806)&gt;=$H$5),OR($I$5="",ISNUMBER(SEARCH($I$5,C806&amp;" "&amp;D806&amp;" "&amp;E806&amp;" "&amp;I806)))),"✓",""))</f>
        <v/>
      </c>
      <c r="B806" s="39" t="n">
        <v>46257</v>
      </c>
      <c r="C806" s="40" t="n">
        <f aca="false">'Aug 23'!$D$36</f>
        <v>0</v>
      </c>
      <c r="D806" s="40" t="n">
        <f aca="false">'Aug 23'!$B$36</f>
        <v>0</v>
      </c>
      <c r="E806" s="41" t="n">
        <f aca="false">'Aug 23'!$E$36</f>
        <v>0</v>
      </c>
      <c r="F806" s="40" t="n">
        <f aca="false">'Aug 23'!$A$36</f>
        <v>0</v>
      </c>
      <c r="G806" s="41" t="n">
        <f aca="false">'Aug 23'!$F$36</f>
        <v>0</v>
      </c>
      <c r="H806" s="41" t="n">
        <f aca="false">'Aug 23'!$G$36</f>
        <v>0</v>
      </c>
      <c r="I806" s="41" t="str">
        <f aca="false">'Aug 23'!$M$36</f>
        <v/>
      </c>
      <c r="J806" s="42" t="str">
        <f aca="false">'Aug 23'!$S$36</f>
        <v/>
      </c>
      <c r="K806" s="40" t="n">
        <f aca="false">'Aug 23'!$AG$36</f>
        <v>0</v>
      </c>
      <c r="L806" s="40" t="n">
        <f aca="false">'Aug 23'!$N$36</f>
        <v>0</v>
      </c>
    </row>
    <row r="807" customFormat="false" ht="15" hidden="false" customHeight="false" outlineLevel="0" collapsed="false">
      <c r="A807" s="38" t="str">
        <f aca="false">IF(OR(C807="",C807=0),"",IF(AND(OR($B$5="",G807=$B$5,H807=$B$5),OR($D$5="",F807=$D$5),OR($E$5="",K807=$E$5),OR($G$5="",L807=$G$5),OR($H$5="",N(J807)&gt;=$H$5),OR($I$5="",ISNUMBER(SEARCH($I$5,C807&amp;" "&amp;D807&amp;" "&amp;E807&amp;" "&amp;I807)))),"✓",""))</f>
        <v/>
      </c>
      <c r="B807" s="39" t="n">
        <v>46257</v>
      </c>
      <c r="C807" s="40" t="n">
        <f aca="false">'Aug 23'!$D$37</f>
        <v>0</v>
      </c>
      <c r="D807" s="40" t="n">
        <f aca="false">'Aug 23'!$B$37</f>
        <v>0</v>
      </c>
      <c r="E807" s="41" t="n">
        <f aca="false">'Aug 23'!$E$37</f>
        <v>0</v>
      </c>
      <c r="F807" s="40" t="n">
        <f aca="false">'Aug 23'!$A$37</f>
        <v>0</v>
      </c>
      <c r="G807" s="41" t="n">
        <f aca="false">'Aug 23'!$F$37</f>
        <v>0</v>
      </c>
      <c r="H807" s="41" t="n">
        <f aca="false">'Aug 23'!$G$37</f>
        <v>0</v>
      </c>
      <c r="I807" s="41" t="str">
        <f aca="false">'Aug 23'!$M$37</f>
        <v/>
      </c>
      <c r="J807" s="42" t="str">
        <f aca="false">'Aug 23'!$S$37</f>
        <v/>
      </c>
      <c r="K807" s="40" t="n">
        <f aca="false">'Aug 23'!$AG$37</f>
        <v>0</v>
      </c>
      <c r="L807" s="40" t="n">
        <f aca="false">'Aug 23'!$N$37</f>
        <v>0</v>
      </c>
    </row>
    <row r="808" customFormat="false" ht="15" hidden="false" customHeight="false" outlineLevel="0" collapsed="false">
      <c r="A808" s="38" t="str">
        <f aca="false">IF(OR(C808="",C808=0),"",IF(AND(OR($B$5="",G808=$B$5,H808=$B$5),OR($D$5="",F808=$D$5),OR($E$5="",K808=$E$5),OR($G$5="",L808=$G$5),OR($H$5="",N(J808)&gt;=$H$5),OR($I$5="",ISNUMBER(SEARCH($I$5,C808&amp;" "&amp;D808&amp;" "&amp;E808&amp;" "&amp;I808)))),"✓",""))</f>
        <v/>
      </c>
      <c r="B808" s="39" t="n">
        <v>46257</v>
      </c>
      <c r="C808" s="40" t="n">
        <f aca="false">'Aug 23'!$D$38</f>
        <v>0</v>
      </c>
      <c r="D808" s="40" t="n">
        <f aca="false">'Aug 23'!$B$38</f>
        <v>0</v>
      </c>
      <c r="E808" s="41" t="n">
        <f aca="false">'Aug 23'!$E$38</f>
        <v>0</v>
      </c>
      <c r="F808" s="40" t="n">
        <f aca="false">'Aug 23'!$A$38</f>
        <v>0</v>
      </c>
      <c r="G808" s="41" t="n">
        <f aca="false">'Aug 23'!$F$38</f>
        <v>0</v>
      </c>
      <c r="H808" s="41" t="n">
        <f aca="false">'Aug 23'!$G$38</f>
        <v>0</v>
      </c>
      <c r="I808" s="41" t="str">
        <f aca="false">'Aug 23'!$M$38</f>
        <v/>
      </c>
      <c r="J808" s="42" t="str">
        <f aca="false">'Aug 23'!$S$38</f>
        <v/>
      </c>
      <c r="K808" s="40" t="n">
        <f aca="false">'Aug 23'!$AG$38</f>
        <v>0</v>
      </c>
      <c r="L808" s="40" t="n">
        <f aca="false">'Aug 23'!$N$38</f>
        <v>0</v>
      </c>
    </row>
    <row r="809" customFormat="false" ht="15" hidden="false" customHeight="false" outlineLevel="0" collapsed="false">
      <c r="A809" s="38" t="str">
        <f aca="false">IF(OR(C809="",C809=0),"",IF(AND(OR($B$5="",G809=$B$5,H809=$B$5),OR($D$5="",F809=$D$5),OR($E$5="",K809=$E$5),OR($G$5="",L809=$G$5),OR($H$5="",N(J809)&gt;=$H$5),OR($I$5="",ISNUMBER(SEARCH($I$5,C809&amp;" "&amp;D809&amp;" "&amp;E809&amp;" "&amp;I809)))),"✓",""))</f>
        <v/>
      </c>
      <c r="B809" s="39" t="n">
        <v>46257</v>
      </c>
      <c r="C809" s="40" t="n">
        <f aca="false">'Aug 23'!$D$39</f>
        <v>0</v>
      </c>
      <c r="D809" s="40" t="n">
        <f aca="false">'Aug 23'!$B$39</f>
        <v>0</v>
      </c>
      <c r="E809" s="41" t="n">
        <f aca="false">'Aug 23'!$E$39</f>
        <v>0</v>
      </c>
      <c r="F809" s="40" t="n">
        <f aca="false">'Aug 23'!$A$39</f>
        <v>0</v>
      </c>
      <c r="G809" s="41" t="n">
        <f aca="false">'Aug 23'!$F$39</f>
        <v>0</v>
      </c>
      <c r="H809" s="41" t="n">
        <f aca="false">'Aug 23'!$G$39</f>
        <v>0</v>
      </c>
      <c r="I809" s="41" t="str">
        <f aca="false">'Aug 23'!$M$39</f>
        <v/>
      </c>
      <c r="J809" s="42" t="str">
        <f aca="false">'Aug 23'!$S$39</f>
        <v/>
      </c>
      <c r="K809" s="40" t="n">
        <f aca="false">'Aug 23'!$AG$39</f>
        <v>0</v>
      </c>
      <c r="L809" s="40" t="n">
        <f aca="false">'Aug 23'!$N$39</f>
        <v>0</v>
      </c>
    </row>
    <row r="810" customFormat="false" ht="15" hidden="false" customHeight="false" outlineLevel="0" collapsed="false">
      <c r="A810" s="38" t="str">
        <f aca="false">IF(OR(C810="",C810=0),"",IF(AND(OR($B$5="",G810=$B$5,H810=$B$5),OR($D$5="",F810=$D$5),OR($E$5="",K810=$E$5),OR($G$5="",L810=$G$5),OR($H$5="",N(J810)&gt;=$H$5),OR($I$5="",ISNUMBER(SEARCH($I$5,C810&amp;" "&amp;D810&amp;" "&amp;E810&amp;" "&amp;I810)))),"✓",""))</f>
        <v/>
      </c>
      <c r="B810" s="39" t="n">
        <v>46257</v>
      </c>
      <c r="C810" s="40" t="n">
        <f aca="false">'Aug 23'!$D$40</f>
        <v>0</v>
      </c>
      <c r="D810" s="40" t="n">
        <f aca="false">'Aug 23'!$B$40</f>
        <v>0</v>
      </c>
      <c r="E810" s="41" t="n">
        <f aca="false">'Aug 23'!$E$40</f>
        <v>0</v>
      </c>
      <c r="F810" s="40" t="n">
        <f aca="false">'Aug 23'!$A$40</f>
        <v>0</v>
      </c>
      <c r="G810" s="41" t="n">
        <f aca="false">'Aug 23'!$F$40</f>
        <v>0</v>
      </c>
      <c r="H810" s="41" t="n">
        <f aca="false">'Aug 23'!$G$40</f>
        <v>0</v>
      </c>
      <c r="I810" s="41" t="str">
        <f aca="false">'Aug 23'!$M$40</f>
        <v/>
      </c>
      <c r="J810" s="42" t="str">
        <f aca="false">'Aug 23'!$S$40</f>
        <v/>
      </c>
      <c r="K810" s="40" t="n">
        <f aca="false">'Aug 23'!$AG$40</f>
        <v>0</v>
      </c>
      <c r="L810" s="40" t="n">
        <f aca="false">'Aug 23'!$N$40</f>
        <v>0</v>
      </c>
    </row>
    <row r="811" customFormat="false" ht="15" hidden="false" customHeight="false" outlineLevel="0" collapsed="false">
      <c r="A811" s="38" t="str">
        <f aca="false">IF(OR(C811="",C811=0),"",IF(AND(OR($B$5="",G811=$B$5,H811=$B$5),OR($D$5="",F811=$D$5),OR($E$5="",K811=$E$5),OR($G$5="",L811=$G$5),OR($H$5="",N(J811)&gt;=$H$5),OR($I$5="",ISNUMBER(SEARCH($I$5,C811&amp;" "&amp;D811&amp;" "&amp;E811&amp;" "&amp;I811)))),"✓",""))</f>
        <v/>
      </c>
      <c r="B811" s="39" t="n">
        <v>46257</v>
      </c>
      <c r="C811" s="40" t="n">
        <f aca="false">'Aug 23'!$D$41</f>
        <v>0</v>
      </c>
      <c r="D811" s="40" t="n">
        <f aca="false">'Aug 23'!$B$41</f>
        <v>0</v>
      </c>
      <c r="E811" s="41" t="n">
        <f aca="false">'Aug 23'!$E$41</f>
        <v>0</v>
      </c>
      <c r="F811" s="40" t="n">
        <f aca="false">'Aug 23'!$A$41</f>
        <v>0</v>
      </c>
      <c r="G811" s="41" t="n">
        <f aca="false">'Aug 23'!$F$41</f>
        <v>0</v>
      </c>
      <c r="H811" s="41" t="n">
        <f aca="false">'Aug 23'!$G$41</f>
        <v>0</v>
      </c>
      <c r="I811" s="41" t="str">
        <f aca="false">'Aug 23'!$M$41</f>
        <v/>
      </c>
      <c r="J811" s="42" t="str">
        <f aca="false">'Aug 23'!$S$41</f>
        <v/>
      </c>
      <c r="K811" s="40" t="n">
        <f aca="false">'Aug 23'!$AG$41</f>
        <v>0</v>
      </c>
      <c r="L811" s="40" t="n">
        <f aca="false">'Aug 23'!$N$41</f>
        <v>0</v>
      </c>
    </row>
    <row r="812" customFormat="false" ht="15" hidden="false" customHeight="false" outlineLevel="0" collapsed="false">
      <c r="A812" s="38" t="str">
        <f aca="false">IF(OR(C812="",C812=0),"",IF(AND(OR($B$5="",G812=$B$5,H812=$B$5),OR($D$5="",F812=$D$5),OR($E$5="",K812=$E$5),OR($G$5="",L812=$G$5),OR($H$5="",N(J812)&gt;=$H$5),OR($I$5="",ISNUMBER(SEARCH($I$5,C812&amp;" "&amp;D812&amp;" "&amp;E812&amp;" "&amp;I812)))),"✓",""))</f>
        <v/>
      </c>
      <c r="B812" s="39" t="n">
        <v>46257</v>
      </c>
      <c r="C812" s="40" t="n">
        <f aca="false">'Aug 23'!$D$42</f>
        <v>0</v>
      </c>
      <c r="D812" s="40" t="n">
        <f aca="false">'Aug 23'!$B$42</f>
        <v>0</v>
      </c>
      <c r="E812" s="41" t="n">
        <f aca="false">'Aug 23'!$E$42</f>
        <v>0</v>
      </c>
      <c r="F812" s="40" t="n">
        <f aca="false">'Aug 23'!$A$42</f>
        <v>0</v>
      </c>
      <c r="G812" s="41" t="n">
        <f aca="false">'Aug 23'!$F$42</f>
        <v>0</v>
      </c>
      <c r="H812" s="41" t="n">
        <f aca="false">'Aug 23'!$G$42</f>
        <v>0</v>
      </c>
      <c r="I812" s="41" t="str">
        <f aca="false">'Aug 23'!$M$42</f>
        <v/>
      </c>
      <c r="J812" s="42" t="str">
        <f aca="false">'Aug 23'!$S$42</f>
        <v/>
      </c>
      <c r="K812" s="40" t="n">
        <f aca="false">'Aug 23'!$AG$42</f>
        <v>0</v>
      </c>
      <c r="L812" s="40" t="n">
        <f aca="false">'Aug 23'!$N$42</f>
        <v>0</v>
      </c>
    </row>
    <row r="813" customFormat="false" ht="15" hidden="false" customHeight="false" outlineLevel="0" collapsed="false">
      <c r="A813" s="38" t="str">
        <f aca="false">IF(OR(C813="",C813=0),"",IF(AND(OR($B$5="",G813=$B$5,H813=$B$5),OR($D$5="",F813=$D$5),OR($E$5="",K813=$E$5),OR($G$5="",L813=$G$5),OR($H$5="",N(J813)&gt;=$H$5),OR($I$5="",ISNUMBER(SEARCH($I$5,C813&amp;" "&amp;D813&amp;" "&amp;E813&amp;" "&amp;I813)))),"✓",""))</f>
        <v/>
      </c>
      <c r="B813" s="39" t="n">
        <v>46258</v>
      </c>
      <c r="C813" s="40" t="n">
        <f aca="false">'Aug 24'!$D$8</f>
        <v>0</v>
      </c>
      <c r="D813" s="40" t="n">
        <f aca="false">'Aug 24'!$B$8</f>
        <v>0</v>
      </c>
      <c r="E813" s="41" t="n">
        <f aca="false">'Aug 24'!$E$8</f>
        <v>0</v>
      </c>
      <c r="F813" s="40" t="n">
        <f aca="false">'Aug 24'!$A$8</f>
        <v>0</v>
      </c>
      <c r="G813" s="41" t="n">
        <f aca="false">'Aug 24'!$F$8</f>
        <v>0</v>
      </c>
      <c r="H813" s="41" t="n">
        <f aca="false">'Aug 24'!$G$8</f>
        <v>0</v>
      </c>
      <c r="I813" s="41" t="str">
        <f aca="false">'Aug 24'!$M$8</f>
        <v/>
      </c>
      <c r="J813" s="42" t="str">
        <f aca="false">'Aug 24'!$S$8</f>
        <v/>
      </c>
      <c r="K813" s="40" t="n">
        <f aca="false">'Aug 24'!$AG$8</f>
        <v>0</v>
      </c>
      <c r="L813" s="40" t="n">
        <f aca="false">'Aug 24'!$N$8</f>
        <v>0</v>
      </c>
    </row>
    <row r="814" customFormat="false" ht="15" hidden="false" customHeight="false" outlineLevel="0" collapsed="false">
      <c r="A814" s="38" t="str">
        <f aca="false">IF(OR(C814="",C814=0),"",IF(AND(OR($B$5="",G814=$B$5,H814=$B$5),OR($D$5="",F814=$D$5),OR($E$5="",K814=$E$5),OR($G$5="",L814=$G$5),OR($H$5="",N(J814)&gt;=$H$5),OR($I$5="",ISNUMBER(SEARCH($I$5,C814&amp;" "&amp;D814&amp;" "&amp;E814&amp;" "&amp;I814)))),"✓",""))</f>
        <v/>
      </c>
      <c r="B814" s="39" t="n">
        <v>46258</v>
      </c>
      <c r="C814" s="40" t="n">
        <f aca="false">'Aug 24'!$D$9</f>
        <v>0</v>
      </c>
      <c r="D814" s="40" t="n">
        <f aca="false">'Aug 24'!$B$9</f>
        <v>0</v>
      </c>
      <c r="E814" s="41" t="n">
        <f aca="false">'Aug 24'!$E$9</f>
        <v>0</v>
      </c>
      <c r="F814" s="40" t="n">
        <f aca="false">'Aug 24'!$A$9</f>
        <v>0</v>
      </c>
      <c r="G814" s="41" t="n">
        <f aca="false">'Aug 24'!$F$9</f>
        <v>0</v>
      </c>
      <c r="H814" s="41" t="n">
        <f aca="false">'Aug 24'!$G$9</f>
        <v>0</v>
      </c>
      <c r="I814" s="41" t="str">
        <f aca="false">'Aug 24'!$M$9</f>
        <v/>
      </c>
      <c r="J814" s="42" t="str">
        <f aca="false">'Aug 24'!$S$9</f>
        <v/>
      </c>
      <c r="K814" s="40" t="n">
        <f aca="false">'Aug 24'!$AG$9</f>
        <v>0</v>
      </c>
      <c r="L814" s="40" t="n">
        <f aca="false">'Aug 24'!$N$9</f>
        <v>0</v>
      </c>
    </row>
    <row r="815" customFormat="false" ht="15" hidden="false" customHeight="false" outlineLevel="0" collapsed="false">
      <c r="A815" s="38" t="str">
        <f aca="false">IF(OR(C815="",C815=0),"",IF(AND(OR($B$5="",G815=$B$5,H815=$B$5),OR($D$5="",F815=$D$5),OR($E$5="",K815=$E$5),OR($G$5="",L815=$G$5),OR($H$5="",N(J815)&gt;=$H$5),OR($I$5="",ISNUMBER(SEARCH($I$5,C815&amp;" "&amp;D815&amp;" "&amp;E815&amp;" "&amp;I815)))),"✓",""))</f>
        <v/>
      </c>
      <c r="B815" s="39" t="n">
        <v>46258</v>
      </c>
      <c r="C815" s="40" t="n">
        <f aca="false">'Aug 24'!$D$10</f>
        <v>0</v>
      </c>
      <c r="D815" s="40" t="n">
        <f aca="false">'Aug 24'!$B$10</f>
        <v>0</v>
      </c>
      <c r="E815" s="41" t="n">
        <f aca="false">'Aug 24'!$E$10</f>
        <v>0</v>
      </c>
      <c r="F815" s="40" t="n">
        <f aca="false">'Aug 24'!$A$10</f>
        <v>0</v>
      </c>
      <c r="G815" s="41" t="n">
        <f aca="false">'Aug 24'!$F$10</f>
        <v>0</v>
      </c>
      <c r="H815" s="41" t="n">
        <f aca="false">'Aug 24'!$G$10</f>
        <v>0</v>
      </c>
      <c r="I815" s="41" t="str">
        <f aca="false">'Aug 24'!$M$10</f>
        <v/>
      </c>
      <c r="J815" s="42" t="str">
        <f aca="false">'Aug 24'!$S$10</f>
        <v/>
      </c>
      <c r="K815" s="40" t="n">
        <f aca="false">'Aug 24'!$AG$10</f>
        <v>0</v>
      </c>
      <c r="L815" s="40" t="n">
        <f aca="false">'Aug 24'!$N$10</f>
        <v>0</v>
      </c>
    </row>
    <row r="816" customFormat="false" ht="15" hidden="false" customHeight="false" outlineLevel="0" collapsed="false">
      <c r="A816" s="38" t="str">
        <f aca="false">IF(OR(C816="",C816=0),"",IF(AND(OR($B$5="",G816=$B$5,H816=$B$5),OR($D$5="",F816=$D$5),OR($E$5="",K816=$E$5),OR($G$5="",L816=$G$5),OR($H$5="",N(J816)&gt;=$H$5),OR($I$5="",ISNUMBER(SEARCH($I$5,C816&amp;" "&amp;D816&amp;" "&amp;E816&amp;" "&amp;I816)))),"✓",""))</f>
        <v/>
      </c>
      <c r="B816" s="39" t="n">
        <v>46258</v>
      </c>
      <c r="C816" s="40" t="n">
        <f aca="false">'Aug 24'!$D$11</f>
        <v>0</v>
      </c>
      <c r="D816" s="40" t="n">
        <f aca="false">'Aug 24'!$B$11</f>
        <v>0</v>
      </c>
      <c r="E816" s="41" t="n">
        <f aca="false">'Aug 24'!$E$11</f>
        <v>0</v>
      </c>
      <c r="F816" s="40" t="n">
        <f aca="false">'Aug 24'!$A$11</f>
        <v>0</v>
      </c>
      <c r="G816" s="41" t="n">
        <f aca="false">'Aug 24'!$F$11</f>
        <v>0</v>
      </c>
      <c r="H816" s="41" t="n">
        <f aca="false">'Aug 24'!$G$11</f>
        <v>0</v>
      </c>
      <c r="I816" s="41" t="str">
        <f aca="false">'Aug 24'!$M$11</f>
        <v/>
      </c>
      <c r="J816" s="42" t="str">
        <f aca="false">'Aug 24'!$S$11</f>
        <v/>
      </c>
      <c r="K816" s="40" t="n">
        <f aca="false">'Aug 24'!$AG$11</f>
        <v>0</v>
      </c>
      <c r="L816" s="40" t="n">
        <f aca="false">'Aug 24'!$N$11</f>
        <v>0</v>
      </c>
    </row>
    <row r="817" customFormat="false" ht="15" hidden="false" customHeight="false" outlineLevel="0" collapsed="false">
      <c r="A817" s="38" t="str">
        <f aca="false">IF(OR(C817="",C817=0),"",IF(AND(OR($B$5="",G817=$B$5,H817=$B$5),OR($D$5="",F817=$D$5),OR($E$5="",K817=$E$5),OR($G$5="",L817=$G$5),OR($H$5="",N(J817)&gt;=$H$5),OR($I$5="",ISNUMBER(SEARCH($I$5,C817&amp;" "&amp;D817&amp;" "&amp;E817&amp;" "&amp;I817)))),"✓",""))</f>
        <v/>
      </c>
      <c r="B817" s="39" t="n">
        <v>46258</v>
      </c>
      <c r="C817" s="40" t="n">
        <f aca="false">'Aug 24'!$D$12</f>
        <v>0</v>
      </c>
      <c r="D817" s="40" t="n">
        <f aca="false">'Aug 24'!$B$12</f>
        <v>0</v>
      </c>
      <c r="E817" s="41" t="n">
        <f aca="false">'Aug 24'!$E$12</f>
        <v>0</v>
      </c>
      <c r="F817" s="40" t="n">
        <f aca="false">'Aug 24'!$A$12</f>
        <v>0</v>
      </c>
      <c r="G817" s="41" t="n">
        <f aca="false">'Aug 24'!$F$12</f>
        <v>0</v>
      </c>
      <c r="H817" s="41" t="n">
        <f aca="false">'Aug 24'!$G$12</f>
        <v>0</v>
      </c>
      <c r="I817" s="41" t="str">
        <f aca="false">'Aug 24'!$M$12</f>
        <v/>
      </c>
      <c r="J817" s="42" t="str">
        <f aca="false">'Aug 24'!$S$12</f>
        <v/>
      </c>
      <c r="K817" s="40" t="n">
        <f aca="false">'Aug 24'!$AG$12</f>
        <v>0</v>
      </c>
      <c r="L817" s="40" t="n">
        <f aca="false">'Aug 24'!$N$12</f>
        <v>0</v>
      </c>
    </row>
    <row r="818" customFormat="false" ht="15" hidden="false" customHeight="false" outlineLevel="0" collapsed="false">
      <c r="A818" s="38" t="str">
        <f aca="false">IF(OR(C818="",C818=0),"",IF(AND(OR($B$5="",G818=$B$5,H818=$B$5),OR($D$5="",F818=$D$5),OR($E$5="",K818=$E$5),OR($G$5="",L818=$G$5),OR($H$5="",N(J818)&gt;=$H$5),OR($I$5="",ISNUMBER(SEARCH($I$5,C818&amp;" "&amp;D818&amp;" "&amp;E818&amp;" "&amp;I818)))),"✓",""))</f>
        <v/>
      </c>
      <c r="B818" s="39" t="n">
        <v>46258</v>
      </c>
      <c r="C818" s="40" t="n">
        <f aca="false">'Aug 24'!$D$13</f>
        <v>0</v>
      </c>
      <c r="D818" s="40" t="n">
        <f aca="false">'Aug 24'!$B$13</f>
        <v>0</v>
      </c>
      <c r="E818" s="41" t="n">
        <f aca="false">'Aug 24'!$E$13</f>
        <v>0</v>
      </c>
      <c r="F818" s="40" t="n">
        <f aca="false">'Aug 24'!$A$13</f>
        <v>0</v>
      </c>
      <c r="G818" s="41" t="n">
        <f aca="false">'Aug 24'!$F$13</f>
        <v>0</v>
      </c>
      <c r="H818" s="41" t="n">
        <f aca="false">'Aug 24'!$G$13</f>
        <v>0</v>
      </c>
      <c r="I818" s="41" t="str">
        <f aca="false">'Aug 24'!$M$13</f>
        <v/>
      </c>
      <c r="J818" s="42" t="str">
        <f aca="false">'Aug 24'!$S$13</f>
        <v/>
      </c>
      <c r="K818" s="40" t="n">
        <f aca="false">'Aug 24'!$AG$13</f>
        <v>0</v>
      </c>
      <c r="L818" s="40" t="n">
        <f aca="false">'Aug 24'!$N$13</f>
        <v>0</v>
      </c>
    </row>
    <row r="819" customFormat="false" ht="15" hidden="false" customHeight="false" outlineLevel="0" collapsed="false">
      <c r="A819" s="38" t="str">
        <f aca="false">IF(OR(C819="",C819=0),"",IF(AND(OR($B$5="",G819=$B$5,H819=$B$5),OR($D$5="",F819=$D$5),OR($E$5="",K819=$E$5),OR($G$5="",L819=$G$5),OR($H$5="",N(J819)&gt;=$H$5),OR($I$5="",ISNUMBER(SEARCH($I$5,C819&amp;" "&amp;D819&amp;" "&amp;E819&amp;" "&amp;I819)))),"✓",""))</f>
        <v/>
      </c>
      <c r="B819" s="39" t="n">
        <v>46258</v>
      </c>
      <c r="C819" s="40" t="n">
        <f aca="false">'Aug 24'!$D$14</f>
        <v>0</v>
      </c>
      <c r="D819" s="40" t="n">
        <f aca="false">'Aug 24'!$B$14</f>
        <v>0</v>
      </c>
      <c r="E819" s="41" t="n">
        <f aca="false">'Aug 24'!$E$14</f>
        <v>0</v>
      </c>
      <c r="F819" s="40" t="n">
        <f aca="false">'Aug 24'!$A$14</f>
        <v>0</v>
      </c>
      <c r="G819" s="41" t="n">
        <f aca="false">'Aug 24'!$F$14</f>
        <v>0</v>
      </c>
      <c r="H819" s="41" t="n">
        <f aca="false">'Aug 24'!$G$14</f>
        <v>0</v>
      </c>
      <c r="I819" s="41" t="str">
        <f aca="false">'Aug 24'!$M$14</f>
        <v/>
      </c>
      <c r="J819" s="42" t="str">
        <f aca="false">'Aug 24'!$S$14</f>
        <v/>
      </c>
      <c r="K819" s="40" t="n">
        <f aca="false">'Aug 24'!$AG$14</f>
        <v>0</v>
      </c>
      <c r="L819" s="40" t="n">
        <f aca="false">'Aug 24'!$N$14</f>
        <v>0</v>
      </c>
    </row>
    <row r="820" customFormat="false" ht="15" hidden="false" customHeight="false" outlineLevel="0" collapsed="false">
      <c r="A820" s="38" t="str">
        <f aca="false">IF(OR(C820="",C820=0),"",IF(AND(OR($B$5="",G820=$B$5,H820=$B$5),OR($D$5="",F820=$D$5),OR($E$5="",K820=$E$5),OR($G$5="",L820=$G$5),OR($H$5="",N(J820)&gt;=$H$5),OR($I$5="",ISNUMBER(SEARCH($I$5,C820&amp;" "&amp;D820&amp;" "&amp;E820&amp;" "&amp;I820)))),"✓",""))</f>
        <v/>
      </c>
      <c r="B820" s="39" t="n">
        <v>46258</v>
      </c>
      <c r="C820" s="40" t="n">
        <f aca="false">'Aug 24'!$D$15</f>
        <v>0</v>
      </c>
      <c r="D820" s="40" t="n">
        <f aca="false">'Aug 24'!$B$15</f>
        <v>0</v>
      </c>
      <c r="E820" s="41" t="n">
        <f aca="false">'Aug 24'!$E$15</f>
        <v>0</v>
      </c>
      <c r="F820" s="40" t="n">
        <f aca="false">'Aug 24'!$A$15</f>
        <v>0</v>
      </c>
      <c r="G820" s="41" t="n">
        <f aca="false">'Aug 24'!$F$15</f>
        <v>0</v>
      </c>
      <c r="H820" s="41" t="n">
        <f aca="false">'Aug 24'!$G$15</f>
        <v>0</v>
      </c>
      <c r="I820" s="41" t="str">
        <f aca="false">'Aug 24'!$M$15</f>
        <v/>
      </c>
      <c r="J820" s="42" t="str">
        <f aca="false">'Aug 24'!$S$15</f>
        <v/>
      </c>
      <c r="K820" s="40" t="n">
        <f aca="false">'Aug 24'!$AG$15</f>
        <v>0</v>
      </c>
      <c r="L820" s="40" t="n">
        <f aca="false">'Aug 24'!$N$15</f>
        <v>0</v>
      </c>
    </row>
    <row r="821" customFormat="false" ht="15" hidden="false" customHeight="false" outlineLevel="0" collapsed="false">
      <c r="A821" s="38" t="str">
        <f aca="false">IF(OR(C821="",C821=0),"",IF(AND(OR($B$5="",G821=$B$5,H821=$B$5),OR($D$5="",F821=$D$5),OR($E$5="",K821=$E$5),OR($G$5="",L821=$G$5),OR($H$5="",N(J821)&gt;=$H$5),OR($I$5="",ISNUMBER(SEARCH($I$5,C821&amp;" "&amp;D821&amp;" "&amp;E821&amp;" "&amp;I821)))),"✓",""))</f>
        <v/>
      </c>
      <c r="B821" s="39" t="n">
        <v>46258</v>
      </c>
      <c r="C821" s="40" t="n">
        <f aca="false">'Aug 24'!$D$16</f>
        <v>0</v>
      </c>
      <c r="D821" s="40" t="n">
        <f aca="false">'Aug 24'!$B$16</f>
        <v>0</v>
      </c>
      <c r="E821" s="41" t="n">
        <f aca="false">'Aug 24'!$E$16</f>
        <v>0</v>
      </c>
      <c r="F821" s="40" t="n">
        <f aca="false">'Aug 24'!$A$16</f>
        <v>0</v>
      </c>
      <c r="G821" s="41" t="n">
        <f aca="false">'Aug 24'!$F$16</f>
        <v>0</v>
      </c>
      <c r="H821" s="41" t="n">
        <f aca="false">'Aug 24'!$G$16</f>
        <v>0</v>
      </c>
      <c r="I821" s="41" t="str">
        <f aca="false">'Aug 24'!$M$16</f>
        <v/>
      </c>
      <c r="J821" s="42" t="str">
        <f aca="false">'Aug 24'!$S$16</f>
        <v/>
      </c>
      <c r="K821" s="40" t="n">
        <f aca="false">'Aug 24'!$AG$16</f>
        <v>0</v>
      </c>
      <c r="L821" s="40" t="n">
        <f aca="false">'Aug 24'!$N$16</f>
        <v>0</v>
      </c>
    </row>
    <row r="822" customFormat="false" ht="15" hidden="false" customHeight="false" outlineLevel="0" collapsed="false">
      <c r="A822" s="38" t="str">
        <f aca="false">IF(OR(C822="",C822=0),"",IF(AND(OR($B$5="",G822=$B$5,H822=$B$5),OR($D$5="",F822=$D$5),OR($E$5="",K822=$E$5),OR($G$5="",L822=$G$5),OR($H$5="",N(J822)&gt;=$H$5),OR($I$5="",ISNUMBER(SEARCH($I$5,C822&amp;" "&amp;D822&amp;" "&amp;E822&amp;" "&amp;I822)))),"✓",""))</f>
        <v/>
      </c>
      <c r="B822" s="39" t="n">
        <v>46258</v>
      </c>
      <c r="C822" s="40" t="n">
        <f aca="false">'Aug 24'!$D$17</f>
        <v>0</v>
      </c>
      <c r="D822" s="40" t="n">
        <f aca="false">'Aug 24'!$B$17</f>
        <v>0</v>
      </c>
      <c r="E822" s="41" t="n">
        <f aca="false">'Aug 24'!$E$17</f>
        <v>0</v>
      </c>
      <c r="F822" s="40" t="n">
        <f aca="false">'Aug 24'!$A$17</f>
        <v>0</v>
      </c>
      <c r="G822" s="41" t="n">
        <f aca="false">'Aug 24'!$F$17</f>
        <v>0</v>
      </c>
      <c r="H822" s="41" t="n">
        <f aca="false">'Aug 24'!$G$17</f>
        <v>0</v>
      </c>
      <c r="I822" s="41" t="str">
        <f aca="false">'Aug 24'!$M$17</f>
        <v/>
      </c>
      <c r="J822" s="42" t="str">
        <f aca="false">'Aug 24'!$S$17</f>
        <v/>
      </c>
      <c r="K822" s="40" t="n">
        <f aca="false">'Aug 24'!$AG$17</f>
        <v>0</v>
      </c>
      <c r="L822" s="40" t="n">
        <f aca="false">'Aug 24'!$N$17</f>
        <v>0</v>
      </c>
    </row>
    <row r="823" customFormat="false" ht="15" hidden="false" customHeight="false" outlineLevel="0" collapsed="false">
      <c r="A823" s="38" t="str">
        <f aca="false">IF(OR(C823="",C823=0),"",IF(AND(OR($B$5="",G823=$B$5,H823=$B$5),OR($D$5="",F823=$D$5),OR($E$5="",K823=$E$5),OR($G$5="",L823=$G$5),OR($H$5="",N(J823)&gt;=$H$5),OR($I$5="",ISNUMBER(SEARCH($I$5,C823&amp;" "&amp;D823&amp;" "&amp;E823&amp;" "&amp;I823)))),"✓",""))</f>
        <v/>
      </c>
      <c r="B823" s="39" t="n">
        <v>46258</v>
      </c>
      <c r="C823" s="40" t="n">
        <f aca="false">'Aug 24'!$D$18</f>
        <v>0</v>
      </c>
      <c r="D823" s="40" t="n">
        <f aca="false">'Aug 24'!$B$18</f>
        <v>0</v>
      </c>
      <c r="E823" s="41" t="n">
        <f aca="false">'Aug 24'!$E$18</f>
        <v>0</v>
      </c>
      <c r="F823" s="40" t="n">
        <f aca="false">'Aug 24'!$A$18</f>
        <v>0</v>
      </c>
      <c r="G823" s="41" t="n">
        <f aca="false">'Aug 24'!$F$18</f>
        <v>0</v>
      </c>
      <c r="H823" s="41" t="n">
        <f aca="false">'Aug 24'!$G$18</f>
        <v>0</v>
      </c>
      <c r="I823" s="41" t="str">
        <f aca="false">'Aug 24'!$M$18</f>
        <v/>
      </c>
      <c r="J823" s="42" t="str">
        <f aca="false">'Aug 24'!$S$18</f>
        <v/>
      </c>
      <c r="K823" s="40" t="n">
        <f aca="false">'Aug 24'!$AG$18</f>
        <v>0</v>
      </c>
      <c r="L823" s="40" t="n">
        <f aca="false">'Aug 24'!$N$18</f>
        <v>0</v>
      </c>
    </row>
    <row r="824" customFormat="false" ht="15" hidden="false" customHeight="false" outlineLevel="0" collapsed="false">
      <c r="A824" s="38" t="str">
        <f aca="false">IF(OR(C824="",C824=0),"",IF(AND(OR($B$5="",G824=$B$5,H824=$B$5),OR($D$5="",F824=$D$5),OR($E$5="",K824=$E$5),OR($G$5="",L824=$G$5),OR($H$5="",N(J824)&gt;=$H$5),OR($I$5="",ISNUMBER(SEARCH($I$5,C824&amp;" "&amp;D824&amp;" "&amp;E824&amp;" "&amp;I824)))),"✓",""))</f>
        <v/>
      </c>
      <c r="B824" s="39" t="n">
        <v>46258</v>
      </c>
      <c r="C824" s="40" t="n">
        <f aca="false">'Aug 24'!$D$19</f>
        <v>0</v>
      </c>
      <c r="D824" s="40" t="n">
        <f aca="false">'Aug 24'!$B$19</f>
        <v>0</v>
      </c>
      <c r="E824" s="41" t="n">
        <f aca="false">'Aug 24'!$E$19</f>
        <v>0</v>
      </c>
      <c r="F824" s="40" t="n">
        <f aca="false">'Aug 24'!$A$19</f>
        <v>0</v>
      </c>
      <c r="G824" s="41" t="n">
        <f aca="false">'Aug 24'!$F$19</f>
        <v>0</v>
      </c>
      <c r="H824" s="41" t="n">
        <f aca="false">'Aug 24'!$G$19</f>
        <v>0</v>
      </c>
      <c r="I824" s="41" t="str">
        <f aca="false">'Aug 24'!$M$19</f>
        <v/>
      </c>
      <c r="J824" s="42" t="str">
        <f aca="false">'Aug 24'!$S$19</f>
        <v/>
      </c>
      <c r="K824" s="40" t="n">
        <f aca="false">'Aug 24'!$AG$19</f>
        <v>0</v>
      </c>
      <c r="L824" s="40" t="n">
        <f aca="false">'Aug 24'!$N$19</f>
        <v>0</v>
      </c>
    </row>
    <row r="825" customFormat="false" ht="15" hidden="false" customHeight="false" outlineLevel="0" collapsed="false">
      <c r="A825" s="38" t="str">
        <f aca="false">IF(OR(C825="",C825=0),"",IF(AND(OR($B$5="",G825=$B$5,H825=$B$5),OR($D$5="",F825=$D$5),OR($E$5="",K825=$E$5),OR($G$5="",L825=$G$5),OR($H$5="",N(J825)&gt;=$H$5),OR($I$5="",ISNUMBER(SEARCH($I$5,C825&amp;" "&amp;D825&amp;" "&amp;E825&amp;" "&amp;I825)))),"✓",""))</f>
        <v/>
      </c>
      <c r="B825" s="39" t="n">
        <v>46258</v>
      </c>
      <c r="C825" s="40" t="n">
        <f aca="false">'Aug 24'!$D$20</f>
        <v>0</v>
      </c>
      <c r="D825" s="40" t="n">
        <f aca="false">'Aug 24'!$B$20</f>
        <v>0</v>
      </c>
      <c r="E825" s="41" t="n">
        <f aca="false">'Aug 24'!$E$20</f>
        <v>0</v>
      </c>
      <c r="F825" s="40" t="n">
        <f aca="false">'Aug 24'!$A$20</f>
        <v>0</v>
      </c>
      <c r="G825" s="41" t="n">
        <f aca="false">'Aug 24'!$F$20</f>
        <v>0</v>
      </c>
      <c r="H825" s="41" t="n">
        <f aca="false">'Aug 24'!$G$20</f>
        <v>0</v>
      </c>
      <c r="I825" s="41" t="str">
        <f aca="false">'Aug 24'!$M$20</f>
        <v/>
      </c>
      <c r="J825" s="42" t="str">
        <f aca="false">'Aug 24'!$S$20</f>
        <v/>
      </c>
      <c r="K825" s="40" t="n">
        <f aca="false">'Aug 24'!$AG$20</f>
        <v>0</v>
      </c>
      <c r="L825" s="40" t="n">
        <f aca="false">'Aug 24'!$N$20</f>
        <v>0</v>
      </c>
    </row>
    <row r="826" customFormat="false" ht="15" hidden="false" customHeight="false" outlineLevel="0" collapsed="false">
      <c r="A826" s="38" t="str">
        <f aca="false">IF(OR(C826="",C826=0),"",IF(AND(OR($B$5="",G826=$B$5,H826=$B$5),OR($D$5="",F826=$D$5),OR($E$5="",K826=$E$5),OR($G$5="",L826=$G$5),OR($H$5="",N(J826)&gt;=$H$5),OR($I$5="",ISNUMBER(SEARCH($I$5,C826&amp;" "&amp;D826&amp;" "&amp;E826&amp;" "&amp;I826)))),"✓",""))</f>
        <v/>
      </c>
      <c r="B826" s="39" t="n">
        <v>46258</v>
      </c>
      <c r="C826" s="40" t="n">
        <f aca="false">'Aug 24'!$D$21</f>
        <v>0</v>
      </c>
      <c r="D826" s="40" t="n">
        <f aca="false">'Aug 24'!$B$21</f>
        <v>0</v>
      </c>
      <c r="E826" s="41" t="n">
        <f aca="false">'Aug 24'!$E$21</f>
        <v>0</v>
      </c>
      <c r="F826" s="40" t="n">
        <f aca="false">'Aug 24'!$A$21</f>
        <v>0</v>
      </c>
      <c r="G826" s="41" t="n">
        <f aca="false">'Aug 24'!$F$21</f>
        <v>0</v>
      </c>
      <c r="H826" s="41" t="n">
        <f aca="false">'Aug 24'!$G$21</f>
        <v>0</v>
      </c>
      <c r="I826" s="41" t="str">
        <f aca="false">'Aug 24'!$M$21</f>
        <v/>
      </c>
      <c r="J826" s="42" t="str">
        <f aca="false">'Aug 24'!$S$21</f>
        <v/>
      </c>
      <c r="K826" s="40" t="n">
        <f aca="false">'Aug 24'!$AG$21</f>
        <v>0</v>
      </c>
      <c r="L826" s="40" t="n">
        <f aca="false">'Aug 24'!$N$21</f>
        <v>0</v>
      </c>
    </row>
    <row r="827" customFormat="false" ht="15" hidden="false" customHeight="false" outlineLevel="0" collapsed="false">
      <c r="A827" s="38" t="str">
        <f aca="false">IF(OR(C827="",C827=0),"",IF(AND(OR($B$5="",G827=$B$5,H827=$B$5),OR($D$5="",F827=$D$5),OR($E$5="",K827=$E$5),OR($G$5="",L827=$G$5),OR($H$5="",N(J827)&gt;=$H$5),OR($I$5="",ISNUMBER(SEARCH($I$5,C827&amp;" "&amp;D827&amp;" "&amp;E827&amp;" "&amp;I827)))),"✓",""))</f>
        <v/>
      </c>
      <c r="B827" s="39" t="n">
        <v>46258</v>
      </c>
      <c r="C827" s="40" t="n">
        <f aca="false">'Aug 24'!$D$22</f>
        <v>0</v>
      </c>
      <c r="D827" s="40" t="n">
        <f aca="false">'Aug 24'!$B$22</f>
        <v>0</v>
      </c>
      <c r="E827" s="41" t="n">
        <f aca="false">'Aug 24'!$E$22</f>
        <v>0</v>
      </c>
      <c r="F827" s="40" t="n">
        <f aca="false">'Aug 24'!$A$22</f>
        <v>0</v>
      </c>
      <c r="G827" s="41" t="n">
        <f aca="false">'Aug 24'!$F$22</f>
        <v>0</v>
      </c>
      <c r="H827" s="41" t="n">
        <f aca="false">'Aug 24'!$G$22</f>
        <v>0</v>
      </c>
      <c r="I827" s="41" t="str">
        <f aca="false">'Aug 24'!$M$22</f>
        <v/>
      </c>
      <c r="J827" s="42" t="str">
        <f aca="false">'Aug 24'!$S$22</f>
        <v/>
      </c>
      <c r="K827" s="40" t="n">
        <f aca="false">'Aug 24'!$AG$22</f>
        <v>0</v>
      </c>
      <c r="L827" s="40" t="n">
        <f aca="false">'Aug 24'!$N$22</f>
        <v>0</v>
      </c>
    </row>
    <row r="828" customFormat="false" ht="15" hidden="false" customHeight="false" outlineLevel="0" collapsed="false">
      <c r="A828" s="38" t="str">
        <f aca="false">IF(OR(C828="",C828=0),"",IF(AND(OR($B$5="",G828=$B$5,H828=$B$5),OR($D$5="",F828=$D$5),OR($E$5="",K828=$E$5),OR($G$5="",L828=$G$5),OR($H$5="",N(J828)&gt;=$H$5),OR($I$5="",ISNUMBER(SEARCH($I$5,C828&amp;" "&amp;D828&amp;" "&amp;E828&amp;" "&amp;I828)))),"✓",""))</f>
        <v/>
      </c>
      <c r="B828" s="39" t="n">
        <v>46258</v>
      </c>
      <c r="C828" s="40" t="n">
        <f aca="false">'Aug 24'!$D$23</f>
        <v>0</v>
      </c>
      <c r="D828" s="40" t="n">
        <f aca="false">'Aug 24'!$B$23</f>
        <v>0</v>
      </c>
      <c r="E828" s="41" t="n">
        <f aca="false">'Aug 24'!$E$23</f>
        <v>0</v>
      </c>
      <c r="F828" s="40" t="n">
        <f aca="false">'Aug 24'!$A$23</f>
        <v>0</v>
      </c>
      <c r="G828" s="41" t="n">
        <f aca="false">'Aug 24'!$F$23</f>
        <v>0</v>
      </c>
      <c r="H828" s="41" t="n">
        <f aca="false">'Aug 24'!$G$23</f>
        <v>0</v>
      </c>
      <c r="I828" s="41" t="str">
        <f aca="false">'Aug 24'!$M$23</f>
        <v/>
      </c>
      <c r="J828" s="42" t="str">
        <f aca="false">'Aug 24'!$S$23</f>
        <v/>
      </c>
      <c r="K828" s="40" t="n">
        <f aca="false">'Aug 24'!$AG$23</f>
        <v>0</v>
      </c>
      <c r="L828" s="40" t="n">
        <f aca="false">'Aug 24'!$N$23</f>
        <v>0</v>
      </c>
    </row>
    <row r="829" customFormat="false" ht="15" hidden="false" customHeight="false" outlineLevel="0" collapsed="false">
      <c r="A829" s="38" t="str">
        <f aca="false">IF(OR(C829="",C829=0),"",IF(AND(OR($B$5="",G829=$B$5,H829=$B$5),OR($D$5="",F829=$D$5),OR($E$5="",K829=$E$5),OR($G$5="",L829=$G$5),OR($H$5="",N(J829)&gt;=$H$5),OR($I$5="",ISNUMBER(SEARCH($I$5,C829&amp;" "&amp;D829&amp;" "&amp;E829&amp;" "&amp;I829)))),"✓",""))</f>
        <v/>
      </c>
      <c r="B829" s="39" t="n">
        <v>46258</v>
      </c>
      <c r="C829" s="40" t="n">
        <f aca="false">'Aug 24'!$D$24</f>
        <v>0</v>
      </c>
      <c r="D829" s="40" t="n">
        <f aca="false">'Aug 24'!$B$24</f>
        <v>0</v>
      </c>
      <c r="E829" s="41" t="n">
        <f aca="false">'Aug 24'!$E$24</f>
        <v>0</v>
      </c>
      <c r="F829" s="40" t="n">
        <f aca="false">'Aug 24'!$A$24</f>
        <v>0</v>
      </c>
      <c r="G829" s="41" t="n">
        <f aca="false">'Aug 24'!$F$24</f>
        <v>0</v>
      </c>
      <c r="H829" s="41" t="n">
        <f aca="false">'Aug 24'!$G$24</f>
        <v>0</v>
      </c>
      <c r="I829" s="41" t="str">
        <f aca="false">'Aug 24'!$M$24</f>
        <v/>
      </c>
      <c r="J829" s="42" t="str">
        <f aca="false">'Aug 24'!$S$24</f>
        <v/>
      </c>
      <c r="K829" s="40" t="n">
        <f aca="false">'Aug 24'!$AG$24</f>
        <v>0</v>
      </c>
      <c r="L829" s="40" t="n">
        <f aca="false">'Aug 24'!$N$24</f>
        <v>0</v>
      </c>
    </row>
    <row r="830" customFormat="false" ht="15" hidden="false" customHeight="false" outlineLevel="0" collapsed="false">
      <c r="A830" s="38" t="str">
        <f aca="false">IF(OR(C830="",C830=0),"",IF(AND(OR($B$5="",G830=$B$5,H830=$B$5),OR($D$5="",F830=$D$5),OR($E$5="",K830=$E$5),OR($G$5="",L830=$G$5),OR($H$5="",N(J830)&gt;=$H$5),OR($I$5="",ISNUMBER(SEARCH($I$5,C830&amp;" "&amp;D830&amp;" "&amp;E830&amp;" "&amp;I830)))),"✓",""))</f>
        <v/>
      </c>
      <c r="B830" s="39" t="n">
        <v>46258</v>
      </c>
      <c r="C830" s="40" t="n">
        <f aca="false">'Aug 24'!$D$25</f>
        <v>0</v>
      </c>
      <c r="D830" s="40" t="n">
        <f aca="false">'Aug 24'!$B$25</f>
        <v>0</v>
      </c>
      <c r="E830" s="41" t="n">
        <f aca="false">'Aug 24'!$E$25</f>
        <v>0</v>
      </c>
      <c r="F830" s="40" t="n">
        <f aca="false">'Aug 24'!$A$25</f>
        <v>0</v>
      </c>
      <c r="G830" s="41" t="n">
        <f aca="false">'Aug 24'!$F$25</f>
        <v>0</v>
      </c>
      <c r="H830" s="41" t="n">
        <f aca="false">'Aug 24'!$G$25</f>
        <v>0</v>
      </c>
      <c r="I830" s="41" t="str">
        <f aca="false">'Aug 24'!$M$25</f>
        <v/>
      </c>
      <c r="J830" s="42" t="str">
        <f aca="false">'Aug 24'!$S$25</f>
        <v/>
      </c>
      <c r="K830" s="40" t="n">
        <f aca="false">'Aug 24'!$AG$25</f>
        <v>0</v>
      </c>
      <c r="L830" s="40" t="n">
        <f aca="false">'Aug 24'!$N$25</f>
        <v>0</v>
      </c>
    </row>
    <row r="831" customFormat="false" ht="15" hidden="false" customHeight="false" outlineLevel="0" collapsed="false">
      <c r="A831" s="38" t="str">
        <f aca="false">IF(OR(C831="",C831=0),"",IF(AND(OR($B$5="",G831=$B$5,H831=$B$5),OR($D$5="",F831=$D$5),OR($E$5="",K831=$E$5),OR($G$5="",L831=$G$5),OR($H$5="",N(J831)&gt;=$H$5),OR($I$5="",ISNUMBER(SEARCH($I$5,C831&amp;" "&amp;D831&amp;" "&amp;E831&amp;" "&amp;I831)))),"✓",""))</f>
        <v/>
      </c>
      <c r="B831" s="39" t="n">
        <v>46258</v>
      </c>
      <c r="C831" s="40" t="n">
        <f aca="false">'Aug 24'!$D$26</f>
        <v>0</v>
      </c>
      <c r="D831" s="40" t="n">
        <f aca="false">'Aug 24'!$B$26</f>
        <v>0</v>
      </c>
      <c r="E831" s="41" t="n">
        <f aca="false">'Aug 24'!$E$26</f>
        <v>0</v>
      </c>
      <c r="F831" s="40" t="n">
        <f aca="false">'Aug 24'!$A$26</f>
        <v>0</v>
      </c>
      <c r="G831" s="41" t="n">
        <f aca="false">'Aug 24'!$F$26</f>
        <v>0</v>
      </c>
      <c r="H831" s="41" t="n">
        <f aca="false">'Aug 24'!$G$26</f>
        <v>0</v>
      </c>
      <c r="I831" s="41" t="str">
        <f aca="false">'Aug 24'!$M$26</f>
        <v/>
      </c>
      <c r="J831" s="42" t="str">
        <f aca="false">'Aug 24'!$S$26</f>
        <v/>
      </c>
      <c r="K831" s="40" t="n">
        <f aca="false">'Aug 24'!$AG$26</f>
        <v>0</v>
      </c>
      <c r="L831" s="40" t="n">
        <f aca="false">'Aug 24'!$N$26</f>
        <v>0</v>
      </c>
    </row>
    <row r="832" customFormat="false" ht="15" hidden="false" customHeight="false" outlineLevel="0" collapsed="false">
      <c r="A832" s="38" t="str">
        <f aca="false">IF(OR(C832="",C832=0),"",IF(AND(OR($B$5="",G832=$B$5,H832=$B$5),OR($D$5="",F832=$D$5),OR($E$5="",K832=$E$5),OR($G$5="",L832=$G$5),OR($H$5="",N(J832)&gt;=$H$5),OR($I$5="",ISNUMBER(SEARCH($I$5,C832&amp;" "&amp;D832&amp;" "&amp;E832&amp;" "&amp;I832)))),"✓",""))</f>
        <v/>
      </c>
      <c r="B832" s="39" t="n">
        <v>46258</v>
      </c>
      <c r="C832" s="40" t="n">
        <f aca="false">'Aug 24'!$D$27</f>
        <v>0</v>
      </c>
      <c r="D832" s="40" t="n">
        <f aca="false">'Aug 24'!$B$27</f>
        <v>0</v>
      </c>
      <c r="E832" s="41" t="n">
        <f aca="false">'Aug 24'!$E$27</f>
        <v>0</v>
      </c>
      <c r="F832" s="40" t="n">
        <f aca="false">'Aug 24'!$A$27</f>
        <v>0</v>
      </c>
      <c r="G832" s="41" t="n">
        <f aca="false">'Aug 24'!$F$27</f>
        <v>0</v>
      </c>
      <c r="H832" s="41" t="n">
        <f aca="false">'Aug 24'!$G$27</f>
        <v>0</v>
      </c>
      <c r="I832" s="41" t="str">
        <f aca="false">'Aug 24'!$M$27</f>
        <v/>
      </c>
      <c r="J832" s="42" t="str">
        <f aca="false">'Aug 24'!$S$27</f>
        <v/>
      </c>
      <c r="K832" s="40" t="n">
        <f aca="false">'Aug 24'!$AG$27</f>
        <v>0</v>
      </c>
      <c r="L832" s="40" t="n">
        <f aca="false">'Aug 24'!$N$27</f>
        <v>0</v>
      </c>
    </row>
    <row r="833" customFormat="false" ht="15" hidden="false" customHeight="false" outlineLevel="0" collapsed="false">
      <c r="A833" s="38" t="str">
        <f aca="false">IF(OR(C833="",C833=0),"",IF(AND(OR($B$5="",G833=$B$5,H833=$B$5),OR($D$5="",F833=$D$5),OR($E$5="",K833=$E$5),OR($G$5="",L833=$G$5),OR($H$5="",N(J833)&gt;=$H$5),OR($I$5="",ISNUMBER(SEARCH($I$5,C833&amp;" "&amp;D833&amp;" "&amp;E833&amp;" "&amp;I833)))),"✓",""))</f>
        <v/>
      </c>
      <c r="B833" s="39" t="n">
        <v>46258</v>
      </c>
      <c r="C833" s="40" t="n">
        <f aca="false">'Aug 24'!$D$28</f>
        <v>0</v>
      </c>
      <c r="D833" s="40" t="n">
        <f aca="false">'Aug 24'!$B$28</f>
        <v>0</v>
      </c>
      <c r="E833" s="41" t="n">
        <f aca="false">'Aug 24'!$E$28</f>
        <v>0</v>
      </c>
      <c r="F833" s="40" t="n">
        <f aca="false">'Aug 24'!$A$28</f>
        <v>0</v>
      </c>
      <c r="G833" s="41" t="n">
        <f aca="false">'Aug 24'!$F$28</f>
        <v>0</v>
      </c>
      <c r="H833" s="41" t="n">
        <f aca="false">'Aug 24'!$G$28</f>
        <v>0</v>
      </c>
      <c r="I833" s="41" t="str">
        <f aca="false">'Aug 24'!$M$28</f>
        <v/>
      </c>
      <c r="J833" s="42" t="str">
        <f aca="false">'Aug 24'!$S$28</f>
        <v/>
      </c>
      <c r="K833" s="40" t="n">
        <f aca="false">'Aug 24'!$AG$28</f>
        <v>0</v>
      </c>
      <c r="L833" s="40" t="n">
        <f aca="false">'Aug 24'!$N$28</f>
        <v>0</v>
      </c>
    </row>
    <row r="834" customFormat="false" ht="15" hidden="false" customHeight="false" outlineLevel="0" collapsed="false">
      <c r="A834" s="38" t="str">
        <f aca="false">IF(OR(C834="",C834=0),"",IF(AND(OR($B$5="",G834=$B$5,H834=$B$5),OR($D$5="",F834=$D$5),OR($E$5="",K834=$E$5),OR($G$5="",L834=$G$5),OR($H$5="",N(J834)&gt;=$H$5),OR($I$5="",ISNUMBER(SEARCH($I$5,C834&amp;" "&amp;D834&amp;" "&amp;E834&amp;" "&amp;I834)))),"✓",""))</f>
        <v/>
      </c>
      <c r="B834" s="39" t="n">
        <v>46258</v>
      </c>
      <c r="C834" s="40" t="n">
        <f aca="false">'Aug 24'!$D$29</f>
        <v>0</v>
      </c>
      <c r="D834" s="40" t="n">
        <f aca="false">'Aug 24'!$B$29</f>
        <v>0</v>
      </c>
      <c r="E834" s="41" t="n">
        <f aca="false">'Aug 24'!$E$29</f>
        <v>0</v>
      </c>
      <c r="F834" s="40" t="n">
        <f aca="false">'Aug 24'!$A$29</f>
        <v>0</v>
      </c>
      <c r="G834" s="41" t="n">
        <f aca="false">'Aug 24'!$F$29</f>
        <v>0</v>
      </c>
      <c r="H834" s="41" t="n">
        <f aca="false">'Aug 24'!$G$29</f>
        <v>0</v>
      </c>
      <c r="I834" s="41" t="str">
        <f aca="false">'Aug 24'!$M$29</f>
        <v/>
      </c>
      <c r="J834" s="42" t="str">
        <f aca="false">'Aug 24'!$S$29</f>
        <v/>
      </c>
      <c r="K834" s="40" t="n">
        <f aca="false">'Aug 24'!$AG$29</f>
        <v>0</v>
      </c>
      <c r="L834" s="40" t="n">
        <f aca="false">'Aug 24'!$N$29</f>
        <v>0</v>
      </c>
    </row>
    <row r="835" customFormat="false" ht="15" hidden="false" customHeight="false" outlineLevel="0" collapsed="false">
      <c r="A835" s="38" t="str">
        <f aca="false">IF(OR(C835="",C835=0),"",IF(AND(OR($B$5="",G835=$B$5,H835=$B$5),OR($D$5="",F835=$D$5),OR($E$5="",K835=$E$5),OR($G$5="",L835=$G$5),OR($H$5="",N(J835)&gt;=$H$5),OR($I$5="",ISNUMBER(SEARCH($I$5,C835&amp;" "&amp;D835&amp;" "&amp;E835&amp;" "&amp;I835)))),"✓",""))</f>
        <v/>
      </c>
      <c r="B835" s="39" t="n">
        <v>46258</v>
      </c>
      <c r="C835" s="40" t="n">
        <f aca="false">'Aug 24'!$D$30</f>
        <v>0</v>
      </c>
      <c r="D835" s="40" t="n">
        <f aca="false">'Aug 24'!$B$30</f>
        <v>0</v>
      </c>
      <c r="E835" s="41" t="n">
        <f aca="false">'Aug 24'!$E$30</f>
        <v>0</v>
      </c>
      <c r="F835" s="40" t="n">
        <f aca="false">'Aug 24'!$A$30</f>
        <v>0</v>
      </c>
      <c r="G835" s="41" t="n">
        <f aca="false">'Aug 24'!$F$30</f>
        <v>0</v>
      </c>
      <c r="H835" s="41" t="n">
        <f aca="false">'Aug 24'!$G$30</f>
        <v>0</v>
      </c>
      <c r="I835" s="41" t="str">
        <f aca="false">'Aug 24'!$M$30</f>
        <v/>
      </c>
      <c r="J835" s="42" t="str">
        <f aca="false">'Aug 24'!$S$30</f>
        <v/>
      </c>
      <c r="K835" s="40" t="n">
        <f aca="false">'Aug 24'!$AG$30</f>
        <v>0</v>
      </c>
      <c r="L835" s="40" t="n">
        <f aca="false">'Aug 24'!$N$30</f>
        <v>0</v>
      </c>
    </row>
    <row r="836" customFormat="false" ht="15" hidden="false" customHeight="false" outlineLevel="0" collapsed="false">
      <c r="A836" s="38" t="str">
        <f aca="false">IF(OR(C836="",C836=0),"",IF(AND(OR($B$5="",G836=$B$5,H836=$B$5),OR($D$5="",F836=$D$5),OR($E$5="",K836=$E$5),OR($G$5="",L836=$G$5),OR($H$5="",N(J836)&gt;=$H$5),OR($I$5="",ISNUMBER(SEARCH($I$5,C836&amp;" "&amp;D836&amp;" "&amp;E836&amp;" "&amp;I836)))),"✓",""))</f>
        <v/>
      </c>
      <c r="B836" s="39" t="n">
        <v>46258</v>
      </c>
      <c r="C836" s="40" t="n">
        <f aca="false">'Aug 24'!$D$31</f>
        <v>0</v>
      </c>
      <c r="D836" s="40" t="n">
        <f aca="false">'Aug 24'!$B$31</f>
        <v>0</v>
      </c>
      <c r="E836" s="41" t="n">
        <f aca="false">'Aug 24'!$E$31</f>
        <v>0</v>
      </c>
      <c r="F836" s="40" t="n">
        <f aca="false">'Aug 24'!$A$31</f>
        <v>0</v>
      </c>
      <c r="G836" s="41" t="n">
        <f aca="false">'Aug 24'!$F$31</f>
        <v>0</v>
      </c>
      <c r="H836" s="41" t="n">
        <f aca="false">'Aug 24'!$G$31</f>
        <v>0</v>
      </c>
      <c r="I836" s="41" t="str">
        <f aca="false">'Aug 24'!$M$31</f>
        <v/>
      </c>
      <c r="J836" s="42" t="str">
        <f aca="false">'Aug 24'!$S$31</f>
        <v/>
      </c>
      <c r="K836" s="40" t="n">
        <f aca="false">'Aug 24'!$AG$31</f>
        <v>0</v>
      </c>
      <c r="L836" s="40" t="n">
        <f aca="false">'Aug 24'!$N$31</f>
        <v>0</v>
      </c>
    </row>
    <row r="837" customFormat="false" ht="15" hidden="false" customHeight="false" outlineLevel="0" collapsed="false">
      <c r="A837" s="38" t="str">
        <f aca="false">IF(OR(C837="",C837=0),"",IF(AND(OR($B$5="",G837=$B$5,H837=$B$5),OR($D$5="",F837=$D$5),OR($E$5="",K837=$E$5),OR($G$5="",L837=$G$5),OR($H$5="",N(J837)&gt;=$H$5),OR($I$5="",ISNUMBER(SEARCH($I$5,C837&amp;" "&amp;D837&amp;" "&amp;E837&amp;" "&amp;I837)))),"✓",""))</f>
        <v/>
      </c>
      <c r="B837" s="39" t="n">
        <v>46258</v>
      </c>
      <c r="C837" s="40" t="n">
        <f aca="false">'Aug 24'!$D$32</f>
        <v>0</v>
      </c>
      <c r="D837" s="40" t="n">
        <f aca="false">'Aug 24'!$B$32</f>
        <v>0</v>
      </c>
      <c r="E837" s="41" t="n">
        <f aca="false">'Aug 24'!$E$32</f>
        <v>0</v>
      </c>
      <c r="F837" s="40" t="n">
        <f aca="false">'Aug 24'!$A$32</f>
        <v>0</v>
      </c>
      <c r="G837" s="41" t="n">
        <f aca="false">'Aug 24'!$F$32</f>
        <v>0</v>
      </c>
      <c r="H837" s="41" t="n">
        <f aca="false">'Aug 24'!$G$32</f>
        <v>0</v>
      </c>
      <c r="I837" s="41" t="str">
        <f aca="false">'Aug 24'!$M$32</f>
        <v/>
      </c>
      <c r="J837" s="42" t="str">
        <f aca="false">'Aug 24'!$S$32</f>
        <v/>
      </c>
      <c r="K837" s="40" t="n">
        <f aca="false">'Aug 24'!$AG$32</f>
        <v>0</v>
      </c>
      <c r="L837" s="40" t="n">
        <f aca="false">'Aug 24'!$N$32</f>
        <v>0</v>
      </c>
    </row>
    <row r="838" customFormat="false" ht="15" hidden="false" customHeight="false" outlineLevel="0" collapsed="false">
      <c r="A838" s="38" t="str">
        <f aca="false">IF(OR(C838="",C838=0),"",IF(AND(OR($B$5="",G838=$B$5,H838=$B$5),OR($D$5="",F838=$D$5),OR($E$5="",K838=$E$5),OR($G$5="",L838=$G$5),OR($H$5="",N(J838)&gt;=$H$5),OR($I$5="",ISNUMBER(SEARCH($I$5,C838&amp;" "&amp;D838&amp;" "&amp;E838&amp;" "&amp;I838)))),"✓",""))</f>
        <v/>
      </c>
      <c r="B838" s="39" t="n">
        <v>46258</v>
      </c>
      <c r="C838" s="40" t="n">
        <f aca="false">'Aug 24'!$D$33</f>
        <v>0</v>
      </c>
      <c r="D838" s="40" t="n">
        <f aca="false">'Aug 24'!$B$33</f>
        <v>0</v>
      </c>
      <c r="E838" s="41" t="n">
        <f aca="false">'Aug 24'!$E$33</f>
        <v>0</v>
      </c>
      <c r="F838" s="40" t="n">
        <f aca="false">'Aug 24'!$A$33</f>
        <v>0</v>
      </c>
      <c r="G838" s="41" t="n">
        <f aca="false">'Aug 24'!$F$33</f>
        <v>0</v>
      </c>
      <c r="H838" s="41" t="n">
        <f aca="false">'Aug 24'!$G$33</f>
        <v>0</v>
      </c>
      <c r="I838" s="41" t="str">
        <f aca="false">'Aug 24'!$M$33</f>
        <v/>
      </c>
      <c r="J838" s="42" t="str">
        <f aca="false">'Aug 24'!$S$33</f>
        <v/>
      </c>
      <c r="K838" s="40" t="n">
        <f aca="false">'Aug 24'!$AG$33</f>
        <v>0</v>
      </c>
      <c r="L838" s="40" t="n">
        <f aca="false">'Aug 24'!$N$33</f>
        <v>0</v>
      </c>
    </row>
    <row r="839" customFormat="false" ht="15" hidden="false" customHeight="false" outlineLevel="0" collapsed="false">
      <c r="A839" s="38" t="str">
        <f aca="false">IF(OR(C839="",C839=0),"",IF(AND(OR($B$5="",G839=$B$5,H839=$B$5),OR($D$5="",F839=$D$5),OR($E$5="",K839=$E$5),OR($G$5="",L839=$G$5),OR($H$5="",N(J839)&gt;=$H$5),OR($I$5="",ISNUMBER(SEARCH($I$5,C839&amp;" "&amp;D839&amp;" "&amp;E839&amp;" "&amp;I839)))),"✓",""))</f>
        <v/>
      </c>
      <c r="B839" s="39" t="n">
        <v>46258</v>
      </c>
      <c r="C839" s="40" t="n">
        <f aca="false">'Aug 24'!$D$34</f>
        <v>0</v>
      </c>
      <c r="D839" s="40" t="n">
        <f aca="false">'Aug 24'!$B$34</f>
        <v>0</v>
      </c>
      <c r="E839" s="41" t="n">
        <f aca="false">'Aug 24'!$E$34</f>
        <v>0</v>
      </c>
      <c r="F839" s="40" t="n">
        <f aca="false">'Aug 24'!$A$34</f>
        <v>0</v>
      </c>
      <c r="G839" s="41" t="n">
        <f aca="false">'Aug 24'!$F$34</f>
        <v>0</v>
      </c>
      <c r="H839" s="41" t="n">
        <f aca="false">'Aug 24'!$G$34</f>
        <v>0</v>
      </c>
      <c r="I839" s="41" t="str">
        <f aca="false">'Aug 24'!$M$34</f>
        <v/>
      </c>
      <c r="J839" s="42" t="str">
        <f aca="false">'Aug 24'!$S$34</f>
        <v/>
      </c>
      <c r="K839" s="40" t="n">
        <f aca="false">'Aug 24'!$AG$34</f>
        <v>0</v>
      </c>
      <c r="L839" s="40" t="n">
        <f aca="false">'Aug 24'!$N$34</f>
        <v>0</v>
      </c>
    </row>
    <row r="840" customFormat="false" ht="15" hidden="false" customHeight="false" outlineLevel="0" collapsed="false">
      <c r="A840" s="38" t="str">
        <f aca="false">IF(OR(C840="",C840=0),"",IF(AND(OR($B$5="",G840=$B$5,H840=$B$5),OR($D$5="",F840=$D$5),OR($E$5="",K840=$E$5),OR($G$5="",L840=$G$5),OR($H$5="",N(J840)&gt;=$H$5),OR($I$5="",ISNUMBER(SEARCH($I$5,C840&amp;" "&amp;D840&amp;" "&amp;E840&amp;" "&amp;I840)))),"✓",""))</f>
        <v/>
      </c>
      <c r="B840" s="39" t="n">
        <v>46258</v>
      </c>
      <c r="C840" s="40" t="n">
        <f aca="false">'Aug 24'!$D$35</f>
        <v>0</v>
      </c>
      <c r="D840" s="40" t="n">
        <f aca="false">'Aug 24'!$B$35</f>
        <v>0</v>
      </c>
      <c r="E840" s="41" t="n">
        <f aca="false">'Aug 24'!$E$35</f>
        <v>0</v>
      </c>
      <c r="F840" s="40" t="n">
        <f aca="false">'Aug 24'!$A$35</f>
        <v>0</v>
      </c>
      <c r="G840" s="41" t="n">
        <f aca="false">'Aug 24'!$F$35</f>
        <v>0</v>
      </c>
      <c r="H840" s="41" t="n">
        <f aca="false">'Aug 24'!$G$35</f>
        <v>0</v>
      </c>
      <c r="I840" s="41" t="str">
        <f aca="false">'Aug 24'!$M$35</f>
        <v/>
      </c>
      <c r="J840" s="42" t="str">
        <f aca="false">'Aug 24'!$S$35</f>
        <v/>
      </c>
      <c r="K840" s="40" t="n">
        <f aca="false">'Aug 24'!$AG$35</f>
        <v>0</v>
      </c>
      <c r="L840" s="40" t="n">
        <f aca="false">'Aug 24'!$N$35</f>
        <v>0</v>
      </c>
    </row>
    <row r="841" customFormat="false" ht="15" hidden="false" customHeight="false" outlineLevel="0" collapsed="false">
      <c r="A841" s="38" t="str">
        <f aca="false">IF(OR(C841="",C841=0),"",IF(AND(OR($B$5="",G841=$B$5,H841=$B$5),OR($D$5="",F841=$D$5),OR($E$5="",K841=$E$5),OR($G$5="",L841=$G$5),OR($H$5="",N(J841)&gt;=$H$5),OR($I$5="",ISNUMBER(SEARCH($I$5,C841&amp;" "&amp;D841&amp;" "&amp;E841&amp;" "&amp;I841)))),"✓",""))</f>
        <v/>
      </c>
      <c r="B841" s="39" t="n">
        <v>46258</v>
      </c>
      <c r="C841" s="40" t="n">
        <f aca="false">'Aug 24'!$D$36</f>
        <v>0</v>
      </c>
      <c r="D841" s="40" t="n">
        <f aca="false">'Aug 24'!$B$36</f>
        <v>0</v>
      </c>
      <c r="E841" s="41" t="n">
        <f aca="false">'Aug 24'!$E$36</f>
        <v>0</v>
      </c>
      <c r="F841" s="40" t="n">
        <f aca="false">'Aug 24'!$A$36</f>
        <v>0</v>
      </c>
      <c r="G841" s="41" t="n">
        <f aca="false">'Aug 24'!$F$36</f>
        <v>0</v>
      </c>
      <c r="H841" s="41" t="n">
        <f aca="false">'Aug 24'!$G$36</f>
        <v>0</v>
      </c>
      <c r="I841" s="41" t="str">
        <f aca="false">'Aug 24'!$M$36</f>
        <v/>
      </c>
      <c r="J841" s="42" t="str">
        <f aca="false">'Aug 24'!$S$36</f>
        <v/>
      </c>
      <c r="K841" s="40" t="n">
        <f aca="false">'Aug 24'!$AG$36</f>
        <v>0</v>
      </c>
      <c r="L841" s="40" t="n">
        <f aca="false">'Aug 24'!$N$36</f>
        <v>0</v>
      </c>
    </row>
    <row r="842" customFormat="false" ht="15" hidden="false" customHeight="false" outlineLevel="0" collapsed="false">
      <c r="A842" s="38" t="str">
        <f aca="false">IF(OR(C842="",C842=0),"",IF(AND(OR($B$5="",G842=$B$5,H842=$B$5),OR($D$5="",F842=$D$5),OR($E$5="",K842=$E$5),OR($G$5="",L842=$G$5),OR($H$5="",N(J842)&gt;=$H$5),OR($I$5="",ISNUMBER(SEARCH($I$5,C842&amp;" "&amp;D842&amp;" "&amp;E842&amp;" "&amp;I842)))),"✓",""))</f>
        <v/>
      </c>
      <c r="B842" s="39" t="n">
        <v>46258</v>
      </c>
      <c r="C842" s="40" t="n">
        <f aca="false">'Aug 24'!$D$37</f>
        <v>0</v>
      </c>
      <c r="D842" s="40" t="n">
        <f aca="false">'Aug 24'!$B$37</f>
        <v>0</v>
      </c>
      <c r="E842" s="41" t="n">
        <f aca="false">'Aug 24'!$E$37</f>
        <v>0</v>
      </c>
      <c r="F842" s="40" t="n">
        <f aca="false">'Aug 24'!$A$37</f>
        <v>0</v>
      </c>
      <c r="G842" s="41" t="n">
        <f aca="false">'Aug 24'!$F$37</f>
        <v>0</v>
      </c>
      <c r="H842" s="41" t="n">
        <f aca="false">'Aug 24'!$G$37</f>
        <v>0</v>
      </c>
      <c r="I842" s="41" t="str">
        <f aca="false">'Aug 24'!$M$37</f>
        <v/>
      </c>
      <c r="J842" s="42" t="str">
        <f aca="false">'Aug 24'!$S$37</f>
        <v/>
      </c>
      <c r="K842" s="40" t="n">
        <f aca="false">'Aug 24'!$AG$37</f>
        <v>0</v>
      </c>
      <c r="L842" s="40" t="n">
        <f aca="false">'Aug 24'!$N$37</f>
        <v>0</v>
      </c>
    </row>
    <row r="843" customFormat="false" ht="15" hidden="false" customHeight="false" outlineLevel="0" collapsed="false">
      <c r="A843" s="38" t="str">
        <f aca="false">IF(OR(C843="",C843=0),"",IF(AND(OR($B$5="",G843=$B$5,H843=$B$5),OR($D$5="",F843=$D$5),OR($E$5="",K843=$E$5),OR($G$5="",L843=$G$5),OR($H$5="",N(J843)&gt;=$H$5),OR($I$5="",ISNUMBER(SEARCH($I$5,C843&amp;" "&amp;D843&amp;" "&amp;E843&amp;" "&amp;I843)))),"✓",""))</f>
        <v/>
      </c>
      <c r="B843" s="39" t="n">
        <v>46258</v>
      </c>
      <c r="C843" s="40" t="n">
        <f aca="false">'Aug 24'!$D$38</f>
        <v>0</v>
      </c>
      <c r="D843" s="40" t="n">
        <f aca="false">'Aug 24'!$B$38</f>
        <v>0</v>
      </c>
      <c r="E843" s="41" t="n">
        <f aca="false">'Aug 24'!$E$38</f>
        <v>0</v>
      </c>
      <c r="F843" s="40" t="n">
        <f aca="false">'Aug 24'!$A$38</f>
        <v>0</v>
      </c>
      <c r="G843" s="41" t="n">
        <f aca="false">'Aug 24'!$F$38</f>
        <v>0</v>
      </c>
      <c r="H843" s="41" t="n">
        <f aca="false">'Aug 24'!$G$38</f>
        <v>0</v>
      </c>
      <c r="I843" s="41" t="str">
        <f aca="false">'Aug 24'!$M$38</f>
        <v/>
      </c>
      <c r="J843" s="42" t="str">
        <f aca="false">'Aug 24'!$S$38</f>
        <v/>
      </c>
      <c r="K843" s="40" t="n">
        <f aca="false">'Aug 24'!$AG$38</f>
        <v>0</v>
      </c>
      <c r="L843" s="40" t="n">
        <f aca="false">'Aug 24'!$N$38</f>
        <v>0</v>
      </c>
    </row>
    <row r="844" customFormat="false" ht="15" hidden="false" customHeight="false" outlineLevel="0" collapsed="false">
      <c r="A844" s="38" t="str">
        <f aca="false">IF(OR(C844="",C844=0),"",IF(AND(OR($B$5="",G844=$B$5,H844=$B$5),OR($D$5="",F844=$D$5),OR($E$5="",K844=$E$5),OR($G$5="",L844=$G$5),OR($H$5="",N(J844)&gt;=$H$5),OR($I$5="",ISNUMBER(SEARCH($I$5,C844&amp;" "&amp;D844&amp;" "&amp;E844&amp;" "&amp;I844)))),"✓",""))</f>
        <v/>
      </c>
      <c r="B844" s="39" t="n">
        <v>46258</v>
      </c>
      <c r="C844" s="40" t="n">
        <f aca="false">'Aug 24'!$D$39</f>
        <v>0</v>
      </c>
      <c r="D844" s="40" t="n">
        <f aca="false">'Aug 24'!$B$39</f>
        <v>0</v>
      </c>
      <c r="E844" s="41" t="n">
        <f aca="false">'Aug 24'!$E$39</f>
        <v>0</v>
      </c>
      <c r="F844" s="40" t="n">
        <f aca="false">'Aug 24'!$A$39</f>
        <v>0</v>
      </c>
      <c r="G844" s="41" t="n">
        <f aca="false">'Aug 24'!$F$39</f>
        <v>0</v>
      </c>
      <c r="H844" s="41" t="n">
        <f aca="false">'Aug 24'!$G$39</f>
        <v>0</v>
      </c>
      <c r="I844" s="41" t="str">
        <f aca="false">'Aug 24'!$M$39</f>
        <v/>
      </c>
      <c r="J844" s="42" t="str">
        <f aca="false">'Aug 24'!$S$39</f>
        <v/>
      </c>
      <c r="K844" s="40" t="n">
        <f aca="false">'Aug 24'!$AG$39</f>
        <v>0</v>
      </c>
      <c r="L844" s="40" t="n">
        <f aca="false">'Aug 24'!$N$39</f>
        <v>0</v>
      </c>
    </row>
    <row r="845" customFormat="false" ht="15" hidden="false" customHeight="false" outlineLevel="0" collapsed="false">
      <c r="A845" s="38" t="str">
        <f aca="false">IF(OR(C845="",C845=0),"",IF(AND(OR($B$5="",G845=$B$5,H845=$B$5),OR($D$5="",F845=$D$5),OR($E$5="",K845=$E$5),OR($G$5="",L845=$G$5),OR($H$5="",N(J845)&gt;=$H$5),OR($I$5="",ISNUMBER(SEARCH($I$5,C845&amp;" "&amp;D845&amp;" "&amp;E845&amp;" "&amp;I845)))),"✓",""))</f>
        <v/>
      </c>
      <c r="B845" s="39" t="n">
        <v>46258</v>
      </c>
      <c r="C845" s="40" t="n">
        <f aca="false">'Aug 24'!$D$40</f>
        <v>0</v>
      </c>
      <c r="D845" s="40" t="n">
        <f aca="false">'Aug 24'!$B$40</f>
        <v>0</v>
      </c>
      <c r="E845" s="41" t="n">
        <f aca="false">'Aug 24'!$E$40</f>
        <v>0</v>
      </c>
      <c r="F845" s="40" t="n">
        <f aca="false">'Aug 24'!$A$40</f>
        <v>0</v>
      </c>
      <c r="G845" s="41" t="n">
        <f aca="false">'Aug 24'!$F$40</f>
        <v>0</v>
      </c>
      <c r="H845" s="41" t="n">
        <f aca="false">'Aug 24'!$G$40</f>
        <v>0</v>
      </c>
      <c r="I845" s="41" t="str">
        <f aca="false">'Aug 24'!$M$40</f>
        <v/>
      </c>
      <c r="J845" s="42" t="str">
        <f aca="false">'Aug 24'!$S$40</f>
        <v/>
      </c>
      <c r="K845" s="40" t="n">
        <f aca="false">'Aug 24'!$AG$40</f>
        <v>0</v>
      </c>
      <c r="L845" s="40" t="n">
        <f aca="false">'Aug 24'!$N$40</f>
        <v>0</v>
      </c>
    </row>
    <row r="846" customFormat="false" ht="15" hidden="false" customHeight="false" outlineLevel="0" collapsed="false">
      <c r="A846" s="38" t="str">
        <f aca="false">IF(OR(C846="",C846=0),"",IF(AND(OR($B$5="",G846=$B$5,H846=$B$5),OR($D$5="",F846=$D$5),OR($E$5="",K846=$E$5),OR($G$5="",L846=$G$5),OR($H$5="",N(J846)&gt;=$H$5),OR($I$5="",ISNUMBER(SEARCH($I$5,C846&amp;" "&amp;D846&amp;" "&amp;E846&amp;" "&amp;I846)))),"✓",""))</f>
        <v/>
      </c>
      <c r="B846" s="39" t="n">
        <v>46258</v>
      </c>
      <c r="C846" s="40" t="n">
        <f aca="false">'Aug 24'!$D$41</f>
        <v>0</v>
      </c>
      <c r="D846" s="40" t="n">
        <f aca="false">'Aug 24'!$B$41</f>
        <v>0</v>
      </c>
      <c r="E846" s="41" t="n">
        <f aca="false">'Aug 24'!$E$41</f>
        <v>0</v>
      </c>
      <c r="F846" s="40" t="n">
        <f aca="false">'Aug 24'!$A$41</f>
        <v>0</v>
      </c>
      <c r="G846" s="41" t="n">
        <f aca="false">'Aug 24'!$F$41</f>
        <v>0</v>
      </c>
      <c r="H846" s="41" t="n">
        <f aca="false">'Aug 24'!$G$41</f>
        <v>0</v>
      </c>
      <c r="I846" s="41" t="str">
        <f aca="false">'Aug 24'!$M$41</f>
        <v/>
      </c>
      <c r="J846" s="42" t="str">
        <f aca="false">'Aug 24'!$S$41</f>
        <v/>
      </c>
      <c r="K846" s="40" t="n">
        <f aca="false">'Aug 24'!$AG$41</f>
        <v>0</v>
      </c>
      <c r="L846" s="40" t="n">
        <f aca="false">'Aug 24'!$N$41</f>
        <v>0</v>
      </c>
    </row>
    <row r="847" customFormat="false" ht="15" hidden="false" customHeight="false" outlineLevel="0" collapsed="false">
      <c r="A847" s="38" t="str">
        <f aca="false">IF(OR(C847="",C847=0),"",IF(AND(OR($B$5="",G847=$B$5,H847=$B$5),OR($D$5="",F847=$D$5),OR($E$5="",K847=$E$5),OR($G$5="",L847=$G$5),OR($H$5="",N(J847)&gt;=$H$5),OR($I$5="",ISNUMBER(SEARCH($I$5,C847&amp;" "&amp;D847&amp;" "&amp;E847&amp;" "&amp;I847)))),"✓",""))</f>
        <v/>
      </c>
      <c r="B847" s="39" t="n">
        <v>46258</v>
      </c>
      <c r="C847" s="40" t="n">
        <f aca="false">'Aug 24'!$D$42</f>
        <v>0</v>
      </c>
      <c r="D847" s="40" t="n">
        <f aca="false">'Aug 24'!$B$42</f>
        <v>0</v>
      </c>
      <c r="E847" s="41" t="n">
        <f aca="false">'Aug 24'!$E$42</f>
        <v>0</v>
      </c>
      <c r="F847" s="40" t="n">
        <f aca="false">'Aug 24'!$A$42</f>
        <v>0</v>
      </c>
      <c r="G847" s="41" t="n">
        <f aca="false">'Aug 24'!$F$42</f>
        <v>0</v>
      </c>
      <c r="H847" s="41" t="n">
        <f aca="false">'Aug 24'!$G$42</f>
        <v>0</v>
      </c>
      <c r="I847" s="41" t="str">
        <f aca="false">'Aug 24'!$M$42</f>
        <v/>
      </c>
      <c r="J847" s="42" t="str">
        <f aca="false">'Aug 24'!$S$42</f>
        <v/>
      </c>
      <c r="K847" s="40" t="n">
        <f aca="false">'Aug 24'!$AG$42</f>
        <v>0</v>
      </c>
      <c r="L847" s="40" t="n">
        <f aca="false">'Aug 24'!$N$42</f>
        <v>0</v>
      </c>
    </row>
    <row r="848" customFormat="false" ht="15" hidden="false" customHeight="false" outlineLevel="0" collapsed="false">
      <c r="A848" s="38" t="str">
        <f aca="false">IF(OR(C848="",C848=0),"",IF(AND(OR($B$5="",G848=$B$5,H848=$B$5),OR($D$5="",F848=$D$5),OR($E$5="",K848=$E$5),OR($G$5="",L848=$G$5),OR($H$5="",N(J848)&gt;=$H$5),OR($I$5="",ISNUMBER(SEARCH($I$5,C848&amp;" "&amp;D848&amp;" "&amp;E848&amp;" "&amp;I848)))),"✓",""))</f>
        <v/>
      </c>
      <c r="B848" s="39" t="n">
        <v>46259</v>
      </c>
      <c r="C848" s="40" t="n">
        <f aca="false">'Aug 25'!$D$8</f>
        <v>0</v>
      </c>
      <c r="D848" s="40" t="n">
        <f aca="false">'Aug 25'!$B$8</f>
        <v>0</v>
      </c>
      <c r="E848" s="41" t="n">
        <f aca="false">'Aug 25'!$E$8</f>
        <v>0</v>
      </c>
      <c r="F848" s="40" t="n">
        <f aca="false">'Aug 25'!$A$8</f>
        <v>0</v>
      </c>
      <c r="G848" s="41" t="n">
        <f aca="false">'Aug 25'!$F$8</f>
        <v>0</v>
      </c>
      <c r="H848" s="41" t="n">
        <f aca="false">'Aug 25'!$G$8</f>
        <v>0</v>
      </c>
      <c r="I848" s="41" t="str">
        <f aca="false">'Aug 25'!$M$8</f>
        <v/>
      </c>
      <c r="J848" s="42" t="str">
        <f aca="false">'Aug 25'!$S$8</f>
        <v/>
      </c>
      <c r="K848" s="40" t="n">
        <f aca="false">'Aug 25'!$AG$8</f>
        <v>0</v>
      </c>
      <c r="L848" s="40" t="n">
        <f aca="false">'Aug 25'!$N$8</f>
        <v>0</v>
      </c>
    </row>
    <row r="849" customFormat="false" ht="15" hidden="false" customHeight="false" outlineLevel="0" collapsed="false">
      <c r="A849" s="38" t="str">
        <f aca="false">IF(OR(C849="",C849=0),"",IF(AND(OR($B$5="",G849=$B$5,H849=$B$5),OR($D$5="",F849=$D$5),OR($E$5="",K849=$E$5),OR($G$5="",L849=$G$5),OR($H$5="",N(J849)&gt;=$H$5),OR($I$5="",ISNUMBER(SEARCH($I$5,C849&amp;" "&amp;D849&amp;" "&amp;E849&amp;" "&amp;I849)))),"✓",""))</f>
        <v/>
      </c>
      <c r="B849" s="39" t="n">
        <v>46259</v>
      </c>
      <c r="C849" s="40" t="n">
        <f aca="false">'Aug 25'!$D$9</f>
        <v>0</v>
      </c>
      <c r="D849" s="40" t="n">
        <f aca="false">'Aug 25'!$B$9</f>
        <v>0</v>
      </c>
      <c r="E849" s="41" t="n">
        <f aca="false">'Aug 25'!$E$9</f>
        <v>0</v>
      </c>
      <c r="F849" s="40" t="n">
        <f aca="false">'Aug 25'!$A$9</f>
        <v>0</v>
      </c>
      <c r="G849" s="41" t="n">
        <f aca="false">'Aug 25'!$F$9</f>
        <v>0</v>
      </c>
      <c r="H849" s="41" t="n">
        <f aca="false">'Aug 25'!$G$9</f>
        <v>0</v>
      </c>
      <c r="I849" s="41" t="str">
        <f aca="false">'Aug 25'!$M$9</f>
        <v/>
      </c>
      <c r="J849" s="42" t="str">
        <f aca="false">'Aug 25'!$S$9</f>
        <v/>
      </c>
      <c r="K849" s="40" t="n">
        <f aca="false">'Aug 25'!$AG$9</f>
        <v>0</v>
      </c>
      <c r="L849" s="40" t="n">
        <f aca="false">'Aug 25'!$N$9</f>
        <v>0</v>
      </c>
    </row>
    <row r="850" customFormat="false" ht="15" hidden="false" customHeight="false" outlineLevel="0" collapsed="false">
      <c r="A850" s="38" t="str">
        <f aca="false">IF(OR(C850="",C850=0),"",IF(AND(OR($B$5="",G850=$B$5,H850=$B$5),OR($D$5="",F850=$D$5),OR($E$5="",K850=$E$5),OR($G$5="",L850=$G$5),OR($H$5="",N(J850)&gt;=$H$5),OR($I$5="",ISNUMBER(SEARCH($I$5,C850&amp;" "&amp;D850&amp;" "&amp;E850&amp;" "&amp;I850)))),"✓",""))</f>
        <v/>
      </c>
      <c r="B850" s="39" t="n">
        <v>46259</v>
      </c>
      <c r="C850" s="40" t="n">
        <f aca="false">'Aug 25'!$D$10</f>
        <v>0</v>
      </c>
      <c r="D850" s="40" t="n">
        <f aca="false">'Aug 25'!$B$10</f>
        <v>0</v>
      </c>
      <c r="E850" s="41" t="n">
        <f aca="false">'Aug 25'!$E$10</f>
        <v>0</v>
      </c>
      <c r="F850" s="40" t="n">
        <f aca="false">'Aug 25'!$A$10</f>
        <v>0</v>
      </c>
      <c r="G850" s="41" t="n">
        <f aca="false">'Aug 25'!$F$10</f>
        <v>0</v>
      </c>
      <c r="H850" s="41" t="n">
        <f aca="false">'Aug 25'!$G$10</f>
        <v>0</v>
      </c>
      <c r="I850" s="41" t="str">
        <f aca="false">'Aug 25'!$M$10</f>
        <v/>
      </c>
      <c r="J850" s="42" t="str">
        <f aca="false">'Aug 25'!$S$10</f>
        <v/>
      </c>
      <c r="K850" s="40" t="n">
        <f aca="false">'Aug 25'!$AG$10</f>
        <v>0</v>
      </c>
      <c r="L850" s="40" t="n">
        <f aca="false">'Aug 25'!$N$10</f>
        <v>0</v>
      </c>
    </row>
    <row r="851" customFormat="false" ht="15" hidden="false" customHeight="false" outlineLevel="0" collapsed="false">
      <c r="A851" s="38" t="str">
        <f aca="false">IF(OR(C851="",C851=0),"",IF(AND(OR($B$5="",G851=$B$5,H851=$B$5),OR($D$5="",F851=$D$5),OR($E$5="",K851=$E$5),OR($G$5="",L851=$G$5),OR($H$5="",N(J851)&gt;=$H$5),OR($I$5="",ISNUMBER(SEARCH($I$5,C851&amp;" "&amp;D851&amp;" "&amp;E851&amp;" "&amp;I851)))),"✓",""))</f>
        <v/>
      </c>
      <c r="B851" s="39" t="n">
        <v>46259</v>
      </c>
      <c r="C851" s="40" t="n">
        <f aca="false">'Aug 25'!$D$11</f>
        <v>0</v>
      </c>
      <c r="D851" s="40" t="n">
        <f aca="false">'Aug 25'!$B$11</f>
        <v>0</v>
      </c>
      <c r="E851" s="41" t="n">
        <f aca="false">'Aug 25'!$E$11</f>
        <v>0</v>
      </c>
      <c r="F851" s="40" t="n">
        <f aca="false">'Aug 25'!$A$11</f>
        <v>0</v>
      </c>
      <c r="G851" s="41" t="n">
        <f aca="false">'Aug 25'!$F$11</f>
        <v>0</v>
      </c>
      <c r="H851" s="41" t="n">
        <f aca="false">'Aug 25'!$G$11</f>
        <v>0</v>
      </c>
      <c r="I851" s="41" t="str">
        <f aca="false">'Aug 25'!$M$11</f>
        <v/>
      </c>
      <c r="J851" s="42" t="str">
        <f aca="false">'Aug 25'!$S$11</f>
        <v/>
      </c>
      <c r="K851" s="40" t="n">
        <f aca="false">'Aug 25'!$AG$11</f>
        <v>0</v>
      </c>
      <c r="L851" s="40" t="n">
        <f aca="false">'Aug 25'!$N$11</f>
        <v>0</v>
      </c>
    </row>
    <row r="852" customFormat="false" ht="15" hidden="false" customHeight="false" outlineLevel="0" collapsed="false">
      <c r="A852" s="38" t="str">
        <f aca="false">IF(OR(C852="",C852=0),"",IF(AND(OR($B$5="",G852=$B$5,H852=$B$5),OR($D$5="",F852=$D$5),OR($E$5="",K852=$E$5),OR($G$5="",L852=$G$5),OR($H$5="",N(J852)&gt;=$H$5),OR($I$5="",ISNUMBER(SEARCH($I$5,C852&amp;" "&amp;D852&amp;" "&amp;E852&amp;" "&amp;I852)))),"✓",""))</f>
        <v/>
      </c>
      <c r="B852" s="39" t="n">
        <v>46259</v>
      </c>
      <c r="C852" s="40" t="n">
        <f aca="false">'Aug 25'!$D$12</f>
        <v>0</v>
      </c>
      <c r="D852" s="40" t="n">
        <f aca="false">'Aug 25'!$B$12</f>
        <v>0</v>
      </c>
      <c r="E852" s="41" t="n">
        <f aca="false">'Aug 25'!$E$12</f>
        <v>0</v>
      </c>
      <c r="F852" s="40" t="n">
        <f aca="false">'Aug 25'!$A$12</f>
        <v>0</v>
      </c>
      <c r="G852" s="41" t="n">
        <f aca="false">'Aug 25'!$F$12</f>
        <v>0</v>
      </c>
      <c r="H852" s="41" t="n">
        <f aca="false">'Aug 25'!$G$12</f>
        <v>0</v>
      </c>
      <c r="I852" s="41" t="str">
        <f aca="false">'Aug 25'!$M$12</f>
        <v/>
      </c>
      <c r="J852" s="42" t="str">
        <f aca="false">'Aug 25'!$S$12</f>
        <v/>
      </c>
      <c r="K852" s="40" t="n">
        <f aca="false">'Aug 25'!$AG$12</f>
        <v>0</v>
      </c>
      <c r="L852" s="40" t="n">
        <f aca="false">'Aug 25'!$N$12</f>
        <v>0</v>
      </c>
    </row>
    <row r="853" customFormat="false" ht="15" hidden="false" customHeight="false" outlineLevel="0" collapsed="false">
      <c r="A853" s="38" t="str">
        <f aca="false">IF(OR(C853="",C853=0),"",IF(AND(OR($B$5="",G853=$B$5,H853=$B$5),OR($D$5="",F853=$D$5),OR($E$5="",K853=$E$5),OR($G$5="",L853=$G$5),OR($H$5="",N(J853)&gt;=$H$5),OR($I$5="",ISNUMBER(SEARCH($I$5,C853&amp;" "&amp;D853&amp;" "&amp;E853&amp;" "&amp;I853)))),"✓",""))</f>
        <v/>
      </c>
      <c r="B853" s="39" t="n">
        <v>46259</v>
      </c>
      <c r="C853" s="40" t="n">
        <f aca="false">'Aug 25'!$D$13</f>
        <v>0</v>
      </c>
      <c r="D853" s="40" t="n">
        <f aca="false">'Aug 25'!$B$13</f>
        <v>0</v>
      </c>
      <c r="E853" s="41" t="n">
        <f aca="false">'Aug 25'!$E$13</f>
        <v>0</v>
      </c>
      <c r="F853" s="40" t="n">
        <f aca="false">'Aug 25'!$A$13</f>
        <v>0</v>
      </c>
      <c r="G853" s="41" t="n">
        <f aca="false">'Aug 25'!$F$13</f>
        <v>0</v>
      </c>
      <c r="H853" s="41" t="n">
        <f aca="false">'Aug 25'!$G$13</f>
        <v>0</v>
      </c>
      <c r="I853" s="41" t="str">
        <f aca="false">'Aug 25'!$M$13</f>
        <v/>
      </c>
      <c r="J853" s="42" t="str">
        <f aca="false">'Aug 25'!$S$13</f>
        <v/>
      </c>
      <c r="K853" s="40" t="n">
        <f aca="false">'Aug 25'!$AG$13</f>
        <v>0</v>
      </c>
      <c r="L853" s="40" t="n">
        <f aca="false">'Aug 25'!$N$13</f>
        <v>0</v>
      </c>
    </row>
    <row r="854" customFormat="false" ht="15" hidden="false" customHeight="false" outlineLevel="0" collapsed="false">
      <c r="A854" s="38" t="str">
        <f aca="false">IF(OR(C854="",C854=0),"",IF(AND(OR($B$5="",G854=$B$5,H854=$B$5),OR($D$5="",F854=$D$5),OR($E$5="",K854=$E$5),OR($G$5="",L854=$G$5),OR($H$5="",N(J854)&gt;=$H$5),OR($I$5="",ISNUMBER(SEARCH($I$5,C854&amp;" "&amp;D854&amp;" "&amp;E854&amp;" "&amp;I854)))),"✓",""))</f>
        <v/>
      </c>
      <c r="B854" s="39" t="n">
        <v>46259</v>
      </c>
      <c r="C854" s="40" t="n">
        <f aca="false">'Aug 25'!$D$14</f>
        <v>0</v>
      </c>
      <c r="D854" s="40" t="n">
        <f aca="false">'Aug 25'!$B$14</f>
        <v>0</v>
      </c>
      <c r="E854" s="41" t="n">
        <f aca="false">'Aug 25'!$E$14</f>
        <v>0</v>
      </c>
      <c r="F854" s="40" t="n">
        <f aca="false">'Aug 25'!$A$14</f>
        <v>0</v>
      </c>
      <c r="G854" s="41" t="n">
        <f aca="false">'Aug 25'!$F$14</f>
        <v>0</v>
      </c>
      <c r="H854" s="41" t="n">
        <f aca="false">'Aug 25'!$G$14</f>
        <v>0</v>
      </c>
      <c r="I854" s="41" t="str">
        <f aca="false">'Aug 25'!$M$14</f>
        <v/>
      </c>
      <c r="J854" s="42" t="str">
        <f aca="false">'Aug 25'!$S$14</f>
        <v/>
      </c>
      <c r="K854" s="40" t="n">
        <f aca="false">'Aug 25'!$AG$14</f>
        <v>0</v>
      </c>
      <c r="L854" s="40" t="n">
        <f aca="false">'Aug 25'!$N$14</f>
        <v>0</v>
      </c>
    </row>
    <row r="855" customFormat="false" ht="15" hidden="false" customHeight="false" outlineLevel="0" collapsed="false">
      <c r="A855" s="38" t="str">
        <f aca="false">IF(OR(C855="",C855=0),"",IF(AND(OR($B$5="",G855=$B$5,H855=$B$5),OR($D$5="",F855=$D$5),OR($E$5="",K855=$E$5),OR($G$5="",L855=$G$5),OR($H$5="",N(J855)&gt;=$H$5),OR($I$5="",ISNUMBER(SEARCH($I$5,C855&amp;" "&amp;D855&amp;" "&amp;E855&amp;" "&amp;I855)))),"✓",""))</f>
        <v/>
      </c>
      <c r="B855" s="39" t="n">
        <v>46259</v>
      </c>
      <c r="C855" s="40" t="n">
        <f aca="false">'Aug 25'!$D$15</f>
        <v>0</v>
      </c>
      <c r="D855" s="40" t="n">
        <f aca="false">'Aug 25'!$B$15</f>
        <v>0</v>
      </c>
      <c r="E855" s="41" t="n">
        <f aca="false">'Aug 25'!$E$15</f>
        <v>0</v>
      </c>
      <c r="F855" s="40" t="n">
        <f aca="false">'Aug 25'!$A$15</f>
        <v>0</v>
      </c>
      <c r="G855" s="41" t="n">
        <f aca="false">'Aug 25'!$F$15</f>
        <v>0</v>
      </c>
      <c r="H855" s="41" t="n">
        <f aca="false">'Aug 25'!$G$15</f>
        <v>0</v>
      </c>
      <c r="I855" s="41" t="str">
        <f aca="false">'Aug 25'!$M$15</f>
        <v/>
      </c>
      <c r="J855" s="42" t="str">
        <f aca="false">'Aug 25'!$S$15</f>
        <v/>
      </c>
      <c r="K855" s="40" t="n">
        <f aca="false">'Aug 25'!$AG$15</f>
        <v>0</v>
      </c>
      <c r="L855" s="40" t="n">
        <f aca="false">'Aug 25'!$N$15</f>
        <v>0</v>
      </c>
    </row>
    <row r="856" customFormat="false" ht="15" hidden="false" customHeight="false" outlineLevel="0" collapsed="false">
      <c r="A856" s="38" t="str">
        <f aca="false">IF(OR(C856="",C856=0),"",IF(AND(OR($B$5="",G856=$B$5,H856=$B$5),OR($D$5="",F856=$D$5),OR($E$5="",K856=$E$5),OR($G$5="",L856=$G$5),OR($H$5="",N(J856)&gt;=$H$5),OR($I$5="",ISNUMBER(SEARCH($I$5,C856&amp;" "&amp;D856&amp;" "&amp;E856&amp;" "&amp;I856)))),"✓",""))</f>
        <v/>
      </c>
      <c r="B856" s="39" t="n">
        <v>46259</v>
      </c>
      <c r="C856" s="40" t="n">
        <f aca="false">'Aug 25'!$D$16</f>
        <v>0</v>
      </c>
      <c r="D856" s="40" t="n">
        <f aca="false">'Aug 25'!$B$16</f>
        <v>0</v>
      </c>
      <c r="E856" s="41" t="n">
        <f aca="false">'Aug 25'!$E$16</f>
        <v>0</v>
      </c>
      <c r="F856" s="40" t="n">
        <f aca="false">'Aug 25'!$A$16</f>
        <v>0</v>
      </c>
      <c r="G856" s="41" t="n">
        <f aca="false">'Aug 25'!$F$16</f>
        <v>0</v>
      </c>
      <c r="H856" s="41" t="n">
        <f aca="false">'Aug 25'!$G$16</f>
        <v>0</v>
      </c>
      <c r="I856" s="41" t="str">
        <f aca="false">'Aug 25'!$M$16</f>
        <v/>
      </c>
      <c r="J856" s="42" t="str">
        <f aca="false">'Aug 25'!$S$16</f>
        <v/>
      </c>
      <c r="K856" s="40" t="n">
        <f aca="false">'Aug 25'!$AG$16</f>
        <v>0</v>
      </c>
      <c r="L856" s="40" t="n">
        <f aca="false">'Aug 25'!$N$16</f>
        <v>0</v>
      </c>
    </row>
    <row r="857" customFormat="false" ht="15" hidden="false" customHeight="false" outlineLevel="0" collapsed="false">
      <c r="A857" s="38" t="str">
        <f aca="false">IF(OR(C857="",C857=0),"",IF(AND(OR($B$5="",G857=$B$5,H857=$B$5),OR($D$5="",F857=$D$5),OR($E$5="",K857=$E$5),OR($G$5="",L857=$G$5),OR($H$5="",N(J857)&gt;=$H$5),OR($I$5="",ISNUMBER(SEARCH($I$5,C857&amp;" "&amp;D857&amp;" "&amp;E857&amp;" "&amp;I857)))),"✓",""))</f>
        <v/>
      </c>
      <c r="B857" s="39" t="n">
        <v>46259</v>
      </c>
      <c r="C857" s="40" t="n">
        <f aca="false">'Aug 25'!$D$17</f>
        <v>0</v>
      </c>
      <c r="D857" s="40" t="n">
        <f aca="false">'Aug 25'!$B$17</f>
        <v>0</v>
      </c>
      <c r="E857" s="41" t="n">
        <f aca="false">'Aug 25'!$E$17</f>
        <v>0</v>
      </c>
      <c r="F857" s="40" t="n">
        <f aca="false">'Aug 25'!$A$17</f>
        <v>0</v>
      </c>
      <c r="G857" s="41" t="n">
        <f aca="false">'Aug 25'!$F$17</f>
        <v>0</v>
      </c>
      <c r="H857" s="41" t="n">
        <f aca="false">'Aug 25'!$G$17</f>
        <v>0</v>
      </c>
      <c r="I857" s="41" t="str">
        <f aca="false">'Aug 25'!$M$17</f>
        <v/>
      </c>
      <c r="J857" s="42" t="str">
        <f aca="false">'Aug 25'!$S$17</f>
        <v/>
      </c>
      <c r="K857" s="40" t="n">
        <f aca="false">'Aug 25'!$AG$17</f>
        <v>0</v>
      </c>
      <c r="L857" s="40" t="n">
        <f aca="false">'Aug 25'!$N$17</f>
        <v>0</v>
      </c>
    </row>
    <row r="858" customFormat="false" ht="15" hidden="false" customHeight="false" outlineLevel="0" collapsed="false">
      <c r="A858" s="38" t="str">
        <f aca="false">IF(OR(C858="",C858=0),"",IF(AND(OR($B$5="",G858=$B$5,H858=$B$5),OR($D$5="",F858=$D$5),OR($E$5="",K858=$E$5),OR($G$5="",L858=$G$5),OR($H$5="",N(J858)&gt;=$H$5),OR($I$5="",ISNUMBER(SEARCH($I$5,C858&amp;" "&amp;D858&amp;" "&amp;E858&amp;" "&amp;I858)))),"✓",""))</f>
        <v/>
      </c>
      <c r="B858" s="39" t="n">
        <v>46259</v>
      </c>
      <c r="C858" s="40" t="n">
        <f aca="false">'Aug 25'!$D$18</f>
        <v>0</v>
      </c>
      <c r="D858" s="40" t="n">
        <f aca="false">'Aug 25'!$B$18</f>
        <v>0</v>
      </c>
      <c r="E858" s="41" t="n">
        <f aca="false">'Aug 25'!$E$18</f>
        <v>0</v>
      </c>
      <c r="F858" s="40" t="n">
        <f aca="false">'Aug 25'!$A$18</f>
        <v>0</v>
      </c>
      <c r="G858" s="41" t="n">
        <f aca="false">'Aug 25'!$F$18</f>
        <v>0</v>
      </c>
      <c r="H858" s="41" t="n">
        <f aca="false">'Aug 25'!$G$18</f>
        <v>0</v>
      </c>
      <c r="I858" s="41" t="str">
        <f aca="false">'Aug 25'!$M$18</f>
        <v/>
      </c>
      <c r="J858" s="42" t="str">
        <f aca="false">'Aug 25'!$S$18</f>
        <v/>
      </c>
      <c r="K858" s="40" t="n">
        <f aca="false">'Aug 25'!$AG$18</f>
        <v>0</v>
      </c>
      <c r="L858" s="40" t="n">
        <f aca="false">'Aug 25'!$N$18</f>
        <v>0</v>
      </c>
    </row>
    <row r="859" customFormat="false" ht="15" hidden="false" customHeight="false" outlineLevel="0" collapsed="false">
      <c r="A859" s="38" t="str">
        <f aca="false">IF(OR(C859="",C859=0),"",IF(AND(OR($B$5="",G859=$B$5,H859=$B$5),OR($D$5="",F859=$D$5),OR($E$5="",K859=$E$5),OR($G$5="",L859=$G$5),OR($H$5="",N(J859)&gt;=$H$5),OR($I$5="",ISNUMBER(SEARCH($I$5,C859&amp;" "&amp;D859&amp;" "&amp;E859&amp;" "&amp;I859)))),"✓",""))</f>
        <v/>
      </c>
      <c r="B859" s="39" t="n">
        <v>46259</v>
      </c>
      <c r="C859" s="40" t="n">
        <f aca="false">'Aug 25'!$D$19</f>
        <v>0</v>
      </c>
      <c r="D859" s="40" t="n">
        <f aca="false">'Aug 25'!$B$19</f>
        <v>0</v>
      </c>
      <c r="E859" s="41" t="n">
        <f aca="false">'Aug 25'!$E$19</f>
        <v>0</v>
      </c>
      <c r="F859" s="40" t="n">
        <f aca="false">'Aug 25'!$A$19</f>
        <v>0</v>
      </c>
      <c r="G859" s="41" t="n">
        <f aca="false">'Aug 25'!$F$19</f>
        <v>0</v>
      </c>
      <c r="H859" s="41" t="n">
        <f aca="false">'Aug 25'!$G$19</f>
        <v>0</v>
      </c>
      <c r="I859" s="41" t="str">
        <f aca="false">'Aug 25'!$M$19</f>
        <v/>
      </c>
      <c r="J859" s="42" t="str">
        <f aca="false">'Aug 25'!$S$19</f>
        <v/>
      </c>
      <c r="K859" s="40" t="n">
        <f aca="false">'Aug 25'!$AG$19</f>
        <v>0</v>
      </c>
      <c r="L859" s="40" t="n">
        <f aca="false">'Aug 25'!$N$19</f>
        <v>0</v>
      </c>
    </row>
    <row r="860" customFormat="false" ht="15" hidden="false" customHeight="false" outlineLevel="0" collapsed="false">
      <c r="A860" s="38" t="str">
        <f aca="false">IF(OR(C860="",C860=0),"",IF(AND(OR($B$5="",G860=$B$5,H860=$B$5),OR($D$5="",F860=$D$5),OR($E$5="",K860=$E$5),OR($G$5="",L860=$G$5),OR($H$5="",N(J860)&gt;=$H$5),OR($I$5="",ISNUMBER(SEARCH($I$5,C860&amp;" "&amp;D860&amp;" "&amp;E860&amp;" "&amp;I860)))),"✓",""))</f>
        <v/>
      </c>
      <c r="B860" s="39" t="n">
        <v>46259</v>
      </c>
      <c r="C860" s="40" t="n">
        <f aca="false">'Aug 25'!$D$20</f>
        <v>0</v>
      </c>
      <c r="D860" s="40" t="n">
        <f aca="false">'Aug 25'!$B$20</f>
        <v>0</v>
      </c>
      <c r="E860" s="41" t="n">
        <f aca="false">'Aug 25'!$E$20</f>
        <v>0</v>
      </c>
      <c r="F860" s="40" t="n">
        <f aca="false">'Aug 25'!$A$20</f>
        <v>0</v>
      </c>
      <c r="G860" s="41" t="n">
        <f aca="false">'Aug 25'!$F$20</f>
        <v>0</v>
      </c>
      <c r="H860" s="41" t="n">
        <f aca="false">'Aug 25'!$G$20</f>
        <v>0</v>
      </c>
      <c r="I860" s="41" t="str">
        <f aca="false">'Aug 25'!$M$20</f>
        <v/>
      </c>
      <c r="J860" s="42" t="str">
        <f aca="false">'Aug 25'!$S$20</f>
        <v/>
      </c>
      <c r="K860" s="40" t="n">
        <f aca="false">'Aug 25'!$AG$20</f>
        <v>0</v>
      </c>
      <c r="L860" s="40" t="n">
        <f aca="false">'Aug 25'!$N$20</f>
        <v>0</v>
      </c>
    </row>
    <row r="861" customFormat="false" ht="15" hidden="false" customHeight="false" outlineLevel="0" collapsed="false">
      <c r="A861" s="38" t="str">
        <f aca="false">IF(OR(C861="",C861=0),"",IF(AND(OR($B$5="",G861=$B$5,H861=$B$5),OR($D$5="",F861=$D$5),OR($E$5="",K861=$E$5),OR($G$5="",L861=$G$5),OR($H$5="",N(J861)&gt;=$H$5),OR($I$5="",ISNUMBER(SEARCH($I$5,C861&amp;" "&amp;D861&amp;" "&amp;E861&amp;" "&amp;I861)))),"✓",""))</f>
        <v/>
      </c>
      <c r="B861" s="39" t="n">
        <v>46259</v>
      </c>
      <c r="C861" s="40" t="n">
        <f aca="false">'Aug 25'!$D$21</f>
        <v>0</v>
      </c>
      <c r="D861" s="40" t="n">
        <f aca="false">'Aug 25'!$B$21</f>
        <v>0</v>
      </c>
      <c r="E861" s="41" t="n">
        <f aca="false">'Aug 25'!$E$21</f>
        <v>0</v>
      </c>
      <c r="F861" s="40" t="n">
        <f aca="false">'Aug 25'!$A$21</f>
        <v>0</v>
      </c>
      <c r="G861" s="41" t="n">
        <f aca="false">'Aug 25'!$F$21</f>
        <v>0</v>
      </c>
      <c r="H861" s="41" t="n">
        <f aca="false">'Aug 25'!$G$21</f>
        <v>0</v>
      </c>
      <c r="I861" s="41" t="str">
        <f aca="false">'Aug 25'!$M$21</f>
        <v/>
      </c>
      <c r="J861" s="42" t="str">
        <f aca="false">'Aug 25'!$S$21</f>
        <v/>
      </c>
      <c r="K861" s="40" t="n">
        <f aca="false">'Aug 25'!$AG$21</f>
        <v>0</v>
      </c>
      <c r="L861" s="40" t="n">
        <f aca="false">'Aug 25'!$N$21</f>
        <v>0</v>
      </c>
    </row>
    <row r="862" customFormat="false" ht="15" hidden="false" customHeight="false" outlineLevel="0" collapsed="false">
      <c r="A862" s="38" t="str">
        <f aca="false">IF(OR(C862="",C862=0),"",IF(AND(OR($B$5="",G862=$B$5,H862=$B$5),OR($D$5="",F862=$D$5),OR($E$5="",K862=$E$5),OR($G$5="",L862=$G$5),OR($H$5="",N(J862)&gt;=$H$5),OR($I$5="",ISNUMBER(SEARCH($I$5,C862&amp;" "&amp;D862&amp;" "&amp;E862&amp;" "&amp;I862)))),"✓",""))</f>
        <v/>
      </c>
      <c r="B862" s="39" t="n">
        <v>46259</v>
      </c>
      <c r="C862" s="40" t="n">
        <f aca="false">'Aug 25'!$D$22</f>
        <v>0</v>
      </c>
      <c r="D862" s="40" t="n">
        <f aca="false">'Aug 25'!$B$22</f>
        <v>0</v>
      </c>
      <c r="E862" s="41" t="n">
        <f aca="false">'Aug 25'!$E$22</f>
        <v>0</v>
      </c>
      <c r="F862" s="40" t="n">
        <f aca="false">'Aug 25'!$A$22</f>
        <v>0</v>
      </c>
      <c r="G862" s="41" t="n">
        <f aca="false">'Aug 25'!$F$22</f>
        <v>0</v>
      </c>
      <c r="H862" s="41" t="n">
        <f aca="false">'Aug 25'!$G$22</f>
        <v>0</v>
      </c>
      <c r="I862" s="41" t="str">
        <f aca="false">'Aug 25'!$M$22</f>
        <v/>
      </c>
      <c r="J862" s="42" t="str">
        <f aca="false">'Aug 25'!$S$22</f>
        <v/>
      </c>
      <c r="K862" s="40" t="n">
        <f aca="false">'Aug 25'!$AG$22</f>
        <v>0</v>
      </c>
      <c r="L862" s="40" t="n">
        <f aca="false">'Aug 25'!$N$22</f>
        <v>0</v>
      </c>
    </row>
    <row r="863" customFormat="false" ht="15" hidden="false" customHeight="false" outlineLevel="0" collapsed="false">
      <c r="A863" s="38" t="str">
        <f aca="false">IF(OR(C863="",C863=0),"",IF(AND(OR($B$5="",G863=$B$5,H863=$B$5),OR($D$5="",F863=$D$5),OR($E$5="",K863=$E$5),OR($G$5="",L863=$G$5),OR($H$5="",N(J863)&gt;=$H$5),OR($I$5="",ISNUMBER(SEARCH($I$5,C863&amp;" "&amp;D863&amp;" "&amp;E863&amp;" "&amp;I863)))),"✓",""))</f>
        <v/>
      </c>
      <c r="B863" s="39" t="n">
        <v>46259</v>
      </c>
      <c r="C863" s="40" t="n">
        <f aca="false">'Aug 25'!$D$23</f>
        <v>0</v>
      </c>
      <c r="D863" s="40" t="n">
        <f aca="false">'Aug 25'!$B$23</f>
        <v>0</v>
      </c>
      <c r="E863" s="41" t="n">
        <f aca="false">'Aug 25'!$E$23</f>
        <v>0</v>
      </c>
      <c r="F863" s="40" t="n">
        <f aca="false">'Aug 25'!$A$23</f>
        <v>0</v>
      </c>
      <c r="G863" s="41" t="n">
        <f aca="false">'Aug 25'!$F$23</f>
        <v>0</v>
      </c>
      <c r="H863" s="41" t="n">
        <f aca="false">'Aug 25'!$G$23</f>
        <v>0</v>
      </c>
      <c r="I863" s="41" t="str">
        <f aca="false">'Aug 25'!$M$23</f>
        <v/>
      </c>
      <c r="J863" s="42" t="str">
        <f aca="false">'Aug 25'!$S$23</f>
        <v/>
      </c>
      <c r="K863" s="40" t="n">
        <f aca="false">'Aug 25'!$AG$23</f>
        <v>0</v>
      </c>
      <c r="L863" s="40" t="n">
        <f aca="false">'Aug 25'!$N$23</f>
        <v>0</v>
      </c>
    </row>
    <row r="864" customFormat="false" ht="15" hidden="false" customHeight="false" outlineLevel="0" collapsed="false">
      <c r="A864" s="38" t="str">
        <f aca="false">IF(OR(C864="",C864=0),"",IF(AND(OR($B$5="",G864=$B$5,H864=$B$5),OR($D$5="",F864=$D$5),OR($E$5="",K864=$E$5),OR($G$5="",L864=$G$5),OR($H$5="",N(J864)&gt;=$H$5),OR($I$5="",ISNUMBER(SEARCH($I$5,C864&amp;" "&amp;D864&amp;" "&amp;E864&amp;" "&amp;I864)))),"✓",""))</f>
        <v/>
      </c>
      <c r="B864" s="39" t="n">
        <v>46259</v>
      </c>
      <c r="C864" s="40" t="n">
        <f aca="false">'Aug 25'!$D$24</f>
        <v>0</v>
      </c>
      <c r="D864" s="40" t="n">
        <f aca="false">'Aug 25'!$B$24</f>
        <v>0</v>
      </c>
      <c r="E864" s="41" t="n">
        <f aca="false">'Aug 25'!$E$24</f>
        <v>0</v>
      </c>
      <c r="F864" s="40" t="n">
        <f aca="false">'Aug 25'!$A$24</f>
        <v>0</v>
      </c>
      <c r="G864" s="41" t="n">
        <f aca="false">'Aug 25'!$F$24</f>
        <v>0</v>
      </c>
      <c r="H864" s="41" t="n">
        <f aca="false">'Aug 25'!$G$24</f>
        <v>0</v>
      </c>
      <c r="I864" s="41" t="str">
        <f aca="false">'Aug 25'!$M$24</f>
        <v/>
      </c>
      <c r="J864" s="42" t="str">
        <f aca="false">'Aug 25'!$S$24</f>
        <v/>
      </c>
      <c r="K864" s="40" t="n">
        <f aca="false">'Aug 25'!$AG$24</f>
        <v>0</v>
      </c>
      <c r="L864" s="40" t="n">
        <f aca="false">'Aug 25'!$N$24</f>
        <v>0</v>
      </c>
    </row>
    <row r="865" customFormat="false" ht="15" hidden="false" customHeight="false" outlineLevel="0" collapsed="false">
      <c r="A865" s="38" t="str">
        <f aca="false">IF(OR(C865="",C865=0),"",IF(AND(OR($B$5="",G865=$B$5,H865=$B$5),OR($D$5="",F865=$D$5),OR($E$5="",K865=$E$5),OR($G$5="",L865=$G$5),OR($H$5="",N(J865)&gt;=$H$5),OR($I$5="",ISNUMBER(SEARCH($I$5,C865&amp;" "&amp;D865&amp;" "&amp;E865&amp;" "&amp;I865)))),"✓",""))</f>
        <v/>
      </c>
      <c r="B865" s="39" t="n">
        <v>46259</v>
      </c>
      <c r="C865" s="40" t="n">
        <f aca="false">'Aug 25'!$D$25</f>
        <v>0</v>
      </c>
      <c r="D865" s="40" t="n">
        <f aca="false">'Aug 25'!$B$25</f>
        <v>0</v>
      </c>
      <c r="E865" s="41" t="n">
        <f aca="false">'Aug 25'!$E$25</f>
        <v>0</v>
      </c>
      <c r="F865" s="40" t="n">
        <f aca="false">'Aug 25'!$A$25</f>
        <v>0</v>
      </c>
      <c r="G865" s="41" t="n">
        <f aca="false">'Aug 25'!$F$25</f>
        <v>0</v>
      </c>
      <c r="H865" s="41" t="n">
        <f aca="false">'Aug 25'!$G$25</f>
        <v>0</v>
      </c>
      <c r="I865" s="41" t="str">
        <f aca="false">'Aug 25'!$M$25</f>
        <v/>
      </c>
      <c r="J865" s="42" t="str">
        <f aca="false">'Aug 25'!$S$25</f>
        <v/>
      </c>
      <c r="K865" s="40" t="n">
        <f aca="false">'Aug 25'!$AG$25</f>
        <v>0</v>
      </c>
      <c r="L865" s="40" t="n">
        <f aca="false">'Aug 25'!$N$25</f>
        <v>0</v>
      </c>
    </row>
    <row r="866" customFormat="false" ht="15" hidden="false" customHeight="false" outlineLevel="0" collapsed="false">
      <c r="A866" s="38" t="str">
        <f aca="false">IF(OR(C866="",C866=0),"",IF(AND(OR($B$5="",G866=$B$5,H866=$B$5),OR($D$5="",F866=$D$5),OR($E$5="",K866=$E$5),OR($G$5="",L866=$G$5),OR($H$5="",N(J866)&gt;=$H$5),OR($I$5="",ISNUMBER(SEARCH($I$5,C866&amp;" "&amp;D866&amp;" "&amp;E866&amp;" "&amp;I866)))),"✓",""))</f>
        <v/>
      </c>
      <c r="B866" s="39" t="n">
        <v>46259</v>
      </c>
      <c r="C866" s="40" t="n">
        <f aca="false">'Aug 25'!$D$26</f>
        <v>0</v>
      </c>
      <c r="D866" s="40" t="n">
        <f aca="false">'Aug 25'!$B$26</f>
        <v>0</v>
      </c>
      <c r="E866" s="41" t="n">
        <f aca="false">'Aug 25'!$E$26</f>
        <v>0</v>
      </c>
      <c r="F866" s="40" t="n">
        <f aca="false">'Aug 25'!$A$26</f>
        <v>0</v>
      </c>
      <c r="G866" s="41" t="n">
        <f aca="false">'Aug 25'!$F$26</f>
        <v>0</v>
      </c>
      <c r="H866" s="41" t="n">
        <f aca="false">'Aug 25'!$G$26</f>
        <v>0</v>
      </c>
      <c r="I866" s="41" t="str">
        <f aca="false">'Aug 25'!$M$26</f>
        <v/>
      </c>
      <c r="J866" s="42" t="str">
        <f aca="false">'Aug 25'!$S$26</f>
        <v/>
      </c>
      <c r="K866" s="40" t="n">
        <f aca="false">'Aug 25'!$AG$26</f>
        <v>0</v>
      </c>
      <c r="L866" s="40" t="n">
        <f aca="false">'Aug 25'!$N$26</f>
        <v>0</v>
      </c>
    </row>
    <row r="867" customFormat="false" ht="15" hidden="false" customHeight="false" outlineLevel="0" collapsed="false">
      <c r="A867" s="38" t="str">
        <f aca="false">IF(OR(C867="",C867=0),"",IF(AND(OR($B$5="",G867=$B$5,H867=$B$5),OR($D$5="",F867=$D$5),OR($E$5="",K867=$E$5),OR($G$5="",L867=$G$5),OR($H$5="",N(J867)&gt;=$H$5),OR($I$5="",ISNUMBER(SEARCH($I$5,C867&amp;" "&amp;D867&amp;" "&amp;E867&amp;" "&amp;I867)))),"✓",""))</f>
        <v/>
      </c>
      <c r="B867" s="39" t="n">
        <v>46259</v>
      </c>
      <c r="C867" s="40" t="n">
        <f aca="false">'Aug 25'!$D$27</f>
        <v>0</v>
      </c>
      <c r="D867" s="40" t="n">
        <f aca="false">'Aug 25'!$B$27</f>
        <v>0</v>
      </c>
      <c r="E867" s="41" t="n">
        <f aca="false">'Aug 25'!$E$27</f>
        <v>0</v>
      </c>
      <c r="F867" s="40" t="n">
        <f aca="false">'Aug 25'!$A$27</f>
        <v>0</v>
      </c>
      <c r="G867" s="41" t="n">
        <f aca="false">'Aug 25'!$F$27</f>
        <v>0</v>
      </c>
      <c r="H867" s="41" t="n">
        <f aca="false">'Aug 25'!$G$27</f>
        <v>0</v>
      </c>
      <c r="I867" s="41" t="str">
        <f aca="false">'Aug 25'!$M$27</f>
        <v/>
      </c>
      <c r="J867" s="42" t="str">
        <f aca="false">'Aug 25'!$S$27</f>
        <v/>
      </c>
      <c r="K867" s="40" t="n">
        <f aca="false">'Aug 25'!$AG$27</f>
        <v>0</v>
      </c>
      <c r="L867" s="40" t="n">
        <f aca="false">'Aug 25'!$N$27</f>
        <v>0</v>
      </c>
    </row>
    <row r="868" customFormat="false" ht="15" hidden="false" customHeight="false" outlineLevel="0" collapsed="false">
      <c r="A868" s="38" t="str">
        <f aca="false">IF(OR(C868="",C868=0),"",IF(AND(OR($B$5="",G868=$B$5,H868=$B$5),OR($D$5="",F868=$D$5),OR($E$5="",K868=$E$5),OR($G$5="",L868=$G$5),OR($H$5="",N(J868)&gt;=$H$5),OR($I$5="",ISNUMBER(SEARCH($I$5,C868&amp;" "&amp;D868&amp;" "&amp;E868&amp;" "&amp;I868)))),"✓",""))</f>
        <v/>
      </c>
      <c r="B868" s="39" t="n">
        <v>46259</v>
      </c>
      <c r="C868" s="40" t="n">
        <f aca="false">'Aug 25'!$D$28</f>
        <v>0</v>
      </c>
      <c r="D868" s="40" t="n">
        <f aca="false">'Aug 25'!$B$28</f>
        <v>0</v>
      </c>
      <c r="E868" s="41" t="n">
        <f aca="false">'Aug 25'!$E$28</f>
        <v>0</v>
      </c>
      <c r="F868" s="40" t="n">
        <f aca="false">'Aug 25'!$A$28</f>
        <v>0</v>
      </c>
      <c r="G868" s="41" t="n">
        <f aca="false">'Aug 25'!$F$28</f>
        <v>0</v>
      </c>
      <c r="H868" s="41" t="n">
        <f aca="false">'Aug 25'!$G$28</f>
        <v>0</v>
      </c>
      <c r="I868" s="41" t="str">
        <f aca="false">'Aug 25'!$M$28</f>
        <v/>
      </c>
      <c r="J868" s="42" t="str">
        <f aca="false">'Aug 25'!$S$28</f>
        <v/>
      </c>
      <c r="K868" s="40" t="n">
        <f aca="false">'Aug 25'!$AG$28</f>
        <v>0</v>
      </c>
      <c r="L868" s="40" t="n">
        <f aca="false">'Aug 25'!$N$28</f>
        <v>0</v>
      </c>
    </row>
    <row r="869" customFormat="false" ht="15" hidden="false" customHeight="false" outlineLevel="0" collapsed="false">
      <c r="A869" s="38" t="str">
        <f aca="false">IF(OR(C869="",C869=0),"",IF(AND(OR($B$5="",G869=$B$5,H869=$B$5),OR($D$5="",F869=$D$5),OR($E$5="",K869=$E$5),OR($G$5="",L869=$G$5),OR($H$5="",N(J869)&gt;=$H$5),OR($I$5="",ISNUMBER(SEARCH($I$5,C869&amp;" "&amp;D869&amp;" "&amp;E869&amp;" "&amp;I869)))),"✓",""))</f>
        <v/>
      </c>
      <c r="B869" s="39" t="n">
        <v>46259</v>
      </c>
      <c r="C869" s="40" t="n">
        <f aca="false">'Aug 25'!$D$29</f>
        <v>0</v>
      </c>
      <c r="D869" s="40" t="n">
        <f aca="false">'Aug 25'!$B$29</f>
        <v>0</v>
      </c>
      <c r="E869" s="41" t="n">
        <f aca="false">'Aug 25'!$E$29</f>
        <v>0</v>
      </c>
      <c r="F869" s="40" t="n">
        <f aca="false">'Aug 25'!$A$29</f>
        <v>0</v>
      </c>
      <c r="G869" s="41" t="n">
        <f aca="false">'Aug 25'!$F$29</f>
        <v>0</v>
      </c>
      <c r="H869" s="41" t="n">
        <f aca="false">'Aug 25'!$G$29</f>
        <v>0</v>
      </c>
      <c r="I869" s="41" t="str">
        <f aca="false">'Aug 25'!$M$29</f>
        <v/>
      </c>
      <c r="J869" s="42" t="str">
        <f aca="false">'Aug 25'!$S$29</f>
        <v/>
      </c>
      <c r="K869" s="40" t="n">
        <f aca="false">'Aug 25'!$AG$29</f>
        <v>0</v>
      </c>
      <c r="L869" s="40" t="n">
        <f aca="false">'Aug 25'!$N$29</f>
        <v>0</v>
      </c>
    </row>
    <row r="870" customFormat="false" ht="15" hidden="false" customHeight="false" outlineLevel="0" collapsed="false">
      <c r="A870" s="38" t="str">
        <f aca="false">IF(OR(C870="",C870=0),"",IF(AND(OR($B$5="",G870=$B$5,H870=$B$5),OR($D$5="",F870=$D$5),OR($E$5="",K870=$E$5),OR($G$5="",L870=$G$5),OR($H$5="",N(J870)&gt;=$H$5),OR($I$5="",ISNUMBER(SEARCH($I$5,C870&amp;" "&amp;D870&amp;" "&amp;E870&amp;" "&amp;I870)))),"✓",""))</f>
        <v/>
      </c>
      <c r="B870" s="39" t="n">
        <v>46259</v>
      </c>
      <c r="C870" s="40" t="n">
        <f aca="false">'Aug 25'!$D$30</f>
        <v>0</v>
      </c>
      <c r="D870" s="40" t="n">
        <f aca="false">'Aug 25'!$B$30</f>
        <v>0</v>
      </c>
      <c r="E870" s="41" t="n">
        <f aca="false">'Aug 25'!$E$30</f>
        <v>0</v>
      </c>
      <c r="F870" s="40" t="n">
        <f aca="false">'Aug 25'!$A$30</f>
        <v>0</v>
      </c>
      <c r="G870" s="41" t="n">
        <f aca="false">'Aug 25'!$F$30</f>
        <v>0</v>
      </c>
      <c r="H870" s="41" t="n">
        <f aca="false">'Aug 25'!$G$30</f>
        <v>0</v>
      </c>
      <c r="I870" s="41" t="str">
        <f aca="false">'Aug 25'!$M$30</f>
        <v/>
      </c>
      <c r="J870" s="42" t="str">
        <f aca="false">'Aug 25'!$S$30</f>
        <v/>
      </c>
      <c r="K870" s="40" t="n">
        <f aca="false">'Aug 25'!$AG$30</f>
        <v>0</v>
      </c>
      <c r="L870" s="40" t="n">
        <f aca="false">'Aug 25'!$N$30</f>
        <v>0</v>
      </c>
    </row>
    <row r="871" customFormat="false" ht="15" hidden="false" customHeight="false" outlineLevel="0" collapsed="false">
      <c r="A871" s="38" t="str">
        <f aca="false">IF(OR(C871="",C871=0),"",IF(AND(OR($B$5="",G871=$B$5,H871=$B$5),OR($D$5="",F871=$D$5),OR($E$5="",K871=$E$5),OR($G$5="",L871=$G$5),OR($H$5="",N(J871)&gt;=$H$5),OR($I$5="",ISNUMBER(SEARCH($I$5,C871&amp;" "&amp;D871&amp;" "&amp;E871&amp;" "&amp;I871)))),"✓",""))</f>
        <v/>
      </c>
      <c r="B871" s="39" t="n">
        <v>46259</v>
      </c>
      <c r="C871" s="40" t="n">
        <f aca="false">'Aug 25'!$D$31</f>
        <v>0</v>
      </c>
      <c r="D871" s="40" t="n">
        <f aca="false">'Aug 25'!$B$31</f>
        <v>0</v>
      </c>
      <c r="E871" s="41" t="n">
        <f aca="false">'Aug 25'!$E$31</f>
        <v>0</v>
      </c>
      <c r="F871" s="40" t="n">
        <f aca="false">'Aug 25'!$A$31</f>
        <v>0</v>
      </c>
      <c r="G871" s="41" t="n">
        <f aca="false">'Aug 25'!$F$31</f>
        <v>0</v>
      </c>
      <c r="H871" s="41" t="n">
        <f aca="false">'Aug 25'!$G$31</f>
        <v>0</v>
      </c>
      <c r="I871" s="41" t="str">
        <f aca="false">'Aug 25'!$M$31</f>
        <v/>
      </c>
      <c r="J871" s="42" t="str">
        <f aca="false">'Aug 25'!$S$31</f>
        <v/>
      </c>
      <c r="K871" s="40" t="n">
        <f aca="false">'Aug 25'!$AG$31</f>
        <v>0</v>
      </c>
      <c r="L871" s="40" t="n">
        <f aca="false">'Aug 25'!$N$31</f>
        <v>0</v>
      </c>
    </row>
    <row r="872" customFormat="false" ht="15" hidden="false" customHeight="false" outlineLevel="0" collapsed="false">
      <c r="A872" s="38" t="str">
        <f aca="false">IF(OR(C872="",C872=0),"",IF(AND(OR($B$5="",G872=$B$5,H872=$B$5),OR($D$5="",F872=$D$5),OR($E$5="",K872=$E$5),OR($G$5="",L872=$G$5),OR($H$5="",N(J872)&gt;=$H$5),OR($I$5="",ISNUMBER(SEARCH($I$5,C872&amp;" "&amp;D872&amp;" "&amp;E872&amp;" "&amp;I872)))),"✓",""))</f>
        <v/>
      </c>
      <c r="B872" s="39" t="n">
        <v>46259</v>
      </c>
      <c r="C872" s="40" t="n">
        <f aca="false">'Aug 25'!$D$32</f>
        <v>0</v>
      </c>
      <c r="D872" s="40" t="n">
        <f aca="false">'Aug 25'!$B$32</f>
        <v>0</v>
      </c>
      <c r="E872" s="41" t="n">
        <f aca="false">'Aug 25'!$E$32</f>
        <v>0</v>
      </c>
      <c r="F872" s="40" t="n">
        <f aca="false">'Aug 25'!$A$32</f>
        <v>0</v>
      </c>
      <c r="G872" s="41" t="n">
        <f aca="false">'Aug 25'!$F$32</f>
        <v>0</v>
      </c>
      <c r="H872" s="41" t="n">
        <f aca="false">'Aug 25'!$G$32</f>
        <v>0</v>
      </c>
      <c r="I872" s="41" t="str">
        <f aca="false">'Aug 25'!$M$32</f>
        <v/>
      </c>
      <c r="J872" s="42" t="str">
        <f aca="false">'Aug 25'!$S$32</f>
        <v/>
      </c>
      <c r="K872" s="40" t="n">
        <f aca="false">'Aug 25'!$AG$32</f>
        <v>0</v>
      </c>
      <c r="L872" s="40" t="n">
        <f aca="false">'Aug 25'!$N$32</f>
        <v>0</v>
      </c>
    </row>
    <row r="873" customFormat="false" ht="15" hidden="false" customHeight="false" outlineLevel="0" collapsed="false">
      <c r="A873" s="38" t="str">
        <f aca="false">IF(OR(C873="",C873=0),"",IF(AND(OR($B$5="",G873=$B$5,H873=$B$5),OR($D$5="",F873=$D$5),OR($E$5="",K873=$E$5),OR($G$5="",L873=$G$5),OR($H$5="",N(J873)&gt;=$H$5),OR($I$5="",ISNUMBER(SEARCH($I$5,C873&amp;" "&amp;D873&amp;" "&amp;E873&amp;" "&amp;I873)))),"✓",""))</f>
        <v/>
      </c>
      <c r="B873" s="39" t="n">
        <v>46259</v>
      </c>
      <c r="C873" s="40" t="n">
        <f aca="false">'Aug 25'!$D$33</f>
        <v>0</v>
      </c>
      <c r="D873" s="40" t="n">
        <f aca="false">'Aug 25'!$B$33</f>
        <v>0</v>
      </c>
      <c r="E873" s="41" t="n">
        <f aca="false">'Aug 25'!$E$33</f>
        <v>0</v>
      </c>
      <c r="F873" s="40" t="n">
        <f aca="false">'Aug 25'!$A$33</f>
        <v>0</v>
      </c>
      <c r="G873" s="41" t="n">
        <f aca="false">'Aug 25'!$F$33</f>
        <v>0</v>
      </c>
      <c r="H873" s="41" t="n">
        <f aca="false">'Aug 25'!$G$33</f>
        <v>0</v>
      </c>
      <c r="I873" s="41" t="str">
        <f aca="false">'Aug 25'!$M$33</f>
        <v/>
      </c>
      <c r="J873" s="42" t="str">
        <f aca="false">'Aug 25'!$S$33</f>
        <v/>
      </c>
      <c r="K873" s="40" t="n">
        <f aca="false">'Aug 25'!$AG$33</f>
        <v>0</v>
      </c>
      <c r="L873" s="40" t="n">
        <f aca="false">'Aug 25'!$N$33</f>
        <v>0</v>
      </c>
    </row>
    <row r="874" customFormat="false" ht="15" hidden="false" customHeight="false" outlineLevel="0" collapsed="false">
      <c r="A874" s="38" t="str">
        <f aca="false">IF(OR(C874="",C874=0),"",IF(AND(OR($B$5="",G874=$B$5,H874=$B$5),OR($D$5="",F874=$D$5),OR($E$5="",K874=$E$5),OR($G$5="",L874=$G$5),OR($H$5="",N(J874)&gt;=$H$5),OR($I$5="",ISNUMBER(SEARCH($I$5,C874&amp;" "&amp;D874&amp;" "&amp;E874&amp;" "&amp;I874)))),"✓",""))</f>
        <v/>
      </c>
      <c r="B874" s="39" t="n">
        <v>46259</v>
      </c>
      <c r="C874" s="40" t="n">
        <f aca="false">'Aug 25'!$D$34</f>
        <v>0</v>
      </c>
      <c r="D874" s="40" t="n">
        <f aca="false">'Aug 25'!$B$34</f>
        <v>0</v>
      </c>
      <c r="E874" s="41" t="n">
        <f aca="false">'Aug 25'!$E$34</f>
        <v>0</v>
      </c>
      <c r="F874" s="40" t="n">
        <f aca="false">'Aug 25'!$A$34</f>
        <v>0</v>
      </c>
      <c r="G874" s="41" t="n">
        <f aca="false">'Aug 25'!$F$34</f>
        <v>0</v>
      </c>
      <c r="H874" s="41" t="n">
        <f aca="false">'Aug 25'!$G$34</f>
        <v>0</v>
      </c>
      <c r="I874" s="41" t="str">
        <f aca="false">'Aug 25'!$M$34</f>
        <v/>
      </c>
      <c r="J874" s="42" t="str">
        <f aca="false">'Aug 25'!$S$34</f>
        <v/>
      </c>
      <c r="K874" s="40" t="n">
        <f aca="false">'Aug 25'!$AG$34</f>
        <v>0</v>
      </c>
      <c r="L874" s="40" t="n">
        <f aca="false">'Aug 25'!$N$34</f>
        <v>0</v>
      </c>
    </row>
    <row r="875" customFormat="false" ht="15" hidden="false" customHeight="false" outlineLevel="0" collapsed="false">
      <c r="A875" s="38" t="str">
        <f aca="false">IF(OR(C875="",C875=0),"",IF(AND(OR($B$5="",G875=$B$5,H875=$B$5),OR($D$5="",F875=$D$5),OR($E$5="",K875=$E$5),OR($G$5="",L875=$G$5),OR($H$5="",N(J875)&gt;=$H$5),OR($I$5="",ISNUMBER(SEARCH($I$5,C875&amp;" "&amp;D875&amp;" "&amp;E875&amp;" "&amp;I875)))),"✓",""))</f>
        <v/>
      </c>
      <c r="B875" s="39" t="n">
        <v>46259</v>
      </c>
      <c r="C875" s="40" t="n">
        <f aca="false">'Aug 25'!$D$35</f>
        <v>0</v>
      </c>
      <c r="D875" s="40" t="n">
        <f aca="false">'Aug 25'!$B$35</f>
        <v>0</v>
      </c>
      <c r="E875" s="41" t="n">
        <f aca="false">'Aug 25'!$E$35</f>
        <v>0</v>
      </c>
      <c r="F875" s="40" t="n">
        <f aca="false">'Aug 25'!$A$35</f>
        <v>0</v>
      </c>
      <c r="G875" s="41" t="n">
        <f aca="false">'Aug 25'!$F$35</f>
        <v>0</v>
      </c>
      <c r="H875" s="41" t="n">
        <f aca="false">'Aug 25'!$G$35</f>
        <v>0</v>
      </c>
      <c r="I875" s="41" t="str">
        <f aca="false">'Aug 25'!$M$35</f>
        <v/>
      </c>
      <c r="J875" s="42" t="str">
        <f aca="false">'Aug 25'!$S$35</f>
        <v/>
      </c>
      <c r="K875" s="40" t="n">
        <f aca="false">'Aug 25'!$AG$35</f>
        <v>0</v>
      </c>
      <c r="L875" s="40" t="n">
        <f aca="false">'Aug 25'!$N$35</f>
        <v>0</v>
      </c>
    </row>
    <row r="876" customFormat="false" ht="15" hidden="false" customHeight="false" outlineLevel="0" collapsed="false">
      <c r="A876" s="38" t="str">
        <f aca="false">IF(OR(C876="",C876=0),"",IF(AND(OR($B$5="",G876=$B$5,H876=$B$5),OR($D$5="",F876=$D$5),OR($E$5="",K876=$E$5),OR($G$5="",L876=$G$5),OR($H$5="",N(J876)&gt;=$H$5),OR($I$5="",ISNUMBER(SEARCH($I$5,C876&amp;" "&amp;D876&amp;" "&amp;E876&amp;" "&amp;I876)))),"✓",""))</f>
        <v/>
      </c>
      <c r="B876" s="39" t="n">
        <v>46259</v>
      </c>
      <c r="C876" s="40" t="n">
        <f aca="false">'Aug 25'!$D$36</f>
        <v>0</v>
      </c>
      <c r="D876" s="40" t="n">
        <f aca="false">'Aug 25'!$B$36</f>
        <v>0</v>
      </c>
      <c r="E876" s="41" t="n">
        <f aca="false">'Aug 25'!$E$36</f>
        <v>0</v>
      </c>
      <c r="F876" s="40" t="n">
        <f aca="false">'Aug 25'!$A$36</f>
        <v>0</v>
      </c>
      <c r="G876" s="41" t="n">
        <f aca="false">'Aug 25'!$F$36</f>
        <v>0</v>
      </c>
      <c r="H876" s="41" t="n">
        <f aca="false">'Aug 25'!$G$36</f>
        <v>0</v>
      </c>
      <c r="I876" s="41" t="str">
        <f aca="false">'Aug 25'!$M$36</f>
        <v/>
      </c>
      <c r="J876" s="42" t="str">
        <f aca="false">'Aug 25'!$S$36</f>
        <v/>
      </c>
      <c r="K876" s="40" t="n">
        <f aca="false">'Aug 25'!$AG$36</f>
        <v>0</v>
      </c>
      <c r="L876" s="40" t="n">
        <f aca="false">'Aug 25'!$N$36</f>
        <v>0</v>
      </c>
    </row>
    <row r="877" customFormat="false" ht="15" hidden="false" customHeight="false" outlineLevel="0" collapsed="false">
      <c r="A877" s="38" t="str">
        <f aca="false">IF(OR(C877="",C877=0),"",IF(AND(OR($B$5="",G877=$B$5,H877=$B$5),OR($D$5="",F877=$D$5),OR($E$5="",K877=$E$5),OR($G$5="",L877=$G$5),OR($H$5="",N(J877)&gt;=$H$5),OR($I$5="",ISNUMBER(SEARCH($I$5,C877&amp;" "&amp;D877&amp;" "&amp;E877&amp;" "&amp;I877)))),"✓",""))</f>
        <v/>
      </c>
      <c r="B877" s="39" t="n">
        <v>46259</v>
      </c>
      <c r="C877" s="40" t="n">
        <f aca="false">'Aug 25'!$D$37</f>
        <v>0</v>
      </c>
      <c r="D877" s="40" t="n">
        <f aca="false">'Aug 25'!$B$37</f>
        <v>0</v>
      </c>
      <c r="E877" s="41" t="n">
        <f aca="false">'Aug 25'!$E$37</f>
        <v>0</v>
      </c>
      <c r="F877" s="40" t="n">
        <f aca="false">'Aug 25'!$A$37</f>
        <v>0</v>
      </c>
      <c r="G877" s="41" t="n">
        <f aca="false">'Aug 25'!$F$37</f>
        <v>0</v>
      </c>
      <c r="H877" s="41" t="n">
        <f aca="false">'Aug 25'!$G$37</f>
        <v>0</v>
      </c>
      <c r="I877" s="41" t="str">
        <f aca="false">'Aug 25'!$M$37</f>
        <v/>
      </c>
      <c r="J877" s="42" t="str">
        <f aca="false">'Aug 25'!$S$37</f>
        <v/>
      </c>
      <c r="K877" s="40" t="n">
        <f aca="false">'Aug 25'!$AG$37</f>
        <v>0</v>
      </c>
      <c r="L877" s="40" t="n">
        <f aca="false">'Aug 25'!$N$37</f>
        <v>0</v>
      </c>
    </row>
    <row r="878" customFormat="false" ht="15" hidden="false" customHeight="false" outlineLevel="0" collapsed="false">
      <c r="A878" s="38" t="str">
        <f aca="false">IF(OR(C878="",C878=0),"",IF(AND(OR($B$5="",G878=$B$5,H878=$B$5),OR($D$5="",F878=$D$5),OR($E$5="",K878=$E$5),OR($G$5="",L878=$G$5),OR($H$5="",N(J878)&gt;=$H$5),OR($I$5="",ISNUMBER(SEARCH($I$5,C878&amp;" "&amp;D878&amp;" "&amp;E878&amp;" "&amp;I878)))),"✓",""))</f>
        <v/>
      </c>
      <c r="B878" s="39" t="n">
        <v>46259</v>
      </c>
      <c r="C878" s="40" t="n">
        <f aca="false">'Aug 25'!$D$38</f>
        <v>0</v>
      </c>
      <c r="D878" s="40" t="n">
        <f aca="false">'Aug 25'!$B$38</f>
        <v>0</v>
      </c>
      <c r="E878" s="41" t="n">
        <f aca="false">'Aug 25'!$E$38</f>
        <v>0</v>
      </c>
      <c r="F878" s="40" t="n">
        <f aca="false">'Aug 25'!$A$38</f>
        <v>0</v>
      </c>
      <c r="G878" s="41" t="n">
        <f aca="false">'Aug 25'!$F$38</f>
        <v>0</v>
      </c>
      <c r="H878" s="41" t="n">
        <f aca="false">'Aug 25'!$G$38</f>
        <v>0</v>
      </c>
      <c r="I878" s="41" t="str">
        <f aca="false">'Aug 25'!$M$38</f>
        <v/>
      </c>
      <c r="J878" s="42" t="str">
        <f aca="false">'Aug 25'!$S$38</f>
        <v/>
      </c>
      <c r="K878" s="40" t="n">
        <f aca="false">'Aug 25'!$AG$38</f>
        <v>0</v>
      </c>
      <c r="L878" s="40" t="n">
        <f aca="false">'Aug 25'!$N$38</f>
        <v>0</v>
      </c>
    </row>
    <row r="879" customFormat="false" ht="15" hidden="false" customHeight="false" outlineLevel="0" collapsed="false">
      <c r="A879" s="38" t="str">
        <f aca="false">IF(OR(C879="",C879=0),"",IF(AND(OR($B$5="",G879=$B$5,H879=$B$5),OR($D$5="",F879=$D$5),OR($E$5="",K879=$E$5),OR($G$5="",L879=$G$5),OR($H$5="",N(J879)&gt;=$H$5),OR($I$5="",ISNUMBER(SEARCH($I$5,C879&amp;" "&amp;D879&amp;" "&amp;E879&amp;" "&amp;I879)))),"✓",""))</f>
        <v/>
      </c>
      <c r="B879" s="39" t="n">
        <v>46259</v>
      </c>
      <c r="C879" s="40" t="n">
        <f aca="false">'Aug 25'!$D$39</f>
        <v>0</v>
      </c>
      <c r="D879" s="40" t="n">
        <f aca="false">'Aug 25'!$B$39</f>
        <v>0</v>
      </c>
      <c r="E879" s="41" t="n">
        <f aca="false">'Aug 25'!$E$39</f>
        <v>0</v>
      </c>
      <c r="F879" s="40" t="n">
        <f aca="false">'Aug 25'!$A$39</f>
        <v>0</v>
      </c>
      <c r="G879" s="41" t="n">
        <f aca="false">'Aug 25'!$F$39</f>
        <v>0</v>
      </c>
      <c r="H879" s="41" t="n">
        <f aca="false">'Aug 25'!$G$39</f>
        <v>0</v>
      </c>
      <c r="I879" s="41" t="str">
        <f aca="false">'Aug 25'!$M$39</f>
        <v/>
      </c>
      <c r="J879" s="42" t="str">
        <f aca="false">'Aug 25'!$S$39</f>
        <v/>
      </c>
      <c r="K879" s="40" t="n">
        <f aca="false">'Aug 25'!$AG$39</f>
        <v>0</v>
      </c>
      <c r="L879" s="40" t="n">
        <f aca="false">'Aug 25'!$N$39</f>
        <v>0</v>
      </c>
    </row>
    <row r="880" customFormat="false" ht="15" hidden="false" customHeight="false" outlineLevel="0" collapsed="false">
      <c r="A880" s="38" t="str">
        <f aca="false">IF(OR(C880="",C880=0),"",IF(AND(OR($B$5="",G880=$B$5,H880=$B$5),OR($D$5="",F880=$D$5),OR($E$5="",K880=$E$5),OR($G$5="",L880=$G$5),OR($H$5="",N(J880)&gt;=$H$5),OR($I$5="",ISNUMBER(SEARCH($I$5,C880&amp;" "&amp;D880&amp;" "&amp;E880&amp;" "&amp;I880)))),"✓",""))</f>
        <v/>
      </c>
      <c r="B880" s="39" t="n">
        <v>46259</v>
      </c>
      <c r="C880" s="40" t="n">
        <f aca="false">'Aug 25'!$D$40</f>
        <v>0</v>
      </c>
      <c r="D880" s="40" t="n">
        <f aca="false">'Aug 25'!$B$40</f>
        <v>0</v>
      </c>
      <c r="E880" s="41" t="n">
        <f aca="false">'Aug 25'!$E$40</f>
        <v>0</v>
      </c>
      <c r="F880" s="40" t="n">
        <f aca="false">'Aug 25'!$A$40</f>
        <v>0</v>
      </c>
      <c r="G880" s="41" t="n">
        <f aca="false">'Aug 25'!$F$40</f>
        <v>0</v>
      </c>
      <c r="H880" s="41" t="n">
        <f aca="false">'Aug 25'!$G$40</f>
        <v>0</v>
      </c>
      <c r="I880" s="41" t="str">
        <f aca="false">'Aug 25'!$M$40</f>
        <v/>
      </c>
      <c r="J880" s="42" t="str">
        <f aca="false">'Aug 25'!$S$40</f>
        <v/>
      </c>
      <c r="K880" s="40" t="n">
        <f aca="false">'Aug 25'!$AG$40</f>
        <v>0</v>
      </c>
      <c r="L880" s="40" t="n">
        <f aca="false">'Aug 25'!$N$40</f>
        <v>0</v>
      </c>
    </row>
    <row r="881" customFormat="false" ht="15" hidden="false" customHeight="false" outlineLevel="0" collapsed="false">
      <c r="A881" s="38" t="str">
        <f aca="false">IF(OR(C881="",C881=0),"",IF(AND(OR($B$5="",G881=$B$5,H881=$B$5),OR($D$5="",F881=$D$5),OR($E$5="",K881=$E$5),OR($G$5="",L881=$G$5),OR($H$5="",N(J881)&gt;=$H$5),OR($I$5="",ISNUMBER(SEARCH($I$5,C881&amp;" "&amp;D881&amp;" "&amp;E881&amp;" "&amp;I881)))),"✓",""))</f>
        <v/>
      </c>
      <c r="B881" s="39" t="n">
        <v>46259</v>
      </c>
      <c r="C881" s="40" t="n">
        <f aca="false">'Aug 25'!$D$41</f>
        <v>0</v>
      </c>
      <c r="D881" s="40" t="n">
        <f aca="false">'Aug 25'!$B$41</f>
        <v>0</v>
      </c>
      <c r="E881" s="41" t="n">
        <f aca="false">'Aug 25'!$E$41</f>
        <v>0</v>
      </c>
      <c r="F881" s="40" t="n">
        <f aca="false">'Aug 25'!$A$41</f>
        <v>0</v>
      </c>
      <c r="G881" s="41" t="n">
        <f aca="false">'Aug 25'!$F$41</f>
        <v>0</v>
      </c>
      <c r="H881" s="41" t="n">
        <f aca="false">'Aug 25'!$G$41</f>
        <v>0</v>
      </c>
      <c r="I881" s="41" t="str">
        <f aca="false">'Aug 25'!$M$41</f>
        <v/>
      </c>
      <c r="J881" s="42" t="str">
        <f aca="false">'Aug 25'!$S$41</f>
        <v/>
      </c>
      <c r="K881" s="40" t="n">
        <f aca="false">'Aug 25'!$AG$41</f>
        <v>0</v>
      </c>
      <c r="L881" s="40" t="n">
        <f aca="false">'Aug 25'!$N$41</f>
        <v>0</v>
      </c>
    </row>
    <row r="882" customFormat="false" ht="15" hidden="false" customHeight="false" outlineLevel="0" collapsed="false">
      <c r="A882" s="38" t="str">
        <f aca="false">IF(OR(C882="",C882=0),"",IF(AND(OR($B$5="",G882=$B$5,H882=$B$5),OR($D$5="",F882=$D$5),OR($E$5="",K882=$E$5),OR($G$5="",L882=$G$5),OR($H$5="",N(J882)&gt;=$H$5),OR($I$5="",ISNUMBER(SEARCH($I$5,C882&amp;" "&amp;D882&amp;" "&amp;E882&amp;" "&amp;I882)))),"✓",""))</f>
        <v/>
      </c>
      <c r="B882" s="39" t="n">
        <v>46259</v>
      </c>
      <c r="C882" s="40" t="n">
        <f aca="false">'Aug 25'!$D$42</f>
        <v>0</v>
      </c>
      <c r="D882" s="40" t="n">
        <f aca="false">'Aug 25'!$B$42</f>
        <v>0</v>
      </c>
      <c r="E882" s="41" t="n">
        <f aca="false">'Aug 25'!$E$42</f>
        <v>0</v>
      </c>
      <c r="F882" s="40" t="n">
        <f aca="false">'Aug 25'!$A$42</f>
        <v>0</v>
      </c>
      <c r="G882" s="41" t="n">
        <f aca="false">'Aug 25'!$F$42</f>
        <v>0</v>
      </c>
      <c r="H882" s="41" t="n">
        <f aca="false">'Aug 25'!$G$42</f>
        <v>0</v>
      </c>
      <c r="I882" s="41" t="str">
        <f aca="false">'Aug 25'!$M$42</f>
        <v/>
      </c>
      <c r="J882" s="42" t="str">
        <f aca="false">'Aug 25'!$S$42</f>
        <v/>
      </c>
      <c r="K882" s="40" t="n">
        <f aca="false">'Aug 25'!$AG$42</f>
        <v>0</v>
      </c>
      <c r="L882" s="40" t="n">
        <f aca="false">'Aug 25'!$N$42</f>
        <v>0</v>
      </c>
    </row>
    <row r="883" customFormat="false" ht="15" hidden="false" customHeight="false" outlineLevel="0" collapsed="false">
      <c r="A883" s="38" t="str">
        <f aca="false">IF(OR(C883="",C883=0),"",IF(AND(OR($B$5="",G883=$B$5,H883=$B$5),OR($D$5="",F883=$D$5),OR($E$5="",K883=$E$5),OR($G$5="",L883=$G$5),OR($H$5="",N(J883)&gt;=$H$5),OR($I$5="",ISNUMBER(SEARCH($I$5,C883&amp;" "&amp;D883&amp;" "&amp;E883&amp;" "&amp;I883)))),"✓",""))</f>
        <v/>
      </c>
      <c r="B883" s="39" t="n">
        <v>46260</v>
      </c>
      <c r="C883" s="40" t="n">
        <f aca="false">'Aug 26'!$D$8</f>
        <v>0</v>
      </c>
      <c r="D883" s="40" t="n">
        <f aca="false">'Aug 26'!$B$8</f>
        <v>0</v>
      </c>
      <c r="E883" s="41" t="n">
        <f aca="false">'Aug 26'!$E$8</f>
        <v>0</v>
      </c>
      <c r="F883" s="40" t="n">
        <f aca="false">'Aug 26'!$A$8</f>
        <v>0</v>
      </c>
      <c r="G883" s="41" t="n">
        <f aca="false">'Aug 26'!$F$8</f>
        <v>0</v>
      </c>
      <c r="H883" s="41" t="n">
        <f aca="false">'Aug 26'!$G$8</f>
        <v>0</v>
      </c>
      <c r="I883" s="41" t="str">
        <f aca="false">'Aug 26'!$M$8</f>
        <v/>
      </c>
      <c r="J883" s="42" t="str">
        <f aca="false">'Aug 26'!$S$8</f>
        <v/>
      </c>
      <c r="K883" s="40" t="n">
        <f aca="false">'Aug 26'!$AG$8</f>
        <v>0</v>
      </c>
      <c r="L883" s="40" t="n">
        <f aca="false">'Aug 26'!$N$8</f>
        <v>0</v>
      </c>
    </row>
    <row r="884" customFormat="false" ht="15" hidden="false" customHeight="false" outlineLevel="0" collapsed="false">
      <c r="A884" s="38" t="str">
        <f aca="false">IF(OR(C884="",C884=0),"",IF(AND(OR($B$5="",G884=$B$5,H884=$B$5),OR($D$5="",F884=$D$5),OR($E$5="",K884=$E$5),OR($G$5="",L884=$G$5),OR($H$5="",N(J884)&gt;=$H$5),OR($I$5="",ISNUMBER(SEARCH($I$5,C884&amp;" "&amp;D884&amp;" "&amp;E884&amp;" "&amp;I884)))),"✓",""))</f>
        <v/>
      </c>
      <c r="B884" s="39" t="n">
        <v>46260</v>
      </c>
      <c r="C884" s="40" t="n">
        <f aca="false">'Aug 26'!$D$9</f>
        <v>0</v>
      </c>
      <c r="D884" s="40" t="n">
        <f aca="false">'Aug 26'!$B$9</f>
        <v>0</v>
      </c>
      <c r="E884" s="41" t="n">
        <f aca="false">'Aug 26'!$E$9</f>
        <v>0</v>
      </c>
      <c r="F884" s="40" t="n">
        <f aca="false">'Aug 26'!$A$9</f>
        <v>0</v>
      </c>
      <c r="G884" s="41" t="n">
        <f aca="false">'Aug 26'!$F$9</f>
        <v>0</v>
      </c>
      <c r="H884" s="41" t="n">
        <f aca="false">'Aug 26'!$G$9</f>
        <v>0</v>
      </c>
      <c r="I884" s="41" t="str">
        <f aca="false">'Aug 26'!$M$9</f>
        <v/>
      </c>
      <c r="J884" s="42" t="str">
        <f aca="false">'Aug 26'!$S$9</f>
        <v/>
      </c>
      <c r="K884" s="40" t="n">
        <f aca="false">'Aug 26'!$AG$9</f>
        <v>0</v>
      </c>
      <c r="L884" s="40" t="n">
        <f aca="false">'Aug 26'!$N$9</f>
        <v>0</v>
      </c>
    </row>
    <row r="885" customFormat="false" ht="15" hidden="false" customHeight="false" outlineLevel="0" collapsed="false">
      <c r="A885" s="38" t="str">
        <f aca="false">IF(OR(C885="",C885=0),"",IF(AND(OR($B$5="",G885=$B$5,H885=$B$5),OR($D$5="",F885=$D$5),OR($E$5="",K885=$E$5),OR($G$5="",L885=$G$5),OR($H$5="",N(J885)&gt;=$H$5),OR($I$5="",ISNUMBER(SEARCH($I$5,C885&amp;" "&amp;D885&amp;" "&amp;E885&amp;" "&amp;I885)))),"✓",""))</f>
        <v/>
      </c>
      <c r="B885" s="39" t="n">
        <v>46260</v>
      </c>
      <c r="C885" s="40" t="n">
        <f aca="false">'Aug 26'!$D$10</f>
        <v>0</v>
      </c>
      <c r="D885" s="40" t="n">
        <f aca="false">'Aug 26'!$B$10</f>
        <v>0</v>
      </c>
      <c r="E885" s="41" t="n">
        <f aca="false">'Aug 26'!$E$10</f>
        <v>0</v>
      </c>
      <c r="F885" s="40" t="n">
        <f aca="false">'Aug 26'!$A$10</f>
        <v>0</v>
      </c>
      <c r="G885" s="41" t="n">
        <f aca="false">'Aug 26'!$F$10</f>
        <v>0</v>
      </c>
      <c r="H885" s="41" t="n">
        <f aca="false">'Aug 26'!$G$10</f>
        <v>0</v>
      </c>
      <c r="I885" s="41" t="str">
        <f aca="false">'Aug 26'!$M$10</f>
        <v/>
      </c>
      <c r="J885" s="42" t="str">
        <f aca="false">'Aug 26'!$S$10</f>
        <v/>
      </c>
      <c r="K885" s="40" t="n">
        <f aca="false">'Aug 26'!$AG$10</f>
        <v>0</v>
      </c>
      <c r="L885" s="40" t="n">
        <f aca="false">'Aug 26'!$N$10</f>
        <v>0</v>
      </c>
    </row>
    <row r="886" customFormat="false" ht="15" hidden="false" customHeight="false" outlineLevel="0" collapsed="false">
      <c r="A886" s="38" t="str">
        <f aca="false">IF(OR(C886="",C886=0),"",IF(AND(OR($B$5="",G886=$B$5,H886=$B$5),OR($D$5="",F886=$D$5),OR($E$5="",K886=$E$5),OR($G$5="",L886=$G$5),OR($H$5="",N(J886)&gt;=$H$5),OR($I$5="",ISNUMBER(SEARCH($I$5,C886&amp;" "&amp;D886&amp;" "&amp;E886&amp;" "&amp;I886)))),"✓",""))</f>
        <v/>
      </c>
      <c r="B886" s="39" t="n">
        <v>46260</v>
      </c>
      <c r="C886" s="40" t="n">
        <f aca="false">'Aug 26'!$D$11</f>
        <v>0</v>
      </c>
      <c r="D886" s="40" t="n">
        <f aca="false">'Aug 26'!$B$11</f>
        <v>0</v>
      </c>
      <c r="E886" s="41" t="n">
        <f aca="false">'Aug 26'!$E$11</f>
        <v>0</v>
      </c>
      <c r="F886" s="40" t="n">
        <f aca="false">'Aug 26'!$A$11</f>
        <v>0</v>
      </c>
      <c r="G886" s="41" t="n">
        <f aca="false">'Aug 26'!$F$11</f>
        <v>0</v>
      </c>
      <c r="H886" s="41" t="n">
        <f aca="false">'Aug 26'!$G$11</f>
        <v>0</v>
      </c>
      <c r="I886" s="41" t="str">
        <f aca="false">'Aug 26'!$M$11</f>
        <v/>
      </c>
      <c r="J886" s="42" t="str">
        <f aca="false">'Aug 26'!$S$11</f>
        <v/>
      </c>
      <c r="K886" s="40" t="n">
        <f aca="false">'Aug 26'!$AG$11</f>
        <v>0</v>
      </c>
      <c r="L886" s="40" t="n">
        <f aca="false">'Aug 26'!$N$11</f>
        <v>0</v>
      </c>
    </row>
    <row r="887" customFormat="false" ht="15" hidden="false" customHeight="false" outlineLevel="0" collapsed="false">
      <c r="A887" s="38" t="str">
        <f aca="false">IF(OR(C887="",C887=0),"",IF(AND(OR($B$5="",G887=$B$5,H887=$B$5),OR($D$5="",F887=$D$5),OR($E$5="",K887=$E$5),OR($G$5="",L887=$G$5),OR($H$5="",N(J887)&gt;=$H$5),OR($I$5="",ISNUMBER(SEARCH($I$5,C887&amp;" "&amp;D887&amp;" "&amp;E887&amp;" "&amp;I887)))),"✓",""))</f>
        <v/>
      </c>
      <c r="B887" s="39" t="n">
        <v>46260</v>
      </c>
      <c r="C887" s="40" t="n">
        <f aca="false">'Aug 26'!$D$12</f>
        <v>0</v>
      </c>
      <c r="D887" s="40" t="n">
        <f aca="false">'Aug 26'!$B$12</f>
        <v>0</v>
      </c>
      <c r="E887" s="41" t="n">
        <f aca="false">'Aug 26'!$E$12</f>
        <v>0</v>
      </c>
      <c r="F887" s="40" t="n">
        <f aca="false">'Aug 26'!$A$12</f>
        <v>0</v>
      </c>
      <c r="G887" s="41" t="n">
        <f aca="false">'Aug 26'!$F$12</f>
        <v>0</v>
      </c>
      <c r="H887" s="41" t="n">
        <f aca="false">'Aug 26'!$G$12</f>
        <v>0</v>
      </c>
      <c r="I887" s="41" t="str">
        <f aca="false">'Aug 26'!$M$12</f>
        <v/>
      </c>
      <c r="J887" s="42" t="str">
        <f aca="false">'Aug 26'!$S$12</f>
        <v/>
      </c>
      <c r="K887" s="40" t="n">
        <f aca="false">'Aug 26'!$AG$12</f>
        <v>0</v>
      </c>
      <c r="L887" s="40" t="n">
        <f aca="false">'Aug 26'!$N$12</f>
        <v>0</v>
      </c>
    </row>
    <row r="888" customFormat="false" ht="15" hidden="false" customHeight="false" outlineLevel="0" collapsed="false">
      <c r="A888" s="38" t="str">
        <f aca="false">IF(OR(C888="",C888=0),"",IF(AND(OR($B$5="",G888=$B$5,H888=$B$5),OR($D$5="",F888=$D$5),OR($E$5="",K888=$E$5),OR($G$5="",L888=$G$5),OR($H$5="",N(J888)&gt;=$H$5),OR($I$5="",ISNUMBER(SEARCH($I$5,C888&amp;" "&amp;D888&amp;" "&amp;E888&amp;" "&amp;I888)))),"✓",""))</f>
        <v/>
      </c>
      <c r="B888" s="39" t="n">
        <v>46260</v>
      </c>
      <c r="C888" s="40" t="n">
        <f aca="false">'Aug 26'!$D$13</f>
        <v>0</v>
      </c>
      <c r="D888" s="40" t="n">
        <f aca="false">'Aug 26'!$B$13</f>
        <v>0</v>
      </c>
      <c r="E888" s="41" t="n">
        <f aca="false">'Aug 26'!$E$13</f>
        <v>0</v>
      </c>
      <c r="F888" s="40" t="n">
        <f aca="false">'Aug 26'!$A$13</f>
        <v>0</v>
      </c>
      <c r="G888" s="41" t="n">
        <f aca="false">'Aug 26'!$F$13</f>
        <v>0</v>
      </c>
      <c r="H888" s="41" t="n">
        <f aca="false">'Aug 26'!$G$13</f>
        <v>0</v>
      </c>
      <c r="I888" s="41" t="str">
        <f aca="false">'Aug 26'!$M$13</f>
        <v/>
      </c>
      <c r="J888" s="42" t="str">
        <f aca="false">'Aug 26'!$S$13</f>
        <v/>
      </c>
      <c r="K888" s="40" t="n">
        <f aca="false">'Aug 26'!$AG$13</f>
        <v>0</v>
      </c>
      <c r="L888" s="40" t="n">
        <f aca="false">'Aug 26'!$N$13</f>
        <v>0</v>
      </c>
    </row>
    <row r="889" customFormat="false" ht="15" hidden="false" customHeight="false" outlineLevel="0" collapsed="false">
      <c r="A889" s="38" t="str">
        <f aca="false">IF(OR(C889="",C889=0),"",IF(AND(OR($B$5="",G889=$B$5,H889=$B$5),OR($D$5="",F889=$D$5),OR($E$5="",K889=$E$5),OR($G$5="",L889=$G$5),OR($H$5="",N(J889)&gt;=$H$5),OR($I$5="",ISNUMBER(SEARCH($I$5,C889&amp;" "&amp;D889&amp;" "&amp;E889&amp;" "&amp;I889)))),"✓",""))</f>
        <v/>
      </c>
      <c r="B889" s="39" t="n">
        <v>46260</v>
      </c>
      <c r="C889" s="40" t="n">
        <f aca="false">'Aug 26'!$D$14</f>
        <v>0</v>
      </c>
      <c r="D889" s="40" t="n">
        <f aca="false">'Aug 26'!$B$14</f>
        <v>0</v>
      </c>
      <c r="E889" s="41" t="n">
        <f aca="false">'Aug 26'!$E$14</f>
        <v>0</v>
      </c>
      <c r="F889" s="40" t="n">
        <f aca="false">'Aug 26'!$A$14</f>
        <v>0</v>
      </c>
      <c r="G889" s="41" t="n">
        <f aca="false">'Aug 26'!$F$14</f>
        <v>0</v>
      </c>
      <c r="H889" s="41" t="n">
        <f aca="false">'Aug 26'!$G$14</f>
        <v>0</v>
      </c>
      <c r="I889" s="41" t="str">
        <f aca="false">'Aug 26'!$M$14</f>
        <v/>
      </c>
      <c r="J889" s="42" t="str">
        <f aca="false">'Aug 26'!$S$14</f>
        <v/>
      </c>
      <c r="K889" s="40" t="n">
        <f aca="false">'Aug 26'!$AG$14</f>
        <v>0</v>
      </c>
      <c r="L889" s="40" t="n">
        <f aca="false">'Aug 26'!$N$14</f>
        <v>0</v>
      </c>
    </row>
    <row r="890" customFormat="false" ht="15" hidden="false" customHeight="false" outlineLevel="0" collapsed="false">
      <c r="A890" s="38" t="str">
        <f aca="false">IF(OR(C890="",C890=0),"",IF(AND(OR($B$5="",G890=$B$5,H890=$B$5),OR($D$5="",F890=$D$5),OR($E$5="",K890=$E$5),OR($G$5="",L890=$G$5),OR($H$5="",N(J890)&gt;=$H$5),OR($I$5="",ISNUMBER(SEARCH($I$5,C890&amp;" "&amp;D890&amp;" "&amp;E890&amp;" "&amp;I890)))),"✓",""))</f>
        <v/>
      </c>
      <c r="B890" s="39" t="n">
        <v>46260</v>
      </c>
      <c r="C890" s="40" t="n">
        <f aca="false">'Aug 26'!$D$15</f>
        <v>0</v>
      </c>
      <c r="D890" s="40" t="n">
        <f aca="false">'Aug 26'!$B$15</f>
        <v>0</v>
      </c>
      <c r="E890" s="41" t="n">
        <f aca="false">'Aug 26'!$E$15</f>
        <v>0</v>
      </c>
      <c r="F890" s="40" t="n">
        <f aca="false">'Aug 26'!$A$15</f>
        <v>0</v>
      </c>
      <c r="G890" s="41" t="n">
        <f aca="false">'Aug 26'!$F$15</f>
        <v>0</v>
      </c>
      <c r="H890" s="41" t="n">
        <f aca="false">'Aug 26'!$G$15</f>
        <v>0</v>
      </c>
      <c r="I890" s="41" t="str">
        <f aca="false">'Aug 26'!$M$15</f>
        <v/>
      </c>
      <c r="J890" s="42" t="str">
        <f aca="false">'Aug 26'!$S$15</f>
        <v/>
      </c>
      <c r="K890" s="40" t="n">
        <f aca="false">'Aug 26'!$AG$15</f>
        <v>0</v>
      </c>
      <c r="L890" s="40" t="n">
        <f aca="false">'Aug 26'!$N$15</f>
        <v>0</v>
      </c>
    </row>
    <row r="891" customFormat="false" ht="15" hidden="false" customHeight="false" outlineLevel="0" collapsed="false">
      <c r="A891" s="38" t="str">
        <f aca="false">IF(OR(C891="",C891=0),"",IF(AND(OR($B$5="",G891=$B$5,H891=$B$5),OR($D$5="",F891=$D$5),OR($E$5="",K891=$E$5),OR($G$5="",L891=$G$5),OR($H$5="",N(J891)&gt;=$H$5),OR($I$5="",ISNUMBER(SEARCH($I$5,C891&amp;" "&amp;D891&amp;" "&amp;E891&amp;" "&amp;I891)))),"✓",""))</f>
        <v/>
      </c>
      <c r="B891" s="39" t="n">
        <v>46260</v>
      </c>
      <c r="C891" s="40" t="n">
        <f aca="false">'Aug 26'!$D$16</f>
        <v>0</v>
      </c>
      <c r="D891" s="40" t="n">
        <f aca="false">'Aug 26'!$B$16</f>
        <v>0</v>
      </c>
      <c r="E891" s="41" t="n">
        <f aca="false">'Aug 26'!$E$16</f>
        <v>0</v>
      </c>
      <c r="F891" s="40" t="n">
        <f aca="false">'Aug 26'!$A$16</f>
        <v>0</v>
      </c>
      <c r="G891" s="41" t="n">
        <f aca="false">'Aug 26'!$F$16</f>
        <v>0</v>
      </c>
      <c r="H891" s="41" t="n">
        <f aca="false">'Aug 26'!$G$16</f>
        <v>0</v>
      </c>
      <c r="I891" s="41" t="str">
        <f aca="false">'Aug 26'!$M$16</f>
        <v/>
      </c>
      <c r="J891" s="42" t="str">
        <f aca="false">'Aug 26'!$S$16</f>
        <v/>
      </c>
      <c r="K891" s="40" t="n">
        <f aca="false">'Aug 26'!$AG$16</f>
        <v>0</v>
      </c>
      <c r="L891" s="40" t="n">
        <f aca="false">'Aug 26'!$N$16</f>
        <v>0</v>
      </c>
    </row>
    <row r="892" customFormat="false" ht="15" hidden="false" customHeight="false" outlineLevel="0" collapsed="false">
      <c r="A892" s="38" t="str">
        <f aca="false">IF(OR(C892="",C892=0),"",IF(AND(OR($B$5="",G892=$B$5,H892=$B$5),OR($D$5="",F892=$D$5),OR($E$5="",K892=$E$5),OR($G$5="",L892=$G$5),OR($H$5="",N(J892)&gt;=$H$5),OR($I$5="",ISNUMBER(SEARCH($I$5,C892&amp;" "&amp;D892&amp;" "&amp;E892&amp;" "&amp;I892)))),"✓",""))</f>
        <v/>
      </c>
      <c r="B892" s="39" t="n">
        <v>46260</v>
      </c>
      <c r="C892" s="40" t="n">
        <f aca="false">'Aug 26'!$D$17</f>
        <v>0</v>
      </c>
      <c r="D892" s="40" t="n">
        <f aca="false">'Aug 26'!$B$17</f>
        <v>0</v>
      </c>
      <c r="E892" s="41" t="n">
        <f aca="false">'Aug 26'!$E$17</f>
        <v>0</v>
      </c>
      <c r="F892" s="40" t="n">
        <f aca="false">'Aug 26'!$A$17</f>
        <v>0</v>
      </c>
      <c r="G892" s="41" t="n">
        <f aca="false">'Aug 26'!$F$17</f>
        <v>0</v>
      </c>
      <c r="H892" s="41" t="n">
        <f aca="false">'Aug 26'!$G$17</f>
        <v>0</v>
      </c>
      <c r="I892" s="41" t="str">
        <f aca="false">'Aug 26'!$M$17</f>
        <v/>
      </c>
      <c r="J892" s="42" t="str">
        <f aca="false">'Aug 26'!$S$17</f>
        <v/>
      </c>
      <c r="K892" s="40" t="n">
        <f aca="false">'Aug 26'!$AG$17</f>
        <v>0</v>
      </c>
      <c r="L892" s="40" t="n">
        <f aca="false">'Aug 26'!$N$17</f>
        <v>0</v>
      </c>
    </row>
    <row r="893" customFormat="false" ht="15" hidden="false" customHeight="false" outlineLevel="0" collapsed="false">
      <c r="A893" s="38" t="str">
        <f aca="false">IF(OR(C893="",C893=0),"",IF(AND(OR($B$5="",G893=$B$5,H893=$B$5),OR($D$5="",F893=$D$5),OR($E$5="",K893=$E$5),OR($G$5="",L893=$G$5),OR($H$5="",N(J893)&gt;=$H$5),OR($I$5="",ISNUMBER(SEARCH($I$5,C893&amp;" "&amp;D893&amp;" "&amp;E893&amp;" "&amp;I893)))),"✓",""))</f>
        <v/>
      </c>
      <c r="B893" s="39" t="n">
        <v>46260</v>
      </c>
      <c r="C893" s="40" t="n">
        <f aca="false">'Aug 26'!$D$18</f>
        <v>0</v>
      </c>
      <c r="D893" s="40" t="n">
        <f aca="false">'Aug 26'!$B$18</f>
        <v>0</v>
      </c>
      <c r="E893" s="41" t="n">
        <f aca="false">'Aug 26'!$E$18</f>
        <v>0</v>
      </c>
      <c r="F893" s="40" t="n">
        <f aca="false">'Aug 26'!$A$18</f>
        <v>0</v>
      </c>
      <c r="G893" s="41" t="n">
        <f aca="false">'Aug 26'!$F$18</f>
        <v>0</v>
      </c>
      <c r="H893" s="41" t="n">
        <f aca="false">'Aug 26'!$G$18</f>
        <v>0</v>
      </c>
      <c r="I893" s="41" t="str">
        <f aca="false">'Aug 26'!$M$18</f>
        <v/>
      </c>
      <c r="J893" s="42" t="str">
        <f aca="false">'Aug 26'!$S$18</f>
        <v/>
      </c>
      <c r="K893" s="40" t="n">
        <f aca="false">'Aug 26'!$AG$18</f>
        <v>0</v>
      </c>
      <c r="L893" s="40" t="n">
        <f aca="false">'Aug 26'!$N$18</f>
        <v>0</v>
      </c>
    </row>
    <row r="894" customFormat="false" ht="15" hidden="false" customHeight="false" outlineLevel="0" collapsed="false">
      <c r="A894" s="38" t="str">
        <f aca="false">IF(OR(C894="",C894=0),"",IF(AND(OR($B$5="",G894=$B$5,H894=$B$5),OR($D$5="",F894=$D$5),OR($E$5="",K894=$E$5),OR($G$5="",L894=$G$5),OR($H$5="",N(J894)&gt;=$H$5),OR($I$5="",ISNUMBER(SEARCH($I$5,C894&amp;" "&amp;D894&amp;" "&amp;E894&amp;" "&amp;I894)))),"✓",""))</f>
        <v/>
      </c>
      <c r="B894" s="39" t="n">
        <v>46260</v>
      </c>
      <c r="C894" s="40" t="n">
        <f aca="false">'Aug 26'!$D$19</f>
        <v>0</v>
      </c>
      <c r="D894" s="40" t="n">
        <f aca="false">'Aug 26'!$B$19</f>
        <v>0</v>
      </c>
      <c r="E894" s="41" t="n">
        <f aca="false">'Aug 26'!$E$19</f>
        <v>0</v>
      </c>
      <c r="F894" s="40" t="n">
        <f aca="false">'Aug 26'!$A$19</f>
        <v>0</v>
      </c>
      <c r="G894" s="41" t="n">
        <f aca="false">'Aug 26'!$F$19</f>
        <v>0</v>
      </c>
      <c r="H894" s="41" t="n">
        <f aca="false">'Aug 26'!$G$19</f>
        <v>0</v>
      </c>
      <c r="I894" s="41" t="str">
        <f aca="false">'Aug 26'!$M$19</f>
        <v/>
      </c>
      <c r="J894" s="42" t="str">
        <f aca="false">'Aug 26'!$S$19</f>
        <v/>
      </c>
      <c r="K894" s="40" t="n">
        <f aca="false">'Aug 26'!$AG$19</f>
        <v>0</v>
      </c>
      <c r="L894" s="40" t="n">
        <f aca="false">'Aug 26'!$N$19</f>
        <v>0</v>
      </c>
    </row>
    <row r="895" customFormat="false" ht="15" hidden="false" customHeight="false" outlineLevel="0" collapsed="false">
      <c r="A895" s="38" t="str">
        <f aca="false">IF(OR(C895="",C895=0),"",IF(AND(OR($B$5="",G895=$B$5,H895=$B$5),OR($D$5="",F895=$D$5),OR($E$5="",K895=$E$5),OR($G$5="",L895=$G$5),OR($H$5="",N(J895)&gt;=$H$5),OR($I$5="",ISNUMBER(SEARCH($I$5,C895&amp;" "&amp;D895&amp;" "&amp;E895&amp;" "&amp;I895)))),"✓",""))</f>
        <v/>
      </c>
      <c r="B895" s="39" t="n">
        <v>46260</v>
      </c>
      <c r="C895" s="40" t="n">
        <f aca="false">'Aug 26'!$D$20</f>
        <v>0</v>
      </c>
      <c r="D895" s="40" t="n">
        <f aca="false">'Aug 26'!$B$20</f>
        <v>0</v>
      </c>
      <c r="E895" s="41" t="n">
        <f aca="false">'Aug 26'!$E$20</f>
        <v>0</v>
      </c>
      <c r="F895" s="40" t="n">
        <f aca="false">'Aug 26'!$A$20</f>
        <v>0</v>
      </c>
      <c r="G895" s="41" t="n">
        <f aca="false">'Aug 26'!$F$20</f>
        <v>0</v>
      </c>
      <c r="H895" s="41" t="n">
        <f aca="false">'Aug 26'!$G$20</f>
        <v>0</v>
      </c>
      <c r="I895" s="41" t="str">
        <f aca="false">'Aug 26'!$M$20</f>
        <v/>
      </c>
      <c r="J895" s="42" t="str">
        <f aca="false">'Aug 26'!$S$20</f>
        <v/>
      </c>
      <c r="K895" s="40" t="n">
        <f aca="false">'Aug 26'!$AG$20</f>
        <v>0</v>
      </c>
      <c r="L895" s="40" t="n">
        <f aca="false">'Aug 26'!$N$20</f>
        <v>0</v>
      </c>
    </row>
    <row r="896" customFormat="false" ht="15" hidden="false" customHeight="false" outlineLevel="0" collapsed="false">
      <c r="A896" s="38" t="str">
        <f aca="false">IF(OR(C896="",C896=0),"",IF(AND(OR($B$5="",G896=$B$5,H896=$B$5),OR($D$5="",F896=$D$5),OR($E$5="",K896=$E$5),OR($G$5="",L896=$G$5),OR($H$5="",N(J896)&gt;=$H$5),OR($I$5="",ISNUMBER(SEARCH($I$5,C896&amp;" "&amp;D896&amp;" "&amp;E896&amp;" "&amp;I896)))),"✓",""))</f>
        <v/>
      </c>
      <c r="B896" s="39" t="n">
        <v>46260</v>
      </c>
      <c r="C896" s="40" t="n">
        <f aca="false">'Aug 26'!$D$21</f>
        <v>0</v>
      </c>
      <c r="D896" s="40" t="n">
        <f aca="false">'Aug 26'!$B$21</f>
        <v>0</v>
      </c>
      <c r="E896" s="41" t="n">
        <f aca="false">'Aug 26'!$E$21</f>
        <v>0</v>
      </c>
      <c r="F896" s="40" t="n">
        <f aca="false">'Aug 26'!$A$21</f>
        <v>0</v>
      </c>
      <c r="G896" s="41" t="n">
        <f aca="false">'Aug 26'!$F$21</f>
        <v>0</v>
      </c>
      <c r="H896" s="41" t="n">
        <f aca="false">'Aug 26'!$G$21</f>
        <v>0</v>
      </c>
      <c r="I896" s="41" t="str">
        <f aca="false">'Aug 26'!$M$21</f>
        <v/>
      </c>
      <c r="J896" s="42" t="str">
        <f aca="false">'Aug 26'!$S$21</f>
        <v/>
      </c>
      <c r="K896" s="40" t="n">
        <f aca="false">'Aug 26'!$AG$21</f>
        <v>0</v>
      </c>
      <c r="L896" s="40" t="n">
        <f aca="false">'Aug 26'!$N$21</f>
        <v>0</v>
      </c>
    </row>
    <row r="897" customFormat="false" ht="15" hidden="false" customHeight="false" outlineLevel="0" collapsed="false">
      <c r="A897" s="38" t="str">
        <f aca="false">IF(OR(C897="",C897=0),"",IF(AND(OR($B$5="",G897=$B$5,H897=$B$5),OR($D$5="",F897=$D$5),OR($E$5="",K897=$E$5),OR($G$5="",L897=$G$5),OR($H$5="",N(J897)&gt;=$H$5),OR($I$5="",ISNUMBER(SEARCH($I$5,C897&amp;" "&amp;D897&amp;" "&amp;E897&amp;" "&amp;I897)))),"✓",""))</f>
        <v/>
      </c>
      <c r="B897" s="39" t="n">
        <v>46260</v>
      </c>
      <c r="C897" s="40" t="n">
        <f aca="false">'Aug 26'!$D$22</f>
        <v>0</v>
      </c>
      <c r="D897" s="40" t="n">
        <f aca="false">'Aug 26'!$B$22</f>
        <v>0</v>
      </c>
      <c r="E897" s="41" t="n">
        <f aca="false">'Aug 26'!$E$22</f>
        <v>0</v>
      </c>
      <c r="F897" s="40" t="n">
        <f aca="false">'Aug 26'!$A$22</f>
        <v>0</v>
      </c>
      <c r="G897" s="41" t="n">
        <f aca="false">'Aug 26'!$F$22</f>
        <v>0</v>
      </c>
      <c r="H897" s="41" t="n">
        <f aca="false">'Aug 26'!$G$22</f>
        <v>0</v>
      </c>
      <c r="I897" s="41" t="str">
        <f aca="false">'Aug 26'!$M$22</f>
        <v/>
      </c>
      <c r="J897" s="42" t="str">
        <f aca="false">'Aug 26'!$S$22</f>
        <v/>
      </c>
      <c r="K897" s="40" t="n">
        <f aca="false">'Aug 26'!$AG$22</f>
        <v>0</v>
      </c>
      <c r="L897" s="40" t="n">
        <f aca="false">'Aug 26'!$N$22</f>
        <v>0</v>
      </c>
    </row>
    <row r="898" customFormat="false" ht="15" hidden="false" customHeight="false" outlineLevel="0" collapsed="false">
      <c r="A898" s="38" t="str">
        <f aca="false">IF(OR(C898="",C898=0),"",IF(AND(OR($B$5="",G898=$B$5,H898=$B$5),OR($D$5="",F898=$D$5),OR($E$5="",K898=$E$5),OR($G$5="",L898=$G$5),OR($H$5="",N(J898)&gt;=$H$5),OR($I$5="",ISNUMBER(SEARCH($I$5,C898&amp;" "&amp;D898&amp;" "&amp;E898&amp;" "&amp;I898)))),"✓",""))</f>
        <v/>
      </c>
      <c r="B898" s="39" t="n">
        <v>46260</v>
      </c>
      <c r="C898" s="40" t="n">
        <f aca="false">'Aug 26'!$D$23</f>
        <v>0</v>
      </c>
      <c r="D898" s="40" t="n">
        <f aca="false">'Aug 26'!$B$23</f>
        <v>0</v>
      </c>
      <c r="E898" s="41" t="n">
        <f aca="false">'Aug 26'!$E$23</f>
        <v>0</v>
      </c>
      <c r="F898" s="40" t="n">
        <f aca="false">'Aug 26'!$A$23</f>
        <v>0</v>
      </c>
      <c r="G898" s="41" t="n">
        <f aca="false">'Aug 26'!$F$23</f>
        <v>0</v>
      </c>
      <c r="H898" s="41" t="n">
        <f aca="false">'Aug 26'!$G$23</f>
        <v>0</v>
      </c>
      <c r="I898" s="41" t="str">
        <f aca="false">'Aug 26'!$M$23</f>
        <v/>
      </c>
      <c r="J898" s="42" t="str">
        <f aca="false">'Aug 26'!$S$23</f>
        <v/>
      </c>
      <c r="K898" s="40" t="n">
        <f aca="false">'Aug 26'!$AG$23</f>
        <v>0</v>
      </c>
      <c r="L898" s="40" t="n">
        <f aca="false">'Aug 26'!$N$23</f>
        <v>0</v>
      </c>
    </row>
    <row r="899" customFormat="false" ht="15" hidden="false" customHeight="false" outlineLevel="0" collapsed="false">
      <c r="A899" s="38" t="str">
        <f aca="false">IF(OR(C899="",C899=0),"",IF(AND(OR($B$5="",G899=$B$5,H899=$B$5),OR($D$5="",F899=$D$5),OR($E$5="",K899=$E$5),OR($G$5="",L899=$G$5),OR($H$5="",N(J899)&gt;=$H$5),OR($I$5="",ISNUMBER(SEARCH($I$5,C899&amp;" "&amp;D899&amp;" "&amp;E899&amp;" "&amp;I899)))),"✓",""))</f>
        <v/>
      </c>
      <c r="B899" s="39" t="n">
        <v>46260</v>
      </c>
      <c r="C899" s="40" t="n">
        <f aca="false">'Aug 26'!$D$24</f>
        <v>0</v>
      </c>
      <c r="D899" s="40" t="n">
        <f aca="false">'Aug 26'!$B$24</f>
        <v>0</v>
      </c>
      <c r="E899" s="41" t="n">
        <f aca="false">'Aug 26'!$E$24</f>
        <v>0</v>
      </c>
      <c r="F899" s="40" t="n">
        <f aca="false">'Aug 26'!$A$24</f>
        <v>0</v>
      </c>
      <c r="G899" s="41" t="n">
        <f aca="false">'Aug 26'!$F$24</f>
        <v>0</v>
      </c>
      <c r="H899" s="41" t="n">
        <f aca="false">'Aug 26'!$G$24</f>
        <v>0</v>
      </c>
      <c r="I899" s="41" t="str">
        <f aca="false">'Aug 26'!$M$24</f>
        <v/>
      </c>
      <c r="J899" s="42" t="str">
        <f aca="false">'Aug 26'!$S$24</f>
        <v/>
      </c>
      <c r="K899" s="40" t="n">
        <f aca="false">'Aug 26'!$AG$24</f>
        <v>0</v>
      </c>
      <c r="L899" s="40" t="n">
        <f aca="false">'Aug 26'!$N$24</f>
        <v>0</v>
      </c>
    </row>
    <row r="900" customFormat="false" ht="15" hidden="false" customHeight="false" outlineLevel="0" collapsed="false">
      <c r="A900" s="38" t="str">
        <f aca="false">IF(OR(C900="",C900=0),"",IF(AND(OR($B$5="",G900=$B$5,H900=$B$5),OR($D$5="",F900=$D$5),OR($E$5="",K900=$E$5),OR($G$5="",L900=$G$5),OR($H$5="",N(J900)&gt;=$H$5),OR($I$5="",ISNUMBER(SEARCH($I$5,C900&amp;" "&amp;D900&amp;" "&amp;E900&amp;" "&amp;I900)))),"✓",""))</f>
        <v/>
      </c>
      <c r="B900" s="39" t="n">
        <v>46260</v>
      </c>
      <c r="C900" s="40" t="n">
        <f aca="false">'Aug 26'!$D$25</f>
        <v>0</v>
      </c>
      <c r="D900" s="40" t="n">
        <f aca="false">'Aug 26'!$B$25</f>
        <v>0</v>
      </c>
      <c r="E900" s="41" t="n">
        <f aca="false">'Aug 26'!$E$25</f>
        <v>0</v>
      </c>
      <c r="F900" s="40" t="n">
        <f aca="false">'Aug 26'!$A$25</f>
        <v>0</v>
      </c>
      <c r="G900" s="41" t="n">
        <f aca="false">'Aug 26'!$F$25</f>
        <v>0</v>
      </c>
      <c r="H900" s="41" t="n">
        <f aca="false">'Aug 26'!$G$25</f>
        <v>0</v>
      </c>
      <c r="I900" s="41" t="str">
        <f aca="false">'Aug 26'!$M$25</f>
        <v/>
      </c>
      <c r="J900" s="42" t="str">
        <f aca="false">'Aug 26'!$S$25</f>
        <v/>
      </c>
      <c r="K900" s="40" t="n">
        <f aca="false">'Aug 26'!$AG$25</f>
        <v>0</v>
      </c>
      <c r="L900" s="40" t="n">
        <f aca="false">'Aug 26'!$N$25</f>
        <v>0</v>
      </c>
    </row>
    <row r="901" customFormat="false" ht="15" hidden="false" customHeight="false" outlineLevel="0" collapsed="false">
      <c r="A901" s="38" t="str">
        <f aca="false">IF(OR(C901="",C901=0),"",IF(AND(OR($B$5="",G901=$B$5,H901=$B$5),OR($D$5="",F901=$D$5),OR($E$5="",K901=$E$5),OR($G$5="",L901=$G$5),OR($H$5="",N(J901)&gt;=$H$5),OR($I$5="",ISNUMBER(SEARCH($I$5,C901&amp;" "&amp;D901&amp;" "&amp;E901&amp;" "&amp;I901)))),"✓",""))</f>
        <v/>
      </c>
      <c r="B901" s="39" t="n">
        <v>46260</v>
      </c>
      <c r="C901" s="40" t="n">
        <f aca="false">'Aug 26'!$D$26</f>
        <v>0</v>
      </c>
      <c r="D901" s="40" t="n">
        <f aca="false">'Aug 26'!$B$26</f>
        <v>0</v>
      </c>
      <c r="E901" s="41" t="n">
        <f aca="false">'Aug 26'!$E$26</f>
        <v>0</v>
      </c>
      <c r="F901" s="40" t="n">
        <f aca="false">'Aug 26'!$A$26</f>
        <v>0</v>
      </c>
      <c r="G901" s="41" t="n">
        <f aca="false">'Aug 26'!$F$26</f>
        <v>0</v>
      </c>
      <c r="H901" s="41" t="n">
        <f aca="false">'Aug 26'!$G$26</f>
        <v>0</v>
      </c>
      <c r="I901" s="41" t="str">
        <f aca="false">'Aug 26'!$M$26</f>
        <v/>
      </c>
      <c r="J901" s="42" t="str">
        <f aca="false">'Aug 26'!$S$26</f>
        <v/>
      </c>
      <c r="K901" s="40" t="n">
        <f aca="false">'Aug 26'!$AG$26</f>
        <v>0</v>
      </c>
      <c r="L901" s="40" t="n">
        <f aca="false">'Aug 26'!$N$26</f>
        <v>0</v>
      </c>
    </row>
    <row r="902" customFormat="false" ht="15" hidden="false" customHeight="false" outlineLevel="0" collapsed="false">
      <c r="A902" s="38" t="str">
        <f aca="false">IF(OR(C902="",C902=0),"",IF(AND(OR($B$5="",G902=$B$5,H902=$B$5),OR($D$5="",F902=$D$5),OR($E$5="",K902=$E$5),OR($G$5="",L902=$G$5),OR($H$5="",N(J902)&gt;=$H$5),OR($I$5="",ISNUMBER(SEARCH($I$5,C902&amp;" "&amp;D902&amp;" "&amp;E902&amp;" "&amp;I902)))),"✓",""))</f>
        <v/>
      </c>
      <c r="B902" s="39" t="n">
        <v>46260</v>
      </c>
      <c r="C902" s="40" t="n">
        <f aca="false">'Aug 26'!$D$27</f>
        <v>0</v>
      </c>
      <c r="D902" s="40" t="n">
        <f aca="false">'Aug 26'!$B$27</f>
        <v>0</v>
      </c>
      <c r="E902" s="41" t="n">
        <f aca="false">'Aug 26'!$E$27</f>
        <v>0</v>
      </c>
      <c r="F902" s="40" t="n">
        <f aca="false">'Aug 26'!$A$27</f>
        <v>0</v>
      </c>
      <c r="G902" s="41" t="n">
        <f aca="false">'Aug 26'!$F$27</f>
        <v>0</v>
      </c>
      <c r="H902" s="41" t="n">
        <f aca="false">'Aug 26'!$G$27</f>
        <v>0</v>
      </c>
      <c r="I902" s="41" t="str">
        <f aca="false">'Aug 26'!$M$27</f>
        <v/>
      </c>
      <c r="J902" s="42" t="str">
        <f aca="false">'Aug 26'!$S$27</f>
        <v/>
      </c>
      <c r="K902" s="40" t="n">
        <f aca="false">'Aug 26'!$AG$27</f>
        <v>0</v>
      </c>
      <c r="L902" s="40" t="n">
        <f aca="false">'Aug 26'!$N$27</f>
        <v>0</v>
      </c>
    </row>
    <row r="903" customFormat="false" ht="15" hidden="false" customHeight="false" outlineLevel="0" collapsed="false">
      <c r="A903" s="38" t="str">
        <f aca="false">IF(OR(C903="",C903=0),"",IF(AND(OR($B$5="",G903=$B$5,H903=$B$5),OR($D$5="",F903=$D$5),OR($E$5="",K903=$E$5),OR($G$5="",L903=$G$5),OR($H$5="",N(J903)&gt;=$H$5),OR($I$5="",ISNUMBER(SEARCH($I$5,C903&amp;" "&amp;D903&amp;" "&amp;E903&amp;" "&amp;I903)))),"✓",""))</f>
        <v/>
      </c>
      <c r="B903" s="39" t="n">
        <v>46260</v>
      </c>
      <c r="C903" s="40" t="n">
        <f aca="false">'Aug 26'!$D$28</f>
        <v>0</v>
      </c>
      <c r="D903" s="40" t="n">
        <f aca="false">'Aug 26'!$B$28</f>
        <v>0</v>
      </c>
      <c r="E903" s="41" t="n">
        <f aca="false">'Aug 26'!$E$28</f>
        <v>0</v>
      </c>
      <c r="F903" s="40" t="n">
        <f aca="false">'Aug 26'!$A$28</f>
        <v>0</v>
      </c>
      <c r="G903" s="41" t="n">
        <f aca="false">'Aug 26'!$F$28</f>
        <v>0</v>
      </c>
      <c r="H903" s="41" t="n">
        <f aca="false">'Aug 26'!$G$28</f>
        <v>0</v>
      </c>
      <c r="I903" s="41" t="str">
        <f aca="false">'Aug 26'!$M$28</f>
        <v/>
      </c>
      <c r="J903" s="42" t="str">
        <f aca="false">'Aug 26'!$S$28</f>
        <v/>
      </c>
      <c r="K903" s="40" t="n">
        <f aca="false">'Aug 26'!$AG$28</f>
        <v>0</v>
      </c>
      <c r="L903" s="40" t="n">
        <f aca="false">'Aug 26'!$N$28</f>
        <v>0</v>
      </c>
    </row>
    <row r="904" customFormat="false" ht="15" hidden="false" customHeight="false" outlineLevel="0" collapsed="false">
      <c r="A904" s="38" t="str">
        <f aca="false">IF(OR(C904="",C904=0),"",IF(AND(OR($B$5="",G904=$B$5,H904=$B$5),OR($D$5="",F904=$D$5),OR($E$5="",K904=$E$5),OR($G$5="",L904=$G$5),OR($H$5="",N(J904)&gt;=$H$5),OR($I$5="",ISNUMBER(SEARCH($I$5,C904&amp;" "&amp;D904&amp;" "&amp;E904&amp;" "&amp;I904)))),"✓",""))</f>
        <v/>
      </c>
      <c r="B904" s="39" t="n">
        <v>46260</v>
      </c>
      <c r="C904" s="40" t="n">
        <f aca="false">'Aug 26'!$D$29</f>
        <v>0</v>
      </c>
      <c r="D904" s="40" t="n">
        <f aca="false">'Aug 26'!$B$29</f>
        <v>0</v>
      </c>
      <c r="E904" s="41" t="n">
        <f aca="false">'Aug 26'!$E$29</f>
        <v>0</v>
      </c>
      <c r="F904" s="40" t="n">
        <f aca="false">'Aug 26'!$A$29</f>
        <v>0</v>
      </c>
      <c r="G904" s="41" t="n">
        <f aca="false">'Aug 26'!$F$29</f>
        <v>0</v>
      </c>
      <c r="H904" s="41" t="n">
        <f aca="false">'Aug 26'!$G$29</f>
        <v>0</v>
      </c>
      <c r="I904" s="41" t="str">
        <f aca="false">'Aug 26'!$M$29</f>
        <v/>
      </c>
      <c r="J904" s="42" t="str">
        <f aca="false">'Aug 26'!$S$29</f>
        <v/>
      </c>
      <c r="K904" s="40" t="n">
        <f aca="false">'Aug 26'!$AG$29</f>
        <v>0</v>
      </c>
      <c r="L904" s="40" t="n">
        <f aca="false">'Aug 26'!$N$29</f>
        <v>0</v>
      </c>
    </row>
    <row r="905" customFormat="false" ht="15" hidden="false" customHeight="false" outlineLevel="0" collapsed="false">
      <c r="A905" s="38" t="str">
        <f aca="false">IF(OR(C905="",C905=0),"",IF(AND(OR($B$5="",G905=$B$5,H905=$B$5),OR($D$5="",F905=$D$5),OR($E$5="",K905=$E$5),OR($G$5="",L905=$G$5),OR($H$5="",N(J905)&gt;=$H$5),OR($I$5="",ISNUMBER(SEARCH($I$5,C905&amp;" "&amp;D905&amp;" "&amp;E905&amp;" "&amp;I905)))),"✓",""))</f>
        <v/>
      </c>
      <c r="B905" s="39" t="n">
        <v>46260</v>
      </c>
      <c r="C905" s="40" t="n">
        <f aca="false">'Aug 26'!$D$30</f>
        <v>0</v>
      </c>
      <c r="D905" s="40" t="n">
        <f aca="false">'Aug 26'!$B$30</f>
        <v>0</v>
      </c>
      <c r="E905" s="41" t="n">
        <f aca="false">'Aug 26'!$E$30</f>
        <v>0</v>
      </c>
      <c r="F905" s="40" t="n">
        <f aca="false">'Aug 26'!$A$30</f>
        <v>0</v>
      </c>
      <c r="G905" s="41" t="n">
        <f aca="false">'Aug 26'!$F$30</f>
        <v>0</v>
      </c>
      <c r="H905" s="41" t="n">
        <f aca="false">'Aug 26'!$G$30</f>
        <v>0</v>
      </c>
      <c r="I905" s="41" t="str">
        <f aca="false">'Aug 26'!$M$30</f>
        <v/>
      </c>
      <c r="J905" s="42" t="str">
        <f aca="false">'Aug 26'!$S$30</f>
        <v/>
      </c>
      <c r="K905" s="40" t="n">
        <f aca="false">'Aug 26'!$AG$30</f>
        <v>0</v>
      </c>
      <c r="L905" s="40" t="n">
        <f aca="false">'Aug 26'!$N$30</f>
        <v>0</v>
      </c>
    </row>
    <row r="906" customFormat="false" ht="15" hidden="false" customHeight="false" outlineLevel="0" collapsed="false">
      <c r="A906" s="38" t="str">
        <f aca="false">IF(OR(C906="",C906=0),"",IF(AND(OR($B$5="",G906=$B$5,H906=$B$5),OR($D$5="",F906=$D$5),OR($E$5="",K906=$E$5),OR($G$5="",L906=$G$5),OR($H$5="",N(J906)&gt;=$H$5),OR($I$5="",ISNUMBER(SEARCH($I$5,C906&amp;" "&amp;D906&amp;" "&amp;E906&amp;" "&amp;I906)))),"✓",""))</f>
        <v/>
      </c>
      <c r="B906" s="39" t="n">
        <v>46260</v>
      </c>
      <c r="C906" s="40" t="n">
        <f aca="false">'Aug 26'!$D$31</f>
        <v>0</v>
      </c>
      <c r="D906" s="40" t="n">
        <f aca="false">'Aug 26'!$B$31</f>
        <v>0</v>
      </c>
      <c r="E906" s="41" t="n">
        <f aca="false">'Aug 26'!$E$31</f>
        <v>0</v>
      </c>
      <c r="F906" s="40" t="n">
        <f aca="false">'Aug 26'!$A$31</f>
        <v>0</v>
      </c>
      <c r="G906" s="41" t="n">
        <f aca="false">'Aug 26'!$F$31</f>
        <v>0</v>
      </c>
      <c r="H906" s="41" t="n">
        <f aca="false">'Aug 26'!$G$31</f>
        <v>0</v>
      </c>
      <c r="I906" s="41" t="str">
        <f aca="false">'Aug 26'!$M$31</f>
        <v/>
      </c>
      <c r="J906" s="42" t="str">
        <f aca="false">'Aug 26'!$S$31</f>
        <v/>
      </c>
      <c r="K906" s="40" t="n">
        <f aca="false">'Aug 26'!$AG$31</f>
        <v>0</v>
      </c>
      <c r="L906" s="40" t="n">
        <f aca="false">'Aug 26'!$N$31</f>
        <v>0</v>
      </c>
    </row>
    <row r="907" customFormat="false" ht="15" hidden="false" customHeight="false" outlineLevel="0" collapsed="false">
      <c r="A907" s="38" t="str">
        <f aca="false">IF(OR(C907="",C907=0),"",IF(AND(OR($B$5="",G907=$B$5,H907=$B$5),OR($D$5="",F907=$D$5),OR($E$5="",K907=$E$5),OR($G$5="",L907=$G$5),OR($H$5="",N(J907)&gt;=$H$5),OR($I$5="",ISNUMBER(SEARCH($I$5,C907&amp;" "&amp;D907&amp;" "&amp;E907&amp;" "&amp;I907)))),"✓",""))</f>
        <v/>
      </c>
      <c r="B907" s="39" t="n">
        <v>46260</v>
      </c>
      <c r="C907" s="40" t="n">
        <f aca="false">'Aug 26'!$D$32</f>
        <v>0</v>
      </c>
      <c r="D907" s="40" t="n">
        <f aca="false">'Aug 26'!$B$32</f>
        <v>0</v>
      </c>
      <c r="E907" s="41" t="n">
        <f aca="false">'Aug 26'!$E$32</f>
        <v>0</v>
      </c>
      <c r="F907" s="40" t="n">
        <f aca="false">'Aug 26'!$A$32</f>
        <v>0</v>
      </c>
      <c r="G907" s="41" t="n">
        <f aca="false">'Aug 26'!$F$32</f>
        <v>0</v>
      </c>
      <c r="H907" s="41" t="n">
        <f aca="false">'Aug 26'!$G$32</f>
        <v>0</v>
      </c>
      <c r="I907" s="41" t="str">
        <f aca="false">'Aug 26'!$M$32</f>
        <v/>
      </c>
      <c r="J907" s="42" t="str">
        <f aca="false">'Aug 26'!$S$32</f>
        <v/>
      </c>
      <c r="K907" s="40" t="n">
        <f aca="false">'Aug 26'!$AG$32</f>
        <v>0</v>
      </c>
      <c r="L907" s="40" t="n">
        <f aca="false">'Aug 26'!$N$32</f>
        <v>0</v>
      </c>
    </row>
    <row r="908" customFormat="false" ht="15" hidden="false" customHeight="false" outlineLevel="0" collapsed="false">
      <c r="A908" s="38" t="str">
        <f aca="false">IF(OR(C908="",C908=0),"",IF(AND(OR($B$5="",G908=$B$5,H908=$B$5),OR($D$5="",F908=$D$5),OR($E$5="",K908=$E$5),OR($G$5="",L908=$G$5),OR($H$5="",N(J908)&gt;=$H$5),OR($I$5="",ISNUMBER(SEARCH($I$5,C908&amp;" "&amp;D908&amp;" "&amp;E908&amp;" "&amp;I908)))),"✓",""))</f>
        <v/>
      </c>
      <c r="B908" s="39" t="n">
        <v>46260</v>
      </c>
      <c r="C908" s="40" t="n">
        <f aca="false">'Aug 26'!$D$33</f>
        <v>0</v>
      </c>
      <c r="D908" s="40" t="n">
        <f aca="false">'Aug 26'!$B$33</f>
        <v>0</v>
      </c>
      <c r="E908" s="41" t="n">
        <f aca="false">'Aug 26'!$E$33</f>
        <v>0</v>
      </c>
      <c r="F908" s="40" t="n">
        <f aca="false">'Aug 26'!$A$33</f>
        <v>0</v>
      </c>
      <c r="G908" s="41" t="n">
        <f aca="false">'Aug 26'!$F$33</f>
        <v>0</v>
      </c>
      <c r="H908" s="41" t="n">
        <f aca="false">'Aug 26'!$G$33</f>
        <v>0</v>
      </c>
      <c r="I908" s="41" t="str">
        <f aca="false">'Aug 26'!$M$33</f>
        <v/>
      </c>
      <c r="J908" s="42" t="str">
        <f aca="false">'Aug 26'!$S$33</f>
        <v/>
      </c>
      <c r="K908" s="40" t="n">
        <f aca="false">'Aug 26'!$AG$33</f>
        <v>0</v>
      </c>
      <c r="L908" s="40" t="n">
        <f aca="false">'Aug 26'!$N$33</f>
        <v>0</v>
      </c>
    </row>
    <row r="909" customFormat="false" ht="15" hidden="false" customHeight="false" outlineLevel="0" collapsed="false">
      <c r="A909" s="38" t="str">
        <f aca="false">IF(OR(C909="",C909=0),"",IF(AND(OR($B$5="",G909=$B$5,H909=$B$5),OR($D$5="",F909=$D$5),OR($E$5="",K909=$E$5),OR($G$5="",L909=$G$5),OR($H$5="",N(J909)&gt;=$H$5),OR($I$5="",ISNUMBER(SEARCH($I$5,C909&amp;" "&amp;D909&amp;" "&amp;E909&amp;" "&amp;I909)))),"✓",""))</f>
        <v/>
      </c>
      <c r="B909" s="39" t="n">
        <v>46260</v>
      </c>
      <c r="C909" s="40" t="n">
        <f aca="false">'Aug 26'!$D$34</f>
        <v>0</v>
      </c>
      <c r="D909" s="40" t="n">
        <f aca="false">'Aug 26'!$B$34</f>
        <v>0</v>
      </c>
      <c r="E909" s="41" t="n">
        <f aca="false">'Aug 26'!$E$34</f>
        <v>0</v>
      </c>
      <c r="F909" s="40" t="n">
        <f aca="false">'Aug 26'!$A$34</f>
        <v>0</v>
      </c>
      <c r="G909" s="41" t="n">
        <f aca="false">'Aug 26'!$F$34</f>
        <v>0</v>
      </c>
      <c r="H909" s="41" t="n">
        <f aca="false">'Aug 26'!$G$34</f>
        <v>0</v>
      </c>
      <c r="I909" s="41" t="str">
        <f aca="false">'Aug 26'!$M$34</f>
        <v/>
      </c>
      <c r="J909" s="42" t="str">
        <f aca="false">'Aug 26'!$S$34</f>
        <v/>
      </c>
      <c r="K909" s="40" t="n">
        <f aca="false">'Aug 26'!$AG$34</f>
        <v>0</v>
      </c>
      <c r="L909" s="40" t="n">
        <f aca="false">'Aug 26'!$N$34</f>
        <v>0</v>
      </c>
    </row>
    <row r="910" customFormat="false" ht="15" hidden="false" customHeight="false" outlineLevel="0" collapsed="false">
      <c r="A910" s="38" t="str">
        <f aca="false">IF(OR(C910="",C910=0),"",IF(AND(OR($B$5="",G910=$B$5,H910=$B$5),OR($D$5="",F910=$D$5),OR($E$5="",K910=$E$5),OR($G$5="",L910=$G$5),OR($H$5="",N(J910)&gt;=$H$5),OR($I$5="",ISNUMBER(SEARCH($I$5,C910&amp;" "&amp;D910&amp;" "&amp;E910&amp;" "&amp;I910)))),"✓",""))</f>
        <v/>
      </c>
      <c r="B910" s="39" t="n">
        <v>46260</v>
      </c>
      <c r="C910" s="40" t="n">
        <f aca="false">'Aug 26'!$D$35</f>
        <v>0</v>
      </c>
      <c r="D910" s="40" t="n">
        <f aca="false">'Aug 26'!$B$35</f>
        <v>0</v>
      </c>
      <c r="E910" s="41" t="n">
        <f aca="false">'Aug 26'!$E$35</f>
        <v>0</v>
      </c>
      <c r="F910" s="40" t="n">
        <f aca="false">'Aug 26'!$A$35</f>
        <v>0</v>
      </c>
      <c r="G910" s="41" t="n">
        <f aca="false">'Aug 26'!$F$35</f>
        <v>0</v>
      </c>
      <c r="H910" s="41" t="n">
        <f aca="false">'Aug 26'!$G$35</f>
        <v>0</v>
      </c>
      <c r="I910" s="41" t="str">
        <f aca="false">'Aug 26'!$M$35</f>
        <v/>
      </c>
      <c r="J910" s="42" t="str">
        <f aca="false">'Aug 26'!$S$35</f>
        <v/>
      </c>
      <c r="K910" s="40" t="n">
        <f aca="false">'Aug 26'!$AG$35</f>
        <v>0</v>
      </c>
      <c r="L910" s="40" t="n">
        <f aca="false">'Aug 26'!$N$35</f>
        <v>0</v>
      </c>
    </row>
    <row r="911" customFormat="false" ht="15" hidden="false" customHeight="false" outlineLevel="0" collapsed="false">
      <c r="A911" s="38" t="str">
        <f aca="false">IF(OR(C911="",C911=0),"",IF(AND(OR($B$5="",G911=$B$5,H911=$B$5),OR($D$5="",F911=$D$5),OR($E$5="",K911=$E$5),OR($G$5="",L911=$G$5),OR($H$5="",N(J911)&gt;=$H$5),OR($I$5="",ISNUMBER(SEARCH($I$5,C911&amp;" "&amp;D911&amp;" "&amp;E911&amp;" "&amp;I911)))),"✓",""))</f>
        <v/>
      </c>
      <c r="B911" s="39" t="n">
        <v>46260</v>
      </c>
      <c r="C911" s="40" t="n">
        <f aca="false">'Aug 26'!$D$36</f>
        <v>0</v>
      </c>
      <c r="D911" s="40" t="n">
        <f aca="false">'Aug 26'!$B$36</f>
        <v>0</v>
      </c>
      <c r="E911" s="41" t="n">
        <f aca="false">'Aug 26'!$E$36</f>
        <v>0</v>
      </c>
      <c r="F911" s="40" t="n">
        <f aca="false">'Aug 26'!$A$36</f>
        <v>0</v>
      </c>
      <c r="G911" s="41" t="n">
        <f aca="false">'Aug 26'!$F$36</f>
        <v>0</v>
      </c>
      <c r="H911" s="41" t="n">
        <f aca="false">'Aug 26'!$G$36</f>
        <v>0</v>
      </c>
      <c r="I911" s="41" t="str">
        <f aca="false">'Aug 26'!$M$36</f>
        <v/>
      </c>
      <c r="J911" s="42" t="str">
        <f aca="false">'Aug 26'!$S$36</f>
        <v/>
      </c>
      <c r="K911" s="40" t="n">
        <f aca="false">'Aug 26'!$AG$36</f>
        <v>0</v>
      </c>
      <c r="L911" s="40" t="n">
        <f aca="false">'Aug 26'!$N$36</f>
        <v>0</v>
      </c>
    </row>
    <row r="912" customFormat="false" ht="15" hidden="false" customHeight="false" outlineLevel="0" collapsed="false">
      <c r="A912" s="38" t="str">
        <f aca="false">IF(OR(C912="",C912=0),"",IF(AND(OR($B$5="",G912=$B$5,H912=$B$5),OR($D$5="",F912=$D$5),OR($E$5="",K912=$E$5),OR($G$5="",L912=$G$5),OR($H$5="",N(J912)&gt;=$H$5),OR($I$5="",ISNUMBER(SEARCH($I$5,C912&amp;" "&amp;D912&amp;" "&amp;E912&amp;" "&amp;I912)))),"✓",""))</f>
        <v/>
      </c>
      <c r="B912" s="39" t="n">
        <v>46260</v>
      </c>
      <c r="C912" s="40" t="n">
        <f aca="false">'Aug 26'!$D$37</f>
        <v>0</v>
      </c>
      <c r="D912" s="40" t="n">
        <f aca="false">'Aug 26'!$B$37</f>
        <v>0</v>
      </c>
      <c r="E912" s="41" t="n">
        <f aca="false">'Aug 26'!$E$37</f>
        <v>0</v>
      </c>
      <c r="F912" s="40" t="n">
        <f aca="false">'Aug 26'!$A$37</f>
        <v>0</v>
      </c>
      <c r="G912" s="41" t="n">
        <f aca="false">'Aug 26'!$F$37</f>
        <v>0</v>
      </c>
      <c r="H912" s="41" t="n">
        <f aca="false">'Aug 26'!$G$37</f>
        <v>0</v>
      </c>
      <c r="I912" s="41" t="str">
        <f aca="false">'Aug 26'!$M$37</f>
        <v/>
      </c>
      <c r="J912" s="42" t="str">
        <f aca="false">'Aug 26'!$S$37</f>
        <v/>
      </c>
      <c r="K912" s="40" t="n">
        <f aca="false">'Aug 26'!$AG$37</f>
        <v>0</v>
      </c>
      <c r="L912" s="40" t="n">
        <f aca="false">'Aug 26'!$N$37</f>
        <v>0</v>
      </c>
    </row>
    <row r="913" customFormat="false" ht="15" hidden="false" customHeight="false" outlineLevel="0" collapsed="false">
      <c r="A913" s="38" t="str">
        <f aca="false">IF(OR(C913="",C913=0),"",IF(AND(OR($B$5="",G913=$B$5,H913=$B$5),OR($D$5="",F913=$D$5),OR($E$5="",K913=$E$5),OR($G$5="",L913=$G$5),OR($H$5="",N(J913)&gt;=$H$5),OR($I$5="",ISNUMBER(SEARCH($I$5,C913&amp;" "&amp;D913&amp;" "&amp;E913&amp;" "&amp;I913)))),"✓",""))</f>
        <v/>
      </c>
      <c r="B913" s="39" t="n">
        <v>46260</v>
      </c>
      <c r="C913" s="40" t="n">
        <f aca="false">'Aug 26'!$D$38</f>
        <v>0</v>
      </c>
      <c r="D913" s="40" t="n">
        <f aca="false">'Aug 26'!$B$38</f>
        <v>0</v>
      </c>
      <c r="E913" s="41" t="n">
        <f aca="false">'Aug 26'!$E$38</f>
        <v>0</v>
      </c>
      <c r="F913" s="40" t="n">
        <f aca="false">'Aug 26'!$A$38</f>
        <v>0</v>
      </c>
      <c r="G913" s="41" t="n">
        <f aca="false">'Aug 26'!$F$38</f>
        <v>0</v>
      </c>
      <c r="H913" s="41" t="n">
        <f aca="false">'Aug 26'!$G$38</f>
        <v>0</v>
      </c>
      <c r="I913" s="41" t="str">
        <f aca="false">'Aug 26'!$M$38</f>
        <v/>
      </c>
      <c r="J913" s="42" t="str">
        <f aca="false">'Aug 26'!$S$38</f>
        <v/>
      </c>
      <c r="K913" s="40" t="n">
        <f aca="false">'Aug 26'!$AG$38</f>
        <v>0</v>
      </c>
      <c r="L913" s="40" t="n">
        <f aca="false">'Aug 26'!$N$38</f>
        <v>0</v>
      </c>
    </row>
    <row r="914" customFormat="false" ht="15" hidden="false" customHeight="false" outlineLevel="0" collapsed="false">
      <c r="A914" s="38" t="str">
        <f aca="false">IF(OR(C914="",C914=0),"",IF(AND(OR($B$5="",G914=$B$5,H914=$B$5),OR($D$5="",F914=$D$5),OR($E$5="",K914=$E$5),OR($G$5="",L914=$G$5),OR($H$5="",N(J914)&gt;=$H$5),OR($I$5="",ISNUMBER(SEARCH($I$5,C914&amp;" "&amp;D914&amp;" "&amp;E914&amp;" "&amp;I914)))),"✓",""))</f>
        <v/>
      </c>
      <c r="B914" s="39" t="n">
        <v>46260</v>
      </c>
      <c r="C914" s="40" t="n">
        <f aca="false">'Aug 26'!$D$39</f>
        <v>0</v>
      </c>
      <c r="D914" s="40" t="n">
        <f aca="false">'Aug 26'!$B$39</f>
        <v>0</v>
      </c>
      <c r="E914" s="41" t="n">
        <f aca="false">'Aug 26'!$E$39</f>
        <v>0</v>
      </c>
      <c r="F914" s="40" t="n">
        <f aca="false">'Aug 26'!$A$39</f>
        <v>0</v>
      </c>
      <c r="G914" s="41" t="n">
        <f aca="false">'Aug 26'!$F$39</f>
        <v>0</v>
      </c>
      <c r="H914" s="41" t="n">
        <f aca="false">'Aug 26'!$G$39</f>
        <v>0</v>
      </c>
      <c r="I914" s="41" t="str">
        <f aca="false">'Aug 26'!$M$39</f>
        <v/>
      </c>
      <c r="J914" s="42" t="str">
        <f aca="false">'Aug 26'!$S$39</f>
        <v/>
      </c>
      <c r="K914" s="40" t="n">
        <f aca="false">'Aug 26'!$AG$39</f>
        <v>0</v>
      </c>
      <c r="L914" s="40" t="n">
        <f aca="false">'Aug 26'!$N$39</f>
        <v>0</v>
      </c>
    </row>
    <row r="915" customFormat="false" ht="15" hidden="false" customHeight="false" outlineLevel="0" collapsed="false">
      <c r="A915" s="38" t="str">
        <f aca="false">IF(OR(C915="",C915=0),"",IF(AND(OR($B$5="",G915=$B$5,H915=$B$5),OR($D$5="",F915=$D$5),OR($E$5="",K915=$E$5),OR($G$5="",L915=$G$5),OR($H$5="",N(J915)&gt;=$H$5),OR($I$5="",ISNUMBER(SEARCH($I$5,C915&amp;" "&amp;D915&amp;" "&amp;E915&amp;" "&amp;I915)))),"✓",""))</f>
        <v/>
      </c>
      <c r="B915" s="39" t="n">
        <v>46260</v>
      </c>
      <c r="C915" s="40" t="n">
        <f aca="false">'Aug 26'!$D$40</f>
        <v>0</v>
      </c>
      <c r="D915" s="40" t="n">
        <f aca="false">'Aug 26'!$B$40</f>
        <v>0</v>
      </c>
      <c r="E915" s="41" t="n">
        <f aca="false">'Aug 26'!$E$40</f>
        <v>0</v>
      </c>
      <c r="F915" s="40" t="n">
        <f aca="false">'Aug 26'!$A$40</f>
        <v>0</v>
      </c>
      <c r="G915" s="41" t="n">
        <f aca="false">'Aug 26'!$F$40</f>
        <v>0</v>
      </c>
      <c r="H915" s="41" t="n">
        <f aca="false">'Aug 26'!$G$40</f>
        <v>0</v>
      </c>
      <c r="I915" s="41" t="str">
        <f aca="false">'Aug 26'!$M$40</f>
        <v/>
      </c>
      <c r="J915" s="42" t="str">
        <f aca="false">'Aug 26'!$S$40</f>
        <v/>
      </c>
      <c r="K915" s="40" t="n">
        <f aca="false">'Aug 26'!$AG$40</f>
        <v>0</v>
      </c>
      <c r="L915" s="40" t="n">
        <f aca="false">'Aug 26'!$N$40</f>
        <v>0</v>
      </c>
    </row>
    <row r="916" customFormat="false" ht="15" hidden="false" customHeight="false" outlineLevel="0" collapsed="false">
      <c r="A916" s="38" t="str">
        <f aca="false">IF(OR(C916="",C916=0),"",IF(AND(OR($B$5="",G916=$B$5,H916=$B$5),OR($D$5="",F916=$D$5),OR($E$5="",K916=$E$5),OR($G$5="",L916=$G$5),OR($H$5="",N(J916)&gt;=$H$5),OR($I$5="",ISNUMBER(SEARCH($I$5,C916&amp;" "&amp;D916&amp;" "&amp;E916&amp;" "&amp;I916)))),"✓",""))</f>
        <v/>
      </c>
      <c r="B916" s="39" t="n">
        <v>46260</v>
      </c>
      <c r="C916" s="40" t="n">
        <f aca="false">'Aug 26'!$D$41</f>
        <v>0</v>
      </c>
      <c r="D916" s="40" t="n">
        <f aca="false">'Aug 26'!$B$41</f>
        <v>0</v>
      </c>
      <c r="E916" s="41" t="n">
        <f aca="false">'Aug 26'!$E$41</f>
        <v>0</v>
      </c>
      <c r="F916" s="40" t="n">
        <f aca="false">'Aug 26'!$A$41</f>
        <v>0</v>
      </c>
      <c r="G916" s="41" t="n">
        <f aca="false">'Aug 26'!$F$41</f>
        <v>0</v>
      </c>
      <c r="H916" s="41" t="n">
        <f aca="false">'Aug 26'!$G$41</f>
        <v>0</v>
      </c>
      <c r="I916" s="41" t="str">
        <f aca="false">'Aug 26'!$M$41</f>
        <v/>
      </c>
      <c r="J916" s="42" t="str">
        <f aca="false">'Aug 26'!$S$41</f>
        <v/>
      </c>
      <c r="K916" s="40" t="n">
        <f aca="false">'Aug 26'!$AG$41</f>
        <v>0</v>
      </c>
      <c r="L916" s="40" t="n">
        <f aca="false">'Aug 26'!$N$41</f>
        <v>0</v>
      </c>
    </row>
    <row r="917" customFormat="false" ht="15" hidden="false" customHeight="false" outlineLevel="0" collapsed="false">
      <c r="A917" s="38" t="str">
        <f aca="false">IF(OR(C917="",C917=0),"",IF(AND(OR($B$5="",G917=$B$5,H917=$B$5),OR($D$5="",F917=$D$5),OR($E$5="",K917=$E$5),OR($G$5="",L917=$G$5),OR($H$5="",N(J917)&gt;=$H$5),OR($I$5="",ISNUMBER(SEARCH($I$5,C917&amp;" "&amp;D917&amp;" "&amp;E917&amp;" "&amp;I917)))),"✓",""))</f>
        <v/>
      </c>
      <c r="B917" s="39" t="n">
        <v>46260</v>
      </c>
      <c r="C917" s="40" t="n">
        <f aca="false">'Aug 26'!$D$42</f>
        <v>0</v>
      </c>
      <c r="D917" s="40" t="n">
        <f aca="false">'Aug 26'!$B$42</f>
        <v>0</v>
      </c>
      <c r="E917" s="41" t="n">
        <f aca="false">'Aug 26'!$E$42</f>
        <v>0</v>
      </c>
      <c r="F917" s="40" t="n">
        <f aca="false">'Aug 26'!$A$42</f>
        <v>0</v>
      </c>
      <c r="G917" s="41" t="n">
        <f aca="false">'Aug 26'!$F$42</f>
        <v>0</v>
      </c>
      <c r="H917" s="41" t="n">
        <f aca="false">'Aug 26'!$G$42</f>
        <v>0</v>
      </c>
      <c r="I917" s="41" t="str">
        <f aca="false">'Aug 26'!$M$42</f>
        <v/>
      </c>
      <c r="J917" s="42" t="str">
        <f aca="false">'Aug 26'!$S$42</f>
        <v/>
      </c>
      <c r="K917" s="40" t="n">
        <f aca="false">'Aug 26'!$AG$42</f>
        <v>0</v>
      </c>
      <c r="L917" s="40" t="n">
        <f aca="false">'Aug 26'!$N$42</f>
        <v>0</v>
      </c>
    </row>
    <row r="918" customFormat="false" ht="15" hidden="false" customHeight="false" outlineLevel="0" collapsed="false">
      <c r="A918" s="38" t="str">
        <f aca="false">IF(OR(C918="",C918=0),"",IF(AND(OR($B$5="",G918=$B$5,H918=$B$5),OR($D$5="",F918=$D$5),OR($E$5="",K918=$E$5),OR($G$5="",L918=$G$5),OR($H$5="",N(J918)&gt;=$H$5),OR($I$5="",ISNUMBER(SEARCH($I$5,C918&amp;" "&amp;D918&amp;" "&amp;E918&amp;" "&amp;I918)))),"✓",""))</f>
        <v/>
      </c>
      <c r="B918" s="39" t="n">
        <v>46261</v>
      </c>
      <c r="C918" s="40" t="n">
        <f aca="false">'Aug 27'!$D$8</f>
        <v>0</v>
      </c>
      <c r="D918" s="40" t="n">
        <f aca="false">'Aug 27'!$B$8</f>
        <v>0</v>
      </c>
      <c r="E918" s="41" t="n">
        <f aca="false">'Aug 27'!$E$8</f>
        <v>0</v>
      </c>
      <c r="F918" s="40" t="n">
        <f aca="false">'Aug 27'!$A$8</f>
        <v>0</v>
      </c>
      <c r="G918" s="41" t="n">
        <f aca="false">'Aug 27'!$F$8</f>
        <v>0</v>
      </c>
      <c r="H918" s="41" t="n">
        <f aca="false">'Aug 27'!$G$8</f>
        <v>0</v>
      </c>
      <c r="I918" s="41" t="str">
        <f aca="false">'Aug 27'!$M$8</f>
        <v/>
      </c>
      <c r="J918" s="42" t="str">
        <f aca="false">'Aug 27'!$S$8</f>
        <v/>
      </c>
      <c r="K918" s="40" t="n">
        <f aca="false">'Aug 27'!$AG$8</f>
        <v>0</v>
      </c>
      <c r="L918" s="40" t="n">
        <f aca="false">'Aug 27'!$N$8</f>
        <v>0</v>
      </c>
    </row>
    <row r="919" customFormat="false" ht="15" hidden="false" customHeight="false" outlineLevel="0" collapsed="false">
      <c r="A919" s="38" t="str">
        <f aca="false">IF(OR(C919="",C919=0),"",IF(AND(OR($B$5="",G919=$B$5,H919=$B$5),OR($D$5="",F919=$D$5),OR($E$5="",K919=$E$5),OR($G$5="",L919=$G$5),OR($H$5="",N(J919)&gt;=$H$5),OR($I$5="",ISNUMBER(SEARCH($I$5,C919&amp;" "&amp;D919&amp;" "&amp;E919&amp;" "&amp;I919)))),"✓",""))</f>
        <v/>
      </c>
      <c r="B919" s="39" t="n">
        <v>46261</v>
      </c>
      <c r="C919" s="40" t="n">
        <f aca="false">'Aug 27'!$D$9</f>
        <v>0</v>
      </c>
      <c r="D919" s="40" t="n">
        <f aca="false">'Aug 27'!$B$9</f>
        <v>0</v>
      </c>
      <c r="E919" s="41" t="n">
        <f aca="false">'Aug 27'!$E$9</f>
        <v>0</v>
      </c>
      <c r="F919" s="40" t="n">
        <f aca="false">'Aug 27'!$A$9</f>
        <v>0</v>
      </c>
      <c r="G919" s="41" t="n">
        <f aca="false">'Aug 27'!$F$9</f>
        <v>0</v>
      </c>
      <c r="H919" s="41" t="n">
        <f aca="false">'Aug 27'!$G$9</f>
        <v>0</v>
      </c>
      <c r="I919" s="41" t="str">
        <f aca="false">'Aug 27'!$M$9</f>
        <v/>
      </c>
      <c r="J919" s="42" t="str">
        <f aca="false">'Aug 27'!$S$9</f>
        <v/>
      </c>
      <c r="K919" s="40" t="n">
        <f aca="false">'Aug 27'!$AG$9</f>
        <v>0</v>
      </c>
      <c r="L919" s="40" t="n">
        <f aca="false">'Aug 27'!$N$9</f>
        <v>0</v>
      </c>
    </row>
    <row r="920" customFormat="false" ht="15" hidden="false" customHeight="false" outlineLevel="0" collapsed="false">
      <c r="A920" s="38" t="str">
        <f aca="false">IF(OR(C920="",C920=0),"",IF(AND(OR($B$5="",G920=$B$5,H920=$B$5),OR($D$5="",F920=$D$5),OR($E$5="",K920=$E$5),OR($G$5="",L920=$G$5),OR($H$5="",N(J920)&gt;=$H$5),OR($I$5="",ISNUMBER(SEARCH($I$5,C920&amp;" "&amp;D920&amp;" "&amp;E920&amp;" "&amp;I920)))),"✓",""))</f>
        <v/>
      </c>
      <c r="B920" s="39" t="n">
        <v>46261</v>
      </c>
      <c r="C920" s="40" t="n">
        <f aca="false">'Aug 27'!$D$10</f>
        <v>0</v>
      </c>
      <c r="D920" s="40" t="n">
        <f aca="false">'Aug 27'!$B$10</f>
        <v>0</v>
      </c>
      <c r="E920" s="41" t="n">
        <f aca="false">'Aug 27'!$E$10</f>
        <v>0</v>
      </c>
      <c r="F920" s="40" t="n">
        <f aca="false">'Aug 27'!$A$10</f>
        <v>0</v>
      </c>
      <c r="G920" s="41" t="n">
        <f aca="false">'Aug 27'!$F$10</f>
        <v>0</v>
      </c>
      <c r="H920" s="41" t="n">
        <f aca="false">'Aug 27'!$G$10</f>
        <v>0</v>
      </c>
      <c r="I920" s="41" t="str">
        <f aca="false">'Aug 27'!$M$10</f>
        <v/>
      </c>
      <c r="J920" s="42" t="str">
        <f aca="false">'Aug 27'!$S$10</f>
        <v/>
      </c>
      <c r="K920" s="40" t="n">
        <f aca="false">'Aug 27'!$AG$10</f>
        <v>0</v>
      </c>
      <c r="L920" s="40" t="n">
        <f aca="false">'Aug 27'!$N$10</f>
        <v>0</v>
      </c>
    </row>
    <row r="921" customFormat="false" ht="15" hidden="false" customHeight="false" outlineLevel="0" collapsed="false">
      <c r="A921" s="38" t="str">
        <f aca="false">IF(OR(C921="",C921=0),"",IF(AND(OR($B$5="",G921=$B$5,H921=$B$5),OR($D$5="",F921=$D$5),OR($E$5="",K921=$E$5),OR($G$5="",L921=$G$5),OR($H$5="",N(J921)&gt;=$H$5),OR($I$5="",ISNUMBER(SEARCH($I$5,C921&amp;" "&amp;D921&amp;" "&amp;E921&amp;" "&amp;I921)))),"✓",""))</f>
        <v/>
      </c>
      <c r="B921" s="39" t="n">
        <v>46261</v>
      </c>
      <c r="C921" s="40" t="n">
        <f aca="false">'Aug 27'!$D$11</f>
        <v>0</v>
      </c>
      <c r="D921" s="40" t="n">
        <f aca="false">'Aug 27'!$B$11</f>
        <v>0</v>
      </c>
      <c r="E921" s="41" t="n">
        <f aca="false">'Aug 27'!$E$11</f>
        <v>0</v>
      </c>
      <c r="F921" s="40" t="n">
        <f aca="false">'Aug 27'!$A$11</f>
        <v>0</v>
      </c>
      <c r="G921" s="41" t="n">
        <f aca="false">'Aug 27'!$F$11</f>
        <v>0</v>
      </c>
      <c r="H921" s="41" t="n">
        <f aca="false">'Aug 27'!$G$11</f>
        <v>0</v>
      </c>
      <c r="I921" s="41" t="str">
        <f aca="false">'Aug 27'!$M$11</f>
        <v/>
      </c>
      <c r="J921" s="42" t="str">
        <f aca="false">'Aug 27'!$S$11</f>
        <v/>
      </c>
      <c r="K921" s="40" t="n">
        <f aca="false">'Aug 27'!$AG$11</f>
        <v>0</v>
      </c>
      <c r="L921" s="40" t="n">
        <f aca="false">'Aug 27'!$N$11</f>
        <v>0</v>
      </c>
    </row>
    <row r="922" customFormat="false" ht="15" hidden="false" customHeight="false" outlineLevel="0" collapsed="false">
      <c r="A922" s="38" t="str">
        <f aca="false">IF(OR(C922="",C922=0),"",IF(AND(OR($B$5="",G922=$B$5,H922=$B$5),OR($D$5="",F922=$D$5),OR($E$5="",K922=$E$5),OR($G$5="",L922=$G$5),OR($H$5="",N(J922)&gt;=$H$5),OR($I$5="",ISNUMBER(SEARCH($I$5,C922&amp;" "&amp;D922&amp;" "&amp;E922&amp;" "&amp;I922)))),"✓",""))</f>
        <v/>
      </c>
      <c r="B922" s="39" t="n">
        <v>46261</v>
      </c>
      <c r="C922" s="40" t="n">
        <f aca="false">'Aug 27'!$D$12</f>
        <v>0</v>
      </c>
      <c r="D922" s="40" t="n">
        <f aca="false">'Aug 27'!$B$12</f>
        <v>0</v>
      </c>
      <c r="E922" s="41" t="n">
        <f aca="false">'Aug 27'!$E$12</f>
        <v>0</v>
      </c>
      <c r="F922" s="40" t="n">
        <f aca="false">'Aug 27'!$A$12</f>
        <v>0</v>
      </c>
      <c r="G922" s="41" t="n">
        <f aca="false">'Aug 27'!$F$12</f>
        <v>0</v>
      </c>
      <c r="H922" s="41" t="n">
        <f aca="false">'Aug 27'!$G$12</f>
        <v>0</v>
      </c>
      <c r="I922" s="41" t="str">
        <f aca="false">'Aug 27'!$M$12</f>
        <v/>
      </c>
      <c r="J922" s="42" t="str">
        <f aca="false">'Aug 27'!$S$12</f>
        <v/>
      </c>
      <c r="K922" s="40" t="n">
        <f aca="false">'Aug 27'!$AG$12</f>
        <v>0</v>
      </c>
      <c r="L922" s="40" t="n">
        <f aca="false">'Aug 27'!$N$12</f>
        <v>0</v>
      </c>
    </row>
    <row r="923" customFormat="false" ht="15" hidden="false" customHeight="false" outlineLevel="0" collapsed="false">
      <c r="A923" s="38" t="str">
        <f aca="false">IF(OR(C923="",C923=0),"",IF(AND(OR($B$5="",G923=$B$5,H923=$B$5),OR($D$5="",F923=$D$5),OR($E$5="",K923=$E$5),OR($G$5="",L923=$G$5),OR($H$5="",N(J923)&gt;=$H$5),OR($I$5="",ISNUMBER(SEARCH($I$5,C923&amp;" "&amp;D923&amp;" "&amp;E923&amp;" "&amp;I923)))),"✓",""))</f>
        <v/>
      </c>
      <c r="B923" s="39" t="n">
        <v>46261</v>
      </c>
      <c r="C923" s="40" t="n">
        <f aca="false">'Aug 27'!$D$13</f>
        <v>0</v>
      </c>
      <c r="D923" s="40" t="n">
        <f aca="false">'Aug 27'!$B$13</f>
        <v>0</v>
      </c>
      <c r="E923" s="41" t="n">
        <f aca="false">'Aug 27'!$E$13</f>
        <v>0</v>
      </c>
      <c r="F923" s="40" t="n">
        <f aca="false">'Aug 27'!$A$13</f>
        <v>0</v>
      </c>
      <c r="G923" s="41" t="n">
        <f aca="false">'Aug 27'!$F$13</f>
        <v>0</v>
      </c>
      <c r="H923" s="41" t="n">
        <f aca="false">'Aug 27'!$G$13</f>
        <v>0</v>
      </c>
      <c r="I923" s="41" t="str">
        <f aca="false">'Aug 27'!$M$13</f>
        <v/>
      </c>
      <c r="J923" s="42" t="str">
        <f aca="false">'Aug 27'!$S$13</f>
        <v/>
      </c>
      <c r="K923" s="40" t="n">
        <f aca="false">'Aug 27'!$AG$13</f>
        <v>0</v>
      </c>
      <c r="L923" s="40" t="n">
        <f aca="false">'Aug 27'!$N$13</f>
        <v>0</v>
      </c>
    </row>
    <row r="924" customFormat="false" ht="15" hidden="false" customHeight="false" outlineLevel="0" collapsed="false">
      <c r="A924" s="38" t="str">
        <f aca="false">IF(OR(C924="",C924=0),"",IF(AND(OR($B$5="",G924=$B$5,H924=$B$5),OR($D$5="",F924=$D$5),OR($E$5="",K924=$E$5),OR($G$5="",L924=$G$5),OR($H$5="",N(J924)&gt;=$H$5),OR($I$5="",ISNUMBER(SEARCH($I$5,C924&amp;" "&amp;D924&amp;" "&amp;E924&amp;" "&amp;I924)))),"✓",""))</f>
        <v/>
      </c>
      <c r="B924" s="39" t="n">
        <v>46261</v>
      </c>
      <c r="C924" s="40" t="n">
        <f aca="false">'Aug 27'!$D$14</f>
        <v>0</v>
      </c>
      <c r="D924" s="40" t="n">
        <f aca="false">'Aug 27'!$B$14</f>
        <v>0</v>
      </c>
      <c r="E924" s="41" t="n">
        <f aca="false">'Aug 27'!$E$14</f>
        <v>0</v>
      </c>
      <c r="F924" s="40" t="n">
        <f aca="false">'Aug 27'!$A$14</f>
        <v>0</v>
      </c>
      <c r="G924" s="41" t="n">
        <f aca="false">'Aug 27'!$F$14</f>
        <v>0</v>
      </c>
      <c r="H924" s="41" t="n">
        <f aca="false">'Aug 27'!$G$14</f>
        <v>0</v>
      </c>
      <c r="I924" s="41" t="str">
        <f aca="false">'Aug 27'!$M$14</f>
        <v/>
      </c>
      <c r="J924" s="42" t="str">
        <f aca="false">'Aug 27'!$S$14</f>
        <v/>
      </c>
      <c r="K924" s="40" t="n">
        <f aca="false">'Aug 27'!$AG$14</f>
        <v>0</v>
      </c>
      <c r="L924" s="40" t="n">
        <f aca="false">'Aug 27'!$N$14</f>
        <v>0</v>
      </c>
    </row>
    <row r="925" customFormat="false" ht="15" hidden="false" customHeight="false" outlineLevel="0" collapsed="false">
      <c r="A925" s="38" t="str">
        <f aca="false">IF(OR(C925="",C925=0),"",IF(AND(OR($B$5="",G925=$B$5,H925=$B$5),OR($D$5="",F925=$D$5),OR($E$5="",K925=$E$5),OR($G$5="",L925=$G$5),OR($H$5="",N(J925)&gt;=$H$5),OR($I$5="",ISNUMBER(SEARCH($I$5,C925&amp;" "&amp;D925&amp;" "&amp;E925&amp;" "&amp;I925)))),"✓",""))</f>
        <v/>
      </c>
      <c r="B925" s="39" t="n">
        <v>46261</v>
      </c>
      <c r="C925" s="40" t="n">
        <f aca="false">'Aug 27'!$D$15</f>
        <v>0</v>
      </c>
      <c r="D925" s="40" t="n">
        <f aca="false">'Aug 27'!$B$15</f>
        <v>0</v>
      </c>
      <c r="E925" s="41" t="n">
        <f aca="false">'Aug 27'!$E$15</f>
        <v>0</v>
      </c>
      <c r="F925" s="40" t="n">
        <f aca="false">'Aug 27'!$A$15</f>
        <v>0</v>
      </c>
      <c r="G925" s="41" t="n">
        <f aca="false">'Aug 27'!$F$15</f>
        <v>0</v>
      </c>
      <c r="H925" s="41" t="n">
        <f aca="false">'Aug 27'!$G$15</f>
        <v>0</v>
      </c>
      <c r="I925" s="41" t="str">
        <f aca="false">'Aug 27'!$M$15</f>
        <v/>
      </c>
      <c r="J925" s="42" t="str">
        <f aca="false">'Aug 27'!$S$15</f>
        <v/>
      </c>
      <c r="K925" s="40" t="n">
        <f aca="false">'Aug 27'!$AG$15</f>
        <v>0</v>
      </c>
      <c r="L925" s="40" t="n">
        <f aca="false">'Aug 27'!$N$15</f>
        <v>0</v>
      </c>
    </row>
    <row r="926" customFormat="false" ht="15" hidden="false" customHeight="false" outlineLevel="0" collapsed="false">
      <c r="A926" s="38" t="str">
        <f aca="false">IF(OR(C926="",C926=0),"",IF(AND(OR($B$5="",G926=$B$5,H926=$B$5),OR($D$5="",F926=$D$5),OR($E$5="",K926=$E$5),OR($G$5="",L926=$G$5),OR($H$5="",N(J926)&gt;=$H$5),OR($I$5="",ISNUMBER(SEARCH($I$5,C926&amp;" "&amp;D926&amp;" "&amp;E926&amp;" "&amp;I926)))),"✓",""))</f>
        <v/>
      </c>
      <c r="B926" s="39" t="n">
        <v>46261</v>
      </c>
      <c r="C926" s="40" t="n">
        <f aca="false">'Aug 27'!$D$16</f>
        <v>0</v>
      </c>
      <c r="D926" s="40" t="n">
        <f aca="false">'Aug 27'!$B$16</f>
        <v>0</v>
      </c>
      <c r="E926" s="41" t="n">
        <f aca="false">'Aug 27'!$E$16</f>
        <v>0</v>
      </c>
      <c r="F926" s="40" t="n">
        <f aca="false">'Aug 27'!$A$16</f>
        <v>0</v>
      </c>
      <c r="G926" s="41" t="n">
        <f aca="false">'Aug 27'!$F$16</f>
        <v>0</v>
      </c>
      <c r="H926" s="41" t="n">
        <f aca="false">'Aug 27'!$G$16</f>
        <v>0</v>
      </c>
      <c r="I926" s="41" t="str">
        <f aca="false">'Aug 27'!$M$16</f>
        <v/>
      </c>
      <c r="J926" s="42" t="str">
        <f aca="false">'Aug 27'!$S$16</f>
        <v/>
      </c>
      <c r="K926" s="40" t="n">
        <f aca="false">'Aug 27'!$AG$16</f>
        <v>0</v>
      </c>
      <c r="L926" s="40" t="n">
        <f aca="false">'Aug 27'!$N$16</f>
        <v>0</v>
      </c>
    </row>
    <row r="927" customFormat="false" ht="15" hidden="false" customHeight="false" outlineLevel="0" collapsed="false">
      <c r="A927" s="38" t="str">
        <f aca="false">IF(OR(C927="",C927=0),"",IF(AND(OR($B$5="",G927=$B$5,H927=$B$5),OR($D$5="",F927=$D$5),OR($E$5="",K927=$E$5),OR($G$5="",L927=$G$5),OR($H$5="",N(J927)&gt;=$H$5),OR($I$5="",ISNUMBER(SEARCH($I$5,C927&amp;" "&amp;D927&amp;" "&amp;E927&amp;" "&amp;I927)))),"✓",""))</f>
        <v/>
      </c>
      <c r="B927" s="39" t="n">
        <v>46261</v>
      </c>
      <c r="C927" s="40" t="n">
        <f aca="false">'Aug 27'!$D$17</f>
        <v>0</v>
      </c>
      <c r="D927" s="40" t="n">
        <f aca="false">'Aug 27'!$B$17</f>
        <v>0</v>
      </c>
      <c r="E927" s="41" t="n">
        <f aca="false">'Aug 27'!$E$17</f>
        <v>0</v>
      </c>
      <c r="F927" s="40" t="n">
        <f aca="false">'Aug 27'!$A$17</f>
        <v>0</v>
      </c>
      <c r="G927" s="41" t="n">
        <f aca="false">'Aug 27'!$F$17</f>
        <v>0</v>
      </c>
      <c r="H927" s="41" t="n">
        <f aca="false">'Aug 27'!$G$17</f>
        <v>0</v>
      </c>
      <c r="I927" s="41" t="str">
        <f aca="false">'Aug 27'!$M$17</f>
        <v/>
      </c>
      <c r="J927" s="42" t="str">
        <f aca="false">'Aug 27'!$S$17</f>
        <v/>
      </c>
      <c r="K927" s="40" t="n">
        <f aca="false">'Aug 27'!$AG$17</f>
        <v>0</v>
      </c>
      <c r="L927" s="40" t="n">
        <f aca="false">'Aug 27'!$N$17</f>
        <v>0</v>
      </c>
    </row>
    <row r="928" customFormat="false" ht="15" hidden="false" customHeight="false" outlineLevel="0" collapsed="false">
      <c r="A928" s="38" t="str">
        <f aca="false">IF(OR(C928="",C928=0),"",IF(AND(OR($B$5="",G928=$B$5,H928=$B$5),OR($D$5="",F928=$D$5),OR($E$5="",K928=$E$5),OR($G$5="",L928=$G$5),OR($H$5="",N(J928)&gt;=$H$5),OR($I$5="",ISNUMBER(SEARCH($I$5,C928&amp;" "&amp;D928&amp;" "&amp;E928&amp;" "&amp;I928)))),"✓",""))</f>
        <v/>
      </c>
      <c r="B928" s="39" t="n">
        <v>46261</v>
      </c>
      <c r="C928" s="40" t="n">
        <f aca="false">'Aug 27'!$D$18</f>
        <v>0</v>
      </c>
      <c r="D928" s="40" t="n">
        <f aca="false">'Aug 27'!$B$18</f>
        <v>0</v>
      </c>
      <c r="E928" s="41" t="n">
        <f aca="false">'Aug 27'!$E$18</f>
        <v>0</v>
      </c>
      <c r="F928" s="40" t="n">
        <f aca="false">'Aug 27'!$A$18</f>
        <v>0</v>
      </c>
      <c r="G928" s="41" t="n">
        <f aca="false">'Aug 27'!$F$18</f>
        <v>0</v>
      </c>
      <c r="H928" s="41" t="n">
        <f aca="false">'Aug 27'!$G$18</f>
        <v>0</v>
      </c>
      <c r="I928" s="41" t="str">
        <f aca="false">'Aug 27'!$M$18</f>
        <v/>
      </c>
      <c r="J928" s="42" t="str">
        <f aca="false">'Aug 27'!$S$18</f>
        <v/>
      </c>
      <c r="K928" s="40" t="n">
        <f aca="false">'Aug 27'!$AG$18</f>
        <v>0</v>
      </c>
      <c r="L928" s="40" t="n">
        <f aca="false">'Aug 27'!$N$18</f>
        <v>0</v>
      </c>
    </row>
    <row r="929" customFormat="false" ht="15" hidden="false" customHeight="false" outlineLevel="0" collapsed="false">
      <c r="A929" s="38" t="str">
        <f aca="false">IF(OR(C929="",C929=0),"",IF(AND(OR($B$5="",G929=$B$5,H929=$B$5),OR($D$5="",F929=$D$5),OR($E$5="",K929=$E$5),OR($G$5="",L929=$G$5),OR($H$5="",N(J929)&gt;=$H$5),OR($I$5="",ISNUMBER(SEARCH($I$5,C929&amp;" "&amp;D929&amp;" "&amp;E929&amp;" "&amp;I929)))),"✓",""))</f>
        <v/>
      </c>
      <c r="B929" s="39" t="n">
        <v>46261</v>
      </c>
      <c r="C929" s="40" t="n">
        <f aca="false">'Aug 27'!$D$19</f>
        <v>0</v>
      </c>
      <c r="D929" s="40" t="n">
        <f aca="false">'Aug 27'!$B$19</f>
        <v>0</v>
      </c>
      <c r="E929" s="41" t="n">
        <f aca="false">'Aug 27'!$E$19</f>
        <v>0</v>
      </c>
      <c r="F929" s="40" t="n">
        <f aca="false">'Aug 27'!$A$19</f>
        <v>0</v>
      </c>
      <c r="G929" s="41" t="n">
        <f aca="false">'Aug 27'!$F$19</f>
        <v>0</v>
      </c>
      <c r="H929" s="41" t="n">
        <f aca="false">'Aug 27'!$G$19</f>
        <v>0</v>
      </c>
      <c r="I929" s="41" t="str">
        <f aca="false">'Aug 27'!$M$19</f>
        <v/>
      </c>
      <c r="J929" s="42" t="str">
        <f aca="false">'Aug 27'!$S$19</f>
        <v/>
      </c>
      <c r="K929" s="40" t="n">
        <f aca="false">'Aug 27'!$AG$19</f>
        <v>0</v>
      </c>
      <c r="L929" s="40" t="n">
        <f aca="false">'Aug 27'!$N$19</f>
        <v>0</v>
      </c>
    </row>
    <row r="930" customFormat="false" ht="15" hidden="false" customHeight="false" outlineLevel="0" collapsed="false">
      <c r="A930" s="38" t="str">
        <f aca="false">IF(OR(C930="",C930=0),"",IF(AND(OR($B$5="",G930=$B$5,H930=$B$5),OR($D$5="",F930=$D$5),OR($E$5="",K930=$E$5),OR($G$5="",L930=$G$5),OR($H$5="",N(J930)&gt;=$H$5),OR($I$5="",ISNUMBER(SEARCH($I$5,C930&amp;" "&amp;D930&amp;" "&amp;E930&amp;" "&amp;I930)))),"✓",""))</f>
        <v/>
      </c>
      <c r="B930" s="39" t="n">
        <v>46261</v>
      </c>
      <c r="C930" s="40" t="n">
        <f aca="false">'Aug 27'!$D$20</f>
        <v>0</v>
      </c>
      <c r="D930" s="40" t="n">
        <f aca="false">'Aug 27'!$B$20</f>
        <v>0</v>
      </c>
      <c r="E930" s="41" t="n">
        <f aca="false">'Aug 27'!$E$20</f>
        <v>0</v>
      </c>
      <c r="F930" s="40" t="n">
        <f aca="false">'Aug 27'!$A$20</f>
        <v>0</v>
      </c>
      <c r="G930" s="41" t="n">
        <f aca="false">'Aug 27'!$F$20</f>
        <v>0</v>
      </c>
      <c r="H930" s="41" t="n">
        <f aca="false">'Aug 27'!$G$20</f>
        <v>0</v>
      </c>
      <c r="I930" s="41" t="str">
        <f aca="false">'Aug 27'!$M$20</f>
        <v/>
      </c>
      <c r="J930" s="42" t="str">
        <f aca="false">'Aug 27'!$S$20</f>
        <v/>
      </c>
      <c r="K930" s="40" t="n">
        <f aca="false">'Aug 27'!$AG$20</f>
        <v>0</v>
      </c>
      <c r="L930" s="40" t="n">
        <f aca="false">'Aug 27'!$N$20</f>
        <v>0</v>
      </c>
    </row>
    <row r="931" customFormat="false" ht="15" hidden="false" customHeight="false" outlineLevel="0" collapsed="false">
      <c r="A931" s="38" t="str">
        <f aca="false">IF(OR(C931="",C931=0),"",IF(AND(OR($B$5="",G931=$B$5,H931=$B$5),OR($D$5="",F931=$D$5),OR($E$5="",K931=$E$5),OR($G$5="",L931=$G$5),OR($H$5="",N(J931)&gt;=$H$5),OR($I$5="",ISNUMBER(SEARCH($I$5,C931&amp;" "&amp;D931&amp;" "&amp;E931&amp;" "&amp;I931)))),"✓",""))</f>
        <v/>
      </c>
      <c r="B931" s="39" t="n">
        <v>46261</v>
      </c>
      <c r="C931" s="40" t="n">
        <f aca="false">'Aug 27'!$D$21</f>
        <v>0</v>
      </c>
      <c r="D931" s="40" t="n">
        <f aca="false">'Aug 27'!$B$21</f>
        <v>0</v>
      </c>
      <c r="E931" s="41" t="n">
        <f aca="false">'Aug 27'!$E$21</f>
        <v>0</v>
      </c>
      <c r="F931" s="40" t="n">
        <f aca="false">'Aug 27'!$A$21</f>
        <v>0</v>
      </c>
      <c r="G931" s="41" t="n">
        <f aca="false">'Aug 27'!$F$21</f>
        <v>0</v>
      </c>
      <c r="H931" s="41" t="n">
        <f aca="false">'Aug 27'!$G$21</f>
        <v>0</v>
      </c>
      <c r="I931" s="41" t="str">
        <f aca="false">'Aug 27'!$M$21</f>
        <v/>
      </c>
      <c r="J931" s="42" t="str">
        <f aca="false">'Aug 27'!$S$21</f>
        <v/>
      </c>
      <c r="K931" s="40" t="n">
        <f aca="false">'Aug 27'!$AG$21</f>
        <v>0</v>
      </c>
      <c r="L931" s="40" t="n">
        <f aca="false">'Aug 27'!$N$21</f>
        <v>0</v>
      </c>
    </row>
    <row r="932" customFormat="false" ht="15" hidden="false" customHeight="false" outlineLevel="0" collapsed="false">
      <c r="A932" s="38" t="str">
        <f aca="false">IF(OR(C932="",C932=0),"",IF(AND(OR($B$5="",G932=$B$5,H932=$B$5),OR($D$5="",F932=$D$5),OR($E$5="",K932=$E$5),OR($G$5="",L932=$G$5),OR($H$5="",N(J932)&gt;=$H$5),OR($I$5="",ISNUMBER(SEARCH($I$5,C932&amp;" "&amp;D932&amp;" "&amp;E932&amp;" "&amp;I932)))),"✓",""))</f>
        <v/>
      </c>
      <c r="B932" s="39" t="n">
        <v>46261</v>
      </c>
      <c r="C932" s="40" t="n">
        <f aca="false">'Aug 27'!$D$22</f>
        <v>0</v>
      </c>
      <c r="D932" s="40" t="n">
        <f aca="false">'Aug 27'!$B$22</f>
        <v>0</v>
      </c>
      <c r="E932" s="41" t="n">
        <f aca="false">'Aug 27'!$E$22</f>
        <v>0</v>
      </c>
      <c r="F932" s="40" t="n">
        <f aca="false">'Aug 27'!$A$22</f>
        <v>0</v>
      </c>
      <c r="G932" s="41" t="n">
        <f aca="false">'Aug 27'!$F$22</f>
        <v>0</v>
      </c>
      <c r="H932" s="41" t="n">
        <f aca="false">'Aug 27'!$G$22</f>
        <v>0</v>
      </c>
      <c r="I932" s="41" t="str">
        <f aca="false">'Aug 27'!$M$22</f>
        <v/>
      </c>
      <c r="J932" s="42" t="str">
        <f aca="false">'Aug 27'!$S$22</f>
        <v/>
      </c>
      <c r="K932" s="40" t="n">
        <f aca="false">'Aug 27'!$AG$22</f>
        <v>0</v>
      </c>
      <c r="L932" s="40" t="n">
        <f aca="false">'Aug 27'!$N$22</f>
        <v>0</v>
      </c>
    </row>
    <row r="933" customFormat="false" ht="15" hidden="false" customHeight="false" outlineLevel="0" collapsed="false">
      <c r="A933" s="38" t="str">
        <f aca="false">IF(OR(C933="",C933=0),"",IF(AND(OR($B$5="",G933=$B$5,H933=$B$5),OR($D$5="",F933=$D$5),OR($E$5="",K933=$E$5),OR($G$5="",L933=$G$5),OR($H$5="",N(J933)&gt;=$H$5),OR($I$5="",ISNUMBER(SEARCH($I$5,C933&amp;" "&amp;D933&amp;" "&amp;E933&amp;" "&amp;I933)))),"✓",""))</f>
        <v/>
      </c>
      <c r="B933" s="39" t="n">
        <v>46261</v>
      </c>
      <c r="C933" s="40" t="n">
        <f aca="false">'Aug 27'!$D$23</f>
        <v>0</v>
      </c>
      <c r="D933" s="40" t="n">
        <f aca="false">'Aug 27'!$B$23</f>
        <v>0</v>
      </c>
      <c r="E933" s="41" t="n">
        <f aca="false">'Aug 27'!$E$23</f>
        <v>0</v>
      </c>
      <c r="F933" s="40" t="n">
        <f aca="false">'Aug 27'!$A$23</f>
        <v>0</v>
      </c>
      <c r="G933" s="41" t="n">
        <f aca="false">'Aug 27'!$F$23</f>
        <v>0</v>
      </c>
      <c r="H933" s="41" t="n">
        <f aca="false">'Aug 27'!$G$23</f>
        <v>0</v>
      </c>
      <c r="I933" s="41" t="str">
        <f aca="false">'Aug 27'!$M$23</f>
        <v/>
      </c>
      <c r="J933" s="42" t="str">
        <f aca="false">'Aug 27'!$S$23</f>
        <v/>
      </c>
      <c r="K933" s="40" t="n">
        <f aca="false">'Aug 27'!$AG$23</f>
        <v>0</v>
      </c>
      <c r="L933" s="40" t="n">
        <f aca="false">'Aug 27'!$N$23</f>
        <v>0</v>
      </c>
    </row>
    <row r="934" customFormat="false" ht="15" hidden="false" customHeight="false" outlineLevel="0" collapsed="false">
      <c r="A934" s="38" t="str">
        <f aca="false">IF(OR(C934="",C934=0),"",IF(AND(OR($B$5="",G934=$B$5,H934=$B$5),OR($D$5="",F934=$D$5),OR($E$5="",K934=$E$5),OR($G$5="",L934=$G$5),OR($H$5="",N(J934)&gt;=$H$5),OR($I$5="",ISNUMBER(SEARCH($I$5,C934&amp;" "&amp;D934&amp;" "&amp;E934&amp;" "&amp;I934)))),"✓",""))</f>
        <v/>
      </c>
      <c r="B934" s="39" t="n">
        <v>46261</v>
      </c>
      <c r="C934" s="40" t="n">
        <f aca="false">'Aug 27'!$D$24</f>
        <v>0</v>
      </c>
      <c r="D934" s="40" t="n">
        <f aca="false">'Aug 27'!$B$24</f>
        <v>0</v>
      </c>
      <c r="E934" s="41" t="n">
        <f aca="false">'Aug 27'!$E$24</f>
        <v>0</v>
      </c>
      <c r="F934" s="40" t="n">
        <f aca="false">'Aug 27'!$A$24</f>
        <v>0</v>
      </c>
      <c r="G934" s="41" t="n">
        <f aca="false">'Aug 27'!$F$24</f>
        <v>0</v>
      </c>
      <c r="H934" s="41" t="n">
        <f aca="false">'Aug 27'!$G$24</f>
        <v>0</v>
      </c>
      <c r="I934" s="41" t="str">
        <f aca="false">'Aug 27'!$M$24</f>
        <v/>
      </c>
      <c r="J934" s="42" t="str">
        <f aca="false">'Aug 27'!$S$24</f>
        <v/>
      </c>
      <c r="K934" s="40" t="n">
        <f aca="false">'Aug 27'!$AG$24</f>
        <v>0</v>
      </c>
      <c r="L934" s="40" t="n">
        <f aca="false">'Aug 27'!$N$24</f>
        <v>0</v>
      </c>
    </row>
    <row r="935" customFormat="false" ht="15" hidden="false" customHeight="false" outlineLevel="0" collapsed="false">
      <c r="A935" s="38" t="str">
        <f aca="false">IF(OR(C935="",C935=0),"",IF(AND(OR($B$5="",G935=$B$5,H935=$B$5),OR($D$5="",F935=$D$5),OR($E$5="",K935=$E$5),OR($G$5="",L935=$G$5),OR($H$5="",N(J935)&gt;=$H$5),OR($I$5="",ISNUMBER(SEARCH($I$5,C935&amp;" "&amp;D935&amp;" "&amp;E935&amp;" "&amp;I935)))),"✓",""))</f>
        <v/>
      </c>
      <c r="B935" s="39" t="n">
        <v>46261</v>
      </c>
      <c r="C935" s="40" t="n">
        <f aca="false">'Aug 27'!$D$25</f>
        <v>0</v>
      </c>
      <c r="D935" s="40" t="n">
        <f aca="false">'Aug 27'!$B$25</f>
        <v>0</v>
      </c>
      <c r="E935" s="41" t="n">
        <f aca="false">'Aug 27'!$E$25</f>
        <v>0</v>
      </c>
      <c r="F935" s="40" t="n">
        <f aca="false">'Aug 27'!$A$25</f>
        <v>0</v>
      </c>
      <c r="G935" s="41" t="n">
        <f aca="false">'Aug 27'!$F$25</f>
        <v>0</v>
      </c>
      <c r="H935" s="41" t="n">
        <f aca="false">'Aug 27'!$G$25</f>
        <v>0</v>
      </c>
      <c r="I935" s="41" t="str">
        <f aca="false">'Aug 27'!$M$25</f>
        <v/>
      </c>
      <c r="J935" s="42" t="str">
        <f aca="false">'Aug 27'!$S$25</f>
        <v/>
      </c>
      <c r="K935" s="40" t="n">
        <f aca="false">'Aug 27'!$AG$25</f>
        <v>0</v>
      </c>
      <c r="L935" s="40" t="n">
        <f aca="false">'Aug 27'!$N$25</f>
        <v>0</v>
      </c>
    </row>
    <row r="936" customFormat="false" ht="15" hidden="false" customHeight="false" outlineLevel="0" collapsed="false">
      <c r="A936" s="38" t="str">
        <f aca="false">IF(OR(C936="",C936=0),"",IF(AND(OR($B$5="",G936=$B$5,H936=$B$5),OR($D$5="",F936=$D$5),OR($E$5="",K936=$E$5),OR($G$5="",L936=$G$5),OR($H$5="",N(J936)&gt;=$H$5),OR($I$5="",ISNUMBER(SEARCH($I$5,C936&amp;" "&amp;D936&amp;" "&amp;E936&amp;" "&amp;I936)))),"✓",""))</f>
        <v/>
      </c>
      <c r="B936" s="39" t="n">
        <v>46261</v>
      </c>
      <c r="C936" s="40" t="n">
        <f aca="false">'Aug 27'!$D$26</f>
        <v>0</v>
      </c>
      <c r="D936" s="40" t="n">
        <f aca="false">'Aug 27'!$B$26</f>
        <v>0</v>
      </c>
      <c r="E936" s="41" t="n">
        <f aca="false">'Aug 27'!$E$26</f>
        <v>0</v>
      </c>
      <c r="F936" s="40" t="n">
        <f aca="false">'Aug 27'!$A$26</f>
        <v>0</v>
      </c>
      <c r="G936" s="41" t="n">
        <f aca="false">'Aug 27'!$F$26</f>
        <v>0</v>
      </c>
      <c r="H936" s="41" t="n">
        <f aca="false">'Aug 27'!$G$26</f>
        <v>0</v>
      </c>
      <c r="I936" s="41" t="str">
        <f aca="false">'Aug 27'!$M$26</f>
        <v/>
      </c>
      <c r="J936" s="42" t="str">
        <f aca="false">'Aug 27'!$S$26</f>
        <v/>
      </c>
      <c r="K936" s="40" t="n">
        <f aca="false">'Aug 27'!$AG$26</f>
        <v>0</v>
      </c>
      <c r="L936" s="40" t="n">
        <f aca="false">'Aug 27'!$N$26</f>
        <v>0</v>
      </c>
    </row>
    <row r="937" customFormat="false" ht="15" hidden="false" customHeight="false" outlineLevel="0" collapsed="false">
      <c r="A937" s="38" t="str">
        <f aca="false">IF(OR(C937="",C937=0),"",IF(AND(OR($B$5="",G937=$B$5,H937=$B$5),OR($D$5="",F937=$D$5),OR($E$5="",K937=$E$5),OR($G$5="",L937=$G$5),OR($H$5="",N(J937)&gt;=$H$5),OR($I$5="",ISNUMBER(SEARCH($I$5,C937&amp;" "&amp;D937&amp;" "&amp;E937&amp;" "&amp;I937)))),"✓",""))</f>
        <v/>
      </c>
      <c r="B937" s="39" t="n">
        <v>46261</v>
      </c>
      <c r="C937" s="40" t="n">
        <f aca="false">'Aug 27'!$D$27</f>
        <v>0</v>
      </c>
      <c r="D937" s="40" t="n">
        <f aca="false">'Aug 27'!$B$27</f>
        <v>0</v>
      </c>
      <c r="E937" s="41" t="n">
        <f aca="false">'Aug 27'!$E$27</f>
        <v>0</v>
      </c>
      <c r="F937" s="40" t="n">
        <f aca="false">'Aug 27'!$A$27</f>
        <v>0</v>
      </c>
      <c r="G937" s="41" t="n">
        <f aca="false">'Aug 27'!$F$27</f>
        <v>0</v>
      </c>
      <c r="H937" s="41" t="n">
        <f aca="false">'Aug 27'!$G$27</f>
        <v>0</v>
      </c>
      <c r="I937" s="41" t="str">
        <f aca="false">'Aug 27'!$M$27</f>
        <v/>
      </c>
      <c r="J937" s="42" t="str">
        <f aca="false">'Aug 27'!$S$27</f>
        <v/>
      </c>
      <c r="K937" s="40" t="n">
        <f aca="false">'Aug 27'!$AG$27</f>
        <v>0</v>
      </c>
      <c r="L937" s="40" t="n">
        <f aca="false">'Aug 27'!$N$27</f>
        <v>0</v>
      </c>
    </row>
    <row r="938" customFormat="false" ht="15" hidden="false" customHeight="false" outlineLevel="0" collapsed="false">
      <c r="A938" s="38" t="str">
        <f aca="false">IF(OR(C938="",C938=0),"",IF(AND(OR($B$5="",G938=$B$5,H938=$B$5),OR($D$5="",F938=$D$5),OR($E$5="",K938=$E$5),OR($G$5="",L938=$G$5),OR($H$5="",N(J938)&gt;=$H$5),OR($I$5="",ISNUMBER(SEARCH($I$5,C938&amp;" "&amp;D938&amp;" "&amp;E938&amp;" "&amp;I938)))),"✓",""))</f>
        <v/>
      </c>
      <c r="B938" s="39" t="n">
        <v>46261</v>
      </c>
      <c r="C938" s="40" t="n">
        <f aca="false">'Aug 27'!$D$28</f>
        <v>0</v>
      </c>
      <c r="D938" s="40" t="n">
        <f aca="false">'Aug 27'!$B$28</f>
        <v>0</v>
      </c>
      <c r="E938" s="41" t="n">
        <f aca="false">'Aug 27'!$E$28</f>
        <v>0</v>
      </c>
      <c r="F938" s="40" t="n">
        <f aca="false">'Aug 27'!$A$28</f>
        <v>0</v>
      </c>
      <c r="G938" s="41" t="n">
        <f aca="false">'Aug 27'!$F$28</f>
        <v>0</v>
      </c>
      <c r="H938" s="41" t="n">
        <f aca="false">'Aug 27'!$G$28</f>
        <v>0</v>
      </c>
      <c r="I938" s="41" t="str">
        <f aca="false">'Aug 27'!$M$28</f>
        <v/>
      </c>
      <c r="J938" s="42" t="str">
        <f aca="false">'Aug 27'!$S$28</f>
        <v/>
      </c>
      <c r="K938" s="40" t="n">
        <f aca="false">'Aug 27'!$AG$28</f>
        <v>0</v>
      </c>
      <c r="L938" s="40" t="n">
        <f aca="false">'Aug 27'!$N$28</f>
        <v>0</v>
      </c>
    </row>
    <row r="939" customFormat="false" ht="15" hidden="false" customHeight="false" outlineLevel="0" collapsed="false">
      <c r="A939" s="38" t="str">
        <f aca="false">IF(OR(C939="",C939=0),"",IF(AND(OR($B$5="",G939=$B$5,H939=$B$5),OR($D$5="",F939=$D$5),OR($E$5="",K939=$E$5),OR($G$5="",L939=$G$5),OR($H$5="",N(J939)&gt;=$H$5),OR($I$5="",ISNUMBER(SEARCH($I$5,C939&amp;" "&amp;D939&amp;" "&amp;E939&amp;" "&amp;I939)))),"✓",""))</f>
        <v/>
      </c>
      <c r="B939" s="39" t="n">
        <v>46261</v>
      </c>
      <c r="C939" s="40" t="n">
        <f aca="false">'Aug 27'!$D$29</f>
        <v>0</v>
      </c>
      <c r="D939" s="40" t="n">
        <f aca="false">'Aug 27'!$B$29</f>
        <v>0</v>
      </c>
      <c r="E939" s="41" t="n">
        <f aca="false">'Aug 27'!$E$29</f>
        <v>0</v>
      </c>
      <c r="F939" s="40" t="n">
        <f aca="false">'Aug 27'!$A$29</f>
        <v>0</v>
      </c>
      <c r="G939" s="41" t="n">
        <f aca="false">'Aug 27'!$F$29</f>
        <v>0</v>
      </c>
      <c r="H939" s="41" t="n">
        <f aca="false">'Aug 27'!$G$29</f>
        <v>0</v>
      </c>
      <c r="I939" s="41" t="str">
        <f aca="false">'Aug 27'!$M$29</f>
        <v/>
      </c>
      <c r="J939" s="42" t="str">
        <f aca="false">'Aug 27'!$S$29</f>
        <v/>
      </c>
      <c r="K939" s="40" t="n">
        <f aca="false">'Aug 27'!$AG$29</f>
        <v>0</v>
      </c>
      <c r="L939" s="40" t="n">
        <f aca="false">'Aug 27'!$N$29</f>
        <v>0</v>
      </c>
    </row>
    <row r="940" customFormat="false" ht="15" hidden="false" customHeight="false" outlineLevel="0" collapsed="false">
      <c r="A940" s="38" t="str">
        <f aca="false">IF(OR(C940="",C940=0),"",IF(AND(OR($B$5="",G940=$B$5,H940=$B$5),OR($D$5="",F940=$D$5),OR($E$5="",K940=$E$5),OR($G$5="",L940=$G$5),OR($H$5="",N(J940)&gt;=$H$5),OR($I$5="",ISNUMBER(SEARCH($I$5,C940&amp;" "&amp;D940&amp;" "&amp;E940&amp;" "&amp;I940)))),"✓",""))</f>
        <v/>
      </c>
      <c r="B940" s="39" t="n">
        <v>46261</v>
      </c>
      <c r="C940" s="40" t="n">
        <f aca="false">'Aug 27'!$D$30</f>
        <v>0</v>
      </c>
      <c r="D940" s="40" t="n">
        <f aca="false">'Aug 27'!$B$30</f>
        <v>0</v>
      </c>
      <c r="E940" s="41" t="n">
        <f aca="false">'Aug 27'!$E$30</f>
        <v>0</v>
      </c>
      <c r="F940" s="40" t="n">
        <f aca="false">'Aug 27'!$A$30</f>
        <v>0</v>
      </c>
      <c r="G940" s="41" t="n">
        <f aca="false">'Aug 27'!$F$30</f>
        <v>0</v>
      </c>
      <c r="H940" s="41" t="n">
        <f aca="false">'Aug 27'!$G$30</f>
        <v>0</v>
      </c>
      <c r="I940" s="41" t="str">
        <f aca="false">'Aug 27'!$M$30</f>
        <v/>
      </c>
      <c r="J940" s="42" t="str">
        <f aca="false">'Aug 27'!$S$30</f>
        <v/>
      </c>
      <c r="K940" s="40" t="n">
        <f aca="false">'Aug 27'!$AG$30</f>
        <v>0</v>
      </c>
      <c r="L940" s="40" t="n">
        <f aca="false">'Aug 27'!$N$30</f>
        <v>0</v>
      </c>
    </row>
    <row r="941" customFormat="false" ht="15" hidden="false" customHeight="false" outlineLevel="0" collapsed="false">
      <c r="A941" s="38" t="str">
        <f aca="false">IF(OR(C941="",C941=0),"",IF(AND(OR($B$5="",G941=$B$5,H941=$B$5),OR($D$5="",F941=$D$5),OR($E$5="",K941=$E$5),OR($G$5="",L941=$G$5),OR($H$5="",N(J941)&gt;=$H$5),OR($I$5="",ISNUMBER(SEARCH($I$5,C941&amp;" "&amp;D941&amp;" "&amp;E941&amp;" "&amp;I941)))),"✓",""))</f>
        <v/>
      </c>
      <c r="B941" s="39" t="n">
        <v>46261</v>
      </c>
      <c r="C941" s="40" t="n">
        <f aca="false">'Aug 27'!$D$31</f>
        <v>0</v>
      </c>
      <c r="D941" s="40" t="n">
        <f aca="false">'Aug 27'!$B$31</f>
        <v>0</v>
      </c>
      <c r="E941" s="41" t="n">
        <f aca="false">'Aug 27'!$E$31</f>
        <v>0</v>
      </c>
      <c r="F941" s="40" t="n">
        <f aca="false">'Aug 27'!$A$31</f>
        <v>0</v>
      </c>
      <c r="G941" s="41" t="n">
        <f aca="false">'Aug 27'!$F$31</f>
        <v>0</v>
      </c>
      <c r="H941" s="41" t="n">
        <f aca="false">'Aug 27'!$G$31</f>
        <v>0</v>
      </c>
      <c r="I941" s="41" t="str">
        <f aca="false">'Aug 27'!$M$31</f>
        <v/>
      </c>
      <c r="J941" s="42" t="str">
        <f aca="false">'Aug 27'!$S$31</f>
        <v/>
      </c>
      <c r="K941" s="40" t="n">
        <f aca="false">'Aug 27'!$AG$31</f>
        <v>0</v>
      </c>
      <c r="L941" s="40" t="n">
        <f aca="false">'Aug 27'!$N$31</f>
        <v>0</v>
      </c>
    </row>
    <row r="942" customFormat="false" ht="15" hidden="false" customHeight="false" outlineLevel="0" collapsed="false">
      <c r="A942" s="38" t="str">
        <f aca="false">IF(OR(C942="",C942=0),"",IF(AND(OR($B$5="",G942=$B$5,H942=$B$5),OR($D$5="",F942=$D$5),OR($E$5="",K942=$E$5),OR($G$5="",L942=$G$5),OR($H$5="",N(J942)&gt;=$H$5),OR($I$5="",ISNUMBER(SEARCH($I$5,C942&amp;" "&amp;D942&amp;" "&amp;E942&amp;" "&amp;I942)))),"✓",""))</f>
        <v/>
      </c>
      <c r="B942" s="39" t="n">
        <v>46261</v>
      </c>
      <c r="C942" s="40" t="n">
        <f aca="false">'Aug 27'!$D$32</f>
        <v>0</v>
      </c>
      <c r="D942" s="40" t="n">
        <f aca="false">'Aug 27'!$B$32</f>
        <v>0</v>
      </c>
      <c r="E942" s="41" t="n">
        <f aca="false">'Aug 27'!$E$32</f>
        <v>0</v>
      </c>
      <c r="F942" s="40" t="n">
        <f aca="false">'Aug 27'!$A$32</f>
        <v>0</v>
      </c>
      <c r="G942" s="41" t="n">
        <f aca="false">'Aug 27'!$F$32</f>
        <v>0</v>
      </c>
      <c r="H942" s="41" t="n">
        <f aca="false">'Aug 27'!$G$32</f>
        <v>0</v>
      </c>
      <c r="I942" s="41" t="str">
        <f aca="false">'Aug 27'!$M$32</f>
        <v/>
      </c>
      <c r="J942" s="42" t="str">
        <f aca="false">'Aug 27'!$S$32</f>
        <v/>
      </c>
      <c r="K942" s="40" t="n">
        <f aca="false">'Aug 27'!$AG$32</f>
        <v>0</v>
      </c>
      <c r="L942" s="40" t="n">
        <f aca="false">'Aug 27'!$N$32</f>
        <v>0</v>
      </c>
    </row>
    <row r="943" customFormat="false" ht="15" hidden="false" customHeight="false" outlineLevel="0" collapsed="false">
      <c r="A943" s="38" t="str">
        <f aca="false">IF(OR(C943="",C943=0),"",IF(AND(OR($B$5="",G943=$B$5,H943=$B$5),OR($D$5="",F943=$D$5),OR($E$5="",K943=$E$5),OR($G$5="",L943=$G$5),OR($H$5="",N(J943)&gt;=$H$5),OR($I$5="",ISNUMBER(SEARCH($I$5,C943&amp;" "&amp;D943&amp;" "&amp;E943&amp;" "&amp;I943)))),"✓",""))</f>
        <v/>
      </c>
      <c r="B943" s="39" t="n">
        <v>46261</v>
      </c>
      <c r="C943" s="40" t="n">
        <f aca="false">'Aug 27'!$D$33</f>
        <v>0</v>
      </c>
      <c r="D943" s="40" t="n">
        <f aca="false">'Aug 27'!$B$33</f>
        <v>0</v>
      </c>
      <c r="E943" s="41" t="n">
        <f aca="false">'Aug 27'!$E$33</f>
        <v>0</v>
      </c>
      <c r="F943" s="40" t="n">
        <f aca="false">'Aug 27'!$A$33</f>
        <v>0</v>
      </c>
      <c r="G943" s="41" t="n">
        <f aca="false">'Aug 27'!$F$33</f>
        <v>0</v>
      </c>
      <c r="H943" s="41" t="n">
        <f aca="false">'Aug 27'!$G$33</f>
        <v>0</v>
      </c>
      <c r="I943" s="41" t="str">
        <f aca="false">'Aug 27'!$M$33</f>
        <v/>
      </c>
      <c r="J943" s="42" t="str">
        <f aca="false">'Aug 27'!$S$33</f>
        <v/>
      </c>
      <c r="K943" s="40" t="n">
        <f aca="false">'Aug 27'!$AG$33</f>
        <v>0</v>
      </c>
      <c r="L943" s="40" t="n">
        <f aca="false">'Aug 27'!$N$33</f>
        <v>0</v>
      </c>
    </row>
    <row r="944" customFormat="false" ht="15" hidden="false" customHeight="false" outlineLevel="0" collapsed="false">
      <c r="A944" s="38" t="str">
        <f aca="false">IF(OR(C944="",C944=0),"",IF(AND(OR($B$5="",G944=$B$5,H944=$B$5),OR($D$5="",F944=$D$5),OR($E$5="",K944=$E$5),OR($G$5="",L944=$G$5),OR($H$5="",N(J944)&gt;=$H$5),OR($I$5="",ISNUMBER(SEARCH($I$5,C944&amp;" "&amp;D944&amp;" "&amp;E944&amp;" "&amp;I944)))),"✓",""))</f>
        <v/>
      </c>
      <c r="B944" s="39" t="n">
        <v>46261</v>
      </c>
      <c r="C944" s="40" t="n">
        <f aca="false">'Aug 27'!$D$34</f>
        <v>0</v>
      </c>
      <c r="D944" s="40" t="n">
        <f aca="false">'Aug 27'!$B$34</f>
        <v>0</v>
      </c>
      <c r="E944" s="41" t="n">
        <f aca="false">'Aug 27'!$E$34</f>
        <v>0</v>
      </c>
      <c r="F944" s="40" t="n">
        <f aca="false">'Aug 27'!$A$34</f>
        <v>0</v>
      </c>
      <c r="G944" s="41" t="n">
        <f aca="false">'Aug 27'!$F$34</f>
        <v>0</v>
      </c>
      <c r="H944" s="41" t="n">
        <f aca="false">'Aug 27'!$G$34</f>
        <v>0</v>
      </c>
      <c r="I944" s="41" t="str">
        <f aca="false">'Aug 27'!$M$34</f>
        <v/>
      </c>
      <c r="J944" s="42" t="str">
        <f aca="false">'Aug 27'!$S$34</f>
        <v/>
      </c>
      <c r="K944" s="40" t="n">
        <f aca="false">'Aug 27'!$AG$34</f>
        <v>0</v>
      </c>
      <c r="L944" s="40" t="n">
        <f aca="false">'Aug 27'!$N$34</f>
        <v>0</v>
      </c>
    </row>
    <row r="945" customFormat="false" ht="15" hidden="false" customHeight="false" outlineLevel="0" collapsed="false">
      <c r="A945" s="38" t="str">
        <f aca="false">IF(OR(C945="",C945=0),"",IF(AND(OR($B$5="",G945=$B$5,H945=$B$5),OR($D$5="",F945=$D$5),OR($E$5="",K945=$E$5),OR($G$5="",L945=$G$5),OR($H$5="",N(J945)&gt;=$H$5),OR($I$5="",ISNUMBER(SEARCH($I$5,C945&amp;" "&amp;D945&amp;" "&amp;E945&amp;" "&amp;I945)))),"✓",""))</f>
        <v/>
      </c>
      <c r="B945" s="39" t="n">
        <v>46261</v>
      </c>
      <c r="C945" s="40" t="n">
        <f aca="false">'Aug 27'!$D$35</f>
        <v>0</v>
      </c>
      <c r="D945" s="40" t="n">
        <f aca="false">'Aug 27'!$B$35</f>
        <v>0</v>
      </c>
      <c r="E945" s="41" t="n">
        <f aca="false">'Aug 27'!$E$35</f>
        <v>0</v>
      </c>
      <c r="F945" s="40" t="n">
        <f aca="false">'Aug 27'!$A$35</f>
        <v>0</v>
      </c>
      <c r="G945" s="41" t="n">
        <f aca="false">'Aug 27'!$F$35</f>
        <v>0</v>
      </c>
      <c r="H945" s="41" t="n">
        <f aca="false">'Aug 27'!$G$35</f>
        <v>0</v>
      </c>
      <c r="I945" s="41" t="str">
        <f aca="false">'Aug 27'!$M$35</f>
        <v/>
      </c>
      <c r="J945" s="42" t="str">
        <f aca="false">'Aug 27'!$S$35</f>
        <v/>
      </c>
      <c r="K945" s="40" t="n">
        <f aca="false">'Aug 27'!$AG$35</f>
        <v>0</v>
      </c>
      <c r="L945" s="40" t="n">
        <f aca="false">'Aug 27'!$N$35</f>
        <v>0</v>
      </c>
    </row>
    <row r="946" customFormat="false" ht="15" hidden="false" customHeight="false" outlineLevel="0" collapsed="false">
      <c r="A946" s="38" t="str">
        <f aca="false">IF(OR(C946="",C946=0),"",IF(AND(OR($B$5="",G946=$B$5,H946=$B$5),OR($D$5="",F946=$D$5),OR($E$5="",K946=$E$5),OR($G$5="",L946=$G$5),OR($H$5="",N(J946)&gt;=$H$5),OR($I$5="",ISNUMBER(SEARCH($I$5,C946&amp;" "&amp;D946&amp;" "&amp;E946&amp;" "&amp;I946)))),"✓",""))</f>
        <v/>
      </c>
      <c r="B946" s="39" t="n">
        <v>46261</v>
      </c>
      <c r="C946" s="40" t="n">
        <f aca="false">'Aug 27'!$D$36</f>
        <v>0</v>
      </c>
      <c r="D946" s="40" t="n">
        <f aca="false">'Aug 27'!$B$36</f>
        <v>0</v>
      </c>
      <c r="E946" s="41" t="n">
        <f aca="false">'Aug 27'!$E$36</f>
        <v>0</v>
      </c>
      <c r="F946" s="40" t="n">
        <f aca="false">'Aug 27'!$A$36</f>
        <v>0</v>
      </c>
      <c r="G946" s="41" t="n">
        <f aca="false">'Aug 27'!$F$36</f>
        <v>0</v>
      </c>
      <c r="H946" s="41" t="n">
        <f aca="false">'Aug 27'!$G$36</f>
        <v>0</v>
      </c>
      <c r="I946" s="41" t="str">
        <f aca="false">'Aug 27'!$M$36</f>
        <v/>
      </c>
      <c r="J946" s="42" t="str">
        <f aca="false">'Aug 27'!$S$36</f>
        <v/>
      </c>
      <c r="K946" s="40" t="n">
        <f aca="false">'Aug 27'!$AG$36</f>
        <v>0</v>
      </c>
      <c r="L946" s="40" t="n">
        <f aca="false">'Aug 27'!$N$36</f>
        <v>0</v>
      </c>
    </row>
    <row r="947" customFormat="false" ht="15" hidden="false" customHeight="false" outlineLevel="0" collapsed="false">
      <c r="A947" s="38" t="str">
        <f aca="false">IF(OR(C947="",C947=0),"",IF(AND(OR($B$5="",G947=$B$5,H947=$B$5),OR($D$5="",F947=$D$5),OR($E$5="",K947=$E$5),OR($G$5="",L947=$G$5),OR($H$5="",N(J947)&gt;=$H$5),OR($I$5="",ISNUMBER(SEARCH($I$5,C947&amp;" "&amp;D947&amp;" "&amp;E947&amp;" "&amp;I947)))),"✓",""))</f>
        <v/>
      </c>
      <c r="B947" s="39" t="n">
        <v>46261</v>
      </c>
      <c r="C947" s="40" t="n">
        <f aca="false">'Aug 27'!$D$37</f>
        <v>0</v>
      </c>
      <c r="D947" s="40" t="n">
        <f aca="false">'Aug 27'!$B$37</f>
        <v>0</v>
      </c>
      <c r="E947" s="41" t="n">
        <f aca="false">'Aug 27'!$E$37</f>
        <v>0</v>
      </c>
      <c r="F947" s="40" t="n">
        <f aca="false">'Aug 27'!$A$37</f>
        <v>0</v>
      </c>
      <c r="G947" s="41" t="n">
        <f aca="false">'Aug 27'!$F$37</f>
        <v>0</v>
      </c>
      <c r="H947" s="41" t="n">
        <f aca="false">'Aug 27'!$G$37</f>
        <v>0</v>
      </c>
      <c r="I947" s="41" t="str">
        <f aca="false">'Aug 27'!$M$37</f>
        <v/>
      </c>
      <c r="J947" s="42" t="str">
        <f aca="false">'Aug 27'!$S$37</f>
        <v/>
      </c>
      <c r="K947" s="40" t="n">
        <f aca="false">'Aug 27'!$AG$37</f>
        <v>0</v>
      </c>
      <c r="L947" s="40" t="n">
        <f aca="false">'Aug 27'!$N$37</f>
        <v>0</v>
      </c>
    </row>
    <row r="948" customFormat="false" ht="15" hidden="false" customHeight="false" outlineLevel="0" collapsed="false">
      <c r="A948" s="38" t="str">
        <f aca="false">IF(OR(C948="",C948=0),"",IF(AND(OR($B$5="",G948=$B$5,H948=$B$5),OR($D$5="",F948=$D$5),OR($E$5="",K948=$E$5),OR($G$5="",L948=$G$5),OR($H$5="",N(J948)&gt;=$H$5),OR($I$5="",ISNUMBER(SEARCH($I$5,C948&amp;" "&amp;D948&amp;" "&amp;E948&amp;" "&amp;I948)))),"✓",""))</f>
        <v/>
      </c>
      <c r="B948" s="39" t="n">
        <v>46261</v>
      </c>
      <c r="C948" s="40" t="n">
        <f aca="false">'Aug 27'!$D$38</f>
        <v>0</v>
      </c>
      <c r="D948" s="40" t="n">
        <f aca="false">'Aug 27'!$B$38</f>
        <v>0</v>
      </c>
      <c r="E948" s="41" t="n">
        <f aca="false">'Aug 27'!$E$38</f>
        <v>0</v>
      </c>
      <c r="F948" s="40" t="n">
        <f aca="false">'Aug 27'!$A$38</f>
        <v>0</v>
      </c>
      <c r="G948" s="41" t="n">
        <f aca="false">'Aug 27'!$F$38</f>
        <v>0</v>
      </c>
      <c r="H948" s="41" t="n">
        <f aca="false">'Aug 27'!$G$38</f>
        <v>0</v>
      </c>
      <c r="I948" s="41" t="str">
        <f aca="false">'Aug 27'!$M$38</f>
        <v/>
      </c>
      <c r="J948" s="42" t="str">
        <f aca="false">'Aug 27'!$S$38</f>
        <v/>
      </c>
      <c r="K948" s="40" t="n">
        <f aca="false">'Aug 27'!$AG$38</f>
        <v>0</v>
      </c>
      <c r="L948" s="40" t="n">
        <f aca="false">'Aug 27'!$N$38</f>
        <v>0</v>
      </c>
    </row>
    <row r="949" customFormat="false" ht="15" hidden="false" customHeight="false" outlineLevel="0" collapsed="false">
      <c r="A949" s="38" t="str">
        <f aca="false">IF(OR(C949="",C949=0),"",IF(AND(OR($B$5="",G949=$B$5,H949=$B$5),OR($D$5="",F949=$D$5),OR($E$5="",K949=$E$5),OR($G$5="",L949=$G$5),OR($H$5="",N(J949)&gt;=$H$5),OR($I$5="",ISNUMBER(SEARCH($I$5,C949&amp;" "&amp;D949&amp;" "&amp;E949&amp;" "&amp;I949)))),"✓",""))</f>
        <v/>
      </c>
      <c r="B949" s="39" t="n">
        <v>46261</v>
      </c>
      <c r="C949" s="40" t="n">
        <f aca="false">'Aug 27'!$D$39</f>
        <v>0</v>
      </c>
      <c r="D949" s="40" t="n">
        <f aca="false">'Aug 27'!$B$39</f>
        <v>0</v>
      </c>
      <c r="E949" s="41" t="n">
        <f aca="false">'Aug 27'!$E$39</f>
        <v>0</v>
      </c>
      <c r="F949" s="40" t="n">
        <f aca="false">'Aug 27'!$A$39</f>
        <v>0</v>
      </c>
      <c r="G949" s="41" t="n">
        <f aca="false">'Aug 27'!$F$39</f>
        <v>0</v>
      </c>
      <c r="H949" s="41" t="n">
        <f aca="false">'Aug 27'!$G$39</f>
        <v>0</v>
      </c>
      <c r="I949" s="41" t="str">
        <f aca="false">'Aug 27'!$M$39</f>
        <v/>
      </c>
      <c r="J949" s="42" t="str">
        <f aca="false">'Aug 27'!$S$39</f>
        <v/>
      </c>
      <c r="K949" s="40" t="n">
        <f aca="false">'Aug 27'!$AG$39</f>
        <v>0</v>
      </c>
      <c r="L949" s="40" t="n">
        <f aca="false">'Aug 27'!$N$39</f>
        <v>0</v>
      </c>
    </row>
    <row r="950" customFormat="false" ht="15" hidden="false" customHeight="false" outlineLevel="0" collapsed="false">
      <c r="A950" s="38" t="str">
        <f aca="false">IF(OR(C950="",C950=0),"",IF(AND(OR($B$5="",G950=$B$5,H950=$B$5),OR($D$5="",F950=$D$5),OR($E$5="",K950=$E$5),OR($G$5="",L950=$G$5),OR($H$5="",N(J950)&gt;=$H$5),OR($I$5="",ISNUMBER(SEARCH($I$5,C950&amp;" "&amp;D950&amp;" "&amp;E950&amp;" "&amp;I950)))),"✓",""))</f>
        <v/>
      </c>
      <c r="B950" s="39" t="n">
        <v>46261</v>
      </c>
      <c r="C950" s="40" t="n">
        <f aca="false">'Aug 27'!$D$40</f>
        <v>0</v>
      </c>
      <c r="D950" s="40" t="n">
        <f aca="false">'Aug 27'!$B$40</f>
        <v>0</v>
      </c>
      <c r="E950" s="41" t="n">
        <f aca="false">'Aug 27'!$E$40</f>
        <v>0</v>
      </c>
      <c r="F950" s="40" t="n">
        <f aca="false">'Aug 27'!$A$40</f>
        <v>0</v>
      </c>
      <c r="G950" s="41" t="n">
        <f aca="false">'Aug 27'!$F$40</f>
        <v>0</v>
      </c>
      <c r="H950" s="41" t="n">
        <f aca="false">'Aug 27'!$G$40</f>
        <v>0</v>
      </c>
      <c r="I950" s="41" t="str">
        <f aca="false">'Aug 27'!$M$40</f>
        <v/>
      </c>
      <c r="J950" s="42" t="str">
        <f aca="false">'Aug 27'!$S$40</f>
        <v/>
      </c>
      <c r="K950" s="40" t="n">
        <f aca="false">'Aug 27'!$AG$40</f>
        <v>0</v>
      </c>
      <c r="L950" s="40" t="n">
        <f aca="false">'Aug 27'!$N$40</f>
        <v>0</v>
      </c>
    </row>
    <row r="951" customFormat="false" ht="15" hidden="false" customHeight="false" outlineLevel="0" collapsed="false">
      <c r="A951" s="38" t="str">
        <f aca="false">IF(OR(C951="",C951=0),"",IF(AND(OR($B$5="",G951=$B$5,H951=$B$5),OR($D$5="",F951=$D$5),OR($E$5="",K951=$E$5),OR($G$5="",L951=$G$5),OR($H$5="",N(J951)&gt;=$H$5),OR($I$5="",ISNUMBER(SEARCH($I$5,C951&amp;" "&amp;D951&amp;" "&amp;E951&amp;" "&amp;I951)))),"✓",""))</f>
        <v/>
      </c>
      <c r="B951" s="39" t="n">
        <v>46261</v>
      </c>
      <c r="C951" s="40" t="n">
        <f aca="false">'Aug 27'!$D$41</f>
        <v>0</v>
      </c>
      <c r="D951" s="40" t="n">
        <f aca="false">'Aug 27'!$B$41</f>
        <v>0</v>
      </c>
      <c r="E951" s="41" t="n">
        <f aca="false">'Aug 27'!$E$41</f>
        <v>0</v>
      </c>
      <c r="F951" s="40" t="n">
        <f aca="false">'Aug 27'!$A$41</f>
        <v>0</v>
      </c>
      <c r="G951" s="41" t="n">
        <f aca="false">'Aug 27'!$F$41</f>
        <v>0</v>
      </c>
      <c r="H951" s="41" t="n">
        <f aca="false">'Aug 27'!$G$41</f>
        <v>0</v>
      </c>
      <c r="I951" s="41" t="str">
        <f aca="false">'Aug 27'!$M$41</f>
        <v/>
      </c>
      <c r="J951" s="42" t="str">
        <f aca="false">'Aug 27'!$S$41</f>
        <v/>
      </c>
      <c r="K951" s="40" t="n">
        <f aca="false">'Aug 27'!$AG$41</f>
        <v>0</v>
      </c>
      <c r="L951" s="40" t="n">
        <f aca="false">'Aug 27'!$N$41</f>
        <v>0</v>
      </c>
    </row>
    <row r="952" customFormat="false" ht="15" hidden="false" customHeight="false" outlineLevel="0" collapsed="false">
      <c r="A952" s="38" t="str">
        <f aca="false">IF(OR(C952="",C952=0),"",IF(AND(OR($B$5="",G952=$B$5,H952=$B$5),OR($D$5="",F952=$D$5),OR($E$5="",K952=$E$5),OR($G$5="",L952=$G$5),OR($H$5="",N(J952)&gt;=$H$5),OR($I$5="",ISNUMBER(SEARCH($I$5,C952&amp;" "&amp;D952&amp;" "&amp;E952&amp;" "&amp;I952)))),"✓",""))</f>
        <v/>
      </c>
      <c r="B952" s="39" t="n">
        <v>46261</v>
      </c>
      <c r="C952" s="40" t="n">
        <f aca="false">'Aug 27'!$D$42</f>
        <v>0</v>
      </c>
      <c r="D952" s="40" t="n">
        <f aca="false">'Aug 27'!$B$42</f>
        <v>0</v>
      </c>
      <c r="E952" s="41" t="n">
        <f aca="false">'Aug 27'!$E$42</f>
        <v>0</v>
      </c>
      <c r="F952" s="40" t="n">
        <f aca="false">'Aug 27'!$A$42</f>
        <v>0</v>
      </c>
      <c r="G952" s="41" t="n">
        <f aca="false">'Aug 27'!$F$42</f>
        <v>0</v>
      </c>
      <c r="H952" s="41" t="n">
        <f aca="false">'Aug 27'!$G$42</f>
        <v>0</v>
      </c>
      <c r="I952" s="41" t="str">
        <f aca="false">'Aug 27'!$M$42</f>
        <v/>
      </c>
      <c r="J952" s="42" t="str">
        <f aca="false">'Aug 27'!$S$42</f>
        <v/>
      </c>
      <c r="K952" s="40" t="n">
        <f aca="false">'Aug 27'!$AG$42</f>
        <v>0</v>
      </c>
      <c r="L952" s="40" t="n">
        <f aca="false">'Aug 27'!$N$42</f>
        <v>0</v>
      </c>
    </row>
    <row r="953" customFormat="false" ht="15" hidden="false" customHeight="false" outlineLevel="0" collapsed="false">
      <c r="A953" s="38" t="str">
        <f aca="false">IF(OR(C953="",C953=0),"",IF(AND(OR($B$5="",G953=$B$5,H953=$B$5),OR($D$5="",F953=$D$5),OR($E$5="",K953=$E$5),OR($G$5="",L953=$G$5),OR($H$5="",N(J953)&gt;=$H$5),OR($I$5="",ISNUMBER(SEARCH($I$5,C953&amp;" "&amp;D953&amp;" "&amp;E953&amp;" "&amp;I953)))),"✓",""))</f>
        <v/>
      </c>
      <c r="B953" s="39" t="n">
        <v>46262</v>
      </c>
      <c r="C953" s="40" t="n">
        <f aca="false">'Aug 28'!$D$8</f>
        <v>0</v>
      </c>
      <c r="D953" s="40" t="n">
        <f aca="false">'Aug 28'!$B$8</f>
        <v>0</v>
      </c>
      <c r="E953" s="41" t="n">
        <f aca="false">'Aug 28'!$E$8</f>
        <v>0</v>
      </c>
      <c r="F953" s="40" t="n">
        <f aca="false">'Aug 28'!$A$8</f>
        <v>0</v>
      </c>
      <c r="G953" s="41" t="n">
        <f aca="false">'Aug 28'!$F$8</f>
        <v>0</v>
      </c>
      <c r="H953" s="41" t="n">
        <f aca="false">'Aug 28'!$G$8</f>
        <v>0</v>
      </c>
      <c r="I953" s="41" t="str">
        <f aca="false">'Aug 28'!$M$8</f>
        <v/>
      </c>
      <c r="J953" s="42" t="str">
        <f aca="false">'Aug 28'!$S$8</f>
        <v/>
      </c>
      <c r="K953" s="40" t="n">
        <f aca="false">'Aug 28'!$AG$8</f>
        <v>0</v>
      </c>
      <c r="L953" s="40" t="n">
        <f aca="false">'Aug 28'!$N$8</f>
        <v>0</v>
      </c>
    </row>
    <row r="954" customFormat="false" ht="15" hidden="false" customHeight="false" outlineLevel="0" collapsed="false">
      <c r="A954" s="38" t="str">
        <f aca="false">IF(OR(C954="",C954=0),"",IF(AND(OR($B$5="",G954=$B$5,H954=$B$5),OR($D$5="",F954=$D$5),OR($E$5="",K954=$E$5),OR($G$5="",L954=$G$5),OR($H$5="",N(J954)&gt;=$H$5),OR($I$5="",ISNUMBER(SEARCH($I$5,C954&amp;" "&amp;D954&amp;" "&amp;E954&amp;" "&amp;I954)))),"✓",""))</f>
        <v/>
      </c>
      <c r="B954" s="39" t="n">
        <v>46262</v>
      </c>
      <c r="C954" s="40" t="n">
        <f aca="false">'Aug 28'!$D$9</f>
        <v>0</v>
      </c>
      <c r="D954" s="40" t="n">
        <f aca="false">'Aug 28'!$B$9</f>
        <v>0</v>
      </c>
      <c r="E954" s="41" t="n">
        <f aca="false">'Aug 28'!$E$9</f>
        <v>0</v>
      </c>
      <c r="F954" s="40" t="n">
        <f aca="false">'Aug 28'!$A$9</f>
        <v>0</v>
      </c>
      <c r="G954" s="41" t="n">
        <f aca="false">'Aug 28'!$F$9</f>
        <v>0</v>
      </c>
      <c r="H954" s="41" t="n">
        <f aca="false">'Aug 28'!$G$9</f>
        <v>0</v>
      </c>
      <c r="I954" s="41" t="str">
        <f aca="false">'Aug 28'!$M$9</f>
        <v/>
      </c>
      <c r="J954" s="42" t="str">
        <f aca="false">'Aug 28'!$S$9</f>
        <v/>
      </c>
      <c r="K954" s="40" t="n">
        <f aca="false">'Aug 28'!$AG$9</f>
        <v>0</v>
      </c>
      <c r="L954" s="40" t="n">
        <f aca="false">'Aug 28'!$N$9</f>
        <v>0</v>
      </c>
    </row>
    <row r="955" customFormat="false" ht="15" hidden="false" customHeight="false" outlineLevel="0" collapsed="false">
      <c r="A955" s="38" t="str">
        <f aca="false">IF(OR(C955="",C955=0),"",IF(AND(OR($B$5="",G955=$B$5,H955=$B$5),OR($D$5="",F955=$D$5),OR($E$5="",K955=$E$5),OR($G$5="",L955=$G$5),OR($H$5="",N(J955)&gt;=$H$5),OR($I$5="",ISNUMBER(SEARCH($I$5,C955&amp;" "&amp;D955&amp;" "&amp;E955&amp;" "&amp;I955)))),"✓",""))</f>
        <v/>
      </c>
      <c r="B955" s="39" t="n">
        <v>46262</v>
      </c>
      <c r="C955" s="40" t="n">
        <f aca="false">'Aug 28'!$D$10</f>
        <v>0</v>
      </c>
      <c r="D955" s="40" t="n">
        <f aca="false">'Aug 28'!$B$10</f>
        <v>0</v>
      </c>
      <c r="E955" s="41" t="n">
        <f aca="false">'Aug 28'!$E$10</f>
        <v>0</v>
      </c>
      <c r="F955" s="40" t="n">
        <f aca="false">'Aug 28'!$A$10</f>
        <v>0</v>
      </c>
      <c r="G955" s="41" t="n">
        <f aca="false">'Aug 28'!$F$10</f>
        <v>0</v>
      </c>
      <c r="H955" s="41" t="n">
        <f aca="false">'Aug 28'!$G$10</f>
        <v>0</v>
      </c>
      <c r="I955" s="41" t="str">
        <f aca="false">'Aug 28'!$M$10</f>
        <v/>
      </c>
      <c r="J955" s="42" t="str">
        <f aca="false">'Aug 28'!$S$10</f>
        <v/>
      </c>
      <c r="K955" s="40" t="n">
        <f aca="false">'Aug 28'!$AG$10</f>
        <v>0</v>
      </c>
      <c r="L955" s="40" t="n">
        <f aca="false">'Aug 28'!$N$10</f>
        <v>0</v>
      </c>
    </row>
    <row r="956" customFormat="false" ht="15" hidden="false" customHeight="false" outlineLevel="0" collapsed="false">
      <c r="A956" s="38" t="str">
        <f aca="false">IF(OR(C956="",C956=0),"",IF(AND(OR($B$5="",G956=$B$5,H956=$B$5),OR($D$5="",F956=$D$5),OR($E$5="",K956=$E$5),OR($G$5="",L956=$G$5),OR($H$5="",N(J956)&gt;=$H$5),OR($I$5="",ISNUMBER(SEARCH($I$5,C956&amp;" "&amp;D956&amp;" "&amp;E956&amp;" "&amp;I956)))),"✓",""))</f>
        <v/>
      </c>
      <c r="B956" s="39" t="n">
        <v>46262</v>
      </c>
      <c r="C956" s="40" t="n">
        <f aca="false">'Aug 28'!$D$11</f>
        <v>0</v>
      </c>
      <c r="D956" s="40" t="n">
        <f aca="false">'Aug 28'!$B$11</f>
        <v>0</v>
      </c>
      <c r="E956" s="41" t="n">
        <f aca="false">'Aug 28'!$E$11</f>
        <v>0</v>
      </c>
      <c r="F956" s="40" t="n">
        <f aca="false">'Aug 28'!$A$11</f>
        <v>0</v>
      </c>
      <c r="G956" s="41" t="n">
        <f aca="false">'Aug 28'!$F$11</f>
        <v>0</v>
      </c>
      <c r="H956" s="41" t="n">
        <f aca="false">'Aug 28'!$G$11</f>
        <v>0</v>
      </c>
      <c r="I956" s="41" t="str">
        <f aca="false">'Aug 28'!$M$11</f>
        <v/>
      </c>
      <c r="J956" s="42" t="str">
        <f aca="false">'Aug 28'!$S$11</f>
        <v/>
      </c>
      <c r="K956" s="40" t="n">
        <f aca="false">'Aug 28'!$AG$11</f>
        <v>0</v>
      </c>
      <c r="L956" s="40" t="n">
        <f aca="false">'Aug 28'!$N$11</f>
        <v>0</v>
      </c>
    </row>
    <row r="957" customFormat="false" ht="15" hidden="false" customHeight="false" outlineLevel="0" collapsed="false">
      <c r="A957" s="38" t="str">
        <f aca="false">IF(OR(C957="",C957=0),"",IF(AND(OR($B$5="",G957=$B$5,H957=$B$5),OR($D$5="",F957=$D$5),OR($E$5="",K957=$E$5),OR($G$5="",L957=$G$5),OR($H$5="",N(J957)&gt;=$H$5),OR($I$5="",ISNUMBER(SEARCH($I$5,C957&amp;" "&amp;D957&amp;" "&amp;E957&amp;" "&amp;I957)))),"✓",""))</f>
        <v/>
      </c>
      <c r="B957" s="39" t="n">
        <v>46262</v>
      </c>
      <c r="C957" s="40" t="n">
        <f aca="false">'Aug 28'!$D$12</f>
        <v>0</v>
      </c>
      <c r="D957" s="40" t="n">
        <f aca="false">'Aug 28'!$B$12</f>
        <v>0</v>
      </c>
      <c r="E957" s="41" t="n">
        <f aca="false">'Aug 28'!$E$12</f>
        <v>0</v>
      </c>
      <c r="F957" s="40" t="n">
        <f aca="false">'Aug 28'!$A$12</f>
        <v>0</v>
      </c>
      <c r="G957" s="41" t="n">
        <f aca="false">'Aug 28'!$F$12</f>
        <v>0</v>
      </c>
      <c r="H957" s="41" t="n">
        <f aca="false">'Aug 28'!$G$12</f>
        <v>0</v>
      </c>
      <c r="I957" s="41" t="str">
        <f aca="false">'Aug 28'!$M$12</f>
        <v/>
      </c>
      <c r="J957" s="42" t="str">
        <f aca="false">'Aug 28'!$S$12</f>
        <v/>
      </c>
      <c r="K957" s="40" t="n">
        <f aca="false">'Aug 28'!$AG$12</f>
        <v>0</v>
      </c>
      <c r="L957" s="40" t="n">
        <f aca="false">'Aug 28'!$N$12</f>
        <v>0</v>
      </c>
    </row>
    <row r="958" customFormat="false" ht="15" hidden="false" customHeight="false" outlineLevel="0" collapsed="false">
      <c r="A958" s="38" t="str">
        <f aca="false">IF(OR(C958="",C958=0),"",IF(AND(OR($B$5="",G958=$B$5,H958=$B$5),OR($D$5="",F958=$D$5),OR($E$5="",K958=$E$5),OR($G$5="",L958=$G$5),OR($H$5="",N(J958)&gt;=$H$5),OR($I$5="",ISNUMBER(SEARCH($I$5,C958&amp;" "&amp;D958&amp;" "&amp;E958&amp;" "&amp;I958)))),"✓",""))</f>
        <v/>
      </c>
      <c r="B958" s="39" t="n">
        <v>46262</v>
      </c>
      <c r="C958" s="40" t="n">
        <f aca="false">'Aug 28'!$D$13</f>
        <v>0</v>
      </c>
      <c r="D958" s="40" t="n">
        <f aca="false">'Aug 28'!$B$13</f>
        <v>0</v>
      </c>
      <c r="E958" s="41" t="n">
        <f aca="false">'Aug 28'!$E$13</f>
        <v>0</v>
      </c>
      <c r="F958" s="40" t="n">
        <f aca="false">'Aug 28'!$A$13</f>
        <v>0</v>
      </c>
      <c r="G958" s="41" t="n">
        <f aca="false">'Aug 28'!$F$13</f>
        <v>0</v>
      </c>
      <c r="H958" s="41" t="n">
        <f aca="false">'Aug 28'!$G$13</f>
        <v>0</v>
      </c>
      <c r="I958" s="41" t="str">
        <f aca="false">'Aug 28'!$M$13</f>
        <v/>
      </c>
      <c r="J958" s="42" t="str">
        <f aca="false">'Aug 28'!$S$13</f>
        <v/>
      </c>
      <c r="K958" s="40" t="n">
        <f aca="false">'Aug 28'!$AG$13</f>
        <v>0</v>
      </c>
      <c r="L958" s="40" t="n">
        <f aca="false">'Aug 28'!$N$13</f>
        <v>0</v>
      </c>
    </row>
    <row r="959" customFormat="false" ht="15" hidden="false" customHeight="false" outlineLevel="0" collapsed="false">
      <c r="A959" s="38" t="str">
        <f aca="false">IF(OR(C959="",C959=0),"",IF(AND(OR($B$5="",G959=$B$5,H959=$B$5),OR($D$5="",F959=$D$5),OR($E$5="",K959=$E$5),OR($G$5="",L959=$G$5),OR($H$5="",N(J959)&gt;=$H$5),OR($I$5="",ISNUMBER(SEARCH($I$5,C959&amp;" "&amp;D959&amp;" "&amp;E959&amp;" "&amp;I959)))),"✓",""))</f>
        <v/>
      </c>
      <c r="B959" s="39" t="n">
        <v>46262</v>
      </c>
      <c r="C959" s="40" t="n">
        <f aca="false">'Aug 28'!$D$14</f>
        <v>0</v>
      </c>
      <c r="D959" s="40" t="n">
        <f aca="false">'Aug 28'!$B$14</f>
        <v>0</v>
      </c>
      <c r="E959" s="41" t="n">
        <f aca="false">'Aug 28'!$E$14</f>
        <v>0</v>
      </c>
      <c r="F959" s="40" t="n">
        <f aca="false">'Aug 28'!$A$14</f>
        <v>0</v>
      </c>
      <c r="G959" s="41" t="n">
        <f aca="false">'Aug 28'!$F$14</f>
        <v>0</v>
      </c>
      <c r="H959" s="41" t="n">
        <f aca="false">'Aug 28'!$G$14</f>
        <v>0</v>
      </c>
      <c r="I959" s="41" t="str">
        <f aca="false">'Aug 28'!$M$14</f>
        <v/>
      </c>
      <c r="J959" s="42" t="str">
        <f aca="false">'Aug 28'!$S$14</f>
        <v/>
      </c>
      <c r="K959" s="40" t="n">
        <f aca="false">'Aug 28'!$AG$14</f>
        <v>0</v>
      </c>
      <c r="L959" s="40" t="n">
        <f aca="false">'Aug 28'!$N$14</f>
        <v>0</v>
      </c>
    </row>
    <row r="960" customFormat="false" ht="15" hidden="false" customHeight="false" outlineLevel="0" collapsed="false">
      <c r="A960" s="38" t="str">
        <f aca="false">IF(OR(C960="",C960=0),"",IF(AND(OR($B$5="",G960=$B$5,H960=$B$5),OR($D$5="",F960=$D$5),OR($E$5="",K960=$E$5),OR($G$5="",L960=$G$5),OR($H$5="",N(J960)&gt;=$H$5),OR($I$5="",ISNUMBER(SEARCH($I$5,C960&amp;" "&amp;D960&amp;" "&amp;E960&amp;" "&amp;I960)))),"✓",""))</f>
        <v/>
      </c>
      <c r="B960" s="39" t="n">
        <v>46262</v>
      </c>
      <c r="C960" s="40" t="n">
        <f aca="false">'Aug 28'!$D$15</f>
        <v>0</v>
      </c>
      <c r="D960" s="40" t="n">
        <f aca="false">'Aug 28'!$B$15</f>
        <v>0</v>
      </c>
      <c r="E960" s="41" t="n">
        <f aca="false">'Aug 28'!$E$15</f>
        <v>0</v>
      </c>
      <c r="F960" s="40" t="n">
        <f aca="false">'Aug 28'!$A$15</f>
        <v>0</v>
      </c>
      <c r="G960" s="41" t="n">
        <f aca="false">'Aug 28'!$F$15</f>
        <v>0</v>
      </c>
      <c r="H960" s="41" t="n">
        <f aca="false">'Aug 28'!$G$15</f>
        <v>0</v>
      </c>
      <c r="I960" s="41" t="str">
        <f aca="false">'Aug 28'!$M$15</f>
        <v/>
      </c>
      <c r="J960" s="42" t="str">
        <f aca="false">'Aug 28'!$S$15</f>
        <v/>
      </c>
      <c r="K960" s="40" t="n">
        <f aca="false">'Aug 28'!$AG$15</f>
        <v>0</v>
      </c>
      <c r="L960" s="40" t="n">
        <f aca="false">'Aug 28'!$N$15</f>
        <v>0</v>
      </c>
    </row>
    <row r="961" customFormat="false" ht="15" hidden="false" customHeight="false" outlineLevel="0" collapsed="false">
      <c r="A961" s="38" t="str">
        <f aca="false">IF(OR(C961="",C961=0),"",IF(AND(OR($B$5="",G961=$B$5,H961=$B$5),OR($D$5="",F961=$D$5),OR($E$5="",K961=$E$5),OR($G$5="",L961=$G$5),OR($H$5="",N(J961)&gt;=$H$5),OR($I$5="",ISNUMBER(SEARCH($I$5,C961&amp;" "&amp;D961&amp;" "&amp;E961&amp;" "&amp;I961)))),"✓",""))</f>
        <v/>
      </c>
      <c r="B961" s="39" t="n">
        <v>46262</v>
      </c>
      <c r="C961" s="40" t="n">
        <f aca="false">'Aug 28'!$D$16</f>
        <v>0</v>
      </c>
      <c r="D961" s="40" t="n">
        <f aca="false">'Aug 28'!$B$16</f>
        <v>0</v>
      </c>
      <c r="E961" s="41" t="n">
        <f aca="false">'Aug 28'!$E$16</f>
        <v>0</v>
      </c>
      <c r="F961" s="40" t="n">
        <f aca="false">'Aug 28'!$A$16</f>
        <v>0</v>
      </c>
      <c r="G961" s="41" t="n">
        <f aca="false">'Aug 28'!$F$16</f>
        <v>0</v>
      </c>
      <c r="H961" s="41" t="n">
        <f aca="false">'Aug 28'!$G$16</f>
        <v>0</v>
      </c>
      <c r="I961" s="41" t="str">
        <f aca="false">'Aug 28'!$M$16</f>
        <v/>
      </c>
      <c r="J961" s="42" t="str">
        <f aca="false">'Aug 28'!$S$16</f>
        <v/>
      </c>
      <c r="K961" s="40" t="n">
        <f aca="false">'Aug 28'!$AG$16</f>
        <v>0</v>
      </c>
      <c r="L961" s="40" t="n">
        <f aca="false">'Aug 28'!$N$16</f>
        <v>0</v>
      </c>
    </row>
    <row r="962" customFormat="false" ht="15" hidden="false" customHeight="false" outlineLevel="0" collapsed="false">
      <c r="A962" s="38" t="str">
        <f aca="false">IF(OR(C962="",C962=0),"",IF(AND(OR($B$5="",G962=$B$5,H962=$B$5),OR($D$5="",F962=$D$5),OR($E$5="",K962=$E$5),OR($G$5="",L962=$G$5),OR($H$5="",N(J962)&gt;=$H$5),OR($I$5="",ISNUMBER(SEARCH($I$5,C962&amp;" "&amp;D962&amp;" "&amp;E962&amp;" "&amp;I962)))),"✓",""))</f>
        <v/>
      </c>
      <c r="B962" s="39" t="n">
        <v>46262</v>
      </c>
      <c r="C962" s="40" t="n">
        <f aca="false">'Aug 28'!$D$17</f>
        <v>0</v>
      </c>
      <c r="D962" s="40" t="n">
        <f aca="false">'Aug 28'!$B$17</f>
        <v>0</v>
      </c>
      <c r="E962" s="41" t="n">
        <f aca="false">'Aug 28'!$E$17</f>
        <v>0</v>
      </c>
      <c r="F962" s="40" t="n">
        <f aca="false">'Aug 28'!$A$17</f>
        <v>0</v>
      </c>
      <c r="G962" s="41" t="n">
        <f aca="false">'Aug 28'!$F$17</f>
        <v>0</v>
      </c>
      <c r="H962" s="41" t="n">
        <f aca="false">'Aug 28'!$G$17</f>
        <v>0</v>
      </c>
      <c r="I962" s="41" t="str">
        <f aca="false">'Aug 28'!$M$17</f>
        <v/>
      </c>
      <c r="J962" s="42" t="str">
        <f aca="false">'Aug 28'!$S$17</f>
        <v/>
      </c>
      <c r="K962" s="40" t="n">
        <f aca="false">'Aug 28'!$AG$17</f>
        <v>0</v>
      </c>
      <c r="L962" s="40" t="n">
        <f aca="false">'Aug 28'!$N$17</f>
        <v>0</v>
      </c>
    </row>
    <row r="963" customFormat="false" ht="15" hidden="false" customHeight="false" outlineLevel="0" collapsed="false">
      <c r="A963" s="38" t="str">
        <f aca="false">IF(OR(C963="",C963=0),"",IF(AND(OR($B$5="",G963=$B$5,H963=$B$5),OR($D$5="",F963=$D$5),OR($E$5="",K963=$E$5),OR($G$5="",L963=$G$5),OR($H$5="",N(J963)&gt;=$H$5),OR($I$5="",ISNUMBER(SEARCH($I$5,C963&amp;" "&amp;D963&amp;" "&amp;E963&amp;" "&amp;I963)))),"✓",""))</f>
        <v/>
      </c>
      <c r="B963" s="39" t="n">
        <v>46262</v>
      </c>
      <c r="C963" s="40" t="n">
        <f aca="false">'Aug 28'!$D$18</f>
        <v>0</v>
      </c>
      <c r="D963" s="40" t="n">
        <f aca="false">'Aug 28'!$B$18</f>
        <v>0</v>
      </c>
      <c r="E963" s="41" t="n">
        <f aca="false">'Aug 28'!$E$18</f>
        <v>0</v>
      </c>
      <c r="F963" s="40" t="n">
        <f aca="false">'Aug 28'!$A$18</f>
        <v>0</v>
      </c>
      <c r="G963" s="41" t="n">
        <f aca="false">'Aug 28'!$F$18</f>
        <v>0</v>
      </c>
      <c r="H963" s="41" t="n">
        <f aca="false">'Aug 28'!$G$18</f>
        <v>0</v>
      </c>
      <c r="I963" s="41" t="str">
        <f aca="false">'Aug 28'!$M$18</f>
        <v/>
      </c>
      <c r="J963" s="42" t="str">
        <f aca="false">'Aug 28'!$S$18</f>
        <v/>
      </c>
      <c r="K963" s="40" t="n">
        <f aca="false">'Aug 28'!$AG$18</f>
        <v>0</v>
      </c>
      <c r="L963" s="40" t="n">
        <f aca="false">'Aug 28'!$N$18</f>
        <v>0</v>
      </c>
    </row>
    <row r="964" customFormat="false" ht="15" hidden="false" customHeight="false" outlineLevel="0" collapsed="false">
      <c r="A964" s="38" t="str">
        <f aca="false">IF(OR(C964="",C964=0),"",IF(AND(OR($B$5="",G964=$B$5,H964=$B$5),OR($D$5="",F964=$D$5),OR($E$5="",K964=$E$5),OR($G$5="",L964=$G$5),OR($H$5="",N(J964)&gt;=$H$5),OR($I$5="",ISNUMBER(SEARCH($I$5,C964&amp;" "&amp;D964&amp;" "&amp;E964&amp;" "&amp;I964)))),"✓",""))</f>
        <v/>
      </c>
      <c r="B964" s="39" t="n">
        <v>46262</v>
      </c>
      <c r="C964" s="40" t="n">
        <f aca="false">'Aug 28'!$D$19</f>
        <v>0</v>
      </c>
      <c r="D964" s="40" t="n">
        <f aca="false">'Aug 28'!$B$19</f>
        <v>0</v>
      </c>
      <c r="E964" s="41" t="n">
        <f aca="false">'Aug 28'!$E$19</f>
        <v>0</v>
      </c>
      <c r="F964" s="40" t="n">
        <f aca="false">'Aug 28'!$A$19</f>
        <v>0</v>
      </c>
      <c r="G964" s="41" t="n">
        <f aca="false">'Aug 28'!$F$19</f>
        <v>0</v>
      </c>
      <c r="H964" s="41" t="n">
        <f aca="false">'Aug 28'!$G$19</f>
        <v>0</v>
      </c>
      <c r="I964" s="41" t="str">
        <f aca="false">'Aug 28'!$M$19</f>
        <v/>
      </c>
      <c r="J964" s="42" t="str">
        <f aca="false">'Aug 28'!$S$19</f>
        <v/>
      </c>
      <c r="K964" s="40" t="n">
        <f aca="false">'Aug 28'!$AG$19</f>
        <v>0</v>
      </c>
      <c r="L964" s="40" t="n">
        <f aca="false">'Aug 28'!$N$19</f>
        <v>0</v>
      </c>
    </row>
    <row r="965" customFormat="false" ht="15" hidden="false" customHeight="false" outlineLevel="0" collapsed="false">
      <c r="A965" s="38" t="str">
        <f aca="false">IF(OR(C965="",C965=0),"",IF(AND(OR($B$5="",G965=$B$5,H965=$B$5),OR($D$5="",F965=$D$5),OR($E$5="",K965=$E$5),OR($G$5="",L965=$G$5),OR($H$5="",N(J965)&gt;=$H$5),OR($I$5="",ISNUMBER(SEARCH($I$5,C965&amp;" "&amp;D965&amp;" "&amp;E965&amp;" "&amp;I965)))),"✓",""))</f>
        <v/>
      </c>
      <c r="B965" s="39" t="n">
        <v>46262</v>
      </c>
      <c r="C965" s="40" t="n">
        <f aca="false">'Aug 28'!$D$20</f>
        <v>0</v>
      </c>
      <c r="D965" s="40" t="n">
        <f aca="false">'Aug 28'!$B$20</f>
        <v>0</v>
      </c>
      <c r="E965" s="41" t="n">
        <f aca="false">'Aug 28'!$E$20</f>
        <v>0</v>
      </c>
      <c r="F965" s="40" t="n">
        <f aca="false">'Aug 28'!$A$20</f>
        <v>0</v>
      </c>
      <c r="G965" s="41" t="n">
        <f aca="false">'Aug 28'!$F$20</f>
        <v>0</v>
      </c>
      <c r="H965" s="41" t="n">
        <f aca="false">'Aug 28'!$G$20</f>
        <v>0</v>
      </c>
      <c r="I965" s="41" t="str">
        <f aca="false">'Aug 28'!$M$20</f>
        <v/>
      </c>
      <c r="J965" s="42" t="str">
        <f aca="false">'Aug 28'!$S$20</f>
        <v/>
      </c>
      <c r="K965" s="40" t="n">
        <f aca="false">'Aug 28'!$AG$20</f>
        <v>0</v>
      </c>
      <c r="L965" s="40" t="n">
        <f aca="false">'Aug 28'!$N$20</f>
        <v>0</v>
      </c>
    </row>
    <row r="966" customFormat="false" ht="15" hidden="false" customHeight="false" outlineLevel="0" collapsed="false">
      <c r="A966" s="38" t="str">
        <f aca="false">IF(OR(C966="",C966=0),"",IF(AND(OR($B$5="",G966=$B$5,H966=$B$5),OR($D$5="",F966=$D$5),OR($E$5="",K966=$E$5),OR($G$5="",L966=$G$5),OR($H$5="",N(J966)&gt;=$H$5),OR($I$5="",ISNUMBER(SEARCH($I$5,C966&amp;" "&amp;D966&amp;" "&amp;E966&amp;" "&amp;I966)))),"✓",""))</f>
        <v/>
      </c>
      <c r="B966" s="39" t="n">
        <v>46262</v>
      </c>
      <c r="C966" s="40" t="n">
        <f aca="false">'Aug 28'!$D$21</f>
        <v>0</v>
      </c>
      <c r="D966" s="40" t="n">
        <f aca="false">'Aug 28'!$B$21</f>
        <v>0</v>
      </c>
      <c r="E966" s="41" t="n">
        <f aca="false">'Aug 28'!$E$21</f>
        <v>0</v>
      </c>
      <c r="F966" s="40" t="n">
        <f aca="false">'Aug 28'!$A$21</f>
        <v>0</v>
      </c>
      <c r="G966" s="41" t="n">
        <f aca="false">'Aug 28'!$F$21</f>
        <v>0</v>
      </c>
      <c r="H966" s="41" t="n">
        <f aca="false">'Aug 28'!$G$21</f>
        <v>0</v>
      </c>
      <c r="I966" s="41" t="str">
        <f aca="false">'Aug 28'!$M$21</f>
        <v/>
      </c>
      <c r="J966" s="42" t="str">
        <f aca="false">'Aug 28'!$S$21</f>
        <v/>
      </c>
      <c r="K966" s="40" t="n">
        <f aca="false">'Aug 28'!$AG$21</f>
        <v>0</v>
      </c>
      <c r="L966" s="40" t="n">
        <f aca="false">'Aug 28'!$N$21</f>
        <v>0</v>
      </c>
    </row>
    <row r="967" customFormat="false" ht="15" hidden="false" customHeight="false" outlineLevel="0" collapsed="false">
      <c r="A967" s="38" t="str">
        <f aca="false">IF(OR(C967="",C967=0),"",IF(AND(OR($B$5="",G967=$B$5,H967=$B$5),OR($D$5="",F967=$D$5),OR($E$5="",K967=$E$5),OR($G$5="",L967=$G$5),OR($H$5="",N(J967)&gt;=$H$5),OR($I$5="",ISNUMBER(SEARCH($I$5,C967&amp;" "&amp;D967&amp;" "&amp;E967&amp;" "&amp;I967)))),"✓",""))</f>
        <v/>
      </c>
      <c r="B967" s="39" t="n">
        <v>46262</v>
      </c>
      <c r="C967" s="40" t="n">
        <f aca="false">'Aug 28'!$D$22</f>
        <v>0</v>
      </c>
      <c r="D967" s="40" t="n">
        <f aca="false">'Aug 28'!$B$22</f>
        <v>0</v>
      </c>
      <c r="E967" s="41" t="n">
        <f aca="false">'Aug 28'!$E$22</f>
        <v>0</v>
      </c>
      <c r="F967" s="40" t="n">
        <f aca="false">'Aug 28'!$A$22</f>
        <v>0</v>
      </c>
      <c r="G967" s="41" t="n">
        <f aca="false">'Aug 28'!$F$22</f>
        <v>0</v>
      </c>
      <c r="H967" s="41" t="n">
        <f aca="false">'Aug 28'!$G$22</f>
        <v>0</v>
      </c>
      <c r="I967" s="41" t="str">
        <f aca="false">'Aug 28'!$M$22</f>
        <v/>
      </c>
      <c r="J967" s="42" t="str">
        <f aca="false">'Aug 28'!$S$22</f>
        <v/>
      </c>
      <c r="K967" s="40" t="n">
        <f aca="false">'Aug 28'!$AG$22</f>
        <v>0</v>
      </c>
      <c r="L967" s="40" t="n">
        <f aca="false">'Aug 28'!$N$22</f>
        <v>0</v>
      </c>
    </row>
    <row r="968" customFormat="false" ht="15" hidden="false" customHeight="false" outlineLevel="0" collapsed="false">
      <c r="A968" s="38" t="str">
        <f aca="false">IF(OR(C968="",C968=0),"",IF(AND(OR($B$5="",G968=$B$5,H968=$B$5),OR($D$5="",F968=$D$5),OR($E$5="",K968=$E$5),OR($G$5="",L968=$G$5),OR($H$5="",N(J968)&gt;=$H$5),OR($I$5="",ISNUMBER(SEARCH($I$5,C968&amp;" "&amp;D968&amp;" "&amp;E968&amp;" "&amp;I968)))),"✓",""))</f>
        <v/>
      </c>
      <c r="B968" s="39" t="n">
        <v>46262</v>
      </c>
      <c r="C968" s="40" t="n">
        <f aca="false">'Aug 28'!$D$23</f>
        <v>0</v>
      </c>
      <c r="D968" s="40" t="n">
        <f aca="false">'Aug 28'!$B$23</f>
        <v>0</v>
      </c>
      <c r="E968" s="41" t="n">
        <f aca="false">'Aug 28'!$E$23</f>
        <v>0</v>
      </c>
      <c r="F968" s="40" t="n">
        <f aca="false">'Aug 28'!$A$23</f>
        <v>0</v>
      </c>
      <c r="G968" s="41" t="n">
        <f aca="false">'Aug 28'!$F$23</f>
        <v>0</v>
      </c>
      <c r="H968" s="41" t="n">
        <f aca="false">'Aug 28'!$G$23</f>
        <v>0</v>
      </c>
      <c r="I968" s="41" t="str">
        <f aca="false">'Aug 28'!$M$23</f>
        <v/>
      </c>
      <c r="J968" s="42" t="str">
        <f aca="false">'Aug 28'!$S$23</f>
        <v/>
      </c>
      <c r="K968" s="40" t="n">
        <f aca="false">'Aug 28'!$AG$23</f>
        <v>0</v>
      </c>
      <c r="L968" s="40" t="n">
        <f aca="false">'Aug 28'!$N$23</f>
        <v>0</v>
      </c>
    </row>
    <row r="969" customFormat="false" ht="15" hidden="false" customHeight="false" outlineLevel="0" collapsed="false">
      <c r="A969" s="38" t="str">
        <f aca="false">IF(OR(C969="",C969=0),"",IF(AND(OR($B$5="",G969=$B$5,H969=$B$5),OR($D$5="",F969=$D$5),OR($E$5="",K969=$E$5),OR($G$5="",L969=$G$5),OR($H$5="",N(J969)&gt;=$H$5),OR($I$5="",ISNUMBER(SEARCH($I$5,C969&amp;" "&amp;D969&amp;" "&amp;E969&amp;" "&amp;I969)))),"✓",""))</f>
        <v/>
      </c>
      <c r="B969" s="39" t="n">
        <v>46262</v>
      </c>
      <c r="C969" s="40" t="n">
        <f aca="false">'Aug 28'!$D$24</f>
        <v>0</v>
      </c>
      <c r="D969" s="40" t="n">
        <f aca="false">'Aug 28'!$B$24</f>
        <v>0</v>
      </c>
      <c r="E969" s="41" t="n">
        <f aca="false">'Aug 28'!$E$24</f>
        <v>0</v>
      </c>
      <c r="F969" s="40" t="n">
        <f aca="false">'Aug 28'!$A$24</f>
        <v>0</v>
      </c>
      <c r="G969" s="41" t="n">
        <f aca="false">'Aug 28'!$F$24</f>
        <v>0</v>
      </c>
      <c r="H969" s="41" t="n">
        <f aca="false">'Aug 28'!$G$24</f>
        <v>0</v>
      </c>
      <c r="I969" s="41" t="str">
        <f aca="false">'Aug 28'!$M$24</f>
        <v/>
      </c>
      <c r="J969" s="42" t="str">
        <f aca="false">'Aug 28'!$S$24</f>
        <v/>
      </c>
      <c r="K969" s="40" t="n">
        <f aca="false">'Aug 28'!$AG$24</f>
        <v>0</v>
      </c>
      <c r="L969" s="40" t="n">
        <f aca="false">'Aug 28'!$N$24</f>
        <v>0</v>
      </c>
    </row>
    <row r="970" customFormat="false" ht="15" hidden="false" customHeight="false" outlineLevel="0" collapsed="false">
      <c r="A970" s="38" t="str">
        <f aca="false">IF(OR(C970="",C970=0),"",IF(AND(OR($B$5="",G970=$B$5,H970=$B$5),OR($D$5="",F970=$D$5),OR($E$5="",K970=$E$5),OR($G$5="",L970=$G$5),OR($H$5="",N(J970)&gt;=$H$5),OR($I$5="",ISNUMBER(SEARCH($I$5,C970&amp;" "&amp;D970&amp;" "&amp;E970&amp;" "&amp;I970)))),"✓",""))</f>
        <v/>
      </c>
      <c r="B970" s="39" t="n">
        <v>46262</v>
      </c>
      <c r="C970" s="40" t="n">
        <f aca="false">'Aug 28'!$D$25</f>
        <v>0</v>
      </c>
      <c r="D970" s="40" t="n">
        <f aca="false">'Aug 28'!$B$25</f>
        <v>0</v>
      </c>
      <c r="E970" s="41" t="n">
        <f aca="false">'Aug 28'!$E$25</f>
        <v>0</v>
      </c>
      <c r="F970" s="40" t="n">
        <f aca="false">'Aug 28'!$A$25</f>
        <v>0</v>
      </c>
      <c r="G970" s="41" t="n">
        <f aca="false">'Aug 28'!$F$25</f>
        <v>0</v>
      </c>
      <c r="H970" s="41" t="n">
        <f aca="false">'Aug 28'!$G$25</f>
        <v>0</v>
      </c>
      <c r="I970" s="41" t="str">
        <f aca="false">'Aug 28'!$M$25</f>
        <v/>
      </c>
      <c r="J970" s="42" t="str">
        <f aca="false">'Aug 28'!$S$25</f>
        <v/>
      </c>
      <c r="K970" s="40" t="n">
        <f aca="false">'Aug 28'!$AG$25</f>
        <v>0</v>
      </c>
      <c r="L970" s="40" t="n">
        <f aca="false">'Aug 28'!$N$25</f>
        <v>0</v>
      </c>
    </row>
    <row r="971" customFormat="false" ht="15" hidden="false" customHeight="false" outlineLevel="0" collapsed="false">
      <c r="A971" s="38" t="str">
        <f aca="false">IF(OR(C971="",C971=0),"",IF(AND(OR($B$5="",G971=$B$5,H971=$B$5),OR($D$5="",F971=$D$5),OR($E$5="",K971=$E$5),OR($G$5="",L971=$G$5),OR($H$5="",N(J971)&gt;=$H$5),OR($I$5="",ISNUMBER(SEARCH($I$5,C971&amp;" "&amp;D971&amp;" "&amp;E971&amp;" "&amp;I971)))),"✓",""))</f>
        <v/>
      </c>
      <c r="B971" s="39" t="n">
        <v>46262</v>
      </c>
      <c r="C971" s="40" t="n">
        <f aca="false">'Aug 28'!$D$26</f>
        <v>0</v>
      </c>
      <c r="D971" s="40" t="n">
        <f aca="false">'Aug 28'!$B$26</f>
        <v>0</v>
      </c>
      <c r="E971" s="41" t="n">
        <f aca="false">'Aug 28'!$E$26</f>
        <v>0</v>
      </c>
      <c r="F971" s="40" t="n">
        <f aca="false">'Aug 28'!$A$26</f>
        <v>0</v>
      </c>
      <c r="G971" s="41" t="n">
        <f aca="false">'Aug 28'!$F$26</f>
        <v>0</v>
      </c>
      <c r="H971" s="41" t="n">
        <f aca="false">'Aug 28'!$G$26</f>
        <v>0</v>
      </c>
      <c r="I971" s="41" t="str">
        <f aca="false">'Aug 28'!$M$26</f>
        <v/>
      </c>
      <c r="J971" s="42" t="str">
        <f aca="false">'Aug 28'!$S$26</f>
        <v/>
      </c>
      <c r="K971" s="40" t="n">
        <f aca="false">'Aug 28'!$AG$26</f>
        <v>0</v>
      </c>
      <c r="L971" s="40" t="n">
        <f aca="false">'Aug 28'!$N$26</f>
        <v>0</v>
      </c>
    </row>
    <row r="972" customFormat="false" ht="15" hidden="false" customHeight="false" outlineLevel="0" collapsed="false">
      <c r="A972" s="38" t="str">
        <f aca="false">IF(OR(C972="",C972=0),"",IF(AND(OR($B$5="",G972=$B$5,H972=$B$5),OR($D$5="",F972=$D$5),OR($E$5="",K972=$E$5),OR($G$5="",L972=$G$5),OR($H$5="",N(J972)&gt;=$H$5),OR($I$5="",ISNUMBER(SEARCH($I$5,C972&amp;" "&amp;D972&amp;" "&amp;E972&amp;" "&amp;I972)))),"✓",""))</f>
        <v/>
      </c>
      <c r="B972" s="39" t="n">
        <v>46262</v>
      </c>
      <c r="C972" s="40" t="n">
        <f aca="false">'Aug 28'!$D$27</f>
        <v>0</v>
      </c>
      <c r="D972" s="40" t="n">
        <f aca="false">'Aug 28'!$B$27</f>
        <v>0</v>
      </c>
      <c r="E972" s="41" t="n">
        <f aca="false">'Aug 28'!$E$27</f>
        <v>0</v>
      </c>
      <c r="F972" s="40" t="n">
        <f aca="false">'Aug 28'!$A$27</f>
        <v>0</v>
      </c>
      <c r="G972" s="41" t="n">
        <f aca="false">'Aug 28'!$F$27</f>
        <v>0</v>
      </c>
      <c r="H972" s="41" t="n">
        <f aca="false">'Aug 28'!$G$27</f>
        <v>0</v>
      </c>
      <c r="I972" s="41" t="str">
        <f aca="false">'Aug 28'!$M$27</f>
        <v/>
      </c>
      <c r="J972" s="42" t="str">
        <f aca="false">'Aug 28'!$S$27</f>
        <v/>
      </c>
      <c r="K972" s="40" t="n">
        <f aca="false">'Aug 28'!$AG$27</f>
        <v>0</v>
      </c>
      <c r="L972" s="40" t="n">
        <f aca="false">'Aug 28'!$N$27</f>
        <v>0</v>
      </c>
    </row>
    <row r="973" customFormat="false" ht="15" hidden="false" customHeight="false" outlineLevel="0" collapsed="false">
      <c r="A973" s="38" t="str">
        <f aca="false">IF(OR(C973="",C973=0),"",IF(AND(OR($B$5="",G973=$B$5,H973=$B$5),OR($D$5="",F973=$D$5),OR($E$5="",K973=$E$5),OR($G$5="",L973=$G$5),OR($H$5="",N(J973)&gt;=$H$5),OR($I$5="",ISNUMBER(SEARCH($I$5,C973&amp;" "&amp;D973&amp;" "&amp;E973&amp;" "&amp;I973)))),"✓",""))</f>
        <v/>
      </c>
      <c r="B973" s="39" t="n">
        <v>46262</v>
      </c>
      <c r="C973" s="40" t="n">
        <f aca="false">'Aug 28'!$D$28</f>
        <v>0</v>
      </c>
      <c r="D973" s="40" t="n">
        <f aca="false">'Aug 28'!$B$28</f>
        <v>0</v>
      </c>
      <c r="E973" s="41" t="n">
        <f aca="false">'Aug 28'!$E$28</f>
        <v>0</v>
      </c>
      <c r="F973" s="40" t="n">
        <f aca="false">'Aug 28'!$A$28</f>
        <v>0</v>
      </c>
      <c r="G973" s="41" t="n">
        <f aca="false">'Aug 28'!$F$28</f>
        <v>0</v>
      </c>
      <c r="H973" s="41" t="n">
        <f aca="false">'Aug 28'!$G$28</f>
        <v>0</v>
      </c>
      <c r="I973" s="41" t="str">
        <f aca="false">'Aug 28'!$M$28</f>
        <v/>
      </c>
      <c r="J973" s="42" t="str">
        <f aca="false">'Aug 28'!$S$28</f>
        <v/>
      </c>
      <c r="K973" s="40" t="n">
        <f aca="false">'Aug 28'!$AG$28</f>
        <v>0</v>
      </c>
      <c r="L973" s="40" t="n">
        <f aca="false">'Aug 28'!$N$28</f>
        <v>0</v>
      </c>
    </row>
    <row r="974" customFormat="false" ht="15" hidden="false" customHeight="false" outlineLevel="0" collapsed="false">
      <c r="A974" s="38" t="str">
        <f aca="false">IF(OR(C974="",C974=0),"",IF(AND(OR($B$5="",G974=$B$5,H974=$B$5),OR($D$5="",F974=$D$5),OR($E$5="",K974=$E$5),OR($G$5="",L974=$G$5),OR($H$5="",N(J974)&gt;=$H$5),OR($I$5="",ISNUMBER(SEARCH($I$5,C974&amp;" "&amp;D974&amp;" "&amp;E974&amp;" "&amp;I974)))),"✓",""))</f>
        <v/>
      </c>
      <c r="B974" s="39" t="n">
        <v>46262</v>
      </c>
      <c r="C974" s="40" t="n">
        <f aca="false">'Aug 28'!$D$29</f>
        <v>0</v>
      </c>
      <c r="D974" s="40" t="n">
        <f aca="false">'Aug 28'!$B$29</f>
        <v>0</v>
      </c>
      <c r="E974" s="41" t="n">
        <f aca="false">'Aug 28'!$E$29</f>
        <v>0</v>
      </c>
      <c r="F974" s="40" t="n">
        <f aca="false">'Aug 28'!$A$29</f>
        <v>0</v>
      </c>
      <c r="G974" s="41" t="n">
        <f aca="false">'Aug 28'!$F$29</f>
        <v>0</v>
      </c>
      <c r="H974" s="41" t="n">
        <f aca="false">'Aug 28'!$G$29</f>
        <v>0</v>
      </c>
      <c r="I974" s="41" t="str">
        <f aca="false">'Aug 28'!$M$29</f>
        <v/>
      </c>
      <c r="J974" s="42" t="str">
        <f aca="false">'Aug 28'!$S$29</f>
        <v/>
      </c>
      <c r="K974" s="40" t="n">
        <f aca="false">'Aug 28'!$AG$29</f>
        <v>0</v>
      </c>
      <c r="L974" s="40" t="n">
        <f aca="false">'Aug 28'!$N$29</f>
        <v>0</v>
      </c>
    </row>
    <row r="975" customFormat="false" ht="15" hidden="false" customHeight="false" outlineLevel="0" collapsed="false">
      <c r="A975" s="38" t="str">
        <f aca="false">IF(OR(C975="",C975=0),"",IF(AND(OR($B$5="",G975=$B$5,H975=$B$5),OR($D$5="",F975=$D$5),OR($E$5="",K975=$E$5),OR($G$5="",L975=$G$5),OR($H$5="",N(J975)&gt;=$H$5),OR($I$5="",ISNUMBER(SEARCH($I$5,C975&amp;" "&amp;D975&amp;" "&amp;E975&amp;" "&amp;I975)))),"✓",""))</f>
        <v/>
      </c>
      <c r="B975" s="39" t="n">
        <v>46262</v>
      </c>
      <c r="C975" s="40" t="n">
        <f aca="false">'Aug 28'!$D$30</f>
        <v>0</v>
      </c>
      <c r="D975" s="40" t="n">
        <f aca="false">'Aug 28'!$B$30</f>
        <v>0</v>
      </c>
      <c r="E975" s="41" t="n">
        <f aca="false">'Aug 28'!$E$30</f>
        <v>0</v>
      </c>
      <c r="F975" s="40" t="n">
        <f aca="false">'Aug 28'!$A$30</f>
        <v>0</v>
      </c>
      <c r="G975" s="41" t="n">
        <f aca="false">'Aug 28'!$F$30</f>
        <v>0</v>
      </c>
      <c r="H975" s="41" t="n">
        <f aca="false">'Aug 28'!$G$30</f>
        <v>0</v>
      </c>
      <c r="I975" s="41" t="str">
        <f aca="false">'Aug 28'!$M$30</f>
        <v/>
      </c>
      <c r="J975" s="42" t="str">
        <f aca="false">'Aug 28'!$S$30</f>
        <v/>
      </c>
      <c r="K975" s="40" t="n">
        <f aca="false">'Aug 28'!$AG$30</f>
        <v>0</v>
      </c>
      <c r="L975" s="40" t="n">
        <f aca="false">'Aug 28'!$N$30</f>
        <v>0</v>
      </c>
    </row>
    <row r="976" customFormat="false" ht="15" hidden="false" customHeight="false" outlineLevel="0" collapsed="false">
      <c r="A976" s="38" t="str">
        <f aca="false">IF(OR(C976="",C976=0),"",IF(AND(OR($B$5="",G976=$B$5,H976=$B$5),OR($D$5="",F976=$D$5),OR($E$5="",K976=$E$5),OR($G$5="",L976=$G$5),OR($H$5="",N(J976)&gt;=$H$5),OR($I$5="",ISNUMBER(SEARCH($I$5,C976&amp;" "&amp;D976&amp;" "&amp;E976&amp;" "&amp;I976)))),"✓",""))</f>
        <v/>
      </c>
      <c r="B976" s="39" t="n">
        <v>46262</v>
      </c>
      <c r="C976" s="40" t="n">
        <f aca="false">'Aug 28'!$D$31</f>
        <v>0</v>
      </c>
      <c r="D976" s="40" t="n">
        <f aca="false">'Aug 28'!$B$31</f>
        <v>0</v>
      </c>
      <c r="E976" s="41" t="n">
        <f aca="false">'Aug 28'!$E$31</f>
        <v>0</v>
      </c>
      <c r="F976" s="40" t="n">
        <f aca="false">'Aug 28'!$A$31</f>
        <v>0</v>
      </c>
      <c r="G976" s="41" t="n">
        <f aca="false">'Aug 28'!$F$31</f>
        <v>0</v>
      </c>
      <c r="H976" s="41" t="n">
        <f aca="false">'Aug 28'!$G$31</f>
        <v>0</v>
      </c>
      <c r="I976" s="41" t="str">
        <f aca="false">'Aug 28'!$M$31</f>
        <v/>
      </c>
      <c r="J976" s="42" t="str">
        <f aca="false">'Aug 28'!$S$31</f>
        <v/>
      </c>
      <c r="K976" s="40" t="n">
        <f aca="false">'Aug 28'!$AG$31</f>
        <v>0</v>
      </c>
      <c r="L976" s="40" t="n">
        <f aca="false">'Aug 28'!$N$31</f>
        <v>0</v>
      </c>
    </row>
    <row r="977" customFormat="false" ht="15" hidden="false" customHeight="false" outlineLevel="0" collapsed="false">
      <c r="A977" s="38" t="str">
        <f aca="false">IF(OR(C977="",C977=0),"",IF(AND(OR($B$5="",G977=$B$5,H977=$B$5),OR($D$5="",F977=$D$5),OR($E$5="",K977=$E$5),OR($G$5="",L977=$G$5),OR($H$5="",N(J977)&gt;=$H$5),OR($I$5="",ISNUMBER(SEARCH($I$5,C977&amp;" "&amp;D977&amp;" "&amp;E977&amp;" "&amp;I977)))),"✓",""))</f>
        <v/>
      </c>
      <c r="B977" s="39" t="n">
        <v>46262</v>
      </c>
      <c r="C977" s="40" t="n">
        <f aca="false">'Aug 28'!$D$32</f>
        <v>0</v>
      </c>
      <c r="D977" s="40" t="n">
        <f aca="false">'Aug 28'!$B$32</f>
        <v>0</v>
      </c>
      <c r="E977" s="41" t="n">
        <f aca="false">'Aug 28'!$E$32</f>
        <v>0</v>
      </c>
      <c r="F977" s="40" t="n">
        <f aca="false">'Aug 28'!$A$32</f>
        <v>0</v>
      </c>
      <c r="G977" s="41" t="n">
        <f aca="false">'Aug 28'!$F$32</f>
        <v>0</v>
      </c>
      <c r="H977" s="41" t="n">
        <f aca="false">'Aug 28'!$G$32</f>
        <v>0</v>
      </c>
      <c r="I977" s="41" t="str">
        <f aca="false">'Aug 28'!$M$32</f>
        <v/>
      </c>
      <c r="J977" s="42" t="str">
        <f aca="false">'Aug 28'!$S$32</f>
        <v/>
      </c>
      <c r="K977" s="40" t="n">
        <f aca="false">'Aug 28'!$AG$32</f>
        <v>0</v>
      </c>
      <c r="L977" s="40" t="n">
        <f aca="false">'Aug 28'!$N$32</f>
        <v>0</v>
      </c>
    </row>
    <row r="978" customFormat="false" ht="15" hidden="false" customHeight="false" outlineLevel="0" collapsed="false">
      <c r="A978" s="38" t="str">
        <f aca="false">IF(OR(C978="",C978=0),"",IF(AND(OR($B$5="",G978=$B$5,H978=$B$5),OR($D$5="",F978=$D$5),OR($E$5="",K978=$E$5),OR($G$5="",L978=$G$5),OR($H$5="",N(J978)&gt;=$H$5),OR($I$5="",ISNUMBER(SEARCH($I$5,C978&amp;" "&amp;D978&amp;" "&amp;E978&amp;" "&amp;I978)))),"✓",""))</f>
        <v/>
      </c>
      <c r="B978" s="39" t="n">
        <v>46262</v>
      </c>
      <c r="C978" s="40" t="n">
        <f aca="false">'Aug 28'!$D$33</f>
        <v>0</v>
      </c>
      <c r="D978" s="40" t="n">
        <f aca="false">'Aug 28'!$B$33</f>
        <v>0</v>
      </c>
      <c r="E978" s="41" t="n">
        <f aca="false">'Aug 28'!$E$33</f>
        <v>0</v>
      </c>
      <c r="F978" s="40" t="n">
        <f aca="false">'Aug 28'!$A$33</f>
        <v>0</v>
      </c>
      <c r="G978" s="41" t="n">
        <f aca="false">'Aug 28'!$F$33</f>
        <v>0</v>
      </c>
      <c r="H978" s="41" t="n">
        <f aca="false">'Aug 28'!$G$33</f>
        <v>0</v>
      </c>
      <c r="I978" s="41" t="str">
        <f aca="false">'Aug 28'!$M$33</f>
        <v/>
      </c>
      <c r="J978" s="42" t="str">
        <f aca="false">'Aug 28'!$S$33</f>
        <v/>
      </c>
      <c r="K978" s="40" t="n">
        <f aca="false">'Aug 28'!$AG$33</f>
        <v>0</v>
      </c>
      <c r="L978" s="40" t="n">
        <f aca="false">'Aug 28'!$N$33</f>
        <v>0</v>
      </c>
    </row>
    <row r="979" customFormat="false" ht="15" hidden="false" customHeight="false" outlineLevel="0" collapsed="false">
      <c r="A979" s="38" t="str">
        <f aca="false">IF(OR(C979="",C979=0),"",IF(AND(OR($B$5="",G979=$B$5,H979=$B$5),OR($D$5="",F979=$D$5),OR($E$5="",K979=$E$5),OR($G$5="",L979=$G$5),OR($H$5="",N(J979)&gt;=$H$5),OR($I$5="",ISNUMBER(SEARCH($I$5,C979&amp;" "&amp;D979&amp;" "&amp;E979&amp;" "&amp;I979)))),"✓",""))</f>
        <v/>
      </c>
      <c r="B979" s="39" t="n">
        <v>46262</v>
      </c>
      <c r="C979" s="40" t="n">
        <f aca="false">'Aug 28'!$D$34</f>
        <v>0</v>
      </c>
      <c r="D979" s="40" t="n">
        <f aca="false">'Aug 28'!$B$34</f>
        <v>0</v>
      </c>
      <c r="E979" s="41" t="n">
        <f aca="false">'Aug 28'!$E$34</f>
        <v>0</v>
      </c>
      <c r="F979" s="40" t="n">
        <f aca="false">'Aug 28'!$A$34</f>
        <v>0</v>
      </c>
      <c r="G979" s="41" t="n">
        <f aca="false">'Aug 28'!$F$34</f>
        <v>0</v>
      </c>
      <c r="H979" s="41" t="n">
        <f aca="false">'Aug 28'!$G$34</f>
        <v>0</v>
      </c>
      <c r="I979" s="41" t="str">
        <f aca="false">'Aug 28'!$M$34</f>
        <v/>
      </c>
      <c r="J979" s="42" t="str">
        <f aca="false">'Aug 28'!$S$34</f>
        <v/>
      </c>
      <c r="K979" s="40" t="n">
        <f aca="false">'Aug 28'!$AG$34</f>
        <v>0</v>
      </c>
      <c r="L979" s="40" t="n">
        <f aca="false">'Aug 28'!$N$34</f>
        <v>0</v>
      </c>
    </row>
    <row r="980" customFormat="false" ht="15" hidden="false" customHeight="false" outlineLevel="0" collapsed="false">
      <c r="A980" s="38" t="str">
        <f aca="false">IF(OR(C980="",C980=0),"",IF(AND(OR($B$5="",G980=$B$5,H980=$B$5),OR($D$5="",F980=$D$5),OR($E$5="",K980=$E$5),OR($G$5="",L980=$G$5),OR($H$5="",N(J980)&gt;=$H$5),OR($I$5="",ISNUMBER(SEARCH($I$5,C980&amp;" "&amp;D980&amp;" "&amp;E980&amp;" "&amp;I980)))),"✓",""))</f>
        <v/>
      </c>
      <c r="B980" s="39" t="n">
        <v>46262</v>
      </c>
      <c r="C980" s="40" t="n">
        <f aca="false">'Aug 28'!$D$35</f>
        <v>0</v>
      </c>
      <c r="D980" s="40" t="n">
        <f aca="false">'Aug 28'!$B$35</f>
        <v>0</v>
      </c>
      <c r="E980" s="41" t="n">
        <f aca="false">'Aug 28'!$E$35</f>
        <v>0</v>
      </c>
      <c r="F980" s="40" t="n">
        <f aca="false">'Aug 28'!$A$35</f>
        <v>0</v>
      </c>
      <c r="G980" s="41" t="n">
        <f aca="false">'Aug 28'!$F$35</f>
        <v>0</v>
      </c>
      <c r="H980" s="41" t="n">
        <f aca="false">'Aug 28'!$G$35</f>
        <v>0</v>
      </c>
      <c r="I980" s="41" t="str">
        <f aca="false">'Aug 28'!$M$35</f>
        <v/>
      </c>
      <c r="J980" s="42" t="str">
        <f aca="false">'Aug 28'!$S$35</f>
        <v/>
      </c>
      <c r="K980" s="40" t="n">
        <f aca="false">'Aug 28'!$AG$35</f>
        <v>0</v>
      </c>
      <c r="L980" s="40" t="n">
        <f aca="false">'Aug 28'!$N$35</f>
        <v>0</v>
      </c>
    </row>
    <row r="981" customFormat="false" ht="15" hidden="false" customHeight="false" outlineLevel="0" collapsed="false">
      <c r="A981" s="38" t="str">
        <f aca="false">IF(OR(C981="",C981=0),"",IF(AND(OR($B$5="",G981=$B$5,H981=$B$5),OR($D$5="",F981=$D$5),OR($E$5="",K981=$E$5),OR($G$5="",L981=$G$5),OR($H$5="",N(J981)&gt;=$H$5),OR($I$5="",ISNUMBER(SEARCH($I$5,C981&amp;" "&amp;D981&amp;" "&amp;E981&amp;" "&amp;I981)))),"✓",""))</f>
        <v/>
      </c>
      <c r="B981" s="39" t="n">
        <v>46262</v>
      </c>
      <c r="C981" s="40" t="n">
        <f aca="false">'Aug 28'!$D$36</f>
        <v>0</v>
      </c>
      <c r="D981" s="40" t="n">
        <f aca="false">'Aug 28'!$B$36</f>
        <v>0</v>
      </c>
      <c r="E981" s="41" t="n">
        <f aca="false">'Aug 28'!$E$36</f>
        <v>0</v>
      </c>
      <c r="F981" s="40" t="n">
        <f aca="false">'Aug 28'!$A$36</f>
        <v>0</v>
      </c>
      <c r="G981" s="41" t="n">
        <f aca="false">'Aug 28'!$F$36</f>
        <v>0</v>
      </c>
      <c r="H981" s="41" t="n">
        <f aca="false">'Aug 28'!$G$36</f>
        <v>0</v>
      </c>
      <c r="I981" s="41" t="str">
        <f aca="false">'Aug 28'!$M$36</f>
        <v/>
      </c>
      <c r="J981" s="42" t="str">
        <f aca="false">'Aug 28'!$S$36</f>
        <v/>
      </c>
      <c r="K981" s="40" t="n">
        <f aca="false">'Aug 28'!$AG$36</f>
        <v>0</v>
      </c>
      <c r="L981" s="40" t="n">
        <f aca="false">'Aug 28'!$N$36</f>
        <v>0</v>
      </c>
    </row>
    <row r="982" customFormat="false" ht="15" hidden="false" customHeight="false" outlineLevel="0" collapsed="false">
      <c r="A982" s="38" t="str">
        <f aca="false">IF(OR(C982="",C982=0),"",IF(AND(OR($B$5="",G982=$B$5,H982=$B$5),OR($D$5="",F982=$D$5),OR($E$5="",K982=$E$5),OR($G$5="",L982=$G$5),OR($H$5="",N(J982)&gt;=$H$5),OR($I$5="",ISNUMBER(SEARCH($I$5,C982&amp;" "&amp;D982&amp;" "&amp;E982&amp;" "&amp;I982)))),"✓",""))</f>
        <v/>
      </c>
      <c r="B982" s="39" t="n">
        <v>46262</v>
      </c>
      <c r="C982" s="40" t="n">
        <f aca="false">'Aug 28'!$D$37</f>
        <v>0</v>
      </c>
      <c r="D982" s="40" t="n">
        <f aca="false">'Aug 28'!$B$37</f>
        <v>0</v>
      </c>
      <c r="E982" s="41" t="n">
        <f aca="false">'Aug 28'!$E$37</f>
        <v>0</v>
      </c>
      <c r="F982" s="40" t="n">
        <f aca="false">'Aug 28'!$A$37</f>
        <v>0</v>
      </c>
      <c r="G982" s="41" t="n">
        <f aca="false">'Aug 28'!$F$37</f>
        <v>0</v>
      </c>
      <c r="H982" s="41" t="n">
        <f aca="false">'Aug 28'!$G$37</f>
        <v>0</v>
      </c>
      <c r="I982" s="41" t="str">
        <f aca="false">'Aug 28'!$M$37</f>
        <v/>
      </c>
      <c r="J982" s="42" t="str">
        <f aca="false">'Aug 28'!$S$37</f>
        <v/>
      </c>
      <c r="K982" s="40" t="n">
        <f aca="false">'Aug 28'!$AG$37</f>
        <v>0</v>
      </c>
      <c r="L982" s="40" t="n">
        <f aca="false">'Aug 28'!$N$37</f>
        <v>0</v>
      </c>
    </row>
    <row r="983" customFormat="false" ht="15" hidden="false" customHeight="false" outlineLevel="0" collapsed="false">
      <c r="A983" s="38" t="str">
        <f aca="false">IF(OR(C983="",C983=0),"",IF(AND(OR($B$5="",G983=$B$5,H983=$B$5),OR($D$5="",F983=$D$5),OR($E$5="",K983=$E$5),OR($G$5="",L983=$G$5),OR($H$5="",N(J983)&gt;=$H$5),OR($I$5="",ISNUMBER(SEARCH($I$5,C983&amp;" "&amp;D983&amp;" "&amp;E983&amp;" "&amp;I983)))),"✓",""))</f>
        <v/>
      </c>
      <c r="B983" s="39" t="n">
        <v>46262</v>
      </c>
      <c r="C983" s="40" t="n">
        <f aca="false">'Aug 28'!$D$38</f>
        <v>0</v>
      </c>
      <c r="D983" s="40" t="n">
        <f aca="false">'Aug 28'!$B$38</f>
        <v>0</v>
      </c>
      <c r="E983" s="41" t="n">
        <f aca="false">'Aug 28'!$E$38</f>
        <v>0</v>
      </c>
      <c r="F983" s="40" t="n">
        <f aca="false">'Aug 28'!$A$38</f>
        <v>0</v>
      </c>
      <c r="G983" s="41" t="n">
        <f aca="false">'Aug 28'!$F$38</f>
        <v>0</v>
      </c>
      <c r="H983" s="41" t="n">
        <f aca="false">'Aug 28'!$G$38</f>
        <v>0</v>
      </c>
      <c r="I983" s="41" t="str">
        <f aca="false">'Aug 28'!$M$38</f>
        <v/>
      </c>
      <c r="J983" s="42" t="str">
        <f aca="false">'Aug 28'!$S$38</f>
        <v/>
      </c>
      <c r="K983" s="40" t="n">
        <f aca="false">'Aug 28'!$AG$38</f>
        <v>0</v>
      </c>
      <c r="L983" s="40" t="n">
        <f aca="false">'Aug 28'!$N$38</f>
        <v>0</v>
      </c>
    </row>
    <row r="984" customFormat="false" ht="15" hidden="false" customHeight="false" outlineLevel="0" collapsed="false">
      <c r="A984" s="38" t="str">
        <f aca="false">IF(OR(C984="",C984=0),"",IF(AND(OR($B$5="",G984=$B$5,H984=$B$5),OR($D$5="",F984=$D$5),OR($E$5="",K984=$E$5),OR($G$5="",L984=$G$5),OR($H$5="",N(J984)&gt;=$H$5),OR($I$5="",ISNUMBER(SEARCH($I$5,C984&amp;" "&amp;D984&amp;" "&amp;E984&amp;" "&amp;I984)))),"✓",""))</f>
        <v/>
      </c>
      <c r="B984" s="39" t="n">
        <v>46262</v>
      </c>
      <c r="C984" s="40" t="n">
        <f aca="false">'Aug 28'!$D$39</f>
        <v>0</v>
      </c>
      <c r="D984" s="40" t="n">
        <f aca="false">'Aug 28'!$B$39</f>
        <v>0</v>
      </c>
      <c r="E984" s="41" t="n">
        <f aca="false">'Aug 28'!$E$39</f>
        <v>0</v>
      </c>
      <c r="F984" s="40" t="n">
        <f aca="false">'Aug 28'!$A$39</f>
        <v>0</v>
      </c>
      <c r="G984" s="41" t="n">
        <f aca="false">'Aug 28'!$F$39</f>
        <v>0</v>
      </c>
      <c r="H984" s="41" t="n">
        <f aca="false">'Aug 28'!$G$39</f>
        <v>0</v>
      </c>
      <c r="I984" s="41" t="str">
        <f aca="false">'Aug 28'!$M$39</f>
        <v/>
      </c>
      <c r="J984" s="42" t="str">
        <f aca="false">'Aug 28'!$S$39</f>
        <v/>
      </c>
      <c r="K984" s="40" t="n">
        <f aca="false">'Aug 28'!$AG$39</f>
        <v>0</v>
      </c>
      <c r="L984" s="40" t="n">
        <f aca="false">'Aug 28'!$N$39</f>
        <v>0</v>
      </c>
    </row>
    <row r="985" customFormat="false" ht="15" hidden="false" customHeight="false" outlineLevel="0" collapsed="false">
      <c r="A985" s="38" t="str">
        <f aca="false">IF(OR(C985="",C985=0),"",IF(AND(OR($B$5="",G985=$B$5,H985=$B$5),OR($D$5="",F985=$D$5),OR($E$5="",K985=$E$5),OR($G$5="",L985=$G$5),OR($H$5="",N(J985)&gt;=$H$5),OR($I$5="",ISNUMBER(SEARCH($I$5,C985&amp;" "&amp;D985&amp;" "&amp;E985&amp;" "&amp;I985)))),"✓",""))</f>
        <v/>
      </c>
      <c r="B985" s="39" t="n">
        <v>46262</v>
      </c>
      <c r="C985" s="40" t="n">
        <f aca="false">'Aug 28'!$D$40</f>
        <v>0</v>
      </c>
      <c r="D985" s="40" t="n">
        <f aca="false">'Aug 28'!$B$40</f>
        <v>0</v>
      </c>
      <c r="E985" s="41" t="n">
        <f aca="false">'Aug 28'!$E$40</f>
        <v>0</v>
      </c>
      <c r="F985" s="40" t="n">
        <f aca="false">'Aug 28'!$A$40</f>
        <v>0</v>
      </c>
      <c r="G985" s="41" t="n">
        <f aca="false">'Aug 28'!$F$40</f>
        <v>0</v>
      </c>
      <c r="H985" s="41" t="n">
        <f aca="false">'Aug 28'!$G$40</f>
        <v>0</v>
      </c>
      <c r="I985" s="41" t="str">
        <f aca="false">'Aug 28'!$M$40</f>
        <v/>
      </c>
      <c r="J985" s="42" t="str">
        <f aca="false">'Aug 28'!$S$40</f>
        <v/>
      </c>
      <c r="K985" s="40" t="n">
        <f aca="false">'Aug 28'!$AG$40</f>
        <v>0</v>
      </c>
      <c r="L985" s="40" t="n">
        <f aca="false">'Aug 28'!$N$40</f>
        <v>0</v>
      </c>
    </row>
    <row r="986" customFormat="false" ht="15" hidden="false" customHeight="false" outlineLevel="0" collapsed="false">
      <c r="A986" s="38" t="str">
        <f aca="false">IF(OR(C986="",C986=0),"",IF(AND(OR($B$5="",G986=$B$5,H986=$B$5),OR($D$5="",F986=$D$5),OR($E$5="",K986=$E$5),OR($G$5="",L986=$G$5),OR($H$5="",N(J986)&gt;=$H$5),OR($I$5="",ISNUMBER(SEARCH($I$5,C986&amp;" "&amp;D986&amp;" "&amp;E986&amp;" "&amp;I986)))),"✓",""))</f>
        <v/>
      </c>
      <c r="B986" s="39" t="n">
        <v>46262</v>
      </c>
      <c r="C986" s="40" t="n">
        <f aca="false">'Aug 28'!$D$41</f>
        <v>0</v>
      </c>
      <c r="D986" s="40" t="n">
        <f aca="false">'Aug 28'!$B$41</f>
        <v>0</v>
      </c>
      <c r="E986" s="41" t="n">
        <f aca="false">'Aug 28'!$E$41</f>
        <v>0</v>
      </c>
      <c r="F986" s="40" t="n">
        <f aca="false">'Aug 28'!$A$41</f>
        <v>0</v>
      </c>
      <c r="G986" s="41" t="n">
        <f aca="false">'Aug 28'!$F$41</f>
        <v>0</v>
      </c>
      <c r="H986" s="41" t="n">
        <f aca="false">'Aug 28'!$G$41</f>
        <v>0</v>
      </c>
      <c r="I986" s="41" t="str">
        <f aca="false">'Aug 28'!$M$41</f>
        <v/>
      </c>
      <c r="J986" s="42" t="str">
        <f aca="false">'Aug 28'!$S$41</f>
        <v/>
      </c>
      <c r="K986" s="40" t="n">
        <f aca="false">'Aug 28'!$AG$41</f>
        <v>0</v>
      </c>
      <c r="L986" s="40" t="n">
        <f aca="false">'Aug 28'!$N$41</f>
        <v>0</v>
      </c>
    </row>
    <row r="987" customFormat="false" ht="15" hidden="false" customHeight="false" outlineLevel="0" collapsed="false">
      <c r="A987" s="38" t="str">
        <f aca="false">IF(OR(C987="",C987=0),"",IF(AND(OR($B$5="",G987=$B$5,H987=$B$5),OR($D$5="",F987=$D$5),OR($E$5="",K987=$E$5),OR($G$5="",L987=$G$5),OR($H$5="",N(J987)&gt;=$H$5),OR($I$5="",ISNUMBER(SEARCH($I$5,C987&amp;" "&amp;D987&amp;" "&amp;E987&amp;" "&amp;I987)))),"✓",""))</f>
        <v/>
      </c>
      <c r="B987" s="39" t="n">
        <v>46262</v>
      </c>
      <c r="C987" s="40" t="n">
        <f aca="false">'Aug 28'!$D$42</f>
        <v>0</v>
      </c>
      <c r="D987" s="40" t="n">
        <f aca="false">'Aug 28'!$B$42</f>
        <v>0</v>
      </c>
      <c r="E987" s="41" t="n">
        <f aca="false">'Aug 28'!$E$42</f>
        <v>0</v>
      </c>
      <c r="F987" s="40" t="n">
        <f aca="false">'Aug 28'!$A$42</f>
        <v>0</v>
      </c>
      <c r="G987" s="41" t="n">
        <f aca="false">'Aug 28'!$F$42</f>
        <v>0</v>
      </c>
      <c r="H987" s="41" t="n">
        <f aca="false">'Aug 28'!$G$42</f>
        <v>0</v>
      </c>
      <c r="I987" s="41" t="str">
        <f aca="false">'Aug 28'!$M$42</f>
        <v/>
      </c>
      <c r="J987" s="42" t="str">
        <f aca="false">'Aug 28'!$S$42</f>
        <v/>
      </c>
      <c r="K987" s="40" t="n">
        <f aca="false">'Aug 28'!$AG$42</f>
        <v>0</v>
      </c>
      <c r="L987" s="40" t="n">
        <f aca="false">'Aug 28'!$N$42</f>
        <v>0</v>
      </c>
    </row>
    <row r="988" customFormat="false" ht="15" hidden="false" customHeight="false" outlineLevel="0" collapsed="false">
      <c r="A988" s="38" t="str">
        <f aca="false">IF(OR(C988="",C988=0),"",IF(AND(OR($B$5="",G988=$B$5,H988=$B$5),OR($D$5="",F988=$D$5),OR($E$5="",K988=$E$5),OR($G$5="",L988=$G$5),OR($H$5="",N(J988)&gt;=$H$5),OR($I$5="",ISNUMBER(SEARCH($I$5,C988&amp;" "&amp;D988&amp;" "&amp;E988&amp;" "&amp;I988)))),"✓",""))</f>
        <v/>
      </c>
      <c r="B988" s="39" t="n">
        <v>46263</v>
      </c>
      <c r="C988" s="40" t="n">
        <f aca="false">'Aug 29'!$D$8</f>
        <v>0</v>
      </c>
      <c r="D988" s="40" t="n">
        <f aca="false">'Aug 29'!$B$8</f>
        <v>0</v>
      </c>
      <c r="E988" s="41" t="n">
        <f aca="false">'Aug 29'!$E$8</f>
        <v>0</v>
      </c>
      <c r="F988" s="40" t="n">
        <f aca="false">'Aug 29'!$A$8</f>
        <v>0</v>
      </c>
      <c r="G988" s="41" t="n">
        <f aca="false">'Aug 29'!$F$8</f>
        <v>0</v>
      </c>
      <c r="H988" s="41" t="n">
        <f aca="false">'Aug 29'!$G$8</f>
        <v>0</v>
      </c>
      <c r="I988" s="41" t="str">
        <f aca="false">'Aug 29'!$M$8</f>
        <v/>
      </c>
      <c r="J988" s="42" t="str">
        <f aca="false">'Aug 29'!$S$8</f>
        <v/>
      </c>
      <c r="K988" s="40" t="n">
        <f aca="false">'Aug 29'!$AG$8</f>
        <v>0</v>
      </c>
      <c r="L988" s="40" t="n">
        <f aca="false">'Aug 29'!$N$8</f>
        <v>0</v>
      </c>
    </row>
    <row r="989" customFormat="false" ht="15" hidden="false" customHeight="false" outlineLevel="0" collapsed="false">
      <c r="A989" s="38" t="str">
        <f aca="false">IF(OR(C989="",C989=0),"",IF(AND(OR($B$5="",G989=$B$5,H989=$B$5),OR($D$5="",F989=$D$5),OR($E$5="",K989=$E$5),OR($G$5="",L989=$G$5),OR($H$5="",N(J989)&gt;=$H$5),OR($I$5="",ISNUMBER(SEARCH($I$5,C989&amp;" "&amp;D989&amp;" "&amp;E989&amp;" "&amp;I989)))),"✓",""))</f>
        <v/>
      </c>
      <c r="B989" s="39" t="n">
        <v>46263</v>
      </c>
      <c r="C989" s="40" t="n">
        <f aca="false">'Aug 29'!$D$9</f>
        <v>0</v>
      </c>
      <c r="D989" s="40" t="n">
        <f aca="false">'Aug 29'!$B$9</f>
        <v>0</v>
      </c>
      <c r="E989" s="41" t="n">
        <f aca="false">'Aug 29'!$E$9</f>
        <v>0</v>
      </c>
      <c r="F989" s="40" t="n">
        <f aca="false">'Aug 29'!$A$9</f>
        <v>0</v>
      </c>
      <c r="G989" s="41" t="n">
        <f aca="false">'Aug 29'!$F$9</f>
        <v>0</v>
      </c>
      <c r="H989" s="41" t="n">
        <f aca="false">'Aug 29'!$G$9</f>
        <v>0</v>
      </c>
      <c r="I989" s="41" t="str">
        <f aca="false">'Aug 29'!$M$9</f>
        <v/>
      </c>
      <c r="J989" s="42" t="str">
        <f aca="false">'Aug 29'!$S$9</f>
        <v/>
      </c>
      <c r="K989" s="40" t="n">
        <f aca="false">'Aug 29'!$AG$9</f>
        <v>0</v>
      </c>
      <c r="L989" s="40" t="n">
        <f aca="false">'Aug 29'!$N$9</f>
        <v>0</v>
      </c>
    </row>
    <row r="990" customFormat="false" ht="15" hidden="false" customHeight="false" outlineLevel="0" collapsed="false">
      <c r="A990" s="38" t="str">
        <f aca="false">IF(OR(C990="",C990=0),"",IF(AND(OR($B$5="",G990=$B$5,H990=$B$5),OR($D$5="",F990=$D$5),OR($E$5="",K990=$E$5),OR($G$5="",L990=$G$5),OR($H$5="",N(J990)&gt;=$H$5),OR($I$5="",ISNUMBER(SEARCH($I$5,C990&amp;" "&amp;D990&amp;" "&amp;E990&amp;" "&amp;I990)))),"✓",""))</f>
        <v/>
      </c>
      <c r="B990" s="39" t="n">
        <v>46263</v>
      </c>
      <c r="C990" s="40" t="n">
        <f aca="false">'Aug 29'!$D$10</f>
        <v>0</v>
      </c>
      <c r="D990" s="40" t="n">
        <f aca="false">'Aug 29'!$B$10</f>
        <v>0</v>
      </c>
      <c r="E990" s="41" t="n">
        <f aca="false">'Aug 29'!$E$10</f>
        <v>0</v>
      </c>
      <c r="F990" s="40" t="n">
        <f aca="false">'Aug 29'!$A$10</f>
        <v>0</v>
      </c>
      <c r="G990" s="41" t="n">
        <f aca="false">'Aug 29'!$F$10</f>
        <v>0</v>
      </c>
      <c r="H990" s="41" t="n">
        <f aca="false">'Aug 29'!$G$10</f>
        <v>0</v>
      </c>
      <c r="I990" s="41" t="str">
        <f aca="false">'Aug 29'!$M$10</f>
        <v/>
      </c>
      <c r="J990" s="42" t="str">
        <f aca="false">'Aug 29'!$S$10</f>
        <v/>
      </c>
      <c r="K990" s="40" t="n">
        <f aca="false">'Aug 29'!$AG$10</f>
        <v>0</v>
      </c>
      <c r="L990" s="40" t="n">
        <f aca="false">'Aug 29'!$N$10</f>
        <v>0</v>
      </c>
    </row>
    <row r="991" customFormat="false" ht="15" hidden="false" customHeight="false" outlineLevel="0" collapsed="false">
      <c r="A991" s="38" t="str">
        <f aca="false">IF(OR(C991="",C991=0),"",IF(AND(OR($B$5="",G991=$B$5,H991=$B$5),OR($D$5="",F991=$D$5),OR($E$5="",K991=$E$5),OR($G$5="",L991=$G$5),OR($H$5="",N(J991)&gt;=$H$5),OR($I$5="",ISNUMBER(SEARCH($I$5,C991&amp;" "&amp;D991&amp;" "&amp;E991&amp;" "&amp;I991)))),"✓",""))</f>
        <v/>
      </c>
      <c r="B991" s="39" t="n">
        <v>46263</v>
      </c>
      <c r="C991" s="40" t="n">
        <f aca="false">'Aug 29'!$D$11</f>
        <v>0</v>
      </c>
      <c r="D991" s="40" t="n">
        <f aca="false">'Aug 29'!$B$11</f>
        <v>0</v>
      </c>
      <c r="E991" s="41" t="n">
        <f aca="false">'Aug 29'!$E$11</f>
        <v>0</v>
      </c>
      <c r="F991" s="40" t="n">
        <f aca="false">'Aug 29'!$A$11</f>
        <v>0</v>
      </c>
      <c r="G991" s="41" t="n">
        <f aca="false">'Aug 29'!$F$11</f>
        <v>0</v>
      </c>
      <c r="H991" s="41" t="n">
        <f aca="false">'Aug 29'!$G$11</f>
        <v>0</v>
      </c>
      <c r="I991" s="41" t="str">
        <f aca="false">'Aug 29'!$M$11</f>
        <v/>
      </c>
      <c r="J991" s="42" t="str">
        <f aca="false">'Aug 29'!$S$11</f>
        <v/>
      </c>
      <c r="K991" s="40" t="n">
        <f aca="false">'Aug 29'!$AG$11</f>
        <v>0</v>
      </c>
      <c r="L991" s="40" t="n">
        <f aca="false">'Aug 29'!$N$11</f>
        <v>0</v>
      </c>
    </row>
    <row r="992" customFormat="false" ht="15" hidden="false" customHeight="false" outlineLevel="0" collapsed="false">
      <c r="A992" s="38" t="str">
        <f aca="false">IF(OR(C992="",C992=0),"",IF(AND(OR($B$5="",G992=$B$5,H992=$B$5),OR($D$5="",F992=$D$5),OR($E$5="",K992=$E$5),OR($G$5="",L992=$G$5),OR($H$5="",N(J992)&gt;=$H$5),OR($I$5="",ISNUMBER(SEARCH($I$5,C992&amp;" "&amp;D992&amp;" "&amp;E992&amp;" "&amp;I992)))),"✓",""))</f>
        <v/>
      </c>
      <c r="B992" s="39" t="n">
        <v>46263</v>
      </c>
      <c r="C992" s="40" t="n">
        <f aca="false">'Aug 29'!$D$12</f>
        <v>0</v>
      </c>
      <c r="D992" s="40" t="n">
        <f aca="false">'Aug 29'!$B$12</f>
        <v>0</v>
      </c>
      <c r="E992" s="41" t="n">
        <f aca="false">'Aug 29'!$E$12</f>
        <v>0</v>
      </c>
      <c r="F992" s="40" t="n">
        <f aca="false">'Aug 29'!$A$12</f>
        <v>0</v>
      </c>
      <c r="G992" s="41" t="n">
        <f aca="false">'Aug 29'!$F$12</f>
        <v>0</v>
      </c>
      <c r="H992" s="41" t="n">
        <f aca="false">'Aug 29'!$G$12</f>
        <v>0</v>
      </c>
      <c r="I992" s="41" t="str">
        <f aca="false">'Aug 29'!$M$12</f>
        <v/>
      </c>
      <c r="J992" s="42" t="str">
        <f aca="false">'Aug 29'!$S$12</f>
        <v/>
      </c>
      <c r="K992" s="40" t="n">
        <f aca="false">'Aug 29'!$AG$12</f>
        <v>0</v>
      </c>
      <c r="L992" s="40" t="n">
        <f aca="false">'Aug 29'!$N$12</f>
        <v>0</v>
      </c>
    </row>
    <row r="993" customFormat="false" ht="15" hidden="false" customHeight="false" outlineLevel="0" collapsed="false">
      <c r="A993" s="38" t="str">
        <f aca="false">IF(OR(C993="",C993=0),"",IF(AND(OR($B$5="",G993=$B$5,H993=$B$5),OR($D$5="",F993=$D$5),OR($E$5="",K993=$E$5),OR($G$5="",L993=$G$5),OR($H$5="",N(J993)&gt;=$H$5),OR($I$5="",ISNUMBER(SEARCH($I$5,C993&amp;" "&amp;D993&amp;" "&amp;E993&amp;" "&amp;I993)))),"✓",""))</f>
        <v/>
      </c>
      <c r="B993" s="39" t="n">
        <v>46263</v>
      </c>
      <c r="C993" s="40" t="n">
        <f aca="false">'Aug 29'!$D$13</f>
        <v>0</v>
      </c>
      <c r="D993" s="40" t="n">
        <f aca="false">'Aug 29'!$B$13</f>
        <v>0</v>
      </c>
      <c r="E993" s="41" t="n">
        <f aca="false">'Aug 29'!$E$13</f>
        <v>0</v>
      </c>
      <c r="F993" s="40" t="n">
        <f aca="false">'Aug 29'!$A$13</f>
        <v>0</v>
      </c>
      <c r="G993" s="41" t="n">
        <f aca="false">'Aug 29'!$F$13</f>
        <v>0</v>
      </c>
      <c r="H993" s="41" t="n">
        <f aca="false">'Aug 29'!$G$13</f>
        <v>0</v>
      </c>
      <c r="I993" s="41" t="str">
        <f aca="false">'Aug 29'!$M$13</f>
        <v/>
      </c>
      <c r="J993" s="42" t="str">
        <f aca="false">'Aug 29'!$S$13</f>
        <v/>
      </c>
      <c r="K993" s="40" t="n">
        <f aca="false">'Aug 29'!$AG$13</f>
        <v>0</v>
      </c>
      <c r="L993" s="40" t="n">
        <f aca="false">'Aug 29'!$N$13</f>
        <v>0</v>
      </c>
    </row>
    <row r="994" customFormat="false" ht="15" hidden="false" customHeight="false" outlineLevel="0" collapsed="false">
      <c r="A994" s="38" t="str">
        <f aca="false">IF(OR(C994="",C994=0),"",IF(AND(OR($B$5="",G994=$B$5,H994=$B$5),OR($D$5="",F994=$D$5),OR($E$5="",K994=$E$5),OR($G$5="",L994=$G$5),OR($H$5="",N(J994)&gt;=$H$5),OR($I$5="",ISNUMBER(SEARCH($I$5,C994&amp;" "&amp;D994&amp;" "&amp;E994&amp;" "&amp;I994)))),"✓",""))</f>
        <v/>
      </c>
      <c r="B994" s="39" t="n">
        <v>46263</v>
      </c>
      <c r="C994" s="40" t="n">
        <f aca="false">'Aug 29'!$D$14</f>
        <v>0</v>
      </c>
      <c r="D994" s="40" t="n">
        <f aca="false">'Aug 29'!$B$14</f>
        <v>0</v>
      </c>
      <c r="E994" s="41" t="n">
        <f aca="false">'Aug 29'!$E$14</f>
        <v>0</v>
      </c>
      <c r="F994" s="40" t="n">
        <f aca="false">'Aug 29'!$A$14</f>
        <v>0</v>
      </c>
      <c r="G994" s="41" t="n">
        <f aca="false">'Aug 29'!$F$14</f>
        <v>0</v>
      </c>
      <c r="H994" s="41" t="n">
        <f aca="false">'Aug 29'!$G$14</f>
        <v>0</v>
      </c>
      <c r="I994" s="41" t="str">
        <f aca="false">'Aug 29'!$M$14</f>
        <v/>
      </c>
      <c r="J994" s="42" t="str">
        <f aca="false">'Aug 29'!$S$14</f>
        <v/>
      </c>
      <c r="K994" s="40" t="n">
        <f aca="false">'Aug 29'!$AG$14</f>
        <v>0</v>
      </c>
      <c r="L994" s="40" t="n">
        <f aca="false">'Aug 29'!$N$14</f>
        <v>0</v>
      </c>
    </row>
    <row r="995" customFormat="false" ht="15" hidden="false" customHeight="false" outlineLevel="0" collapsed="false">
      <c r="A995" s="38" t="str">
        <f aca="false">IF(OR(C995="",C995=0),"",IF(AND(OR($B$5="",G995=$B$5,H995=$B$5),OR($D$5="",F995=$D$5),OR($E$5="",K995=$E$5),OR($G$5="",L995=$G$5),OR($H$5="",N(J995)&gt;=$H$5),OR($I$5="",ISNUMBER(SEARCH($I$5,C995&amp;" "&amp;D995&amp;" "&amp;E995&amp;" "&amp;I995)))),"✓",""))</f>
        <v/>
      </c>
      <c r="B995" s="39" t="n">
        <v>46263</v>
      </c>
      <c r="C995" s="40" t="n">
        <f aca="false">'Aug 29'!$D$15</f>
        <v>0</v>
      </c>
      <c r="D995" s="40" t="n">
        <f aca="false">'Aug 29'!$B$15</f>
        <v>0</v>
      </c>
      <c r="E995" s="41" t="n">
        <f aca="false">'Aug 29'!$E$15</f>
        <v>0</v>
      </c>
      <c r="F995" s="40" t="n">
        <f aca="false">'Aug 29'!$A$15</f>
        <v>0</v>
      </c>
      <c r="G995" s="41" t="n">
        <f aca="false">'Aug 29'!$F$15</f>
        <v>0</v>
      </c>
      <c r="H995" s="41" t="n">
        <f aca="false">'Aug 29'!$G$15</f>
        <v>0</v>
      </c>
      <c r="I995" s="41" t="str">
        <f aca="false">'Aug 29'!$M$15</f>
        <v/>
      </c>
      <c r="J995" s="42" t="str">
        <f aca="false">'Aug 29'!$S$15</f>
        <v/>
      </c>
      <c r="K995" s="40" t="n">
        <f aca="false">'Aug 29'!$AG$15</f>
        <v>0</v>
      </c>
      <c r="L995" s="40" t="n">
        <f aca="false">'Aug 29'!$N$15</f>
        <v>0</v>
      </c>
    </row>
    <row r="996" customFormat="false" ht="15" hidden="false" customHeight="false" outlineLevel="0" collapsed="false">
      <c r="A996" s="38" t="str">
        <f aca="false">IF(OR(C996="",C996=0),"",IF(AND(OR($B$5="",G996=$B$5,H996=$B$5),OR($D$5="",F996=$D$5),OR($E$5="",K996=$E$5),OR($G$5="",L996=$G$5),OR($H$5="",N(J996)&gt;=$H$5),OR($I$5="",ISNUMBER(SEARCH($I$5,C996&amp;" "&amp;D996&amp;" "&amp;E996&amp;" "&amp;I996)))),"✓",""))</f>
        <v/>
      </c>
      <c r="B996" s="39" t="n">
        <v>46263</v>
      </c>
      <c r="C996" s="40" t="n">
        <f aca="false">'Aug 29'!$D$16</f>
        <v>0</v>
      </c>
      <c r="D996" s="40" t="n">
        <f aca="false">'Aug 29'!$B$16</f>
        <v>0</v>
      </c>
      <c r="E996" s="41" t="n">
        <f aca="false">'Aug 29'!$E$16</f>
        <v>0</v>
      </c>
      <c r="F996" s="40" t="n">
        <f aca="false">'Aug 29'!$A$16</f>
        <v>0</v>
      </c>
      <c r="G996" s="41" t="n">
        <f aca="false">'Aug 29'!$F$16</f>
        <v>0</v>
      </c>
      <c r="H996" s="41" t="n">
        <f aca="false">'Aug 29'!$G$16</f>
        <v>0</v>
      </c>
      <c r="I996" s="41" t="str">
        <f aca="false">'Aug 29'!$M$16</f>
        <v/>
      </c>
      <c r="J996" s="42" t="str">
        <f aca="false">'Aug 29'!$S$16</f>
        <v/>
      </c>
      <c r="K996" s="40" t="n">
        <f aca="false">'Aug 29'!$AG$16</f>
        <v>0</v>
      </c>
      <c r="L996" s="40" t="n">
        <f aca="false">'Aug 29'!$N$16</f>
        <v>0</v>
      </c>
    </row>
    <row r="997" customFormat="false" ht="15" hidden="false" customHeight="false" outlineLevel="0" collapsed="false">
      <c r="A997" s="38" t="str">
        <f aca="false">IF(OR(C997="",C997=0),"",IF(AND(OR($B$5="",G997=$B$5,H997=$B$5),OR($D$5="",F997=$D$5),OR($E$5="",K997=$E$5),OR($G$5="",L997=$G$5),OR($H$5="",N(J997)&gt;=$H$5),OR($I$5="",ISNUMBER(SEARCH($I$5,C997&amp;" "&amp;D997&amp;" "&amp;E997&amp;" "&amp;I997)))),"✓",""))</f>
        <v/>
      </c>
      <c r="B997" s="39" t="n">
        <v>46263</v>
      </c>
      <c r="C997" s="40" t="n">
        <f aca="false">'Aug 29'!$D$17</f>
        <v>0</v>
      </c>
      <c r="D997" s="40" t="n">
        <f aca="false">'Aug 29'!$B$17</f>
        <v>0</v>
      </c>
      <c r="E997" s="41" t="n">
        <f aca="false">'Aug 29'!$E$17</f>
        <v>0</v>
      </c>
      <c r="F997" s="40" t="n">
        <f aca="false">'Aug 29'!$A$17</f>
        <v>0</v>
      </c>
      <c r="G997" s="41" t="n">
        <f aca="false">'Aug 29'!$F$17</f>
        <v>0</v>
      </c>
      <c r="H997" s="41" t="n">
        <f aca="false">'Aug 29'!$G$17</f>
        <v>0</v>
      </c>
      <c r="I997" s="41" t="str">
        <f aca="false">'Aug 29'!$M$17</f>
        <v/>
      </c>
      <c r="J997" s="42" t="str">
        <f aca="false">'Aug 29'!$S$17</f>
        <v/>
      </c>
      <c r="K997" s="40" t="n">
        <f aca="false">'Aug 29'!$AG$17</f>
        <v>0</v>
      </c>
      <c r="L997" s="40" t="n">
        <f aca="false">'Aug 29'!$N$17</f>
        <v>0</v>
      </c>
    </row>
    <row r="998" customFormat="false" ht="15" hidden="false" customHeight="false" outlineLevel="0" collapsed="false">
      <c r="A998" s="38" t="str">
        <f aca="false">IF(OR(C998="",C998=0),"",IF(AND(OR($B$5="",G998=$B$5,H998=$B$5),OR($D$5="",F998=$D$5),OR($E$5="",K998=$E$5),OR($G$5="",L998=$G$5),OR($H$5="",N(J998)&gt;=$H$5),OR($I$5="",ISNUMBER(SEARCH($I$5,C998&amp;" "&amp;D998&amp;" "&amp;E998&amp;" "&amp;I998)))),"✓",""))</f>
        <v/>
      </c>
      <c r="B998" s="39" t="n">
        <v>46263</v>
      </c>
      <c r="C998" s="40" t="n">
        <f aca="false">'Aug 29'!$D$18</f>
        <v>0</v>
      </c>
      <c r="D998" s="40" t="n">
        <f aca="false">'Aug 29'!$B$18</f>
        <v>0</v>
      </c>
      <c r="E998" s="41" t="n">
        <f aca="false">'Aug 29'!$E$18</f>
        <v>0</v>
      </c>
      <c r="F998" s="40" t="n">
        <f aca="false">'Aug 29'!$A$18</f>
        <v>0</v>
      </c>
      <c r="G998" s="41" t="n">
        <f aca="false">'Aug 29'!$F$18</f>
        <v>0</v>
      </c>
      <c r="H998" s="41" t="n">
        <f aca="false">'Aug 29'!$G$18</f>
        <v>0</v>
      </c>
      <c r="I998" s="41" t="str">
        <f aca="false">'Aug 29'!$M$18</f>
        <v/>
      </c>
      <c r="J998" s="42" t="str">
        <f aca="false">'Aug 29'!$S$18</f>
        <v/>
      </c>
      <c r="K998" s="40" t="n">
        <f aca="false">'Aug 29'!$AG$18</f>
        <v>0</v>
      </c>
      <c r="L998" s="40" t="n">
        <f aca="false">'Aug 29'!$N$18</f>
        <v>0</v>
      </c>
    </row>
    <row r="999" customFormat="false" ht="15" hidden="false" customHeight="false" outlineLevel="0" collapsed="false">
      <c r="A999" s="38" t="str">
        <f aca="false">IF(OR(C999="",C999=0),"",IF(AND(OR($B$5="",G999=$B$5,H999=$B$5),OR($D$5="",F999=$D$5),OR($E$5="",K999=$E$5),OR($G$5="",L999=$G$5),OR($H$5="",N(J999)&gt;=$H$5),OR($I$5="",ISNUMBER(SEARCH($I$5,C999&amp;" "&amp;D999&amp;" "&amp;E999&amp;" "&amp;I999)))),"✓",""))</f>
        <v/>
      </c>
      <c r="B999" s="39" t="n">
        <v>46263</v>
      </c>
      <c r="C999" s="40" t="n">
        <f aca="false">'Aug 29'!$D$19</f>
        <v>0</v>
      </c>
      <c r="D999" s="40" t="n">
        <f aca="false">'Aug 29'!$B$19</f>
        <v>0</v>
      </c>
      <c r="E999" s="41" t="n">
        <f aca="false">'Aug 29'!$E$19</f>
        <v>0</v>
      </c>
      <c r="F999" s="40" t="n">
        <f aca="false">'Aug 29'!$A$19</f>
        <v>0</v>
      </c>
      <c r="G999" s="41" t="n">
        <f aca="false">'Aug 29'!$F$19</f>
        <v>0</v>
      </c>
      <c r="H999" s="41" t="n">
        <f aca="false">'Aug 29'!$G$19</f>
        <v>0</v>
      </c>
      <c r="I999" s="41" t="str">
        <f aca="false">'Aug 29'!$M$19</f>
        <v/>
      </c>
      <c r="J999" s="42" t="str">
        <f aca="false">'Aug 29'!$S$19</f>
        <v/>
      </c>
      <c r="K999" s="40" t="n">
        <f aca="false">'Aug 29'!$AG$19</f>
        <v>0</v>
      </c>
      <c r="L999" s="40" t="n">
        <f aca="false">'Aug 29'!$N$19</f>
        <v>0</v>
      </c>
    </row>
    <row r="1000" customFormat="false" ht="15" hidden="false" customHeight="false" outlineLevel="0" collapsed="false">
      <c r="A1000" s="38" t="str">
        <f aca="false">IF(OR(C1000="",C1000=0),"",IF(AND(OR($B$5="",G1000=$B$5,H1000=$B$5),OR($D$5="",F1000=$D$5),OR($E$5="",K1000=$E$5),OR($G$5="",L1000=$G$5),OR($H$5="",N(J1000)&gt;=$H$5),OR($I$5="",ISNUMBER(SEARCH($I$5,C1000&amp;" "&amp;D1000&amp;" "&amp;E1000&amp;" "&amp;I1000)))),"✓",""))</f>
        <v/>
      </c>
      <c r="B1000" s="39" t="n">
        <v>46263</v>
      </c>
      <c r="C1000" s="40" t="n">
        <f aca="false">'Aug 29'!$D$20</f>
        <v>0</v>
      </c>
      <c r="D1000" s="40" t="n">
        <f aca="false">'Aug 29'!$B$20</f>
        <v>0</v>
      </c>
      <c r="E1000" s="41" t="n">
        <f aca="false">'Aug 29'!$E$20</f>
        <v>0</v>
      </c>
      <c r="F1000" s="40" t="n">
        <f aca="false">'Aug 29'!$A$20</f>
        <v>0</v>
      </c>
      <c r="G1000" s="41" t="n">
        <f aca="false">'Aug 29'!$F$20</f>
        <v>0</v>
      </c>
      <c r="H1000" s="41" t="n">
        <f aca="false">'Aug 29'!$G$20</f>
        <v>0</v>
      </c>
      <c r="I1000" s="41" t="str">
        <f aca="false">'Aug 29'!$M$20</f>
        <v/>
      </c>
      <c r="J1000" s="42" t="str">
        <f aca="false">'Aug 29'!$S$20</f>
        <v/>
      </c>
      <c r="K1000" s="40" t="n">
        <f aca="false">'Aug 29'!$AG$20</f>
        <v>0</v>
      </c>
      <c r="L1000" s="40" t="n">
        <f aca="false">'Aug 29'!$N$20</f>
        <v>0</v>
      </c>
    </row>
    <row r="1001" customFormat="false" ht="15" hidden="false" customHeight="false" outlineLevel="0" collapsed="false">
      <c r="A1001" s="38" t="str">
        <f aca="false">IF(OR(C1001="",C1001=0),"",IF(AND(OR($B$5="",G1001=$B$5,H1001=$B$5),OR($D$5="",F1001=$D$5),OR($E$5="",K1001=$E$5),OR($G$5="",L1001=$G$5),OR($H$5="",N(J1001)&gt;=$H$5),OR($I$5="",ISNUMBER(SEARCH($I$5,C1001&amp;" "&amp;D1001&amp;" "&amp;E1001&amp;" "&amp;I1001)))),"✓",""))</f>
        <v/>
      </c>
      <c r="B1001" s="39" t="n">
        <v>46263</v>
      </c>
      <c r="C1001" s="40" t="n">
        <f aca="false">'Aug 29'!$D$21</f>
        <v>0</v>
      </c>
      <c r="D1001" s="40" t="n">
        <f aca="false">'Aug 29'!$B$21</f>
        <v>0</v>
      </c>
      <c r="E1001" s="41" t="n">
        <f aca="false">'Aug 29'!$E$21</f>
        <v>0</v>
      </c>
      <c r="F1001" s="40" t="n">
        <f aca="false">'Aug 29'!$A$21</f>
        <v>0</v>
      </c>
      <c r="G1001" s="41" t="n">
        <f aca="false">'Aug 29'!$F$21</f>
        <v>0</v>
      </c>
      <c r="H1001" s="41" t="n">
        <f aca="false">'Aug 29'!$G$21</f>
        <v>0</v>
      </c>
      <c r="I1001" s="41" t="str">
        <f aca="false">'Aug 29'!$M$21</f>
        <v/>
      </c>
      <c r="J1001" s="42" t="str">
        <f aca="false">'Aug 29'!$S$21</f>
        <v/>
      </c>
      <c r="K1001" s="40" t="n">
        <f aca="false">'Aug 29'!$AG$21</f>
        <v>0</v>
      </c>
      <c r="L1001" s="40" t="n">
        <f aca="false">'Aug 29'!$N$21</f>
        <v>0</v>
      </c>
    </row>
    <row r="1002" customFormat="false" ht="15" hidden="false" customHeight="false" outlineLevel="0" collapsed="false">
      <c r="A1002" s="38" t="str">
        <f aca="false">IF(OR(C1002="",C1002=0),"",IF(AND(OR($B$5="",G1002=$B$5,H1002=$B$5),OR($D$5="",F1002=$D$5),OR($E$5="",K1002=$E$5),OR($G$5="",L1002=$G$5),OR($H$5="",N(J1002)&gt;=$H$5),OR($I$5="",ISNUMBER(SEARCH($I$5,C1002&amp;" "&amp;D1002&amp;" "&amp;E1002&amp;" "&amp;I1002)))),"✓",""))</f>
        <v/>
      </c>
      <c r="B1002" s="39" t="n">
        <v>46263</v>
      </c>
      <c r="C1002" s="40" t="n">
        <f aca="false">'Aug 29'!$D$22</f>
        <v>0</v>
      </c>
      <c r="D1002" s="40" t="n">
        <f aca="false">'Aug 29'!$B$22</f>
        <v>0</v>
      </c>
      <c r="E1002" s="41" t="n">
        <f aca="false">'Aug 29'!$E$22</f>
        <v>0</v>
      </c>
      <c r="F1002" s="40" t="n">
        <f aca="false">'Aug 29'!$A$22</f>
        <v>0</v>
      </c>
      <c r="G1002" s="41" t="n">
        <f aca="false">'Aug 29'!$F$22</f>
        <v>0</v>
      </c>
      <c r="H1002" s="41" t="n">
        <f aca="false">'Aug 29'!$G$22</f>
        <v>0</v>
      </c>
      <c r="I1002" s="41" t="str">
        <f aca="false">'Aug 29'!$M$22</f>
        <v/>
      </c>
      <c r="J1002" s="42" t="str">
        <f aca="false">'Aug 29'!$S$22</f>
        <v/>
      </c>
      <c r="K1002" s="40" t="n">
        <f aca="false">'Aug 29'!$AG$22</f>
        <v>0</v>
      </c>
      <c r="L1002" s="40" t="n">
        <f aca="false">'Aug 29'!$N$22</f>
        <v>0</v>
      </c>
    </row>
    <row r="1003" customFormat="false" ht="15" hidden="false" customHeight="false" outlineLevel="0" collapsed="false">
      <c r="A1003" s="38" t="str">
        <f aca="false">IF(OR(C1003="",C1003=0),"",IF(AND(OR($B$5="",G1003=$B$5,H1003=$B$5),OR($D$5="",F1003=$D$5),OR($E$5="",K1003=$E$5),OR($G$5="",L1003=$G$5),OR($H$5="",N(J1003)&gt;=$H$5),OR($I$5="",ISNUMBER(SEARCH($I$5,C1003&amp;" "&amp;D1003&amp;" "&amp;E1003&amp;" "&amp;I1003)))),"✓",""))</f>
        <v/>
      </c>
      <c r="B1003" s="39" t="n">
        <v>46263</v>
      </c>
      <c r="C1003" s="40" t="n">
        <f aca="false">'Aug 29'!$D$23</f>
        <v>0</v>
      </c>
      <c r="D1003" s="40" t="n">
        <f aca="false">'Aug 29'!$B$23</f>
        <v>0</v>
      </c>
      <c r="E1003" s="41" t="n">
        <f aca="false">'Aug 29'!$E$23</f>
        <v>0</v>
      </c>
      <c r="F1003" s="40" t="n">
        <f aca="false">'Aug 29'!$A$23</f>
        <v>0</v>
      </c>
      <c r="G1003" s="41" t="n">
        <f aca="false">'Aug 29'!$F$23</f>
        <v>0</v>
      </c>
      <c r="H1003" s="41" t="n">
        <f aca="false">'Aug 29'!$G$23</f>
        <v>0</v>
      </c>
      <c r="I1003" s="41" t="str">
        <f aca="false">'Aug 29'!$M$23</f>
        <v/>
      </c>
      <c r="J1003" s="42" t="str">
        <f aca="false">'Aug 29'!$S$23</f>
        <v/>
      </c>
      <c r="K1003" s="40" t="n">
        <f aca="false">'Aug 29'!$AG$23</f>
        <v>0</v>
      </c>
      <c r="L1003" s="40" t="n">
        <f aca="false">'Aug 29'!$N$23</f>
        <v>0</v>
      </c>
    </row>
    <row r="1004" customFormat="false" ht="15" hidden="false" customHeight="false" outlineLevel="0" collapsed="false">
      <c r="A1004" s="38" t="str">
        <f aca="false">IF(OR(C1004="",C1004=0),"",IF(AND(OR($B$5="",G1004=$B$5,H1004=$B$5),OR($D$5="",F1004=$D$5),OR($E$5="",K1004=$E$5),OR($G$5="",L1004=$G$5),OR($H$5="",N(J1004)&gt;=$H$5),OR($I$5="",ISNUMBER(SEARCH($I$5,C1004&amp;" "&amp;D1004&amp;" "&amp;E1004&amp;" "&amp;I1004)))),"✓",""))</f>
        <v/>
      </c>
      <c r="B1004" s="39" t="n">
        <v>46263</v>
      </c>
      <c r="C1004" s="40" t="n">
        <f aca="false">'Aug 29'!$D$24</f>
        <v>0</v>
      </c>
      <c r="D1004" s="40" t="n">
        <f aca="false">'Aug 29'!$B$24</f>
        <v>0</v>
      </c>
      <c r="E1004" s="41" t="n">
        <f aca="false">'Aug 29'!$E$24</f>
        <v>0</v>
      </c>
      <c r="F1004" s="40" t="n">
        <f aca="false">'Aug 29'!$A$24</f>
        <v>0</v>
      </c>
      <c r="G1004" s="41" t="n">
        <f aca="false">'Aug 29'!$F$24</f>
        <v>0</v>
      </c>
      <c r="H1004" s="41" t="n">
        <f aca="false">'Aug 29'!$G$24</f>
        <v>0</v>
      </c>
      <c r="I1004" s="41" t="str">
        <f aca="false">'Aug 29'!$M$24</f>
        <v/>
      </c>
      <c r="J1004" s="42" t="str">
        <f aca="false">'Aug 29'!$S$24</f>
        <v/>
      </c>
      <c r="K1004" s="40" t="n">
        <f aca="false">'Aug 29'!$AG$24</f>
        <v>0</v>
      </c>
      <c r="L1004" s="40" t="n">
        <f aca="false">'Aug 29'!$N$24</f>
        <v>0</v>
      </c>
    </row>
    <row r="1005" customFormat="false" ht="15" hidden="false" customHeight="false" outlineLevel="0" collapsed="false">
      <c r="A1005" s="38" t="str">
        <f aca="false">IF(OR(C1005="",C1005=0),"",IF(AND(OR($B$5="",G1005=$B$5,H1005=$B$5),OR($D$5="",F1005=$D$5),OR($E$5="",K1005=$E$5),OR($G$5="",L1005=$G$5),OR($H$5="",N(J1005)&gt;=$H$5),OR($I$5="",ISNUMBER(SEARCH($I$5,C1005&amp;" "&amp;D1005&amp;" "&amp;E1005&amp;" "&amp;I1005)))),"✓",""))</f>
        <v/>
      </c>
      <c r="B1005" s="39" t="n">
        <v>46263</v>
      </c>
      <c r="C1005" s="40" t="n">
        <f aca="false">'Aug 29'!$D$25</f>
        <v>0</v>
      </c>
      <c r="D1005" s="40" t="n">
        <f aca="false">'Aug 29'!$B$25</f>
        <v>0</v>
      </c>
      <c r="E1005" s="41" t="n">
        <f aca="false">'Aug 29'!$E$25</f>
        <v>0</v>
      </c>
      <c r="F1005" s="40" t="n">
        <f aca="false">'Aug 29'!$A$25</f>
        <v>0</v>
      </c>
      <c r="G1005" s="41" t="n">
        <f aca="false">'Aug 29'!$F$25</f>
        <v>0</v>
      </c>
      <c r="H1005" s="41" t="n">
        <f aca="false">'Aug 29'!$G$25</f>
        <v>0</v>
      </c>
      <c r="I1005" s="41" t="str">
        <f aca="false">'Aug 29'!$M$25</f>
        <v/>
      </c>
      <c r="J1005" s="42" t="str">
        <f aca="false">'Aug 29'!$S$25</f>
        <v/>
      </c>
      <c r="K1005" s="40" t="n">
        <f aca="false">'Aug 29'!$AG$25</f>
        <v>0</v>
      </c>
      <c r="L1005" s="40" t="n">
        <f aca="false">'Aug 29'!$N$25</f>
        <v>0</v>
      </c>
    </row>
    <row r="1006" customFormat="false" ht="15" hidden="false" customHeight="false" outlineLevel="0" collapsed="false">
      <c r="A1006" s="38" t="str">
        <f aca="false">IF(OR(C1006="",C1006=0),"",IF(AND(OR($B$5="",G1006=$B$5,H1006=$B$5),OR($D$5="",F1006=$D$5),OR($E$5="",K1006=$E$5),OR($G$5="",L1006=$G$5),OR($H$5="",N(J1006)&gt;=$H$5),OR($I$5="",ISNUMBER(SEARCH($I$5,C1006&amp;" "&amp;D1006&amp;" "&amp;E1006&amp;" "&amp;I1006)))),"✓",""))</f>
        <v/>
      </c>
      <c r="B1006" s="39" t="n">
        <v>46263</v>
      </c>
      <c r="C1006" s="40" t="n">
        <f aca="false">'Aug 29'!$D$26</f>
        <v>0</v>
      </c>
      <c r="D1006" s="40" t="n">
        <f aca="false">'Aug 29'!$B$26</f>
        <v>0</v>
      </c>
      <c r="E1006" s="41" t="n">
        <f aca="false">'Aug 29'!$E$26</f>
        <v>0</v>
      </c>
      <c r="F1006" s="40" t="n">
        <f aca="false">'Aug 29'!$A$26</f>
        <v>0</v>
      </c>
      <c r="G1006" s="41" t="n">
        <f aca="false">'Aug 29'!$F$26</f>
        <v>0</v>
      </c>
      <c r="H1006" s="41" t="n">
        <f aca="false">'Aug 29'!$G$26</f>
        <v>0</v>
      </c>
      <c r="I1006" s="41" t="str">
        <f aca="false">'Aug 29'!$M$26</f>
        <v/>
      </c>
      <c r="J1006" s="42" t="str">
        <f aca="false">'Aug 29'!$S$26</f>
        <v/>
      </c>
      <c r="K1006" s="40" t="n">
        <f aca="false">'Aug 29'!$AG$26</f>
        <v>0</v>
      </c>
      <c r="L1006" s="40" t="n">
        <f aca="false">'Aug 29'!$N$26</f>
        <v>0</v>
      </c>
    </row>
    <row r="1007" customFormat="false" ht="15" hidden="false" customHeight="false" outlineLevel="0" collapsed="false">
      <c r="A1007" s="38" t="str">
        <f aca="false">IF(OR(C1007="",C1007=0),"",IF(AND(OR($B$5="",G1007=$B$5,H1007=$B$5),OR($D$5="",F1007=$D$5),OR($E$5="",K1007=$E$5),OR($G$5="",L1007=$G$5),OR($H$5="",N(J1007)&gt;=$H$5),OR($I$5="",ISNUMBER(SEARCH($I$5,C1007&amp;" "&amp;D1007&amp;" "&amp;E1007&amp;" "&amp;I1007)))),"✓",""))</f>
        <v/>
      </c>
      <c r="B1007" s="39" t="n">
        <v>46263</v>
      </c>
      <c r="C1007" s="40" t="n">
        <f aca="false">'Aug 29'!$D$27</f>
        <v>0</v>
      </c>
      <c r="D1007" s="40" t="n">
        <f aca="false">'Aug 29'!$B$27</f>
        <v>0</v>
      </c>
      <c r="E1007" s="41" t="n">
        <f aca="false">'Aug 29'!$E$27</f>
        <v>0</v>
      </c>
      <c r="F1007" s="40" t="n">
        <f aca="false">'Aug 29'!$A$27</f>
        <v>0</v>
      </c>
      <c r="G1007" s="41" t="n">
        <f aca="false">'Aug 29'!$F$27</f>
        <v>0</v>
      </c>
      <c r="H1007" s="41" t="n">
        <f aca="false">'Aug 29'!$G$27</f>
        <v>0</v>
      </c>
      <c r="I1007" s="41" t="str">
        <f aca="false">'Aug 29'!$M$27</f>
        <v/>
      </c>
      <c r="J1007" s="42" t="str">
        <f aca="false">'Aug 29'!$S$27</f>
        <v/>
      </c>
      <c r="K1007" s="40" t="n">
        <f aca="false">'Aug 29'!$AG$27</f>
        <v>0</v>
      </c>
      <c r="L1007" s="40" t="n">
        <f aca="false">'Aug 29'!$N$27</f>
        <v>0</v>
      </c>
    </row>
    <row r="1008" customFormat="false" ht="15" hidden="false" customHeight="false" outlineLevel="0" collapsed="false">
      <c r="A1008" s="38" t="str">
        <f aca="false">IF(OR(C1008="",C1008=0),"",IF(AND(OR($B$5="",G1008=$B$5,H1008=$B$5),OR($D$5="",F1008=$D$5),OR($E$5="",K1008=$E$5),OR($G$5="",L1008=$G$5),OR($H$5="",N(J1008)&gt;=$H$5),OR($I$5="",ISNUMBER(SEARCH($I$5,C1008&amp;" "&amp;D1008&amp;" "&amp;E1008&amp;" "&amp;I1008)))),"✓",""))</f>
        <v/>
      </c>
      <c r="B1008" s="39" t="n">
        <v>46263</v>
      </c>
      <c r="C1008" s="40" t="n">
        <f aca="false">'Aug 29'!$D$28</f>
        <v>0</v>
      </c>
      <c r="D1008" s="40" t="n">
        <f aca="false">'Aug 29'!$B$28</f>
        <v>0</v>
      </c>
      <c r="E1008" s="41" t="n">
        <f aca="false">'Aug 29'!$E$28</f>
        <v>0</v>
      </c>
      <c r="F1008" s="40" t="n">
        <f aca="false">'Aug 29'!$A$28</f>
        <v>0</v>
      </c>
      <c r="G1008" s="41" t="n">
        <f aca="false">'Aug 29'!$F$28</f>
        <v>0</v>
      </c>
      <c r="H1008" s="41" t="n">
        <f aca="false">'Aug 29'!$G$28</f>
        <v>0</v>
      </c>
      <c r="I1008" s="41" t="str">
        <f aca="false">'Aug 29'!$M$28</f>
        <v/>
      </c>
      <c r="J1008" s="42" t="str">
        <f aca="false">'Aug 29'!$S$28</f>
        <v/>
      </c>
      <c r="K1008" s="40" t="n">
        <f aca="false">'Aug 29'!$AG$28</f>
        <v>0</v>
      </c>
      <c r="L1008" s="40" t="n">
        <f aca="false">'Aug 29'!$N$28</f>
        <v>0</v>
      </c>
    </row>
    <row r="1009" customFormat="false" ht="15" hidden="false" customHeight="false" outlineLevel="0" collapsed="false">
      <c r="A1009" s="38" t="str">
        <f aca="false">IF(OR(C1009="",C1009=0),"",IF(AND(OR($B$5="",G1009=$B$5,H1009=$B$5),OR($D$5="",F1009=$D$5),OR($E$5="",K1009=$E$5),OR($G$5="",L1009=$G$5),OR($H$5="",N(J1009)&gt;=$H$5),OR($I$5="",ISNUMBER(SEARCH($I$5,C1009&amp;" "&amp;D1009&amp;" "&amp;E1009&amp;" "&amp;I1009)))),"✓",""))</f>
        <v/>
      </c>
      <c r="B1009" s="39" t="n">
        <v>46263</v>
      </c>
      <c r="C1009" s="40" t="n">
        <f aca="false">'Aug 29'!$D$29</f>
        <v>0</v>
      </c>
      <c r="D1009" s="40" t="n">
        <f aca="false">'Aug 29'!$B$29</f>
        <v>0</v>
      </c>
      <c r="E1009" s="41" t="n">
        <f aca="false">'Aug 29'!$E$29</f>
        <v>0</v>
      </c>
      <c r="F1009" s="40" t="n">
        <f aca="false">'Aug 29'!$A$29</f>
        <v>0</v>
      </c>
      <c r="G1009" s="41" t="n">
        <f aca="false">'Aug 29'!$F$29</f>
        <v>0</v>
      </c>
      <c r="H1009" s="41" t="n">
        <f aca="false">'Aug 29'!$G$29</f>
        <v>0</v>
      </c>
      <c r="I1009" s="41" t="str">
        <f aca="false">'Aug 29'!$M$29</f>
        <v/>
      </c>
      <c r="J1009" s="42" t="str">
        <f aca="false">'Aug 29'!$S$29</f>
        <v/>
      </c>
      <c r="K1009" s="40" t="n">
        <f aca="false">'Aug 29'!$AG$29</f>
        <v>0</v>
      </c>
      <c r="L1009" s="40" t="n">
        <f aca="false">'Aug 29'!$N$29</f>
        <v>0</v>
      </c>
    </row>
    <row r="1010" customFormat="false" ht="15" hidden="false" customHeight="false" outlineLevel="0" collapsed="false">
      <c r="A1010" s="38" t="str">
        <f aca="false">IF(OR(C1010="",C1010=0),"",IF(AND(OR($B$5="",G1010=$B$5,H1010=$B$5),OR($D$5="",F1010=$D$5),OR($E$5="",K1010=$E$5),OR($G$5="",L1010=$G$5),OR($H$5="",N(J1010)&gt;=$H$5),OR($I$5="",ISNUMBER(SEARCH($I$5,C1010&amp;" "&amp;D1010&amp;" "&amp;E1010&amp;" "&amp;I1010)))),"✓",""))</f>
        <v/>
      </c>
      <c r="B1010" s="39" t="n">
        <v>46263</v>
      </c>
      <c r="C1010" s="40" t="n">
        <f aca="false">'Aug 29'!$D$30</f>
        <v>0</v>
      </c>
      <c r="D1010" s="40" t="n">
        <f aca="false">'Aug 29'!$B$30</f>
        <v>0</v>
      </c>
      <c r="E1010" s="41" t="n">
        <f aca="false">'Aug 29'!$E$30</f>
        <v>0</v>
      </c>
      <c r="F1010" s="40" t="n">
        <f aca="false">'Aug 29'!$A$30</f>
        <v>0</v>
      </c>
      <c r="G1010" s="41" t="n">
        <f aca="false">'Aug 29'!$F$30</f>
        <v>0</v>
      </c>
      <c r="H1010" s="41" t="n">
        <f aca="false">'Aug 29'!$G$30</f>
        <v>0</v>
      </c>
      <c r="I1010" s="41" t="str">
        <f aca="false">'Aug 29'!$M$30</f>
        <v/>
      </c>
      <c r="J1010" s="42" t="str">
        <f aca="false">'Aug 29'!$S$30</f>
        <v/>
      </c>
      <c r="K1010" s="40" t="n">
        <f aca="false">'Aug 29'!$AG$30</f>
        <v>0</v>
      </c>
      <c r="L1010" s="40" t="n">
        <f aca="false">'Aug 29'!$N$30</f>
        <v>0</v>
      </c>
    </row>
    <row r="1011" customFormat="false" ht="15" hidden="false" customHeight="false" outlineLevel="0" collapsed="false">
      <c r="A1011" s="38" t="str">
        <f aca="false">IF(OR(C1011="",C1011=0),"",IF(AND(OR($B$5="",G1011=$B$5,H1011=$B$5),OR($D$5="",F1011=$D$5),OR($E$5="",K1011=$E$5),OR($G$5="",L1011=$G$5),OR($H$5="",N(J1011)&gt;=$H$5),OR($I$5="",ISNUMBER(SEARCH($I$5,C1011&amp;" "&amp;D1011&amp;" "&amp;E1011&amp;" "&amp;I1011)))),"✓",""))</f>
        <v/>
      </c>
      <c r="B1011" s="39" t="n">
        <v>46263</v>
      </c>
      <c r="C1011" s="40" t="n">
        <f aca="false">'Aug 29'!$D$31</f>
        <v>0</v>
      </c>
      <c r="D1011" s="40" t="n">
        <f aca="false">'Aug 29'!$B$31</f>
        <v>0</v>
      </c>
      <c r="E1011" s="41" t="n">
        <f aca="false">'Aug 29'!$E$31</f>
        <v>0</v>
      </c>
      <c r="F1011" s="40" t="n">
        <f aca="false">'Aug 29'!$A$31</f>
        <v>0</v>
      </c>
      <c r="G1011" s="41" t="n">
        <f aca="false">'Aug 29'!$F$31</f>
        <v>0</v>
      </c>
      <c r="H1011" s="41" t="n">
        <f aca="false">'Aug 29'!$G$31</f>
        <v>0</v>
      </c>
      <c r="I1011" s="41" t="str">
        <f aca="false">'Aug 29'!$M$31</f>
        <v/>
      </c>
      <c r="J1011" s="42" t="str">
        <f aca="false">'Aug 29'!$S$31</f>
        <v/>
      </c>
      <c r="K1011" s="40" t="n">
        <f aca="false">'Aug 29'!$AG$31</f>
        <v>0</v>
      </c>
      <c r="L1011" s="40" t="n">
        <f aca="false">'Aug 29'!$N$31</f>
        <v>0</v>
      </c>
    </row>
    <row r="1012" customFormat="false" ht="15" hidden="false" customHeight="false" outlineLevel="0" collapsed="false">
      <c r="A1012" s="38" t="str">
        <f aca="false">IF(OR(C1012="",C1012=0),"",IF(AND(OR($B$5="",G1012=$B$5,H1012=$B$5),OR($D$5="",F1012=$D$5),OR($E$5="",K1012=$E$5),OR($G$5="",L1012=$G$5),OR($H$5="",N(J1012)&gt;=$H$5),OR($I$5="",ISNUMBER(SEARCH($I$5,C1012&amp;" "&amp;D1012&amp;" "&amp;E1012&amp;" "&amp;I1012)))),"✓",""))</f>
        <v/>
      </c>
      <c r="B1012" s="39" t="n">
        <v>46263</v>
      </c>
      <c r="C1012" s="40" t="n">
        <f aca="false">'Aug 29'!$D$32</f>
        <v>0</v>
      </c>
      <c r="D1012" s="40" t="n">
        <f aca="false">'Aug 29'!$B$32</f>
        <v>0</v>
      </c>
      <c r="E1012" s="41" t="n">
        <f aca="false">'Aug 29'!$E$32</f>
        <v>0</v>
      </c>
      <c r="F1012" s="40" t="n">
        <f aca="false">'Aug 29'!$A$32</f>
        <v>0</v>
      </c>
      <c r="G1012" s="41" t="n">
        <f aca="false">'Aug 29'!$F$32</f>
        <v>0</v>
      </c>
      <c r="H1012" s="41" t="n">
        <f aca="false">'Aug 29'!$G$32</f>
        <v>0</v>
      </c>
      <c r="I1012" s="41" t="str">
        <f aca="false">'Aug 29'!$M$32</f>
        <v/>
      </c>
      <c r="J1012" s="42" t="str">
        <f aca="false">'Aug 29'!$S$32</f>
        <v/>
      </c>
      <c r="K1012" s="40" t="n">
        <f aca="false">'Aug 29'!$AG$32</f>
        <v>0</v>
      </c>
      <c r="L1012" s="40" t="n">
        <f aca="false">'Aug 29'!$N$32</f>
        <v>0</v>
      </c>
    </row>
    <row r="1013" customFormat="false" ht="15" hidden="false" customHeight="false" outlineLevel="0" collapsed="false">
      <c r="A1013" s="38" t="str">
        <f aca="false">IF(OR(C1013="",C1013=0),"",IF(AND(OR($B$5="",G1013=$B$5,H1013=$B$5),OR($D$5="",F1013=$D$5),OR($E$5="",K1013=$E$5),OR($G$5="",L1013=$G$5),OR($H$5="",N(J1013)&gt;=$H$5),OR($I$5="",ISNUMBER(SEARCH($I$5,C1013&amp;" "&amp;D1013&amp;" "&amp;E1013&amp;" "&amp;I1013)))),"✓",""))</f>
        <v/>
      </c>
      <c r="B1013" s="39" t="n">
        <v>46263</v>
      </c>
      <c r="C1013" s="40" t="n">
        <f aca="false">'Aug 29'!$D$33</f>
        <v>0</v>
      </c>
      <c r="D1013" s="40" t="n">
        <f aca="false">'Aug 29'!$B$33</f>
        <v>0</v>
      </c>
      <c r="E1013" s="41" t="n">
        <f aca="false">'Aug 29'!$E$33</f>
        <v>0</v>
      </c>
      <c r="F1013" s="40" t="n">
        <f aca="false">'Aug 29'!$A$33</f>
        <v>0</v>
      </c>
      <c r="G1013" s="41" t="n">
        <f aca="false">'Aug 29'!$F$33</f>
        <v>0</v>
      </c>
      <c r="H1013" s="41" t="n">
        <f aca="false">'Aug 29'!$G$33</f>
        <v>0</v>
      </c>
      <c r="I1013" s="41" t="str">
        <f aca="false">'Aug 29'!$M$33</f>
        <v/>
      </c>
      <c r="J1013" s="42" t="str">
        <f aca="false">'Aug 29'!$S$33</f>
        <v/>
      </c>
      <c r="K1013" s="40" t="n">
        <f aca="false">'Aug 29'!$AG$33</f>
        <v>0</v>
      </c>
      <c r="L1013" s="40" t="n">
        <f aca="false">'Aug 29'!$N$33</f>
        <v>0</v>
      </c>
    </row>
    <row r="1014" customFormat="false" ht="15" hidden="false" customHeight="false" outlineLevel="0" collapsed="false">
      <c r="A1014" s="38" t="str">
        <f aca="false">IF(OR(C1014="",C1014=0),"",IF(AND(OR($B$5="",G1014=$B$5,H1014=$B$5),OR($D$5="",F1014=$D$5),OR($E$5="",K1014=$E$5),OR($G$5="",L1014=$G$5),OR($H$5="",N(J1014)&gt;=$H$5),OR($I$5="",ISNUMBER(SEARCH($I$5,C1014&amp;" "&amp;D1014&amp;" "&amp;E1014&amp;" "&amp;I1014)))),"✓",""))</f>
        <v/>
      </c>
      <c r="B1014" s="39" t="n">
        <v>46263</v>
      </c>
      <c r="C1014" s="40" t="n">
        <f aca="false">'Aug 29'!$D$34</f>
        <v>0</v>
      </c>
      <c r="D1014" s="40" t="n">
        <f aca="false">'Aug 29'!$B$34</f>
        <v>0</v>
      </c>
      <c r="E1014" s="41" t="n">
        <f aca="false">'Aug 29'!$E$34</f>
        <v>0</v>
      </c>
      <c r="F1014" s="40" t="n">
        <f aca="false">'Aug 29'!$A$34</f>
        <v>0</v>
      </c>
      <c r="G1014" s="41" t="n">
        <f aca="false">'Aug 29'!$F$34</f>
        <v>0</v>
      </c>
      <c r="H1014" s="41" t="n">
        <f aca="false">'Aug 29'!$G$34</f>
        <v>0</v>
      </c>
      <c r="I1014" s="41" t="str">
        <f aca="false">'Aug 29'!$M$34</f>
        <v/>
      </c>
      <c r="J1014" s="42" t="str">
        <f aca="false">'Aug 29'!$S$34</f>
        <v/>
      </c>
      <c r="K1014" s="40" t="n">
        <f aca="false">'Aug 29'!$AG$34</f>
        <v>0</v>
      </c>
      <c r="L1014" s="40" t="n">
        <f aca="false">'Aug 29'!$N$34</f>
        <v>0</v>
      </c>
    </row>
    <row r="1015" customFormat="false" ht="15" hidden="false" customHeight="false" outlineLevel="0" collapsed="false">
      <c r="A1015" s="38" t="str">
        <f aca="false">IF(OR(C1015="",C1015=0),"",IF(AND(OR($B$5="",G1015=$B$5,H1015=$B$5),OR($D$5="",F1015=$D$5),OR($E$5="",K1015=$E$5),OR($G$5="",L1015=$G$5),OR($H$5="",N(J1015)&gt;=$H$5),OR($I$5="",ISNUMBER(SEARCH($I$5,C1015&amp;" "&amp;D1015&amp;" "&amp;E1015&amp;" "&amp;I1015)))),"✓",""))</f>
        <v/>
      </c>
      <c r="B1015" s="39" t="n">
        <v>46263</v>
      </c>
      <c r="C1015" s="40" t="n">
        <f aca="false">'Aug 29'!$D$35</f>
        <v>0</v>
      </c>
      <c r="D1015" s="40" t="n">
        <f aca="false">'Aug 29'!$B$35</f>
        <v>0</v>
      </c>
      <c r="E1015" s="41" t="n">
        <f aca="false">'Aug 29'!$E$35</f>
        <v>0</v>
      </c>
      <c r="F1015" s="40" t="n">
        <f aca="false">'Aug 29'!$A$35</f>
        <v>0</v>
      </c>
      <c r="G1015" s="41" t="n">
        <f aca="false">'Aug 29'!$F$35</f>
        <v>0</v>
      </c>
      <c r="H1015" s="41" t="n">
        <f aca="false">'Aug 29'!$G$35</f>
        <v>0</v>
      </c>
      <c r="I1015" s="41" t="str">
        <f aca="false">'Aug 29'!$M$35</f>
        <v/>
      </c>
      <c r="J1015" s="42" t="str">
        <f aca="false">'Aug 29'!$S$35</f>
        <v/>
      </c>
      <c r="K1015" s="40" t="n">
        <f aca="false">'Aug 29'!$AG$35</f>
        <v>0</v>
      </c>
      <c r="L1015" s="40" t="n">
        <f aca="false">'Aug 29'!$N$35</f>
        <v>0</v>
      </c>
    </row>
    <row r="1016" customFormat="false" ht="15" hidden="false" customHeight="false" outlineLevel="0" collapsed="false">
      <c r="A1016" s="38" t="str">
        <f aca="false">IF(OR(C1016="",C1016=0),"",IF(AND(OR($B$5="",G1016=$B$5,H1016=$B$5),OR($D$5="",F1016=$D$5),OR($E$5="",K1016=$E$5),OR($G$5="",L1016=$G$5),OR($H$5="",N(J1016)&gt;=$H$5),OR($I$5="",ISNUMBER(SEARCH($I$5,C1016&amp;" "&amp;D1016&amp;" "&amp;E1016&amp;" "&amp;I1016)))),"✓",""))</f>
        <v/>
      </c>
      <c r="B1016" s="39" t="n">
        <v>46263</v>
      </c>
      <c r="C1016" s="40" t="n">
        <f aca="false">'Aug 29'!$D$36</f>
        <v>0</v>
      </c>
      <c r="D1016" s="40" t="n">
        <f aca="false">'Aug 29'!$B$36</f>
        <v>0</v>
      </c>
      <c r="E1016" s="41" t="n">
        <f aca="false">'Aug 29'!$E$36</f>
        <v>0</v>
      </c>
      <c r="F1016" s="40" t="n">
        <f aca="false">'Aug 29'!$A$36</f>
        <v>0</v>
      </c>
      <c r="G1016" s="41" t="n">
        <f aca="false">'Aug 29'!$F$36</f>
        <v>0</v>
      </c>
      <c r="H1016" s="41" t="n">
        <f aca="false">'Aug 29'!$G$36</f>
        <v>0</v>
      </c>
      <c r="I1016" s="41" t="str">
        <f aca="false">'Aug 29'!$M$36</f>
        <v/>
      </c>
      <c r="J1016" s="42" t="str">
        <f aca="false">'Aug 29'!$S$36</f>
        <v/>
      </c>
      <c r="K1016" s="40" t="n">
        <f aca="false">'Aug 29'!$AG$36</f>
        <v>0</v>
      </c>
      <c r="L1016" s="40" t="n">
        <f aca="false">'Aug 29'!$N$36</f>
        <v>0</v>
      </c>
    </row>
    <row r="1017" customFormat="false" ht="15" hidden="false" customHeight="false" outlineLevel="0" collapsed="false">
      <c r="A1017" s="38" t="str">
        <f aca="false">IF(OR(C1017="",C1017=0),"",IF(AND(OR($B$5="",G1017=$B$5,H1017=$B$5),OR($D$5="",F1017=$D$5),OR($E$5="",K1017=$E$5),OR($G$5="",L1017=$G$5),OR($H$5="",N(J1017)&gt;=$H$5),OR($I$5="",ISNUMBER(SEARCH($I$5,C1017&amp;" "&amp;D1017&amp;" "&amp;E1017&amp;" "&amp;I1017)))),"✓",""))</f>
        <v/>
      </c>
      <c r="B1017" s="39" t="n">
        <v>46263</v>
      </c>
      <c r="C1017" s="40" t="n">
        <f aca="false">'Aug 29'!$D$37</f>
        <v>0</v>
      </c>
      <c r="D1017" s="40" t="n">
        <f aca="false">'Aug 29'!$B$37</f>
        <v>0</v>
      </c>
      <c r="E1017" s="41" t="n">
        <f aca="false">'Aug 29'!$E$37</f>
        <v>0</v>
      </c>
      <c r="F1017" s="40" t="n">
        <f aca="false">'Aug 29'!$A$37</f>
        <v>0</v>
      </c>
      <c r="G1017" s="41" t="n">
        <f aca="false">'Aug 29'!$F$37</f>
        <v>0</v>
      </c>
      <c r="H1017" s="41" t="n">
        <f aca="false">'Aug 29'!$G$37</f>
        <v>0</v>
      </c>
      <c r="I1017" s="41" t="str">
        <f aca="false">'Aug 29'!$M$37</f>
        <v/>
      </c>
      <c r="J1017" s="42" t="str">
        <f aca="false">'Aug 29'!$S$37</f>
        <v/>
      </c>
      <c r="K1017" s="40" t="n">
        <f aca="false">'Aug 29'!$AG$37</f>
        <v>0</v>
      </c>
      <c r="L1017" s="40" t="n">
        <f aca="false">'Aug 29'!$N$37</f>
        <v>0</v>
      </c>
    </row>
    <row r="1018" customFormat="false" ht="15" hidden="false" customHeight="false" outlineLevel="0" collapsed="false">
      <c r="A1018" s="38" t="str">
        <f aca="false">IF(OR(C1018="",C1018=0),"",IF(AND(OR($B$5="",G1018=$B$5,H1018=$B$5),OR($D$5="",F1018=$D$5),OR($E$5="",K1018=$E$5),OR($G$5="",L1018=$G$5),OR($H$5="",N(J1018)&gt;=$H$5),OR($I$5="",ISNUMBER(SEARCH($I$5,C1018&amp;" "&amp;D1018&amp;" "&amp;E1018&amp;" "&amp;I1018)))),"✓",""))</f>
        <v/>
      </c>
      <c r="B1018" s="39" t="n">
        <v>46263</v>
      </c>
      <c r="C1018" s="40" t="n">
        <f aca="false">'Aug 29'!$D$38</f>
        <v>0</v>
      </c>
      <c r="D1018" s="40" t="n">
        <f aca="false">'Aug 29'!$B$38</f>
        <v>0</v>
      </c>
      <c r="E1018" s="41" t="n">
        <f aca="false">'Aug 29'!$E$38</f>
        <v>0</v>
      </c>
      <c r="F1018" s="40" t="n">
        <f aca="false">'Aug 29'!$A$38</f>
        <v>0</v>
      </c>
      <c r="G1018" s="41" t="n">
        <f aca="false">'Aug 29'!$F$38</f>
        <v>0</v>
      </c>
      <c r="H1018" s="41" t="n">
        <f aca="false">'Aug 29'!$G$38</f>
        <v>0</v>
      </c>
      <c r="I1018" s="41" t="str">
        <f aca="false">'Aug 29'!$M$38</f>
        <v/>
      </c>
      <c r="J1018" s="42" t="str">
        <f aca="false">'Aug 29'!$S$38</f>
        <v/>
      </c>
      <c r="K1018" s="40" t="n">
        <f aca="false">'Aug 29'!$AG$38</f>
        <v>0</v>
      </c>
      <c r="L1018" s="40" t="n">
        <f aca="false">'Aug 29'!$N$38</f>
        <v>0</v>
      </c>
    </row>
    <row r="1019" customFormat="false" ht="15" hidden="false" customHeight="false" outlineLevel="0" collapsed="false">
      <c r="A1019" s="38" t="str">
        <f aca="false">IF(OR(C1019="",C1019=0),"",IF(AND(OR($B$5="",G1019=$B$5,H1019=$B$5),OR($D$5="",F1019=$D$5),OR($E$5="",K1019=$E$5),OR($G$5="",L1019=$G$5),OR($H$5="",N(J1019)&gt;=$H$5),OR($I$5="",ISNUMBER(SEARCH($I$5,C1019&amp;" "&amp;D1019&amp;" "&amp;E1019&amp;" "&amp;I1019)))),"✓",""))</f>
        <v/>
      </c>
      <c r="B1019" s="39" t="n">
        <v>46263</v>
      </c>
      <c r="C1019" s="40" t="n">
        <f aca="false">'Aug 29'!$D$39</f>
        <v>0</v>
      </c>
      <c r="D1019" s="40" t="n">
        <f aca="false">'Aug 29'!$B$39</f>
        <v>0</v>
      </c>
      <c r="E1019" s="41" t="n">
        <f aca="false">'Aug 29'!$E$39</f>
        <v>0</v>
      </c>
      <c r="F1019" s="40" t="n">
        <f aca="false">'Aug 29'!$A$39</f>
        <v>0</v>
      </c>
      <c r="G1019" s="41" t="n">
        <f aca="false">'Aug 29'!$F$39</f>
        <v>0</v>
      </c>
      <c r="H1019" s="41" t="n">
        <f aca="false">'Aug 29'!$G$39</f>
        <v>0</v>
      </c>
      <c r="I1019" s="41" t="str">
        <f aca="false">'Aug 29'!$M$39</f>
        <v/>
      </c>
      <c r="J1019" s="42" t="str">
        <f aca="false">'Aug 29'!$S$39</f>
        <v/>
      </c>
      <c r="K1019" s="40" t="n">
        <f aca="false">'Aug 29'!$AG$39</f>
        <v>0</v>
      </c>
      <c r="L1019" s="40" t="n">
        <f aca="false">'Aug 29'!$N$39</f>
        <v>0</v>
      </c>
    </row>
    <row r="1020" customFormat="false" ht="15" hidden="false" customHeight="false" outlineLevel="0" collapsed="false">
      <c r="A1020" s="38" t="str">
        <f aca="false">IF(OR(C1020="",C1020=0),"",IF(AND(OR($B$5="",G1020=$B$5,H1020=$B$5),OR($D$5="",F1020=$D$5),OR($E$5="",K1020=$E$5),OR($G$5="",L1020=$G$5),OR($H$5="",N(J1020)&gt;=$H$5),OR($I$5="",ISNUMBER(SEARCH($I$5,C1020&amp;" "&amp;D1020&amp;" "&amp;E1020&amp;" "&amp;I1020)))),"✓",""))</f>
        <v/>
      </c>
      <c r="B1020" s="39" t="n">
        <v>46263</v>
      </c>
      <c r="C1020" s="40" t="n">
        <f aca="false">'Aug 29'!$D$40</f>
        <v>0</v>
      </c>
      <c r="D1020" s="40" t="n">
        <f aca="false">'Aug 29'!$B$40</f>
        <v>0</v>
      </c>
      <c r="E1020" s="41" t="n">
        <f aca="false">'Aug 29'!$E$40</f>
        <v>0</v>
      </c>
      <c r="F1020" s="40" t="n">
        <f aca="false">'Aug 29'!$A$40</f>
        <v>0</v>
      </c>
      <c r="G1020" s="41" t="n">
        <f aca="false">'Aug 29'!$F$40</f>
        <v>0</v>
      </c>
      <c r="H1020" s="41" t="n">
        <f aca="false">'Aug 29'!$G$40</f>
        <v>0</v>
      </c>
      <c r="I1020" s="41" t="str">
        <f aca="false">'Aug 29'!$M$40</f>
        <v/>
      </c>
      <c r="J1020" s="42" t="str">
        <f aca="false">'Aug 29'!$S$40</f>
        <v/>
      </c>
      <c r="K1020" s="40" t="n">
        <f aca="false">'Aug 29'!$AG$40</f>
        <v>0</v>
      </c>
      <c r="L1020" s="40" t="n">
        <f aca="false">'Aug 29'!$N$40</f>
        <v>0</v>
      </c>
    </row>
    <row r="1021" customFormat="false" ht="15" hidden="false" customHeight="false" outlineLevel="0" collapsed="false">
      <c r="A1021" s="38" t="str">
        <f aca="false">IF(OR(C1021="",C1021=0),"",IF(AND(OR($B$5="",G1021=$B$5,H1021=$B$5),OR($D$5="",F1021=$D$5),OR($E$5="",K1021=$E$5),OR($G$5="",L1021=$G$5),OR($H$5="",N(J1021)&gt;=$H$5),OR($I$5="",ISNUMBER(SEARCH($I$5,C1021&amp;" "&amp;D1021&amp;" "&amp;E1021&amp;" "&amp;I1021)))),"✓",""))</f>
        <v/>
      </c>
      <c r="B1021" s="39" t="n">
        <v>46263</v>
      </c>
      <c r="C1021" s="40" t="n">
        <f aca="false">'Aug 29'!$D$41</f>
        <v>0</v>
      </c>
      <c r="D1021" s="40" t="n">
        <f aca="false">'Aug 29'!$B$41</f>
        <v>0</v>
      </c>
      <c r="E1021" s="41" t="n">
        <f aca="false">'Aug 29'!$E$41</f>
        <v>0</v>
      </c>
      <c r="F1021" s="40" t="n">
        <f aca="false">'Aug 29'!$A$41</f>
        <v>0</v>
      </c>
      <c r="G1021" s="41" t="n">
        <f aca="false">'Aug 29'!$F$41</f>
        <v>0</v>
      </c>
      <c r="H1021" s="41" t="n">
        <f aca="false">'Aug 29'!$G$41</f>
        <v>0</v>
      </c>
      <c r="I1021" s="41" t="str">
        <f aca="false">'Aug 29'!$M$41</f>
        <v/>
      </c>
      <c r="J1021" s="42" t="str">
        <f aca="false">'Aug 29'!$S$41</f>
        <v/>
      </c>
      <c r="K1021" s="40" t="n">
        <f aca="false">'Aug 29'!$AG$41</f>
        <v>0</v>
      </c>
      <c r="L1021" s="40" t="n">
        <f aca="false">'Aug 29'!$N$41</f>
        <v>0</v>
      </c>
    </row>
    <row r="1022" customFormat="false" ht="15" hidden="false" customHeight="false" outlineLevel="0" collapsed="false">
      <c r="A1022" s="38" t="str">
        <f aca="false">IF(OR(C1022="",C1022=0),"",IF(AND(OR($B$5="",G1022=$B$5,H1022=$B$5),OR($D$5="",F1022=$D$5),OR($E$5="",K1022=$E$5),OR($G$5="",L1022=$G$5),OR($H$5="",N(J1022)&gt;=$H$5),OR($I$5="",ISNUMBER(SEARCH($I$5,C1022&amp;" "&amp;D1022&amp;" "&amp;E1022&amp;" "&amp;I1022)))),"✓",""))</f>
        <v/>
      </c>
      <c r="B1022" s="39" t="n">
        <v>46263</v>
      </c>
      <c r="C1022" s="40" t="n">
        <f aca="false">'Aug 29'!$D$42</f>
        <v>0</v>
      </c>
      <c r="D1022" s="40" t="n">
        <f aca="false">'Aug 29'!$B$42</f>
        <v>0</v>
      </c>
      <c r="E1022" s="41" t="n">
        <f aca="false">'Aug 29'!$E$42</f>
        <v>0</v>
      </c>
      <c r="F1022" s="40" t="n">
        <f aca="false">'Aug 29'!$A$42</f>
        <v>0</v>
      </c>
      <c r="G1022" s="41" t="n">
        <f aca="false">'Aug 29'!$F$42</f>
        <v>0</v>
      </c>
      <c r="H1022" s="41" t="n">
        <f aca="false">'Aug 29'!$G$42</f>
        <v>0</v>
      </c>
      <c r="I1022" s="41" t="str">
        <f aca="false">'Aug 29'!$M$42</f>
        <v/>
      </c>
      <c r="J1022" s="42" t="str">
        <f aca="false">'Aug 29'!$S$42</f>
        <v/>
      </c>
      <c r="K1022" s="40" t="n">
        <f aca="false">'Aug 29'!$AG$42</f>
        <v>0</v>
      </c>
      <c r="L1022" s="40" t="n">
        <f aca="false">'Aug 29'!$N$42</f>
        <v>0</v>
      </c>
    </row>
    <row r="1023" customFormat="false" ht="15" hidden="false" customHeight="false" outlineLevel="0" collapsed="false">
      <c r="A1023" s="38" t="str">
        <f aca="false">IF(OR(C1023="",C1023=0),"",IF(AND(OR($B$5="",G1023=$B$5,H1023=$B$5),OR($D$5="",F1023=$D$5),OR($E$5="",K1023=$E$5),OR($G$5="",L1023=$G$5),OR($H$5="",N(J1023)&gt;=$H$5),OR($I$5="",ISNUMBER(SEARCH($I$5,C1023&amp;" "&amp;D1023&amp;" "&amp;E1023&amp;" "&amp;I1023)))),"✓",""))</f>
        <v/>
      </c>
      <c r="B1023" s="39" t="n">
        <v>46264</v>
      </c>
      <c r="C1023" s="40" t="n">
        <f aca="false">'Aug 30'!$D$8</f>
        <v>0</v>
      </c>
      <c r="D1023" s="40" t="n">
        <f aca="false">'Aug 30'!$B$8</f>
        <v>0</v>
      </c>
      <c r="E1023" s="41" t="n">
        <f aca="false">'Aug 30'!$E$8</f>
        <v>0</v>
      </c>
      <c r="F1023" s="40" t="n">
        <f aca="false">'Aug 30'!$A$8</f>
        <v>0</v>
      </c>
      <c r="G1023" s="41" t="n">
        <f aca="false">'Aug 30'!$F$8</f>
        <v>0</v>
      </c>
      <c r="H1023" s="41" t="n">
        <f aca="false">'Aug 30'!$G$8</f>
        <v>0</v>
      </c>
      <c r="I1023" s="41" t="str">
        <f aca="false">'Aug 30'!$M$8</f>
        <v/>
      </c>
      <c r="J1023" s="42" t="str">
        <f aca="false">'Aug 30'!$S$8</f>
        <v/>
      </c>
      <c r="K1023" s="40" t="n">
        <f aca="false">'Aug 30'!$AG$8</f>
        <v>0</v>
      </c>
      <c r="L1023" s="40" t="n">
        <f aca="false">'Aug 30'!$N$8</f>
        <v>0</v>
      </c>
    </row>
    <row r="1024" customFormat="false" ht="15" hidden="false" customHeight="false" outlineLevel="0" collapsed="false">
      <c r="A1024" s="38" t="str">
        <f aca="false">IF(OR(C1024="",C1024=0),"",IF(AND(OR($B$5="",G1024=$B$5,H1024=$B$5),OR($D$5="",F1024=$D$5),OR($E$5="",K1024=$E$5),OR($G$5="",L1024=$G$5),OR($H$5="",N(J1024)&gt;=$H$5),OR($I$5="",ISNUMBER(SEARCH($I$5,C1024&amp;" "&amp;D1024&amp;" "&amp;E1024&amp;" "&amp;I1024)))),"✓",""))</f>
        <v/>
      </c>
      <c r="B1024" s="39" t="n">
        <v>46264</v>
      </c>
      <c r="C1024" s="40" t="n">
        <f aca="false">'Aug 30'!$D$9</f>
        <v>0</v>
      </c>
      <c r="D1024" s="40" t="n">
        <f aca="false">'Aug 30'!$B$9</f>
        <v>0</v>
      </c>
      <c r="E1024" s="41" t="n">
        <f aca="false">'Aug 30'!$E$9</f>
        <v>0</v>
      </c>
      <c r="F1024" s="40" t="n">
        <f aca="false">'Aug 30'!$A$9</f>
        <v>0</v>
      </c>
      <c r="G1024" s="41" t="n">
        <f aca="false">'Aug 30'!$F$9</f>
        <v>0</v>
      </c>
      <c r="H1024" s="41" t="n">
        <f aca="false">'Aug 30'!$G$9</f>
        <v>0</v>
      </c>
      <c r="I1024" s="41" t="str">
        <f aca="false">'Aug 30'!$M$9</f>
        <v/>
      </c>
      <c r="J1024" s="42" t="str">
        <f aca="false">'Aug 30'!$S$9</f>
        <v/>
      </c>
      <c r="K1024" s="40" t="n">
        <f aca="false">'Aug 30'!$AG$9</f>
        <v>0</v>
      </c>
      <c r="L1024" s="40" t="n">
        <f aca="false">'Aug 30'!$N$9</f>
        <v>0</v>
      </c>
    </row>
    <row r="1025" customFormat="false" ht="15" hidden="false" customHeight="false" outlineLevel="0" collapsed="false">
      <c r="A1025" s="38" t="str">
        <f aca="false">IF(OR(C1025="",C1025=0),"",IF(AND(OR($B$5="",G1025=$B$5,H1025=$B$5),OR($D$5="",F1025=$D$5),OR($E$5="",K1025=$E$5),OR($G$5="",L1025=$G$5),OR($H$5="",N(J1025)&gt;=$H$5),OR($I$5="",ISNUMBER(SEARCH($I$5,C1025&amp;" "&amp;D1025&amp;" "&amp;E1025&amp;" "&amp;I1025)))),"✓",""))</f>
        <v/>
      </c>
      <c r="B1025" s="39" t="n">
        <v>46264</v>
      </c>
      <c r="C1025" s="40" t="n">
        <f aca="false">'Aug 30'!$D$10</f>
        <v>0</v>
      </c>
      <c r="D1025" s="40" t="n">
        <f aca="false">'Aug 30'!$B$10</f>
        <v>0</v>
      </c>
      <c r="E1025" s="41" t="n">
        <f aca="false">'Aug 30'!$E$10</f>
        <v>0</v>
      </c>
      <c r="F1025" s="40" t="n">
        <f aca="false">'Aug 30'!$A$10</f>
        <v>0</v>
      </c>
      <c r="G1025" s="41" t="n">
        <f aca="false">'Aug 30'!$F$10</f>
        <v>0</v>
      </c>
      <c r="H1025" s="41" t="n">
        <f aca="false">'Aug 30'!$G$10</f>
        <v>0</v>
      </c>
      <c r="I1025" s="41" t="str">
        <f aca="false">'Aug 30'!$M$10</f>
        <v/>
      </c>
      <c r="J1025" s="42" t="str">
        <f aca="false">'Aug 30'!$S$10</f>
        <v/>
      </c>
      <c r="K1025" s="40" t="n">
        <f aca="false">'Aug 30'!$AG$10</f>
        <v>0</v>
      </c>
      <c r="L1025" s="40" t="n">
        <f aca="false">'Aug 30'!$N$10</f>
        <v>0</v>
      </c>
    </row>
    <row r="1026" customFormat="false" ht="15" hidden="false" customHeight="false" outlineLevel="0" collapsed="false">
      <c r="A1026" s="38" t="str">
        <f aca="false">IF(OR(C1026="",C1026=0),"",IF(AND(OR($B$5="",G1026=$B$5,H1026=$B$5),OR($D$5="",F1026=$D$5),OR($E$5="",K1026=$E$5),OR($G$5="",L1026=$G$5),OR($H$5="",N(J1026)&gt;=$H$5),OR($I$5="",ISNUMBER(SEARCH($I$5,C1026&amp;" "&amp;D1026&amp;" "&amp;E1026&amp;" "&amp;I1026)))),"✓",""))</f>
        <v/>
      </c>
      <c r="B1026" s="39" t="n">
        <v>46264</v>
      </c>
      <c r="C1026" s="40" t="n">
        <f aca="false">'Aug 30'!$D$11</f>
        <v>0</v>
      </c>
      <c r="D1026" s="40" t="n">
        <f aca="false">'Aug 30'!$B$11</f>
        <v>0</v>
      </c>
      <c r="E1026" s="41" t="n">
        <f aca="false">'Aug 30'!$E$11</f>
        <v>0</v>
      </c>
      <c r="F1026" s="40" t="n">
        <f aca="false">'Aug 30'!$A$11</f>
        <v>0</v>
      </c>
      <c r="G1026" s="41" t="n">
        <f aca="false">'Aug 30'!$F$11</f>
        <v>0</v>
      </c>
      <c r="H1026" s="41" t="n">
        <f aca="false">'Aug 30'!$G$11</f>
        <v>0</v>
      </c>
      <c r="I1026" s="41" t="str">
        <f aca="false">'Aug 30'!$M$11</f>
        <v/>
      </c>
      <c r="J1026" s="42" t="str">
        <f aca="false">'Aug 30'!$S$11</f>
        <v/>
      </c>
      <c r="K1026" s="40" t="n">
        <f aca="false">'Aug 30'!$AG$11</f>
        <v>0</v>
      </c>
      <c r="L1026" s="40" t="n">
        <f aca="false">'Aug 30'!$N$11</f>
        <v>0</v>
      </c>
    </row>
    <row r="1027" customFormat="false" ht="15" hidden="false" customHeight="false" outlineLevel="0" collapsed="false">
      <c r="A1027" s="38" t="str">
        <f aca="false">IF(OR(C1027="",C1027=0),"",IF(AND(OR($B$5="",G1027=$B$5,H1027=$B$5),OR($D$5="",F1027=$D$5),OR($E$5="",K1027=$E$5),OR($G$5="",L1027=$G$5),OR($H$5="",N(J1027)&gt;=$H$5),OR($I$5="",ISNUMBER(SEARCH($I$5,C1027&amp;" "&amp;D1027&amp;" "&amp;E1027&amp;" "&amp;I1027)))),"✓",""))</f>
        <v/>
      </c>
      <c r="B1027" s="39" t="n">
        <v>46264</v>
      </c>
      <c r="C1027" s="40" t="n">
        <f aca="false">'Aug 30'!$D$12</f>
        <v>0</v>
      </c>
      <c r="D1027" s="40" t="n">
        <f aca="false">'Aug 30'!$B$12</f>
        <v>0</v>
      </c>
      <c r="E1027" s="41" t="n">
        <f aca="false">'Aug 30'!$E$12</f>
        <v>0</v>
      </c>
      <c r="F1027" s="40" t="n">
        <f aca="false">'Aug 30'!$A$12</f>
        <v>0</v>
      </c>
      <c r="G1027" s="41" t="n">
        <f aca="false">'Aug 30'!$F$12</f>
        <v>0</v>
      </c>
      <c r="H1027" s="41" t="n">
        <f aca="false">'Aug 30'!$G$12</f>
        <v>0</v>
      </c>
      <c r="I1027" s="41" t="str">
        <f aca="false">'Aug 30'!$M$12</f>
        <v/>
      </c>
      <c r="J1027" s="42" t="str">
        <f aca="false">'Aug 30'!$S$12</f>
        <v/>
      </c>
      <c r="K1027" s="40" t="n">
        <f aca="false">'Aug 30'!$AG$12</f>
        <v>0</v>
      </c>
      <c r="L1027" s="40" t="n">
        <f aca="false">'Aug 30'!$N$12</f>
        <v>0</v>
      </c>
    </row>
    <row r="1028" customFormat="false" ht="15" hidden="false" customHeight="false" outlineLevel="0" collapsed="false">
      <c r="A1028" s="38" t="str">
        <f aca="false">IF(OR(C1028="",C1028=0),"",IF(AND(OR($B$5="",G1028=$B$5,H1028=$B$5),OR($D$5="",F1028=$D$5),OR($E$5="",K1028=$E$5),OR($G$5="",L1028=$G$5),OR($H$5="",N(J1028)&gt;=$H$5),OR($I$5="",ISNUMBER(SEARCH($I$5,C1028&amp;" "&amp;D1028&amp;" "&amp;E1028&amp;" "&amp;I1028)))),"✓",""))</f>
        <v/>
      </c>
      <c r="B1028" s="39" t="n">
        <v>46264</v>
      </c>
      <c r="C1028" s="40" t="n">
        <f aca="false">'Aug 30'!$D$13</f>
        <v>0</v>
      </c>
      <c r="D1028" s="40" t="n">
        <f aca="false">'Aug 30'!$B$13</f>
        <v>0</v>
      </c>
      <c r="E1028" s="41" t="n">
        <f aca="false">'Aug 30'!$E$13</f>
        <v>0</v>
      </c>
      <c r="F1028" s="40" t="n">
        <f aca="false">'Aug 30'!$A$13</f>
        <v>0</v>
      </c>
      <c r="G1028" s="41" t="n">
        <f aca="false">'Aug 30'!$F$13</f>
        <v>0</v>
      </c>
      <c r="H1028" s="41" t="n">
        <f aca="false">'Aug 30'!$G$13</f>
        <v>0</v>
      </c>
      <c r="I1028" s="41" t="str">
        <f aca="false">'Aug 30'!$M$13</f>
        <v/>
      </c>
      <c r="J1028" s="42" t="str">
        <f aca="false">'Aug 30'!$S$13</f>
        <v/>
      </c>
      <c r="K1028" s="40" t="n">
        <f aca="false">'Aug 30'!$AG$13</f>
        <v>0</v>
      </c>
      <c r="L1028" s="40" t="n">
        <f aca="false">'Aug 30'!$N$13</f>
        <v>0</v>
      </c>
    </row>
    <row r="1029" customFormat="false" ht="15" hidden="false" customHeight="false" outlineLevel="0" collapsed="false">
      <c r="A1029" s="38" t="str">
        <f aca="false">IF(OR(C1029="",C1029=0),"",IF(AND(OR($B$5="",G1029=$B$5,H1029=$B$5),OR($D$5="",F1029=$D$5),OR($E$5="",K1029=$E$5),OR($G$5="",L1029=$G$5),OR($H$5="",N(J1029)&gt;=$H$5),OR($I$5="",ISNUMBER(SEARCH($I$5,C1029&amp;" "&amp;D1029&amp;" "&amp;E1029&amp;" "&amp;I1029)))),"✓",""))</f>
        <v/>
      </c>
      <c r="B1029" s="39" t="n">
        <v>46264</v>
      </c>
      <c r="C1029" s="40" t="n">
        <f aca="false">'Aug 30'!$D$14</f>
        <v>0</v>
      </c>
      <c r="D1029" s="40" t="n">
        <f aca="false">'Aug 30'!$B$14</f>
        <v>0</v>
      </c>
      <c r="E1029" s="41" t="n">
        <f aca="false">'Aug 30'!$E$14</f>
        <v>0</v>
      </c>
      <c r="F1029" s="40" t="n">
        <f aca="false">'Aug 30'!$A$14</f>
        <v>0</v>
      </c>
      <c r="G1029" s="41" t="n">
        <f aca="false">'Aug 30'!$F$14</f>
        <v>0</v>
      </c>
      <c r="H1029" s="41" t="n">
        <f aca="false">'Aug 30'!$G$14</f>
        <v>0</v>
      </c>
      <c r="I1029" s="41" t="str">
        <f aca="false">'Aug 30'!$M$14</f>
        <v/>
      </c>
      <c r="J1029" s="42" t="str">
        <f aca="false">'Aug 30'!$S$14</f>
        <v/>
      </c>
      <c r="K1029" s="40" t="n">
        <f aca="false">'Aug 30'!$AG$14</f>
        <v>0</v>
      </c>
      <c r="L1029" s="40" t="n">
        <f aca="false">'Aug 30'!$N$14</f>
        <v>0</v>
      </c>
    </row>
    <row r="1030" customFormat="false" ht="15" hidden="false" customHeight="false" outlineLevel="0" collapsed="false">
      <c r="A1030" s="38" t="str">
        <f aca="false">IF(OR(C1030="",C1030=0),"",IF(AND(OR($B$5="",G1030=$B$5,H1030=$B$5),OR($D$5="",F1030=$D$5),OR($E$5="",K1030=$E$5),OR($G$5="",L1030=$G$5),OR($H$5="",N(J1030)&gt;=$H$5),OR($I$5="",ISNUMBER(SEARCH($I$5,C1030&amp;" "&amp;D1030&amp;" "&amp;E1030&amp;" "&amp;I1030)))),"✓",""))</f>
        <v/>
      </c>
      <c r="B1030" s="39" t="n">
        <v>46264</v>
      </c>
      <c r="C1030" s="40" t="n">
        <f aca="false">'Aug 30'!$D$15</f>
        <v>0</v>
      </c>
      <c r="D1030" s="40" t="n">
        <f aca="false">'Aug 30'!$B$15</f>
        <v>0</v>
      </c>
      <c r="E1030" s="41" t="n">
        <f aca="false">'Aug 30'!$E$15</f>
        <v>0</v>
      </c>
      <c r="F1030" s="40" t="n">
        <f aca="false">'Aug 30'!$A$15</f>
        <v>0</v>
      </c>
      <c r="G1030" s="41" t="n">
        <f aca="false">'Aug 30'!$F$15</f>
        <v>0</v>
      </c>
      <c r="H1030" s="41" t="n">
        <f aca="false">'Aug 30'!$G$15</f>
        <v>0</v>
      </c>
      <c r="I1030" s="41" t="str">
        <f aca="false">'Aug 30'!$M$15</f>
        <v/>
      </c>
      <c r="J1030" s="42" t="str">
        <f aca="false">'Aug 30'!$S$15</f>
        <v/>
      </c>
      <c r="K1030" s="40" t="n">
        <f aca="false">'Aug 30'!$AG$15</f>
        <v>0</v>
      </c>
      <c r="L1030" s="40" t="n">
        <f aca="false">'Aug 30'!$N$15</f>
        <v>0</v>
      </c>
    </row>
    <row r="1031" customFormat="false" ht="15" hidden="false" customHeight="false" outlineLevel="0" collapsed="false">
      <c r="A1031" s="38" t="str">
        <f aca="false">IF(OR(C1031="",C1031=0),"",IF(AND(OR($B$5="",G1031=$B$5,H1031=$B$5),OR($D$5="",F1031=$D$5),OR($E$5="",K1031=$E$5),OR($G$5="",L1031=$G$5),OR($H$5="",N(J1031)&gt;=$H$5),OR($I$5="",ISNUMBER(SEARCH($I$5,C1031&amp;" "&amp;D1031&amp;" "&amp;E1031&amp;" "&amp;I1031)))),"✓",""))</f>
        <v/>
      </c>
      <c r="B1031" s="39" t="n">
        <v>46264</v>
      </c>
      <c r="C1031" s="40" t="n">
        <f aca="false">'Aug 30'!$D$16</f>
        <v>0</v>
      </c>
      <c r="D1031" s="40" t="n">
        <f aca="false">'Aug 30'!$B$16</f>
        <v>0</v>
      </c>
      <c r="E1031" s="41" t="n">
        <f aca="false">'Aug 30'!$E$16</f>
        <v>0</v>
      </c>
      <c r="F1031" s="40" t="n">
        <f aca="false">'Aug 30'!$A$16</f>
        <v>0</v>
      </c>
      <c r="G1031" s="41" t="n">
        <f aca="false">'Aug 30'!$F$16</f>
        <v>0</v>
      </c>
      <c r="H1031" s="41" t="n">
        <f aca="false">'Aug 30'!$G$16</f>
        <v>0</v>
      </c>
      <c r="I1031" s="41" t="str">
        <f aca="false">'Aug 30'!$M$16</f>
        <v/>
      </c>
      <c r="J1031" s="42" t="str">
        <f aca="false">'Aug 30'!$S$16</f>
        <v/>
      </c>
      <c r="K1031" s="40" t="n">
        <f aca="false">'Aug 30'!$AG$16</f>
        <v>0</v>
      </c>
      <c r="L1031" s="40" t="n">
        <f aca="false">'Aug 30'!$N$16</f>
        <v>0</v>
      </c>
    </row>
    <row r="1032" customFormat="false" ht="15" hidden="false" customHeight="false" outlineLevel="0" collapsed="false">
      <c r="A1032" s="38" t="str">
        <f aca="false">IF(OR(C1032="",C1032=0),"",IF(AND(OR($B$5="",G1032=$B$5,H1032=$B$5),OR($D$5="",F1032=$D$5),OR($E$5="",K1032=$E$5),OR($G$5="",L1032=$G$5),OR($H$5="",N(J1032)&gt;=$H$5),OR($I$5="",ISNUMBER(SEARCH($I$5,C1032&amp;" "&amp;D1032&amp;" "&amp;E1032&amp;" "&amp;I1032)))),"✓",""))</f>
        <v/>
      </c>
      <c r="B1032" s="39" t="n">
        <v>46264</v>
      </c>
      <c r="C1032" s="40" t="n">
        <f aca="false">'Aug 30'!$D$17</f>
        <v>0</v>
      </c>
      <c r="D1032" s="40" t="n">
        <f aca="false">'Aug 30'!$B$17</f>
        <v>0</v>
      </c>
      <c r="E1032" s="41" t="n">
        <f aca="false">'Aug 30'!$E$17</f>
        <v>0</v>
      </c>
      <c r="F1032" s="40" t="n">
        <f aca="false">'Aug 30'!$A$17</f>
        <v>0</v>
      </c>
      <c r="G1032" s="41" t="n">
        <f aca="false">'Aug 30'!$F$17</f>
        <v>0</v>
      </c>
      <c r="H1032" s="41" t="n">
        <f aca="false">'Aug 30'!$G$17</f>
        <v>0</v>
      </c>
      <c r="I1032" s="41" t="str">
        <f aca="false">'Aug 30'!$M$17</f>
        <v/>
      </c>
      <c r="J1032" s="42" t="str">
        <f aca="false">'Aug 30'!$S$17</f>
        <v/>
      </c>
      <c r="K1032" s="40" t="n">
        <f aca="false">'Aug 30'!$AG$17</f>
        <v>0</v>
      </c>
      <c r="L1032" s="40" t="n">
        <f aca="false">'Aug 30'!$N$17</f>
        <v>0</v>
      </c>
    </row>
    <row r="1033" customFormat="false" ht="15" hidden="false" customHeight="false" outlineLevel="0" collapsed="false">
      <c r="A1033" s="38" t="str">
        <f aca="false">IF(OR(C1033="",C1033=0),"",IF(AND(OR($B$5="",G1033=$B$5,H1033=$B$5),OR($D$5="",F1033=$D$5),OR($E$5="",K1033=$E$5),OR($G$5="",L1033=$G$5),OR($H$5="",N(J1033)&gt;=$H$5),OR($I$5="",ISNUMBER(SEARCH($I$5,C1033&amp;" "&amp;D1033&amp;" "&amp;E1033&amp;" "&amp;I1033)))),"✓",""))</f>
        <v/>
      </c>
      <c r="B1033" s="39" t="n">
        <v>46264</v>
      </c>
      <c r="C1033" s="40" t="n">
        <f aca="false">'Aug 30'!$D$18</f>
        <v>0</v>
      </c>
      <c r="D1033" s="40" t="n">
        <f aca="false">'Aug 30'!$B$18</f>
        <v>0</v>
      </c>
      <c r="E1033" s="41" t="n">
        <f aca="false">'Aug 30'!$E$18</f>
        <v>0</v>
      </c>
      <c r="F1033" s="40" t="n">
        <f aca="false">'Aug 30'!$A$18</f>
        <v>0</v>
      </c>
      <c r="G1033" s="41" t="n">
        <f aca="false">'Aug 30'!$F$18</f>
        <v>0</v>
      </c>
      <c r="H1033" s="41" t="n">
        <f aca="false">'Aug 30'!$G$18</f>
        <v>0</v>
      </c>
      <c r="I1033" s="41" t="str">
        <f aca="false">'Aug 30'!$M$18</f>
        <v/>
      </c>
      <c r="J1033" s="42" t="str">
        <f aca="false">'Aug 30'!$S$18</f>
        <v/>
      </c>
      <c r="K1033" s="40" t="n">
        <f aca="false">'Aug 30'!$AG$18</f>
        <v>0</v>
      </c>
      <c r="L1033" s="40" t="n">
        <f aca="false">'Aug 30'!$N$18</f>
        <v>0</v>
      </c>
    </row>
    <row r="1034" customFormat="false" ht="15" hidden="false" customHeight="false" outlineLevel="0" collapsed="false">
      <c r="A1034" s="38" t="str">
        <f aca="false">IF(OR(C1034="",C1034=0),"",IF(AND(OR($B$5="",G1034=$B$5,H1034=$B$5),OR($D$5="",F1034=$D$5),OR($E$5="",K1034=$E$5),OR($G$5="",L1034=$G$5),OR($H$5="",N(J1034)&gt;=$H$5),OR($I$5="",ISNUMBER(SEARCH($I$5,C1034&amp;" "&amp;D1034&amp;" "&amp;E1034&amp;" "&amp;I1034)))),"✓",""))</f>
        <v/>
      </c>
      <c r="B1034" s="39" t="n">
        <v>46264</v>
      </c>
      <c r="C1034" s="40" t="n">
        <f aca="false">'Aug 30'!$D$19</f>
        <v>0</v>
      </c>
      <c r="D1034" s="40" t="n">
        <f aca="false">'Aug 30'!$B$19</f>
        <v>0</v>
      </c>
      <c r="E1034" s="41" t="n">
        <f aca="false">'Aug 30'!$E$19</f>
        <v>0</v>
      </c>
      <c r="F1034" s="40" t="n">
        <f aca="false">'Aug 30'!$A$19</f>
        <v>0</v>
      </c>
      <c r="G1034" s="41" t="n">
        <f aca="false">'Aug 30'!$F$19</f>
        <v>0</v>
      </c>
      <c r="H1034" s="41" t="n">
        <f aca="false">'Aug 30'!$G$19</f>
        <v>0</v>
      </c>
      <c r="I1034" s="41" t="str">
        <f aca="false">'Aug 30'!$M$19</f>
        <v/>
      </c>
      <c r="J1034" s="42" t="str">
        <f aca="false">'Aug 30'!$S$19</f>
        <v/>
      </c>
      <c r="K1034" s="40" t="n">
        <f aca="false">'Aug 30'!$AG$19</f>
        <v>0</v>
      </c>
      <c r="L1034" s="40" t="n">
        <f aca="false">'Aug 30'!$N$19</f>
        <v>0</v>
      </c>
    </row>
    <row r="1035" customFormat="false" ht="15" hidden="false" customHeight="false" outlineLevel="0" collapsed="false">
      <c r="A1035" s="38" t="str">
        <f aca="false">IF(OR(C1035="",C1035=0),"",IF(AND(OR($B$5="",G1035=$B$5,H1035=$B$5),OR($D$5="",F1035=$D$5),OR($E$5="",K1035=$E$5),OR($G$5="",L1035=$G$5),OR($H$5="",N(J1035)&gt;=$H$5),OR($I$5="",ISNUMBER(SEARCH($I$5,C1035&amp;" "&amp;D1035&amp;" "&amp;E1035&amp;" "&amp;I1035)))),"✓",""))</f>
        <v/>
      </c>
      <c r="B1035" s="39" t="n">
        <v>46264</v>
      </c>
      <c r="C1035" s="40" t="n">
        <f aca="false">'Aug 30'!$D$20</f>
        <v>0</v>
      </c>
      <c r="D1035" s="40" t="n">
        <f aca="false">'Aug 30'!$B$20</f>
        <v>0</v>
      </c>
      <c r="E1035" s="41" t="n">
        <f aca="false">'Aug 30'!$E$20</f>
        <v>0</v>
      </c>
      <c r="F1035" s="40" t="n">
        <f aca="false">'Aug 30'!$A$20</f>
        <v>0</v>
      </c>
      <c r="G1035" s="41" t="n">
        <f aca="false">'Aug 30'!$F$20</f>
        <v>0</v>
      </c>
      <c r="H1035" s="41" t="n">
        <f aca="false">'Aug 30'!$G$20</f>
        <v>0</v>
      </c>
      <c r="I1035" s="41" t="str">
        <f aca="false">'Aug 30'!$M$20</f>
        <v/>
      </c>
      <c r="J1035" s="42" t="str">
        <f aca="false">'Aug 30'!$S$20</f>
        <v/>
      </c>
      <c r="K1035" s="40" t="n">
        <f aca="false">'Aug 30'!$AG$20</f>
        <v>0</v>
      </c>
      <c r="L1035" s="40" t="n">
        <f aca="false">'Aug 30'!$N$20</f>
        <v>0</v>
      </c>
    </row>
    <row r="1036" customFormat="false" ht="15" hidden="false" customHeight="false" outlineLevel="0" collapsed="false">
      <c r="A1036" s="38" t="str">
        <f aca="false">IF(OR(C1036="",C1036=0),"",IF(AND(OR($B$5="",G1036=$B$5,H1036=$B$5),OR($D$5="",F1036=$D$5),OR($E$5="",K1036=$E$5),OR($G$5="",L1036=$G$5),OR($H$5="",N(J1036)&gt;=$H$5),OR($I$5="",ISNUMBER(SEARCH($I$5,C1036&amp;" "&amp;D1036&amp;" "&amp;E1036&amp;" "&amp;I1036)))),"✓",""))</f>
        <v/>
      </c>
      <c r="B1036" s="39" t="n">
        <v>46264</v>
      </c>
      <c r="C1036" s="40" t="n">
        <f aca="false">'Aug 30'!$D$21</f>
        <v>0</v>
      </c>
      <c r="D1036" s="40" t="n">
        <f aca="false">'Aug 30'!$B$21</f>
        <v>0</v>
      </c>
      <c r="E1036" s="41" t="n">
        <f aca="false">'Aug 30'!$E$21</f>
        <v>0</v>
      </c>
      <c r="F1036" s="40" t="n">
        <f aca="false">'Aug 30'!$A$21</f>
        <v>0</v>
      </c>
      <c r="G1036" s="41" t="n">
        <f aca="false">'Aug 30'!$F$21</f>
        <v>0</v>
      </c>
      <c r="H1036" s="41" t="n">
        <f aca="false">'Aug 30'!$G$21</f>
        <v>0</v>
      </c>
      <c r="I1036" s="41" t="str">
        <f aca="false">'Aug 30'!$M$21</f>
        <v/>
      </c>
      <c r="J1036" s="42" t="str">
        <f aca="false">'Aug 30'!$S$21</f>
        <v/>
      </c>
      <c r="K1036" s="40" t="n">
        <f aca="false">'Aug 30'!$AG$21</f>
        <v>0</v>
      </c>
      <c r="L1036" s="40" t="n">
        <f aca="false">'Aug 30'!$N$21</f>
        <v>0</v>
      </c>
    </row>
    <row r="1037" customFormat="false" ht="15" hidden="false" customHeight="false" outlineLevel="0" collapsed="false">
      <c r="A1037" s="38" t="str">
        <f aca="false">IF(OR(C1037="",C1037=0),"",IF(AND(OR($B$5="",G1037=$B$5,H1037=$B$5),OR($D$5="",F1037=$D$5),OR($E$5="",K1037=$E$5),OR($G$5="",L1037=$G$5),OR($H$5="",N(J1037)&gt;=$H$5),OR($I$5="",ISNUMBER(SEARCH($I$5,C1037&amp;" "&amp;D1037&amp;" "&amp;E1037&amp;" "&amp;I1037)))),"✓",""))</f>
        <v/>
      </c>
      <c r="B1037" s="39" t="n">
        <v>46264</v>
      </c>
      <c r="C1037" s="40" t="n">
        <f aca="false">'Aug 30'!$D$22</f>
        <v>0</v>
      </c>
      <c r="D1037" s="40" t="n">
        <f aca="false">'Aug 30'!$B$22</f>
        <v>0</v>
      </c>
      <c r="E1037" s="41" t="n">
        <f aca="false">'Aug 30'!$E$22</f>
        <v>0</v>
      </c>
      <c r="F1037" s="40" t="n">
        <f aca="false">'Aug 30'!$A$22</f>
        <v>0</v>
      </c>
      <c r="G1037" s="41" t="n">
        <f aca="false">'Aug 30'!$F$22</f>
        <v>0</v>
      </c>
      <c r="H1037" s="41" t="n">
        <f aca="false">'Aug 30'!$G$22</f>
        <v>0</v>
      </c>
      <c r="I1037" s="41" t="str">
        <f aca="false">'Aug 30'!$M$22</f>
        <v/>
      </c>
      <c r="J1037" s="42" t="str">
        <f aca="false">'Aug 30'!$S$22</f>
        <v/>
      </c>
      <c r="K1037" s="40" t="n">
        <f aca="false">'Aug 30'!$AG$22</f>
        <v>0</v>
      </c>
      <c r="L1037" s="40" t="n">
        <f aca="false">'Aug 30'!$N$22</f>
        <v>0</v>
      </c>
    </row>
    <row r="1038" customFormat="false" ht="15" hidden="false" customHeight="false" outlineLevel="0" collapsed="false">
      <c r="A1038" s="38" t="str">
        <f aca="false">IF(OR(C1038="",C1038=0),"",IF(AND(OR($B$5="",G1038=$B$5,H1038=$B$5),OR($D$5="",F1038=$D$5),OR($E$5="",K1038=$E$5),OR($G$5="",L1038=$G$5),OR($H$5="",N(J1038)&gt;=$H$5),OR($I$5="",ISNUMBER(SEARCH($I$5,C1038&amp;" "&amp;D1038&amp;" "&amp;E1038&amp;" "&amp;I1038)))),"✓",""))</f>
        <v/>
      </c>
      <c r="B1038" s="39" t="n">
        <v>46264</v>
      </c>
      <c r="C1038" s="40" t="n">
        <f aca="false">'Aug 30'!$D$23</f>
        <v>0</v>
      </c>
      <c r="D1038" s="40" t="n">
        <f aca="false">'Aug 30'!$B$23</f>
        <v>0</v>
      </c>
      <c r="E1038" s="41" t="n">
        <f aca="false">'Aug 30'!$E$23</f>
        <v>0</v>
      </c>
      <c r="F1038" s="40" t="n">
        <f aca="false">'Aug 30'!$A$23</f>
        <v>0</v>
      </c>
      <c r="G1038" s="41" t="n">
        <f aca="false">'Aug 30'!$F$23</f>
        <v>0</v>
      </c>
      <c r="H1038" s="41" t="n">
        <f aca="false">'Aug 30'!$G$23</f>
        <v>0</v>
      </c>
      <c r="I1038" s="41" t="str">
        <f aca="false">'Aug 30'!$M$23</f>
        <v/>
      </c>
      <c r="J1038" s="42" t="str">
        <f aca="false">'Aug 30'!$S$23</f>
        <v/>
      </c>
      <c r="K1038" s="40" t="n">
        <f aca="false">'Aug 30'!$AG$23</f>
        <v>0</v>
      </c>
      <c r="L1038" s="40" t="n">
        <f aca="false">'Aug 30'!$N$23</f>
        <v>0</v>
      </c>
    </row>
    <row r="1039" customFormat="false" ht="15" hidden="false" customHeight="false" outlineLevel="0" collapsed="false">
      <c r="A1039" s="38" t="str">
        <f aca="false">IF(OR(C1039="",C1039=0),"",IF(AND(OR($B$5="",G1039=$B$5,H1039=$B$5),OR($D$5="",F1039=$D$5),OR($E$5="",K1039=$E$5),OR($G$5="",L1039=$G$5),OR($H$5="",N(J1039)&gt;=$H$5),OR($I$5="",ISNUMBER(SEARCH($I$5,C1039&amp;" "&amp;D1039&amp;" "&amp;E1039&amp;" "&amp;I1039)))),"✓",""))</f>
        <v/>
      </c>
      <c r="B1039" s="39" t="n">
        <v>46264</v>
      </c>
      <c r="C1039" s="40" t="n">
        <f aca="false">'Aug 30'!$D$24</f>
        <v>0</v>
      </c>
      <c r="D1039" s="40" t="n">
        <f aca="false">'Aug 30'!$B$24</f>
        <v>0</v>
      </c>
      <c r="E1039" s="41" t="n">
        <f aca="false">'Aug 30'!$E$24</f>
        <v>0</v>
      </c>
      <c r="F1039" s="40" t="n">
        <f aca="false">'Aug 30'!$A$24</f>
        <v>0</v>
      </c>
      <c r="G1039" s="41" t="n">
        <f aca="false">'Aug 30'!$F$24</f>
        <v>0</v>
      </c>
      <c r="H1039" s="41" t="n">
        <f aca="false">'Aug 30'!$G$24</f>
        <v>0</v>
      </c>
      <c r="I1039" s="41" t="str">
        <f aca="false">'Aug 30'!$M$24</f>
        <v/>
      </c>
      <c r="J1039" s="42" t="str">
        <f aca="false">'Aug 30'!$S$24</f>
        <v/>
      </c>
      <c r="K1039" s="40" t="n">
        <f aca="false">'Aug 30'!$AG$24</f>
        <v>0</v>
      </c>
      <c r="L1039" s="40" t="n">
        <f aca="false">'Aug 30'!$N$24</f>
        <v>0</v>
      </c>
    </row>
    <row r="1040" customFormat="false" ht="15" hidden="false" customHeight="false" outlineLevel="0" collapsed="false">
      <c r="A1040" s="38" t="str">
        <f aca="false">IF(OR(C1040="",C1040=0),"",IF(AND(OR($B$5="",G1040=$B$5,H1040=$B$5),OR($D$5="",F1040=$D$5),OR($E$5="",K1040=$E$5),OR($G$5="",L1040=$G$5),OR($H$5="",N(J1040)&gt;=$H$5),OR($I$5="",ISNUMBER(SEARCH($I$5,C1040&amp;" "&amp;D1040&amp;" "&amp;E1040&amp;" "&amp;I1040)))),"✓",""))</f>
        <v/>
      </c>
      <c r="B1040" s="39" t="n">
        <v>46264</v>
      </c>
      <c r="C1040" s="40" t="n">
        <f aca="false">'Aug 30'!$D$25</f>
        <v>0</v>
      </c>
      <c r="D1040" s="40" t="n">
        <f aca="false">'Aug 30'!$B$25</f>
        <v>0</v>
      </c>
      <c r="E1040" s="41" t="n">
        <f aca="false">'Aug 30'!$E$25</f>
        <v>0</v>
      </c>
      <c r="F1040" s="40" t="n">
        <f aca="false">'Aug 30'!$A$25</f>
        <v>0</v>
      </c>
      <c r="G1040" s="41" t="n">
        <f aca="false">'Aug 30'!$F$25</f>
        <v>0</v>
      </c>
      <c r="H1040" s="41" t="n">
        <f aca="false">'Aug 30'!$G$25</f>
        <v>0</v>
      </c>
      <c r="I1040" s="41" t="str">
        <f aca="false">'Aug 30'!$M$25</f>
        <v/>
      </c>
      <c r="J1040" s="42" t="str">
        <f aca="false">'Aug 30'!$S$25</f>
        <v/>
      </c>
      <c r="K1040" s="40" t="n">
        <f aca="false">'Aug 30'!$AG$25</f>
        <v>0</v>
      </c>
      <c r="L1040" s="40" t="n">
        <f aca="false">'Aug 30'!$N$25</f>
        <v>0</v>
      </c>
    </row>
    <row r="1041" customFormat="false" ht="15" hidden="false" customHeight="false" outlineLevel="0" collapsed="false">
      <c r="A1041" s="38" t="str">
        <f aca="false">IF(OR(C1041="",C1041=0),"",IF(AND(OR($B$5="",G1041=$B$5,H1041=$B$5),OR($D$5="",F1041=$D$5),OR($E$5="",K1041=$E$5),OR($G$5="",L1041=$G$5),OR($H$5="",N(J1041)&gt;=$H$5),OR($I$5="",ISNUMBER(SEARCH($I$5,C1041&amp;" "&amp;D1041&amp;" "&amp;E1041&amp;" "&amp;I1041)))),"✓",""))</f>
        <v/>
      </c>
      <c r="B1041" s="39" t="n">
        <v>46264</v>
      </c>
      <c r="C1041" s="40" t="n">
        <f aca="false">'Aug 30'!$D$26</f>
        <v>0</v>
      </c>
      <c r="D1041" s="40" t="n">
        <f aca="false">'Aug 30'!$B$26</f>
        <v>0</v>
      </c>
      <c r="E1041" s="41" t="n">
        <f aca="false">'Aug 30'!$E$26</f>
        <v>0</v>
      </c>
      <c r="F1041" s="40" t="n">
        <f aca="false">'Aug 30'!$A$26</f>
        <v>0</v>
      </c>
      <c r="G1041" s="41" t="n">
        <f aca="false">'Aug 30'!$F$26</f>
        <v>0</v>
      </c>
      <c r="H1041" s="41" t="n">
        <f aca="false">'Aug 30'!$G$26</f>
        <v>0</v>
      </c>
      <c r="I1041" s="41" t="str">
        <f aca="false">'Aug 30'!$M$26</f>
        <v/>
      </c>
      <c r="J1041" s="42" t="str">
        <f aca="false">'Aug 30'!$S$26</f>
        <v/>
      </c>
      <c r="K1041" s="40" t="n">
        <f aca="false">'Aug 30'!$AG$26</f>
        <v>0</v>
      </c>
      <c r="L1041" s="40" t="n">
        <f aca="false">'Aug 30'!$N$26</f>
        <v>0</v>
      </c>
    </row>
    <row r="1042" customFormat="false" ht="15" hidden="false" customHeight="false" outlineLevel="0" collapsed="false">
      <c r="A1042" s="38" t="str">
        <f aca="false">IF(OR(C1042="",C1042=0),"",IF(AND(OR($B$5="",G1042=$B$5,H1042=$B$5),OR($D$5="",F1042=$D$5),OR($E$5="",K1042=$E$5),OR($G$5="",L1042=$G$5),OR($H$5="",N(J1042)&gt;=$H$5),OR($I$5="",ISNUMBER(SEARCH($I$5,C1042&amp;" "&amp;D1042&amp;" "&amp;E1042&amp;" "&amp;I1042)))),"✓",""))</f>
        <v/>
      </c>
      <c r="B1042" s="39" t="n">
        <v>46264</v>
      </c>
      <c r="C1042" s="40" t="n">
        <f aca="false">'Aug 30'!$D$27</f>
        <v>0</v>
      </c>
      <c r="D1042" s="40" t="n">
        <f aca="false">'Aug 30'!$B$27</f>
        <v>0</v>
      </c>
      <c r="E1042" s="41" t="n">
        <f aca="false">'Aug 30'!$E$27</f>
        <v>0</v>
      </c>
      <c r="F1042" s="40" t="n">
        <f aca="false">'Aug 30'!$A$27</f>
        <v>0</v>
      </c>
      <c r="G1042" s="41" t="n">
        <f aca="false">'Aug 30'!$F$27</f>
        <v>0</v>
      </c>
      <c r="H1042" s="41" t="n">
        <f aca="false">'Aug 30'!$G$27</f>
        <v>0</v>
      </c>
      <c r="I1042" s="41" t="str">
        <f aca="false">'Aug 30'!$M$27</f>
        <v/>
      </c>
      <c r="J1042" s="42" t="str">
        <f aca="false">'Aug 30'!$S$27</f>
        <v/>
      </c>
      <c r="K1042" s="40" t="n">
        <f aca="false">'Aug 30'!$AG$27</f>
        <v>0</v>
      </c>
      <c r="L1042" s="40" t="n">
        <f aca="false">'Aug 30'!$N$27</f>
        <v>0</v>
      </c>
    </row>
    <row r="1043" customFormat="false" ht="15" hidden="false" customHeight="false" outlineLevel="0" collapsed="false">
      <c r="A1043" s="38" t="str">
        <f aca="false">IF(OR(C1043="",C1043=0),"",IF(AND(OR($B$5="",G1043=$B$5,H1043=$B$5),OR($D$5="",F1043=$D$5),OR($E$5="",K1043=$E$5),OR($G$5="",L1043=$G$5),OR($H$5="",N(J1043)&gt;=$H$5),OR($I$5="",ISNUMBER(SEARCH($I$5,C1043&amp;" "&amp;D1043&amp;" "&amp;E1043&amp;" "&amp;I1043)))),"✓",""))</f>
        <v/>
      </c>
      <c r="B1043" s="39" t="n">
        <v>46264</v>
      </c>
      <c r="C1043" s="40" t="n">
        <f aca="false">'Aug 30'!$D$28</f>
        <v>0</v>
      </c>
      <c r="D1043" s="40" t="n">
        <f aca="false">'Aug 30'!$B$28</f>
        <v>0</v>
      </c>
      <c r="E1043" s="41" t="n">
        <f aca="false">'Aug 30'!$E$28</f>
        <v>0</v>
      </c>
      <c r="F1043" s="40" t="n">
        <f aca="false">'Aug 30'!$A$28</f>
        <v>0</v>
      </c>
      <c r="G1043" s="41" t="n">
        <f aca="false">'Aug 30'!$F$28</f>
        <v>0</v>
      </c>
      <c r="H1043" s="41" t="n">
        <f aca="false">'Aug 30'!$G$28</f>
        <v>0</v>
      </c>
      <c r="I1043" s="41" t="str">
        <f aca="false">'Aug 30'!$M$28</f>
        <v/>
      </c>
      <c r="J1043" s="42" t="str">
        <f aca="false">'Aug 30'!$S$28</f>
        <v/>
      </c>
      <c r="K1043" s="40" t="n">
        <f aca="false">'Aug 30'!$AG$28</f>
        <v>0</v>
      </c>
      <c r="L1043" s="40" t="n">
        <f aca="false">'Aug 30'!$N$28</f>
        <v>0</v>
      </c>
    </row>
    <row r="1044" customFormat="false" ht="15" hidden="false" customHeight="false" outlineLevel="0" collapsed="false">
      <c r="A1044" s="38" t="str">
        <f aca="false">IF(OR(C1044="",C1044=0),"",IF(AND(OR($B$5="",G1044=$B$5,H1044=$B$5),OR($D$5="",F1044=$D$5),OR($E$5="",K1044=$E$5),OR($G$5="",L1044=$G$5),OR($H$5="",N(J1044)&gt;=$H$5),OR($I$5="",ISNUMBER(SEARCH($I$5,C1044&amp;" "&amp;D1044&amp;" "&amp;E1044&amp;" "&amp;I1044)))),"✓",""))</f>
        <v/>
      </c>
      <c r="B1044" s="39" t="n">
        <v>46264</v>
      </c>
      <c r="C1044" s="40" t="n">
        <f aca="false">'Aug 30'!$D$29</f>
        <v>0</v>
      </c>
      <c r="D1044" s="40" t="n">
        <f aca="false">'Aug 30'!$B$29</f>
        <v>0</v>
      </c>
      <c r="E1044" s="41" t="n">
        <f aca="false">'Aug 30'!$E$29</f>
        <v>0</v>
      </c>
      <c r="F1044" s="40" t="n">
        <f aca="false">'Aug 30'!$A$29</f>
        <v>0</v>
      </c>
      <c r="G1044" s="41" t="n">
        <f aca="false">'Aug 30'!$F$29</f>
        <v>0</v>
      </c>
      <c r="H1044" s="41" t="n">
        <f aca="false">'Aug 30'!$G$29</f>
        <v>0</v>
      </c>
      <c r="I1044" s="41" t="str">
        <f aca="false">'Aug 30'!$M$29</f>
        <v/>
      </c>
      <c r="J1044" s="42" t="str">
        <f aca="false">'Aug 30'!$S$29</f>
        <v/>
      </c>
      <c r="K1044" s="40" t="n">
        <f aca="false">'Aug 30'!$AG$29</f>
        <v>0</v>
      </c>
      <c r="L1044" s="40" t="n">
        <f aca="false">'Aug 30'!$N$29</f>
        <v>0</v>
      </c>
    </row>
    <row r="1045" customFormat="false" ht="15" hidden="false" customHeight="false" outlineLevel="0" collapsed="false">
      <c r="A1045" s="38" t="str">
        <f aca="false">IF(OR(C1045="",C1045=0),"",IF(AND(OR($B$5="",G1045=$B$5,H1045=$B$5),OR($D$5="",F1045=$D$5),OR($E$5="",K1045=$E$5),OR($G$5="",L1045=$G$5),OR($H$5="",N(J1045)&gt;=$H$5),OR($I$5="",ISNUMBER(SEARCH($I$5,C1045&amp;" "&amp;D1045&amp;" "&amp;E1045&amp;" "&amp;I1045)))),"✓",""))</f>
        <v/>
      </c>
      <c r="B1045" s="39" t="n">
        <v>46264</v>
      </c>
      <c r="C1045" s="40" t="n">
        <f aca="false">'Aug 30'!$D$30</f>
        <v>0</v>
      </c>
      <c r="D1045" s="40" t="n">
        <f aca="false">'Aug 30'!$B$30</f>
        <v>0</v>
      </c>
      <c r="E1045" s="41" t="n">
        <f aca="false">'Aug 30'!$E$30</f>
        <v>0</v>
      </c>
      <c r="F1045" s="40" t="n">
        <f aca="false">'Aug 30'!$A$30</f>
        <v>0</v>
      </c>
      <c r="G1045" s="41" t="n">
        <f aca="false">'Aug 30'!$F$30</f>
        <v>0</v>
      </c>
      <c r="H1045" s="41" t="n">
        <f aca="false">'Aug 30'!$G$30</f>
        <v>0</v>
      </c>
      <c r="I1045" s="41" t="str">
        <f aca="false">'Aug 30'!$M$30</f>
        <v/>
      </c>
      <c r="J1045" s="42" t="str">
        <f aca="false">'Aug 30'!$S$30</f>
        <v/>
      </c>
      <c r="K1045" s="40" t="n">
        <f aca="false">'Aug 30'!$AG$30</f>
        <v>0</v>
      </c>
      <c r="L1045" s="40" t="n">
        <f aca="false">'Aug 30'!$N$30</f>
        <v>0</v>
      </c>
    </row>
    <row r="1046" customFormat="false" ht="15" hidden="false" customHeight="false" outlineLevel="0" collapsed="false">
      <c r="A1046" s="38" t="str">
        <f aca="false">IF(OR(C1046="",C1046=0),"",IF(AND(OR($B$5="",G1046=$B$5,H1046=$B$5),OR($D$5="",F1046=$D$5),OR($E$5="",K1046=$E$5),OR($G$5="",L1046=$G$5),OR($H$5="",N(J1046)&gt;=$H$5),OR($I$5="",ISNUMBER(SEARCH($I$5,C1046&amp;" "&amp;D1046&amp;" "&amp;E1046&amp;" "&amp;I1046)))),"✓",""))</f>
        <v/>
      </c>
      <c r="B1046" s="39" t="n">
        <v>46264</v>
      </c>
      <c r="C1046" s="40" t="n">
        <f aca="false">'Aug 30'!$D$31</f>
        <v>0</v>
      </c>
      <c r="D1046" s="40" t="n">
        <f aca="false">'Aug 30'!$B$31</f>
        <v>0</v>
      </c>
      <c r="E1046" s="41" t="n">
        <f aca="false">'Aug 30'!$E$31</f>
        <v>0</v>
      </c>
      <c r="F1046" s="40" t="n">
        <f aca="false">'Aug 30'!$A$31</f>
        <v>0</v>
      </c>
      <c r="G1046" s="41" t="n">
        <f aca="false">'Aug 30'!$F$31</f>
        <v>0</v>
      </c>
      <c r="H1046" s="41" t="n">
        <f aca="false">'Aug 30'!$G$31</f>
        <v>0</v>
      </c>
      <c r="I1046" s="41" t="str">
        <f aca="false">'Aug 30'!$M$31</f>
        <v/>
      </c>
      <c r="J1046" s="42" t="str">
        <f aca="false">'Aug 30'!$S$31</f>
        <v/>
      </c>
      <c r="K1046" s="40" t="n">
        <f aca="false">'Aug 30'!$AG$31</f>
        <v>0</v>
      </c>
      <c r="L1046" s="40" t="n">
        <f aca="false">'Aug 30'!$N$31</f>
        <v>0</v>
      </c>
    </row>
    <row r="1047" customFormat="false" ht="15" hidden="false" customHeight="false" outlineLevel="0" collapsed="false">
      <c r="A1047" s="38" t="str">
        <f aca="false">IF(OR(C1047="",C1047=0),"",IF(AND(OR($B$5="",G1047=$B$5,H1047=$B$5),OR($D$5="",F1047=$D$5),OR($E$5="",K1047=$E$5),OR($G$5="",L1047=$G$5),OR($H$5="",N(J1047)&gt;=$H$5),OR($I$5="",ISNUMBER(SEARCH($I$5,C1047&amp;" "&amp;D1047&amp;" "&amp;E1047&amp;" "&amp;I1047)))),"✓",""))</f>
        <v/>
      </c>
      <c r="B1047" s="39" t="n">
        <v>46264</v>
      </c>
      <c r="C1047" s="40" t="n">
        <f aca="false">'Aug 30'!$D$32</f>
        <v>0</v>
      </c>
      <c r="D1047" s="40" t="n">
        <f aca="false">'Aug 30'!$B$32</f>
        <v>0</v>
      </c>
      <c r="E1047" s="41" t="n">
        <f aca="false">'Aug 30'!$E$32</f>
        <v>0</v>
      </c>
      <c r="F1047" s="40" t="n">
        <f aca="false">'Aug 30'!$A$32</f>
        <v>0</v>
      </c>
      <c r="G1047" s="41" t="n">
        <f aca="false">'Aug 30'!$F$32</f>
        <v>0</v>
      </c>
      <c r="H1047" s="41" t="n">
        <f aca="false">'Aug 30'!$G$32</f>
        <v>0</v>
      </c>
      <c r="I1047" s="41" t="str">
        <f aca="false">'Aug 30'!$M$32</f>
        <v/>
      </c>
      <c r="J1047" s="42" t="str">
        <f aca="false">'Aug 30'!$S$32</f>
        <v/>
      </c>
      <c r="K1047" s="40" t="n">
        <f aca="false">'Aug 30'!$AG$32</f>
        <v>0</v>
      </c>
      <c r="L1047" s="40" t="n">
        <f aca="false">'Aug 30'!$N$32</f>
        <v>0</v>
      </c>
    </row>
    <row r="1048" customFormat="false" ht="15" hidden="false" customHeight="false" outlineLevel="0" collapsed="false">
      <c r="A1048" s="38" t="str">
        <f aca="false">IF(OR(C1048="",C1048=0),"",IF(AND(OR($B$5="",G1048=$B$5,H1048=$B$5),OR($D$5="",F1048=$D$5),OR($E$5="",K1048=$E$5),OR($G$5="",L1048=$G$5),OR($H$5="",N(J1048)&gt;=$H$5),OR($I$5="",ISNUMBER(SEARCH($I$5,C1048&amp;" "&amp;D1048&amp;" "&amp;E1048&amp;" "&amp;I1048)))),"✓",""))</f>
        <v/>
      </c>
      <c r="B1048" s="39" t="n">
        <v>46264</v>
      </c>
      <c r="C1048" s="40" t="n">
        <f aca="false">'Aug 30'!$D$33</f>
        <v>0</v>
      </c>
      <c r="D1048" s="40" t="n">
        <f aca="false">'Aug 30'!$B$33</f>
        <v>0</v>
      </c>
      <c r="E1048" s="41" t="n">
        <f aca="false">'Aug 30'!$E$33</f>
        <v>0</v>
      </c>
      <c r="F1048" s="40" t="n">
        <f aca="false">'Aug 30'!$A$33</f>
        <v>0</v>
      </c>
      <c r="G1048" s="41" t="n">
        <f aca="false">'Aug 30'!$F$33</f>
        <v>0</v>
      </c>
      <c r="H1048" s="41" t="n">
        <f aca="false">'Aug 30'!$G$33</f>
        <v>0</v>
      </c>
      <c r="I1048" s="41" t="str">
        <f aca="false">'Aug 30'!$M$33</f>
        <v/>
      </c>
      <c r="J1048" s="42" t="str">
        <f aca="false">'Aug 30'!$S$33</f>
        <v/>
      </c>
      <c r="K1048" s="40" t="n">
        <f aca="false">'Aug 30'!$AG$33</f>
        <v>0</v>
      </c>
      <c r="L1048" s="40" t="n">
        <f aca="false">'Aug 30'!$N$33</f>
        <v>0</v>
      </c>
    </row>
    <row r="1049" customFormat="false" ht="15" hidden="false" customHeight="false" outlineLevel="0" collapsed="false">
      <c r="A1049" s="38" t="str">
        <f aca="false">IF(OR(C1049="",C1049=0),"",IF(AND(OR($B$5="",G1049=$B$5,H1049=$B$5),OR($D$5="",F1049=$D$5),OR($E$5="",K1049=$E$5),OR($G$5="",L1049=$G$5),OR($H$5="",N(J1049)&gt;=$H$5),OR($I$5="",ISNUMBER(SEARCH($I$5,C1049&amp;" "&amp;D1049&amp;" "&amp;E1049&amp;" "&amp;I1049)))),"✓",""))</f>
        <v/>
      </c>
      <c r="B1049" s="39" t="n">
        <v>46264</v>
      </c>
      <c r="C1049" s="40" t="n">
        <f aca="false">'Aug 30'!$D$34</f>
        <v>0</v>
      </c>
      <c r="D1049" s="40" t="n">
        <f aca="false">'Aug 30'!$B$34</f>
        <v>0</v>
      </c>
      <c r="E1049" s="41" t="n">
        <f aca="false">'Aug 30'!$E$34</f>
        <v>0</v>
      </c>
      <c r="F1049" s="40" t="n">
        <f aca="false">'Aug 30'!$A$34</f>
        <v>0</v>
      </c>
      <c r="G1049" s="41" t="n">
        <f aca="false">'Aug 30'!$F$34</f>
        <v>0</v>
      </c>
      <c r="H1049" s="41" t="n">
        <f aca="false">'Aug 30'!$G$34</f>
        <v>0</v>
      </c>
      <c r="I1049" s="41" t="str">
        <f aca="false">'Aug 30'!$M$34</f>
        <v/>
      </c>
      <c r="J1049" s="42" t="str">
        <f aca="false">'Aug 30'!$S$34</f>
        <v/>
      </c>
      <c r="K1049" s="40" t="n">
        <f aca="false">'Aug 30'!$AG$34</f>
        <v>0</v>
      </c>
      <c r="L1049" s="40" t="n">
        <f aca="false">'Aug 30'!$N$34</f>
        <v>0</v>
      </c>
    </row>
    <row r="1050" customFormat="false" ht="15" hidden="false" customHeight="false" outlineLevel="0" collapsed="false">
      <c r="A1050" s="38" t="str">
        <f aca="false">IF(OR(C1050="",C1050=0),"",IF(AND(OR($B$5="",G1050=$B$5,H1050=$B$5),OR($D$5="",F1050=$D$5),OR($E$5="",K1050=$E$5),OR($G$5="",L1050=$G$5),OR($H$5="",N(J1050)&gt;=$H$5),OR($I$5="",ISNUMBER(SEARCH($I$5,C1050&amp;" "&amp;D1050&amp;" "&amp;E1050&amp;" "&amp;I1050)))),"✓",""))</f>
        <v/>
      </c>
      <c r="B1050" s="39" t="n">
        <v>46264</v>
      </c>
      <c r="C1050" s="40" t="n">
        <f aca="false">'Aug 30'!$D$35</f>
        <v>0</v>
      </c>
      <c r="D1050" s="40" t="n">
        <f aca="false">'Aug 30'!$B$35</f>
        <v>0</v>
      </c>
      <c r="E1050" s="41" t="n">
        <f aca="false">'Aug 30'!$E$35</f>
        <v>0</v>
      </c>
      <c r="F1050" s="40" t="n">
        <f aca="false">'Aug 30'!$A$35</f>
        <v>0</v>
      </c>
      <c r="G1050" s="41" t="n">
        <f aca="false">'Aug 30'!$F$35</f>
        <v>0</v>
      </c>
      <c r="H1050" s="41" t="n">
        <f aca="false">'Aug 30'!$G$35</f>
        <v>0</v>
      </c>
      <c r="I1050" s="41" t="str">
        <f aca="false">'Aug 30'!$M$35</f>
        <v/>
      </c>
      <c r="J1050" s="42" t="str">
        <f aca="false">'Aug 30'!$S$35</f>
        <v/>
      </c>
      <c r="K1050" s="40" t="n">
        <f aca="false">'Aug 30'!$AG$35</f>
        <v>0</v>
      </c>
      <c r="L1050" s="40" t="n">
        <f aca="false">'Aug 30'!$N$35</f>
        <v>0</v>
      </c>
    </row>
    <row r="1051" customFormat="false" ht="15" hidden="false" customHeight="false" outlineLevel="0" collapsed="false">
      <c r="A1051" s="38" t="str">
        <f aca="false">IF(OR(C1051="",C1051=0),"",IF(AND(OR($B$5="",G1051=$B$5,H1051=$B$5),OR($D$5="",F1051=$D$5),OR($E$5="",K1051=$E$5),OR($G$5="",L1051=$G$5),OR($H$5="",N(J1051)&gt;=$H$5),OR($I$5="",ISNUMBER(SEARCH($I$5,C1051&amp;" "&amp;D1051&amp;" "&amp;E1051&amp;" "&amp;I1051)))),"✓",""))</f>
        <v/>
      </c>
      <c r="B1051" s="39" t="n">
        <v>46264</v>
      </c>
      <c r="C1051" s="40" t="n">
        <f aca="false">'Aug 30'!$D$36</f>
        <v>0</v>
      </c>
      <c r="D1051" s="40" t="n">
        <f aca="false">'Aug 30'!$B$36</f>
        <v>0</v>
      </c>
      <c r="E1051" s="41" t="n">
        <f aca="false">'Aug 30'!$E$36</f>
        <v>0</v>
      </c>
      <c r="F1051" s="40" t="n">
        <f aca="false">'Aug 30'!$A$36</f>
        <v>0</v>
      </c>
      <c r="G1051" s="41" t="n">
        <f aca="false">'Aug 30'!$F$36</f>
        <v>0</v>
      </c>
      <c r="H1051" s="41" t="n">
        <f aca="false">'Aug 30'!$G$36</f>
        <v>0</v>
      </c>
      <c r="I1051" s="41" t="str">
        <f aca="false">'Aug 30'!$M$36</f>
        <v/>
      </c>
      <c r="J1051" s="42" t="str">
        <f aca="false">'Aug 30'!$S$36</f>
        <v/>
      </c>
      <c r="K1051" s="40" t="n">
        <f aca="false">'Aug 30'!$AG$36</f>
        <v>0</v>
      </c>
      <c r="L1051" s="40" t="n">
        <f aca="false">'Aug 30'!$N$36</f>
        <v>0</v>
      </c>
    </row>
    <row r="1052" customFormat="false" ht="15" hidden="false" customHeight="false" outlineLevel="0" collapsed="false">
      <c r="A1052" s="38" t="str">
        <f aca="false">IF(OR(C1052="",C1052=0),"",IF(AND(OR($B$5="",G1052=$B$5,H1052=$B$5),OR($D$5="",F1052=$D$5),OR($E$5="",K1052=$E$5),OR($G$5="",L1052=$G$5),OR($H$5="",N(J1052)&gt;=$H$5),OR($I$5="",ISNUMBER(SEARCH($I$5,C1052&amp;" "&amp;D1052&amp;" "&amp;E1052&amp;" "&amp;I1052)))),"✓",""))</f>
        <v/>
      </c>
      <c r="B1052" s="39" t="n">
        <v>46264</v>
      </c>
      <c r="C1052" s="40" t="n">
        <f aca="false">'Aug 30'!$D$37</f>
        <v>0</v>
      </c>
      <c r="D1052" s="40" t="n">
        <f aca="false">'Aug 30'!$B$37</f>
        <v>0</v>
      </c>
      <c r="E1052" s="41" t="n">
        <f aca="false">'Aug 30'!$E$37</f>
        <v>0</v>
      </c>
      <c r="F1052" s="40" t="n">
        <f aca="false">'Aug 30'!$A$37</f>
        <v>0</v>
      </c>
      <c r="G1052" s="41" t="n">
        <f aca="false">'Aug 30'!$F$37</f>
        <v>0</v>
      </c>
      <c r="H1052" s="41" t="n">
        <f aca="false">'Aug 30'!$G$37</f>
        <v>0</v>
      </c>
      <c r="I1052" s="41" t="str">
        <f aca="false">'Aug 30'!$M$37</f>
        <v/>
      </c>
      <c r="J1052" s="42" t="str">
        <f aca="false">'Aug 30'!$S$37</f>
        <v/>
      </c>
      <c r="K1052" s="40" t="n">
        <f aca="false">'Aug 30'!$AG$37</f>
        <v>0</v>
      </c>
      <c r="L1052" s="40" t="n">
        <f aca="false">'Aug 30'!$N$37</f>
        <v>0</v>
      </c>
    </row>
    <row r="1053" customFormat="false" ht="15" hidden="false" customHeight="false" outlineLevel="0" collapsed="false">
      <c r="A1053" s="38" t="str">
        <f aca="false">IF(OR(C1053="",C1053=0),"",IF(AND(OR($B$5="",G1053=$B$5,H1053=$B$5),OR($D$5="",F1053=$D$5),OR($E$5="",K1053=$E$5),OR($G$5="",L1053=$G$5),OR($H$5="",N(J1053)&gt;=$H$5),OR($I$5="",ISNUMBER(SEARCH($I$5,C1053&amp;" "&amp;D1053&amp;" "&amp;E1053&amp;" "&amp;I1053)))),"✓",""))</f>
        <v/>
      </c>
      <c r="B1053" s="39" t="n">
        <v>46264</v>
      </c>
      <c r="C1053" s="40" t="n">
        <f aca="false">'Aug 30'!$D$38</f>
        <v>0</v>
      </c>
      <c r="D1053" s="40" t="n">
        <f aca="false">'Aug 30'!$B$38</f>
        <v>0</v>
      </c>
      <c r="E1053" s="41" t="n">
        <f aca="false">'Aug 30'!$E$38</f>
        <v>0</v>
      </c>
      <c r="F1053" s="40" t="n">
        <f aca="false">'Aug 30'!$A$38</f>
        <v>0</v>
      </c>
      <c r="G1053" s="41" t="n">
        <f aca="false">'Aug 30'!$F$38</f>
        <v>0</v>
      </c>
      <c r="H1053" s="41" t="n">
        <f aca="false">'Aug 30'!$G$38</f>
        <v>0</v>
      </c>
      <c r="I1053" s="41" t="str">
        <f aca="false">'Aug 30'!$M$38</f>
        <v/>
      </c>
      <c r="J1053" s="42" t="str">
        <f aca="false">'Aug 30'!$S$38</f>
        <v/>
      </c>
      <c r="K1053" s="40" t="n">
        <f aca="false">'Aug 30'!$AG$38</f>
        <v>0</v>
      </c>
      <c r="L1053" s="40" t="n">
        <f aca="false">'Aug 30'!$N$38</f>
        <v>0</v>
      </c>
    </row>
    <row r="1054" customFormat="false" ht="15" hidden="false" customHeight="false" outlineLevel="0" collapsed="false">
      <c r="A1054" s="38" t="str">
        <f aca="false">IF(OR(C1054="",C1054=0),"",IF(AND(OR($B$5="",G1054=$B$5,H1054=$B$5),OR($D$5="",F1054=$D$5),OR($E$5="",K1054=$E$5),OR($G$5="",L1054=$G$5),OR($H$5="",N(J1054)&gt;=$H$5),OR($I$5="",ISNUMBER(SEARCH($I$5,C1054&amp;" "&amp;D1054&amp;" "&amp;E1054&amp;" "&amp;I1054)))),"✓",""))</f>
        <v/>
      </c>
      <c r="B1054" s="39" t="n">
        <v>46264</v>
      </c>
      <c r="C1054" s="40" t="n">
        <f aca="false">'Aug 30'!$D$39</f>
        <v>0</v>
      </c>
      <c r="D1054" s="40" t="n">
        <f aca="false">'Aug 30'!$B$39</f>
        <v>0</v>
      </c>
      <c r="E1054" s="41" t="n">
        <f aca="false">'Aug 30'!$E$39</f>
        <v>0</v>
      </c>
      <c r="F1054" s="40" t="n">
        <f aca="false">'Aug 30'!$A$39</f>
        <v>0</v>
      </c>
      <c r="G1054" s="41" t="n">
        <f aca="false">'Aug 30'!$F$39</f>
        <v>0</v>
      </c>
      <c r="H1054" s="41" t="n">
        <f aca="false">'Aug 30'!$G$39</f>
        <v>0</v>
      </c>
      <c r="I1054" s="41" t="str">
        <f aca="false">'Aug 30'!$M$39</f>
        <v/>
      </c>
      <c r="J1054" s="42" t="str">
        <f aca="false">'Aug 30'!$S$39</f>
        <v/>
      </c>
      <c r="K1054" s="40" t="n">
        <f aca="false">'Aug 30'!$AG$39</f>
        <v>0</v>
      </c>
      <c r="L1054" s="40" t="n">
        <f aca="false">'Aug 30'!$N$39</f>
        <v>0</v>
      </c>
    </row>
    <row r="1055" customFormat="false" ht="15" hidden="false" customHeight="false" outlineLevel="0" collapsed="false">
      <c r="A1055" s="38" t="str">
        <f aca="false">IF(OR(C1055="",C1055=0),"",IF(AND(OR($B$5="",G1055=$B$5,H1055=$B$5),OR($D$5="",F1055=$D$5),OR($E$5="",K1055=$E$5),OR($G$5="",L1055=$G$5),OR($H$5="",N(J1055)&gt;=$H$5),OR($I$5="",ISNUMBER(SEARCH($I$5,C1055&amp;" "&amp;D1055&amp;" "&amp;E1055&amp;" "&amp;I1055)))),"✓",""))</f>
        <v/>
      </c>
      <c r="B1055" s="39" t="n">
        <v>46264</v>
      </c>
      <c r="C1055" s="40" t="n">
        <f aca="false">'Aug 30'!$D$40</f>
        <v>0</v>
      </c>
      <c r="D1055" s="40" t="n">
        <f aca="false">'Aug 30'!$B$40</f>
        <v>0</v>
      </c>
      <c r="E1055" s="41" t="n">
        <f aca="false">'Aug 30'!$E$40</f>
        <v>0</v>
      </c>
      <c r="F1055" s="40" t="n">
        <f aca="false">'Aug 30'!$A$40</f>
        <v>0</v>
      </c>
      <c r="G1055" s="41" t="n">
        <f aca="false">'Aug 30'!$F$40</f>
        <v>0</v>
      </c>
      <c r="H1055" s="41" t="n">
        <f aca="false">'Aug 30'!$G$40</f>
        <v>0</v>
      </c>
      <c r="I1055" s="41" t="str">
        <f aca="false">'Aug 30'!$M$40</f>
        <v/>
      </c>
      <c r="J1055" s="42" t="str">
        <f aca="false">'Aug 30'!$S$40</f>
        <v/>
      </c>
      <c r="K1055" s="40" t="n">
        <f aca="false">'Aug 30'!$AG$40</f>
        <v>0</v>
      </c>
      <c r="L1055" s="40" t="n">
        <f aca="false">'Aug 30'!$N$40</f>
        <v>0</v>
      </c>
    </row>
    <row r="1056" customFormat="false" ht="15" hidden="false" customHeight="false" outlineLevel="0" collapsed="false">
      <c r="A1056" s="38" t="str">
        <f aca="false">IF(OR(C1056="",C1056=0),"",IF(AND(OR($B$5="",G1056=$B$5,H1056=$B$5),OR($D$5="",F1056=$D$5),OR($E$5="",K1056=$E$5),OR($G$5="",L1056=$G$5),OR($H$5="",N(J1056)&gt;=$H$5),OR($I$5="",ISNUMBER(SEARCH($I$5,C1056&amp;" "&amp;D1056&amp;" "&amp;E1056&amp;" "&amp;I1056)))),"✓",""))</f>
        <v/>
      </c>
      <c r="B1056" s="39" t="n">
        <v>46264</v>
      </c>
      <c r="C1056" s="40" t="n">
        <f aca="false">'Aug 30'!$D$41</f>
        <v>0</v>
      </c>
      <c r="D1056" s="40" t="n">
        <f aca="false">'Aug 30'!$B$41</f>
        <v>0</v>
      </c>
      <c r="E1056" s="41" t="n">
        <f aca="false">'Aug 30'!$E$41</f>
        <v>0</v>
      </c>
      <c r="F1056" s="40" t="n">
        <f aca="false">'Aug 30'!$A$41</f>
        <v>0</v>
      </c>
      <c r="G1056" s="41" t="n">
        <f aca="false">'Aug 30'!$F$41</f>
        <v>0</v>
      </c>
      <c r="H1056" s="41" t="n">
        <f aca="false">'Aug 30'!$G$41</f>
        <v>0</v>
      </c>
      <c r="I1056" s="41" t="str">
        <f aca="false">'Aug 30'!$M$41</f>
        <v/>
      </c>
      <c r="J1056" s="42" t="str">
        <f aca="false">'Aug 30'!$S$41</f>
        <v/>
      </c>
      <c r="K1056" s="40" t="n">
        <f aca="false">'Aug 30'!$AG$41</f>
        <v>0</v>
      </c>
      <c r="L1056" s="40" t="n">
        <f aca="false">'Aug 30'!$N$41</f>
        <v>0</v>
      </c>
    </row>
    <row r="1057" customFormat="false" ht="15" hidden="false" customHeight="false" outlineLevel="0" collapsed="false">
      <c r="A1057" s="38" t="str">
        <f aca="false">IF(OR(C1057="",C1057=0),"",IF(AND(OR($B$5="",G1057=$B$5,H1057=$B$5),OR($D$5="",F1057=$D$5),OR($E$5="",K1057=$E$5),OR($G$5="",L1057=$G$5),OR($H$5="",N(J1057)&gt;=$H$5),OR($I$5="",ISNUMBER(SEARCH($I$5,C1057&amp;" "&amp;D1057&amp;" "&amp;E1057&amp;" "&amp;I1057)))),"✓",""))</f>
        <v/>
      </c>
      <c r="B1057" s="39" t="n">
        <v>46264</v>
      </c>
      <c r="C1057" s="40" t="n">
        <f aca="false">'Aug 30'!$D$42</f>
        <v>0</v>
      </c>
      <c r="D1057" s="40" t="n">
        <f aca="false">'Aug 30'!$B$42</f>
        <v>0</v>
      </c>
      <c r="E1057" s="41" t="n">
        <f aca="false">'Aug 30'!$E$42</f>
        <v>0</v>
      </c>
      <c r="F1057" s="40" t="n">
        <f aca="false">'Aug 30'!$A$42</f>
        <v>0</v>
      </c>
      <c r="G1057" s="41" t="n">
        <f aca="false">'Aug 30'!$F$42</f>
        <v>0</v>
      </c>
      <c r="H1057" s="41" t="n">
        <f aca="false">'Aug 30'!$G$42</f>
        <v>0</v>
      </c>
      <c r="I1057" s="41" t="str">
        <f aca="false">'Aug 30'!$M$42</f>
        <v/>
      </c>
      <c r="J1057" s="42" t="str">
        <f aca="false">'Aug 30'!$S$42</f>
        <v/>
      </c>
      <c r="K1057" s="40" t="n">
        <f aca="false">'Aug 30'!$AG$42</f>
        <v>0</v>
      </c>
      <c r="L1057" s="40" t="n">
        <f aca="false">'Aug 30'!$N$42</f>
        <v>0</v>
      </c>
    </row>
    <row r="1058" customFormat="false" ht="15" hidden="false" customHeight="false" outlineLevel="0" collapsed="false">
      <c r="A1058" s="38" t="str">
        <f aca="false">IF(OR(C1058="",C1058=0),"",IF(AND(OR($B$5="",G1058=$B$5,H1058=$B$5),OR($D$5="",F1058=$D$5),OR($E$5="",K1058=$E$5),OR($G$5="",L1058=$G$5),OR($H$5="",N(J1058)&gt;=$H$5),OR($I$5="",ISNUMBER(SEARCH($I$5,C1058&amp;" "&amp;D1058&amp;" "&amp;E1058&amp;" "&amp;I1058)))),"✓",""))</f>
        <v/>
      </c>
      <c r="B1058" s="39" t="n">
        <v>46265</v>
      </c>
      <c r="C1058" s="40" t="n">
        <f aca="false">'Aug 31'!$D$8</f>
        <v>0</v>
      </c>
      <c r="D1058" s="40" t="n">
        <f aca="false">'Aug 31'!$B$8</f>
        <v>0</v>
      </c>
      <c r="E1058" s="41" t="n">
        <f aca="false">'Aug 31'!$E$8</f>
        <v>0</v>
      </c>
      <c r="F1058" s="40" t="n">
        <f aca="false">'Aug 31'!$A$8</f>
        <v>0</v>
      </c>
      <c r="G1058" s="41" t="n">
        <f aca="false">'Aug 31'!$F$8</f>
        <v>0</v>
      </c>
      <c r="H1058" s="41" t="n">
        <f aca="false">'Aug 31'!$G$8</f>
        <v>0</v>
      </c>
      <c r="I1058" s="41" t="str">
        <f aca="false">'Aug 31'!$M$8</f>
        <v/>
      </c>
      <c r="J1058" s="42" t="str">
        <f aca="false">'Aug 31'!$S$8</f>
        <v/>
      </c>
      <c r="K1058" s="40" t="n">
        <f aca="false">'Aug 31'!$AG$8</f>
        <v>0</v>
      </c>
      <c r="L1058" s="40" t="n">
        <f aca="false">'Aug 31'!$N$8</f>
        <v>0</v>
      </c>
    </row>
    <row r="1059" customFormat="false" ht="15" hidden="false" customHeight="false" outlineLevel="0" collapsed="false">
      <c r="A1059" s="38" t="str">
        <f aca="false">IF(OR(C1059="",C1059=0),"",IF(AND(OR($B$5="",G1059=$B$5,H1059=$B$5),OR($D$5="",F1059=$D$5),OR($E$5="",K1059=$E$5),OR($G$5="",L1059=$G$5),OR($H$5="",N(J1059)&gt;=$H$5),OR($I$5="",ISNUMBER(SEARCH($I$5,C1059&amp;" "&amp;D1059&amp;" "&amp;E1059&amp;" "&amp;I1059)))),"✓",""))</f>
        <v/>
      </c>
      <c r="B1059" s="39" t="n">
        <v>46265</v>
      </c>
      <c r="C1059" s="40" t="n">
        <f aca="false">'Aug 31'!$D$9</f>
        <v>0</v>
      </c>
      <c r="D1059" s="40" t="n">
        <f aca="false">'Aug 31'!$B$9</f>
        <v>0</v>
      </c>
      <c r="E1059" s="41" t="n">
        <f aca="false">'Aug 31'!$E$9</f>
        <v>0</v>
      </c>
      <c r="F1059" s="40" t="n">
        <f aca="false">'Aug 31'!$A$9</f>
        <v>0</v>
      </c>
      <c r="G1059" s="41" t="n">
        <f aca="false">'Aug 31'!$F$9</f>
        <v>0</v>
      </c>
      <c r="H1059" s="41" t="n">
        <f aca="false">'Aug 31'!$G$9</f>
        <v>0</v>
      </c>
      <c r="I1059" s="41" t="str">
        <f aca="false">'Aug 31'!$M$9</f>
        <v/>
      </c>
      <c r="J1059" s="42" t="str">
        <f aca="false">'Aug 31'!$S$9</f>
        <v/>
      </c>
      <c r="K1059" s="40" t="n">
        <f aca="false">'Aug 31'!$AG$9</f>
        <v>0</v>
      </c>
      <c r="L1059" s="40" t="n">
        <f aca="false">'Aug 31'!$N$9</f>
        <v>0</v>
      </c>
    </row>
    <row r="1060" customFormat="false" ht="15" hidden="false" customHeight="false" outlineLevel="0" collapsed="false">
      <c r="A1060" s="38" t="str">
        <f aca="false">IF(OR(C1060="",C1060=0),"",IF(AND(OR($B$5="",G1060=$B$5,H1060=$B$5),OR($D$5="",F1060=$D$5),OR($E$5="",K1060=$E$5),OR($G$5="",L1060=$G$5),OR($H$5="",N(J1060)&gt;=$H$5),OR($I$5="",ISNUMBER(SEARCH($I$5,C1060&amp;" "&amp;D1060&amp;" "&amp;E1060&amp;" "&amp;I1060)))),"✓",""))</f>
        <v/>
      </c>
      <c r="B1060" s="39" t="n">
        <v>46265</v>
      </c>
      <c r="C1060" s="40" t="n">
        <f aca="false">'Aug 31'!$D$10</f>
        <v>0</v>
      </c>
      <c r="D1060" s="40" t="n">
        <f aca="false">'Aug 31'!$B$10</f>
        <v>0</v>
      </c>
      <c r="E1060" s="41" t="n">
        <f aca="false">'Aug 31'!$E$10</f>
        <v>0</v>
      </c>
      <c r="F1060" s="40" t="n">
        <f aca="false">'Aug 31'!$A$10</f>
        <v>0</v>
      </c>
      <c r="G1060" s="41" t="n">
        <f aca="false">'Aug 31'!$F$10</f>
        <v>0</v>
      </c>
      <c r="H1060" s="41" t="n">
        <f aca="false">'Aug 31'!$G$10</f>
        <v>0</v>
      </c>
      <c r="I1060" s="41" t="str">
        <f aca="false">'Aug 31'!$M$10</f>
        <v/>
      </c>
      <c r="J1060" s="42" t="str">
        <f aca="false">'Aug 31'!$S$10</f>
        <v/>
      </c>
      <c r="K1060" s="40" t="n">
        <f aca="false">'Aug 31'!$AG$10</f>
        <v>0</v>
      </c>
      <c r="L1060" s="40" t="n">
        <f aca="false">'Aug 31'!$N$10</f>
        <v>0</v>
      </c>
    </row>
    <row r="1061" customFormat="false" ht="15" hidden="false" customHeight="false" outlineLevel="0" collapsed="false">
      <c r="A1061" s="38" t="str">
        <f aca="false">IF(OR(C1061="",C1061=0),"",IF(AND(OR($B$5="",G1061=$B$5,H1061=$B$5),OR($D$5="",F1061=$D$5),OR($E$5="",K1061=$E$5),OR($G$5="",L1061=$G$5),OR($H$5="",N(J1061)&gt;=$H$5),OR($I$5="",ISNUMBER(SEARCH($I$5,C1061&amp;" "&amp;D1061&amp;" "&amp;E1061&amp;" "&amp;I1061)))),"✓",""))</f>
        <v/>
      </c>
      <c r="B1061" s="39" t="n">
        <v>46265</v>
      </c>
      <c r="C1061" s="40" t="n">
        <f aca="false">'Aug 31'!$D$11</f>
        <v>0</v>
      </c>
      <c r="D1061" s="40" t="n">
        <f aca="false">'Aug 31'!$B$11</f>
        <v>0</v>
      </c>
      <c r="E1061" s="41" t="n">
        <f aca="false">'Aug 31'!$E$11</f>
        <v>0</v>
      </c>
      <c r="F1061" s="40" t="n">
        <f aca="false">'Aug 31'!$A$11</f>
        <v>0</v>
      </c>
      <c r="G1061" s="41" t="n">
        <f aca="false">'Aug 31'!$F$11</f>
        <v>0</v>
      </c>
      <c r="H1061" s="41" t="n">
        <f aca="false">'Aug 31'!$G$11</f>
        <v>0</v>
      </c>
      <c r="I1061" s="41" t="str">
        <f aca="false">'Aug 31'!$M$11</f>
        <v/>
      </c>
      <c r="J1061" s="42" t="str">
        <f aca="false">'Aug 31'!$S$11</f>
        <v/>
      </c>
      <c r="K1061" s="40" t="n">
        <f aca="false">'Aug 31'!$AG$11</f>
        <v>0</v>
      </c>
      <c r="L1061" s="40" t="n">
        <f aca="false">'Aug 31'!$N$11</f>
        <v>0</v>
      </c>
    </row>
    <row r="1062" customFormat="false" ht="15" hidden="false" customHeight="false" outlineLevel="0" collapsed="false">
      <c r="A1062" s="38" t="str">
        <f aca="false">IF(OR(C1062="",C1062=0),"",IF(AND(OR($B$5="",G1062=$B$5,H1062=$B$5),OR($D$5="",F1062=$D$5),OR($E$5="",K1062=$E$5),OR($G$5="",L1062=$G$5),OR($H$5="",N(J1062)&gt;=$H$5),OR($I$5="",ISNUMBER(SEARCH($I$5,C1062&amp;" "&amp;D1062&amp;" "&amp;E1062&amp;" "&amp;I1062)))),"✓",""))</f>
        <v/>
      </c>
      <c r="B1062" s="39" t="n">
        <v>46265</v>
      </c>
      <c r="C1062" s="40" t="n">
        <f aca="false">'Aug 31'!$D$12</f>
        <v>0</v>
      </c>
      <c r="D1062" s="40" t="n">
        <f aca="false">'Aug 31'!$B$12</f>
        <v>0</v>
      </c>
      <c r="E1062" s="41" t="n">
        <f aca="false">'Aug 31'!$E$12</f>
        <v>0</v>
      </c>
      <c r="F1062" s="40" t="n">
        <f aca="false">'Aug 31'!$A$12</f>
        <v>0</v>
      </c>
      <c r="G1062" s="41" t="n">
        <f aca="false">'Aug 31'!$F$12</f>
        <v>0</v>
      </c>
      <c r="H1062" s="41" t="n">
        <f aca="false">'Aug 31'!$G$12</f>
        <v>0</v>
      </c>
      <c r="I1062" s="41" t="str">
        <f aca="false">'Aug 31'!$M$12</f>
        <v/>
      </c>
      <c r="J1062" s="42" t="str">
        <f aca="false">'Aug 31'!$S$12</f>
        <v/>
      </c>
      <c r="K1062" s="40" t="n">
        <f aca="false">'Aug 31'!$AG$12</f>
        <v>0</v>
      </c>
      <c r="L1062" s="40" t="n">
        <f aca="false">'Aug 31'!$N$12</f>
        <v>0</v>
      </c>
    </row>
    <row r="1063" customFormat="false" ht="15" hidden="false" customHeight="false" outlineLevel="0" collapsed="false">
      <c r="A1063" s="38" t="str">
        <f aca="false">IF(OR(C1063="",C1063=0),"",IF(AND(OR($B$5="",G1063=$B$5,H1063=$B$5),OR($D$5="",F1063=$D$5),OR($E$5="",K1063=$E$5),OR($G$5="",L1063=$G$5),OR($H$5="",N(J1063)&gt;=$H$5),OR($I$5="",ISNUMBER(SEARCH($I$5,C1063&amp;" "&amp;D1063&amp;" "&amp;E1063&amp;" "&amp;I1063)))),"✓",""))</f>
        <v/>
      </c>
      <c r="B1063" s="39" t="n">
        <v>46265</v>
      </c>
      <c r="C1063" s="40" t="n">
        <f aca="false">'Aug 31'!$D$13</f>
        <v>0</v>
      </c>
      <c r="D1063" s="40" t="n">
        <f aca="false">'Aug 31'!$B$13</f>
        <v>0</v>
      </c>
      <c r="E1063" s="41" t="n">
        <f aca="false">'Aug 31'!$E$13</f>
        <v>0</v>
      </c>
      <c r="F1063" s="40" t="n">
        <f aca="false">'Aug 31'!$A$13</f>
        <v>0</v>
      </c>
      <c r="G1063" s="41" t="n">
        <f aca="false">'Aug 31'!$F$13</f>
        <v>0</v>
      </c>
      <c r="H1063" s="41" t="n">
        <f aca="false">'Aug 31'!$G$13</f>
        <v>0</v>
      </c>
      <c r="I1063" s="41" t="str">
        <f aca="false">'Aug 31'!$M$13</f>
        <v/>
      </c>
      <c r="J1063" s="42" t="str">
        <f aca="false">'Aug 31'!$S$13</f>
        <v/>
      </c>
      <c r="K1063" s="40" t="n">
        <f aca="false">'Aug 31'!$AG$13</f>
        <v>0</v>
      </c>
      <c r="L1063" s="40" t="n">
        <f aca="false">'Aug 31'!$N$13</f>
        <v>0</v>
      </c>
    </row>
    <row r="1064" customFormat="false" ht="15" hidden="false" customHeight="false" outlineLevel="0" collapsed="false">
      <c r="A1064" s="38" t="str">
        <f aca="false">IF(OR(C1064="",C1064=0),"",IF(AND(OR($B$5="",G1064=$B$5,H1064=$B$5),OR($D$5="",F1064=$D$5),OR($E$5="",K1064=$E$5),OR($G$5="",L1064=$G$5),OR($H$5="",N(J1064)&gt;=$H$5),OR($I$5="",ISNUMBER(SEARCH($I$5,C1064&amp;" "&amp;D1064&amp;" "&amp;E1064&amp;" "&amp;I1064)))),"✓",""))</f>
        <v/>
      </c>
      <c r="B1064" s="39" t="n">
        <v>46265</v>
      </c>
      <c r="C1064" s="40" t="n">
        <f aca="false">'Aug 31'!$D$14</f>
        <v>0</v>
      </c>
      <c r="D1064" s="40" t="n">
        <f aca="false">'Aug 31'!$B$14</f>
        <v>0</v>
      </c>
      <c r="E1064" s="41" t="n">
        <f aca="false">'Aug 31'!$E$14</f>
        <v>0</v>
      </c>
      <c r="F1064" s="40" t="n">
        <f aca="false">'Aug 31'!$A$14</f>
        <v>0</v>
      </c>
      <c r="G1064" s="41" t="n">
        <f aca="false">'Aug 31'!$F$14</f>
        <v>0</v>
      </c>
      <c r="H1064" s="41" t="n">
        <f aca="false">'Aug 31'!$G$14</f>
        <v>0</v>
      </c>
      <c r="I1064" s="41" t="str">
        <f aca="false">'Aug 31'!$M$14</f>
        <v/>
      </c>
      <c r="J1064" s="42" t="str">
        <f aca="false">'Aug 31'!$S$14</f>
        <v/>
      </c>
      <c r="K1064" s="40" t="n">
        <f aca="false">'Aug 31'!$AG$14</f>
        <v>0</v>
      </c>
      <c r="L1064" s="40" t="n">
        <f aca="false">'Aug 31'!$N$14</f>
        <v>0</v>
      </c>
    </row>
    <row r="1065" customFormat="false" ht="15" hidden="false" customHeight="false" outlineLevel="0" collapsed="false">
      <c r="A1065" s="38" t="str">
        <f aca="false">IF(OR(C1065="",C1065=0),"",IF(AND(OR($B$5="",G1065=$B$5,H1065=$B$5),OR($D$5="",F1065=$D$5),OR($E$5="",K1065=$E$5),OR($G$5="",L1065=$G$5),OR($H$5="",N(J1065)&gt;=$H$5),OR($I$5="",ISNUMBER(SEARCH($I$5,C1065&amp;" "&amp;D1065&amp;" "&amp;E1065&amp;" "&amp;I1065)))),"✓",""))</f>
        <v/>
      </c>
      <c r="B1065" s="39" t="n">
        <v>46265</v>
      </c>
      <c r="C1065" s="40" t="n">
        <f aca="false">'Aug 31'!$D$15</f>
        <v>0</v>
      </c>
      <c r="D1065" s="40" t="n">
        <f aca="false">'Aug 31'!$B$15</f>
        <v>0</v>
      </c>
      <c r="E1065" s="41" t="n">
        <f aca="false">'Aug 31'!$E$15</f>
        <v>0</v>
      </c>
      <c r="F1065" s="40" t="n">
        <f aca="false">'Aug 31'!$A$15</f>
        <v>0</v>
      </c>
      <c r="G1065" s="41" t="n">
        <f aca="false">'Aug 31'!$F$15</f>
        <v>0</v>
      </c>
      <c r="H1065" s="41" t="n">
        <f aca="false">'Aug 31'!$G$15</f>
        <v>0</v>
      </c>
      <c r="I1065" s="41" t="str">
        <f aca="false">'Aug 31'!$M$15</f>
        <v/>
      </c>
      <c r="J1065" s="42" t="str">
        <f aca="false">'Aug 31'!$S$15</f>
        <v/>
      </c>
      <c r="K1065" s="40" t="n">
        <f aca="false">'Aug 31'!$AG$15</f>
        <v>0</v>
      </c>
      <c r="L1065" s="40" t="n">
        <f aca="false">'Aug 31'!$N$15</f>
        <v>0</v>
      </c>
    </row>
    <row r="1066" customFormat="false" ht="15" hidden="false" customHeight="false" outlineLevel="0" collapsed="false">
      <c r="A1066" s="38" t="str">
        <f aca="false">IF(OR(C1066="",C1066=0),"",IF(AND(OR($B$5="",G1066=$B$5,H1066=$B$5),OR($D$5="",F1066=$D$5),OR($E$5="",K1066=$E$5),OR($G$5="",L1066=$G$5),OR($H$5="",N(J1066)&gt;=$H$5),OR($I$5="",ISNUMBER(SEARCH($I$5,C1066&amp;" "&amp;D1066&amp;" "&amp;E1066&amp;" "&amp;I1066)))),"✓",""))</f>
        <v/>
      </c>
      <c r="B1066" s="39" t="n">
        <v>46265</v>
      </c>
      <c r="C1066" s="40" t="n">
        <f aca="false">'Aug 31'!$D$16</f>
        <v>0</v>
      </c>
      <c r="D1066" s="40" t="n">
        <f aca="false">'Aug 31'!$B$16</f>
        <v>0</v>
      </c>
      <c r="E1066" s="41" t="n">
        <f aca="false">'Aug 31'!$E$16</f>
        <v>0</v>
      </c>
      <c r="F1066" s="40" t="n">
        <f aca="false">'Aug 31'!$A$16</f>
        <v>0</v>
      </c>
      <c r="G1066" s="41" t="n">
        <f aca="false">'Aug 31'!$F$16</f>
        <v>0</v>
      </c>
      <c r="H1066" s="41" t="n">
        <f aca="false">'Aug 31'!$G$16</f>
        <v>0</v>
      </c>
      <c r="I1066" s="41" t="str">
        <f aca="false">'Aug 31'!$M$16</f>
        <v/>
      </c>
      <c r="J1066" s="42" t="str">
        <f aca="false">'Aug 31'!$S$16</f>
        <v/>
      </c>
      <c r="K1066" s="40" t="n">
        <f aca="false">'Aug 31'!$AG$16</f>
        <v>0</v>
      </c>
      <c r="L1066" s="40" t="n">
        <f aca="false">'Aug 31'!$N$16</f>
        <v>0</v>
      </c>
    </row>
    <row r="1067" customFormat="false" ht="15" hidden="false" customHeight="false" outlineLevel="0" collapsed="false">
      <c r="A1067" s="38" t="str">
        <f aca="false">IF(OR(C1067="",C1067=0),"",IF(AND(OR($B$5="",G1067=$B$5,H1067=$B$5),OR($D$5="",F1067=$D$5),OR($E$5="",K1067=$E$5),OR($G$5="",L1067=$G$5),OR($H$5="",N(J1067)&gt;=$H$5),OR($I$5="",ISNUMBER(SEARCH($I$5,C1067&amp;" "&amp;D1067&amp;" "&amp;E1067&amp;" "&amp;I1067)))),"✓",""))</f>
        <v/>
      </c>
      <c r="B1067" s="39" t="n">
        <v>46265</v>
      </c>
      <c r="C1067" s="40" t="n">
        <f aca="false">'Aug 31'!$D$17</f>
        <v>0</v>
      </c>
      <c r="D1067" s="40" t="n">
        <f aca="false">'Aug 31'!$B$17</f>
        <v>0</v>
      </c>
      <c r="E1067" s="41" t="n">
        <f aca="false">'Aug 31'!$E$17</f>
        <v>0</v>
      </c>
      <c r="F1067" s="40" t="n">
        <f aca="false">'Aug 31'!$A$17</f>
        <v>0</v>
      </c>
      <c r="G1067" s="41" t="n">
        <f aca="false">'Aug 31'!$F$17</f>
        <v>0</v>
      </c>
      <c r="H1067" s="41" t="n">
        <f aca="false">'Aug 31'!$G$17</f>
        <v>0</v>
      </c>
      <c r="I1067" s="41" t="str">
        <f aca="false">'Aug 31'!$M$17</f>
        <v/>
      </c>
      <c r="J1067" s="42" t="str">
        <f aca="false">'Aug 31'!$S$17</f>
        <v/>
      </c>
      <c r="K1067" s="40" t="n">
        <f aca="false">'Aug 31'!$AG$17</f>
        <v>0</v>
      </c>
      <c r="L1067" s="40" t="n">
        <f aca="false">'Aug 31'!$N$17</f>
        <v>0</v>
      </c>
    </row>
    <row r="1068" customFormat="false" ht="15" hidden="false" customHeight="false" outlineLevel="0" collapsed="false">
      <c r="A1068" s="38" t="str">
        <f aca="false">IF(OR(C1068="",C1068=0),"",IF(AND(OR($B$5="",G1068=$B$5,H1068=$B$5),OR($D$5="",F1068=$D$5),OR($E$5="",K1068=$E$5),OR($G$5="",L1068=$G$5),OR($H$5="",N(J1068)&gt;=$H$5),OR($I$5="",ISNUMBER(SEARCH($I$5,C1068&amp;" "&amp;D1068&amp;" "&amp;E1068&amp;" "&amp;I1068)))),"✓",""))</f>
        <v/>
      </c>
      <c r="B1068" s="39" t="n">
        <v>46265</v>
      </c>
      <c r="C1068" s="40" t="n">
        <f aca="false">'Aug 31'!$D$18</f>
        <v>0</v>
      </c>
      <c r="D1068" s="40" t="n">
        <f aca="false">'Aug 31'!$B$18</f>
        <v>0</v>
      </c>
      <c r="E1068" s="41" t="n">
        <f aca="false">'Aug 31'!$E$18</f>
        <v>0</v>
      </c>
      <c r="F1068" s="40" t="n">
        <f aca="false">'Aug 31'!$A$18</f>
        <v>0</v>
      </c>
      <c r="G1068" s="41" t="n">
        <f aca="false">'Aug 31'!$F$18</f>
        <v>0</v>
      </c>
      <c r="H1068" s="41" t="n">
        <f aca="false">'Aug 31'!$G$18</f>
        <v>0</v>
      </c>
      <c r="I1068" s="41" t="str">
        <f aca="false">'Aug 31'!$M$18</f>
        <v/>
      </c>
      <c r="J1068" s="42" t="str">
        <f aca="false">'Aug 31'!$S$18</f>
        <v/>
      </c>
      <c r="K1068" s="40" t="n">
        <f aca="false">'Aug 31'!$AG$18</f>
        <v>0</v>
      </c>
      <c r="L1068" s="40" t="n">
        <f aca="false">'Aug 31'!$N$18</f>
        <v>0</v>
      </c>
    </row>
    <row r="1069" customFormat="false" ht="15" hidden="false" customHeight="false" outlineLevel="0" collapsed="false">
      <c r="A1069" s="38" t="str">
        <f aca="false">IF(OR(C1069="",C1069=0),"",IF(AND(OR($B$5="",G1069=$B$5,H1069=$B$5),OR($D$5="",F1069=$D$5),OR($E$5="",K1069=$E$5),OR($G$5="",L1069=$G$5),OR($H$5="",N(J1069)&gt;=$H$5),OR($I$5="",ISNUMBER(SEARCH($I$5,C1069&amp;" "&amp;D1069&amp;" "&amp;E1069&amp;" "&amp;I1069)))),"✓",""))</f>
        <v/>
      </c>
      <c r="B1069" s="39" t="n">
        <v>46265</v>
      </c>
      <c r="C1069" s="40" t="n">
        <f aca="false">'Aug 31'!$D$19</f>
        <v>0</v>
      </c>
      <c r="D1069" s="40" t="n">
        <f aca="false">'Aug 31'!$B$19</f>
        <v>0</v>
      </c>
      <c r="E1069" s="41" t="n">
        <f aca="false">'Aug 31'!$E$19</f>
        <v>0</v>
      </c>
      <c r="F1069" s="40" t="n">
        <f aca="false">'Aug 31'!$A$19</f>
        <v>0</v>
      </c>
      <c r="G1069" s="41" t="n">
        <f aca="false">'Aug 31'!$F$19</f>
        <v>0</v>
      </c>
      <c r="H1069" s="41" t="n">
        <f aca="false">'Aug 31'!$G$19</f>
        <v>0</v>
      </c>
      <c r="I1069" s="41" t="str">
        <f aca="false">'Aug 31'!$M$19</f>
        <v/>
      </c>
      <c r="J1069" s="42" t="str">
        <f aca="false">'Aug 31'!$S$19</f>
        <v/>
      </c>
      <c r="K1069" s="40" t="n">
        <f aca="false">'Aug 31'!$AG$19</f>
        <v>0</v>
      </c>
      <c r="L1069" s="40" t="n">
        <f aca="false">'Aug 31'!$N$19</f>
        <v>0</v>
      </c>
    </row>
    <row r="1070" customFormat="false" ht="15" hidden="false" customHeight="false" outlineLevel="0" collapsed="false">
      <c r="A1070" s="38" t="str">
        <f aca="false">IF(OR(C1070="",C1070=0),"",IF(AND(OR($B$5="",G1070=$B$5,H1070=$B$5),OR($D$5="",F1070=$D$5),OR($E$5="",K1070=$E$5),OR($G$5="",L1070=$G$5),OR($H$5="",N(J1070)&gt;=$H$5),OR($I$5="",ISNUMBER(SEARCH($I$5,C1070&amp;" "&amp;D1070&amp;" "&amp;E1070&amp;" "&amp;I1070)))),"✓",""))</f>
        <v/>
      </c>
      <c r="B1070" s="39" t="n">
        <v>46265</v>
      </c>
      <c r="C1070" s="40" t="n">
        <f aca="false">'Aug 31'!$D$20</f>
        <v>0</v>
      </c>
      <c r="D1070" s="40" t="n">
        <f aca="false">'Aug 31'!$B$20</f>
        <v>0</v>
      </c>
      <c r="E1070" s="41" t="n">
        <f aca="false">'Aug 31'!$E$20</f>
        <v>0</v>
      </c>
      <c r="F1070" s="40" t="n">
        <f aca="false">'Aug 31'!$A$20</f>
        <v>0</v>
      </c>
      <c r="G1070" s="41" t="n">
        <f aca="false">'Aug 31'!$F$20</f>
        <v>0</v>
      </c>
      <c r="H1070" s="41" t="n">
        <f aca="false">'Aug 31'!$G$20</f>
        <v>0</v>
      </c>
      <c r="I1070" s="41" t="str">
        <f aca="false">'Aug 31'!$M$20</f>
        <v/>
      </c>
      <c r="J1070" s="42" t="str">
        <f aca="false">'Aug 31'!$S$20</f>
        <v/>
      </c>
      <c r="K1070" s="40" t="n">
        <f aca="false">'Aug 31'!$AG$20</f>
        <v>0</v>
      </c>
      <c r="L1070" s="40" t="n">
        <f aca="false">'Aug 31'!$N$20</f>
        <v>0</v>
      </c>
    </row>
    <row r="1071" customFormat="false" ht="15" hidden="false" customHeight="false" outlineLevel="0" collapsed="false">
      <c r="A1071" s="38" t="str">
        <f aca="false">IF(OR(C1071="",C1071=0),"",IF(AND(OR($B$5="",G1071=$B$5,H1071=$B$5),OR($D$5="",F1071=$D$5),OR($E$5="",K1071=$E$5),OR($G$5="",L1071=$G$5),OR($H$5="",N(J1071)&gt;=$H$5),OR($I$5="",ISNUMBER(SEARCH($I$5,C1071&amp;" "&amp;D1071&amp;" "&amp;E1071&amp;" "&amp;I1071)))),"✓",""))</f>
        <v/>
      </c>
      <c r="B1071" s="39" t="n">
        <v>46265</v>
      </c>
      <c r="C1071" s="40" t="n">
        <f aca="false">'Aug 31'!$D$21</f>
        <v>0</v>
      </c>
      <c r="D1071" s="40" t="n">
        <f aca="false">'Aug 31'!$B$21</f>
        <v>0</v>
      </c>
      <c r="E1071" s="41" t="n">
        <f aca="false">'Aug 31'!$E$21</f>
        <v>0</v>
      </c>
      <c r="F1071" s="40" t="n">
        <f aca="false">'Aug 31'!$A$21</f>
        <v>0</v>
      </c>
      <c r="G1071" s="41" t="n">
        <f aca="false">'Aug 31'!$F$21</f>
        <v>0</v>
      </c>
      <c r="H1071" s="41" t="n">
        <f aca="false">'Aug 31'!$G$21</f>
        <v>0</v>
      </c>
      <c r="I1071" s="41" t="str">
        <f aca="false">'Aug 31'!$M$21</f>
        <v/>
      </c>
      <c r="J1071" s="42" t="str">
        <f aca="false">'Aug 31'!$S$21</f>
        <v/>
      </c>
      <c r="K1071" s="40" t="n">
        <f aca="false">'Aug 31'!$AG$21</f>
        <v>0</v>
      </c>
      <c r="L1071" s="40" t="n">
        <f aca="false">'Aug 31'!$N$21</f>
        <v>0</v>
      </c>
    </row>
    <row r="1072" customFormat="false" ht="15" hidden="false" customHeight="false" outlineLevel="0" collapsed="false">
      <c r="A1072" s="38" t="str">
        <f aca="false">IF(OR(C1072="",C1072=0),"",IF(AND(OR($B$5="",G1072=$B$5,H1072=$B$5),OR($D$5="",F1072=$D$5),OR($E$5="",K1072=$E$5),OR($G$5="",L1072=$G$5),OR($H$5="",N(J1072)&gt;=$H$5),OR($I$5="",ISNUMBER(SEARCH($I$5,C1072&amp;" "&amp;D1072&amp;" "&amp;E1072&amp;" "&amp;I1072)))),"✓",""))</f>
        <v/>
      </c>
      <c r="B1072" s="39" t="n">
        <v>46265</v>
      </c>
      <c r="C1072" s="40" t="n">
        <f aca="false">'Aug 31'!$D$22</f>
        <v>0</v>
      </c>
      <c r="D1072" s="40" t="n">
        <f aca="false">'Aug 31'!$B$22</f>
        <v>0</v>
      </c>
      <c r="E1072" s="41" t="n">
        <f aca="false">'Aug 31'!$E$22</f>
        <v>0</v>
      </c>
      <c r="F1072" s="40" t="n">
        <f aca="false">'Aug 31'!$A$22</f>
        <v>0</v>
      </c>
      <c r="G1072" s="41" t="n">
        <f aca="false">'Aug 31'!$F$22</f>
        <v>0</v>
      </c>
      <c r="H1072" s="41" t="n">
        <f aca="false">'Aug 31'!$G$22</f>
        <v>0</v>
      </c>
      <c r="I1072" s="41" t="str">
        <f aca="false">'Aug 31'!$M$22</f>
        <v/>
      </c>
      <c r="J1072" s="42" t="str">
        <f aca="false">'Aug 31'!$S$22</f>
        <v/>
      </c>
      <c r="K1072" s="40" t="n">
        <f aca="false">'Aug 31'!$AG$22</f>
        <v>0</v>
      </c>
      <c r="L1072" s="40" t="n">
        <f aca="false">'Aug 31'!$N$22</f>
        <v>0</v>
      </c>
    </row>
    <row r="1073" customFormat="false" ht="15" hidden="false" customHeight="false" outlineLevel="0" collapsed="false">
      <c r="A1073" s="38" t="str">
        <f aca="false">IF(OR(C1073="",C1073=0),"",IF(AND(OR($B$5="",G1073=$B$5,H1073=$B$5),OR($D$5="",F1073=$D$5),OR($E$5="",K1073=$E$5),OR($G$5="",L1073=$G$5),OR($H$5="",N(J1073)&gt;=$H$5),OR($I$5="",ISNUMBER(SEARCH($I$5,C1073&amp;" "&amp;D1073&amp;" "&amp;E1073&amp;" "&amp;I1073)))),"✓",""))</f>
        <v/>
      </c>
      <c r="B1073" s="39" t="n">
        <v>46265</v>
      </c>
      <c r="C1073" s="40" t="n">
        <f aca="false">'Aug 31'!$D$23</f>
        <v>0</v>
      </c>
      <c r="D1073" s="40" t="n">
        <f aca="false">'Aug 31'!$B$23</f>
        <v>0</v>
      </c>
      <c r="E1073" s="41" t="n">
        <f aca="false">'Aug 31'!$E$23</f>
        <v>0</v>
      </c>
      <c r="F1073" s="40" t="n">
        <f aca="false">'Aug 31'!$A$23</f>
        <v>0</v>
      </c>
      <c r="G1073" s="41" t="n">
        <f aca="false">'Aug 31'!$F$23</f>
        <v>0</v>
      </c>
      <c r="H1073" s="41" t="n">
        <f aca="false">'Aug 31'!$G$23</f>
        <v>0</v>
      </c>
      <c r="I1073" s="41" t="str">
        <f aca="false">'Aug 31'!$M$23</f>
        <v/>
      </c>
      <c r="J1073" s="42" t="str">
        <f aca="false">'Aug 31'!$S$23</f>
        <v/>
      </c>
      <c r="K1073" s="40" t="n">
        <f aca="false">'Aug 31'!$AG$23</f>
        <v>0</v>
      </c>
      <c r="L1073" s="40" t="n">
        <f aca="false">'Aug 31'!$N$23</f>
        <v>0</v>
      </c>
    </row>
    <row r="1074" customFormat="false" ht="15" hidden="false" customHeight="false" outlineLevel="0" collapsed="false">
      <c r="A1074" s="38" t="str">
        <f aca="false">IF(OR(C1074="",C1074=0),"",IF(AND(OR($B$5="",G1074=$B$5,H1074=$B$5),OR($D$5="",F1074=$D$5),OR($E$5="",K1074=$E$5),OR($G$5="",L1074=$G$5),OR($H$5="",N(J1074)&gt;=$H$5),OR($I$5="",ISNUMBER(SEARCH($I$5,C1074&amp;" "&amp;D1074&amp;" "&amp;E1074&amp;" "&amp;I1074)))),"✓",""))</f>
        <v/>
      </c>
      <c r="B1074" s="39" t="n">
        <v>46265</v>
      </c>
      <c r="C1074" s="40" t="n">
        <f aca="false">'Aug 31'!$D$24</f>
        <v>0</v>
      </c>
      <c r="D1074" s="40" t="n">
        <f aca="false">'Aug 31'!$B$24</f>
        <v>0</v>
      </c>
      <c r="E1074" s="41" t="n">
        <f aca="false">'Aug 31'!$E$24</f>
        <v>0</v>
      </c>
      <c r="F1074" s="40" t="n">
        <f aca="false">'Aug 31'!$A$24</f>
        <v>0</v>
      </c>
      <c r="G1074" s="41" t="n">
        <f aca="false">'Aug 31'!$F$24</f>
        <v>0</v>
      </c>
      <c r="H1074" s="41" t="n">
        <f aca="false">'Aug 31'!$G$24</f>
        <v>0</v>
      </c>
      <c r="I1074" s="41" t="str">
        <f aca="false">'Aug 31'!$M$24</f>
        <v/>
      </c>
      <c r="J1074" s="42" t="str">
        <f aca="false">'Aug 31'!$S$24</f>
        <v/>
      </c>
      <c r="K1074" s="40" t="n">
        <f aca="false">'Aug 31'!$AG$24</f>
        <v>0</v>
      </c>
      <c r="L1074" s="40" t="n">
        <f aca="false">'Aug 31'!$N$24</f>
        <v>0</v>
      </c>
    </row>
    <row r="1075" customFormat="false" ht="15" hidden="false" customHeight="false" outlineLevel="0" collapsed="false">
      <c r="A1075" s="38" t="str">
        <f aca="false">IF(OR(C1075="",C1075=0),"",IF(AND(OR($B$5="",G1075=$B$5,H1075=$B$5),OR($D$5="",F1075=$D$5),OR($E$5="",K1075=$E$5),OR($G$5="",L1075=$G$5),OR($H$5="",N(J1075)&gt;=$H$5),OR($I$5="",ISNUMBER(SEARCH($I$5,C1075&amp;" "&amp;D1075&amp;" "&amp;E1075&amp;" "&amp;I1075)))),"✓",""))</f>
        <v/>
      </c>
      <c r="B1075" s="39" t="n">
        <v>46265</v>
      </c>
      <c r="C1075" s="40" t="n">
        <f aca="false">'Aug 31'!$D$25</f>
        <v>0</v>
      </c>
      <c r="D1075" s="40" t="n">
        <f aca="false">'Aug 31'!$B$25</f>
        <v>0</v>
      </c>
      <c r="E1075" s="41" t="n">
        <f aca="false">'Aug 31'!$E$25</f>
        <v>0</v>
      </c>
      <c r="F1075" s="40" t="n">
        <f aca="false">'Aug 31'!$A$25</f>
        <v>0</v>
      </c>
      <c r="G1075" s="41" t="n">
        <f aca="false">'Aug 31'!$F$25</f>
        <v>0</v>
      </c>
      <c r="H1075" s="41" t="n">
        <f aca="false">'Aug 31'!$G$25</f>
        <v>0</v>
      </c>
      <c r="I1075" s="41" t="str">
        <f aca="false">'Aug 31'!$M$25</f>
        <v/>
      </c>
      <c r="J1075" s="42" t="str">
        <f aca="false">'Aug 31'!$S$25</f>
        <v/>
      </c>
      <c r="K1075" s="40" t="n">
        <f aca="false">'Aug 31'!$AG$25</f>
        <v>0</v>
      </c>
      <c r="L1075" s="40" t="n">
        <f aca="false">'Aug 31'!$N$25</f>
        <v>0</v>
      </c>
    </row>
    <row r="1076" customFormat="false" ht="15" hidden="false" customHeight="false" outlineLevel="0" collapsed="false">
      <c r="A1076" s="38" t="str">
        <f aca="false">IF(OR(C1076="",C1076=0),"",IF(AND(OR($B$5="",G1076=$B$5,H1076=$B$5),OR($D$5="",F1076=$D$5),OR($E$5="",K1076=$E$5),OR($G$5="",L1076=$G$5),OR($H$5="",N(J1076)&gt;=$H$5),OR($I$5="",ISNUMBER(SEARCH($I$5,C1076&amp;" "&amp;D1076&amp;" "&amp;E1076&amp;" "&amp;I1076)))),"✓",""))</f>
        <v/>
      </c>
      <c r="B1076" s="39" t="n">
        <v>46265</v>
      </c>
      <c r="C1076" s="40" t="n">
        <f aca="false">'Aug 31'!$D$26</f>
        <v>0</v>
      </c>
      <c r="D1076" s="40" t="n">
        <f aca="false">'Aug 31'!$B$26</f>
        <v>0</v>
      </c>
      <c r="E1076" s="41" t="n">
        <f aca="false">'Aug 31'!$E$26</f>
        <v>0</v>
      </c>
      <c r="F1076" s="40" t="n">
        <f aca="false">'Aug 31'!$A$26</f>
        <v>0</v>
      </c>
      <c r="G1076" s="41" t="n">
        <f aca="false">'Aug 31'!$F$26</f>
        <v>0</v>
      </c>
      <c r="H1076" s="41" t="n">
        <f aca="false">'Aug 31'!$G$26</f>
        <v>0</v>
      </c>
      <c r="I1076" s="41" t="str">
        <f aca="false">'Aug 31'!$M$26</f>
        <v/>
      </c>
      <c r="J1076" s="42" t="str">
        <f aca="false">'Aug 31'!$S$26</f>
        <v/>
      </c>
      <c r="K1076" s="40" t="n">
        <f aca="false">'Aug 31'!$AG$26</f>
        <v>0</v>
      </c>
      <c r="L1076" s="40" t="n">
        <f aca="false">'Aug 31'!$N$26</f>
        <v>0</v>
      </c>
    </row>
    <row r="1077" customFormat="false" ht="15" hidden="false" customHeight="false" outlineLevel="0" collapsed="false">
      <c r="A1077" s="38" t="str">
        <f aca="false">IF(OR(C1077="",C1077=0),"",IF(AND(OR($B$5="",G1077=$B$5,H1077=$B$5),OR($D$5="",F1077=$D$5),OR($E$5="",K1077=$E$5),OR($G$5="",L1077=$G$5),OR($H$5="",N(J1077)&gt;=$H$5),OR($I$5="",ISNUMBER(SEARCH($I$5,C1077&amp;" "&amp;D1077&amp;" "&amp;E1077&amp;" "&amp;I1077)))),"✓",""))</f>
        <v/>
      </c>
      <c r="B1077" s="39" t="n">
        <v>46265</v>
      </c>
      <c r="C1077" s="40" t="n">
        <f aca="false">'Aug 31'!$D$27</f>
        <v>0</v>
      </c>
      <c r="D1077" s="40" t="n">
        <f aca="false">'Aug 31'!$B$27</f>
        <v>0</v>
      </c>
      <c r="E1077" s="41" t="n">
        <f aca="false">'Aug 31'!$E$27</f>
        <v>0</v>
      </c>
      <c r="F1077" s="40" t="n">
        <f aca="false">'Aug 31'!$A$27</f>
        <v>0</v>
      </c>
      <c r="G1077" s="41" t="n">
        <f aca="false">'Aug 31'!$F$27</f>
        <v>0</v>
      </c>
      <c r="H1077" s="41" t="n">
        <f aca="false">'Aug 31'!$G$27</f>
        <v>0</v>
      </c>
      <c r="I1077" s="41" t="str">
        <f aca="false">'Aug 31'!$M$27</f>
        <v/>
      </c>
      <c r="J1077" s="42" t="str">
        <f aca="false">'Aug 31'!$S$27</f>
        <v/>
      </c>
      <c r="K1077" s="40" t="n">
        <f aca="false">'Aug 31'!$AG$27</f>
        <v>0</v>
      </c>
      <c r="L1077" s="40" t="n">
        <f aca="false">'Aug 31'!$N$27</f>
        <v>0</v>
      </c>
    </row>
    <row r="1078" customFormat="false" ht="15" hidden="false" customHeight="false" outlineLevel="0" collapsed="false">
      <c r="A1078" s="38" t="str">
        <f aca="false">IF(OR(C1078="",C1078=0),"",IF(AND(OR($B$5="",G1078=$B$5,H1078=$B$5),OR($D$5="",F1078=$D$5),OR($E$5="",K1078=$E$5),OR($G$5="",L1078=$G$5),OR($H$5="",N(J1078)&gt;=$H$5),OR($I$5="",ISNUMBER(SEARCH($I$5,C1078&amp;" "&amp;D1078&amp;" "&amp;E1078&amp;" "&amp;I1078)))),"✓",""))</f>
        <v/>
      </c>
      <c r="B1078" s="39" t="n">
        <v>46265</v>
      </c>
      <c r="C1078" s="40" t="n">
        <f aca="false">'Aug 31'!$D$28</f>
        <v>0</v>
      </c>
      <c r="D1078" s="40" t="n">
        <f aca="false">'Aug 31'!$B$28</f>
        <v>0</v>
      </c>
      <c r="E1078" s="41" t="n">
        <f aca="false">'Aug 31'!$E$28</f>
        <v>0</v>
      </c>
      <c r="F1078" s="40" t="n">
        <f aca="false">'Aug 31'!$A$28</f>
        <v>0</v>
      </c>
      <c r="G1078" s="41" t="n">
        <f aca="false">'Aug 31'!$F$28</f>
        <v>0</v>
      </c>
      <c r="H1078" s="41" t="n">
        <f aca="false">'Aug 31'!$G$28</f>
        <v>0</v>
      </c>
      <c r="I1078" s="41" t="str">
        <f aca="false">'Aug 31'!$M$28</f>
        <v/>
      </c>
      <c r="J1078" s="42" t="str">
        <f aca="false">'Aug 31'!$S$28</f>
        <v/>
      </c>
      <c r="K1078" s="40" t="n">
        <f aca="false">'Aug 31'!$AG$28</f>
        <v>0</v>
      </c>
      <c r="L1078" s="40" t="n">
        <f aca="false">'Aug 31'!$N$28</f>
        <v>0</v>
      </c>
    </row>
    <row r="1079" customFormat="false" ht="15" hidden="false" customHeight="false" outlineLevel="0" collapsed="false">
      <c r="A1079" s="38" t="str">
        <f aca="false">IF(OR(C1079="",C1079=0),"",IF(AND(OR($B$5="",G1079=$B$5,H1079=$B$5),OR($D$5="",F1079=$D$5),OR($E$5="",K1079=$E$5),OR($G$5="",L1079=$G$5),OR($H$5="",N(J1079)&gt;=$H$5),OR($I$5="",ISNUMBER(SEARCH($I$5,C1079&amp;" "&amp;D1079&amp;" "&amp;E1079&amp;" "&amp;I1079)))),"✓",""))</f>
        <v/>
      </c>
      <c r="B1079" s="39" t="n">
        <v>46265</v>
      </c>
      <c r="C1079" s="40" t="n">
        <f aca="false">'Aug 31'!$D$29</f>
        <v>0</v>
      </c>
      <c r="D1079" s="40" t="n">
        <f aca="false">'Aug 31'!$B$29</f>
        <v>0</v>
      </c>
      <c r="E1079" s="41" t="n">
        <f aca="false">'Aug 31'!$E$29</f>
        <v>0</v>
      </c>
      <c r="F1079" s="40" t="n">
        <f aca="false">'Aug 31'!$A$29</f>
        <v>0</v>
      </c>
      <c r="G1079" s="41" t="n">
        <f aca="false">'Aug 31'!$F$29</f>
        <v>0</v>
      </c>
      <c r="H1079" s="41" t="n">
        <f aca="false">'Aug 31'!$G$29</f>
        <v>0</v>
      </c>
      <c r="I1079" s="41" t="str">
        <f aca="false">'Aug 31'!$M$29</f>
        <v/>
      </c>
      <c r="J1079" s="42" t="str">
        <f aca="false">'Aug 31'!$S$29</f>
        <v/>
      </c>
      <c r="K1079" s="40" t="n">
        <f aca="false">'Aug 31'!$AG$29</f>
        <v>0</v>
      </c>
      <c r="L1079" s="40" t="n">
        <f aca="false">'Aug 31'!$N$29</f>
        <v>0</v>
      </c>
    </row>
    <row r="1080" customFormat="false" ht="15" hidden="false" customHeight="false" outlineLevel="0" collapsed="false">
      <c r="A1080" s="38" t="str">
        <f aca="false">IF(OR(C1080="",C1080=0),"",IF(AND(OR($B$5="",G1080=$B$5,H1080=$B$5),OR($D$5="",F1080=$D$5),OR($E$5="",K1080=$E$5),OR($G$5="",L1080=$G$5),OR($H$5="",N(J1080)&gt;=$H$5),OR($I$5="",ISNUMBER(SEARCH($I$5,C1080&amp;" "&amp;D1080&amp;" "&amp;E1080&amp;" "&amp;I1080)))),"✓",""))</f>
        <v/>
      </c>
      <c r="B1080" s="39" t="n">
        <v>46265</v>
      </c>
      <c r="C1080" s="40" t="n">
        <f aca="false">'Aug 31'!$D$30</f>
        <v>0</v>
      </c>
      <c r="D1080" s="40" t="n">
        <f aca="false">'Aug 31'!$B$30</f>
        <v>0</v>
      </c>
      <c r="E1080" s="41" t="n">
        <f aca="false">'Aug 31'!$E$30</f>
        <v>0</v>
      </c>
      <c r="F1080" s="40" t="n">
        <f aca="false">'Aug 31'!$A$30</f>
        <v>0</v>
      </c>
      <c r="G1080" s="41" t="n">
        <f aca="false">'Aug 31'!$F$30</f>
        <v>0</v>
      </c>
      <c r="H1080" s="41" t="n">
        <f aca="false">'Aug 31'!$G$30</f>
        <v>0</v>
      </c>
      <c r="I1080" s="41" t="str">
        <f aca="false">'Aug 31'!$M$30</f>
        <v/>
      </c>
      <c r="J1080" s="42" t="str">
        <f aca="false">'Aug 31'!$S$30</f>
        <v/>
      </c>
      <c r="K1080" s="40" t="n">
        <f aca="false">'Aug 31'!$AG$30</f>
        <v>0</v>
      </c>
      <c r="L1080" s="40" t="n">
        <f aca="false">'Aug 31'!$N$30</f>
        <v>0</v>
      </c>
    </row>
    <row r="1081" customFormat="false" ht="15" hidden="false" customHeight="false" outlineLevel="0" collapsed="false">
      <c r="A1081" s="38" t="str">
        <f aca="false">IF(OR(C1081="",C1081=0),"",IF(AND(OR($B$5="",G1081=$B$5,H1081=$B$5),OR($D$5="",F1081=$D$5),OR($E$5="",K1081=$E$5),OR($G$5="",L1081=$G$5),OR($H$5="",N(J1081)&gt;=$H$5),OR($I$5="",ISNUMBER(SEARCH($I$5,C1081&amp;" "&amp;D1081&amp;" "&amp;E1081&amp;" "&amp;I1081)))),"✓",""))</f>
        <v/>
      </c>
      <c r="B1081" s="39" t="n">
        <v>46265</v>
      </c>
      <c r="C1081" s="40" t="n">
        <f aca="false">'Aug 31'!$D$31</f>
        <v>0</v>
      </c>
      <c r="D1081" s="40" t="n">
        <f aca="false">'Aug 31'!$B$31</f>
        <v>0</v>
      </c>
      <c r="E1081" s="41" t="n">
        <f aca="false">'Aug 31'!$E$31</f>
        <v>0</v>
      </c>
      <c r="F1081" s="40" t="n">
        <f aca="false">'Aug 31'!$A$31</f>
        <v>0</v>
      </c>
      <c r="G1081" s="41" t="n">
        <f aca="false">'Aug 31'!$F$31</f>
        <v>0</v>
      </c>
      <c r="H1081" s="41" t="n">
        <f aca="false">'Aug 31'!$G$31</f>
        <v>0</v>
      </c>
      <c r="I1081" s="41" t="str">
        <f aca="false">'Aug 31'!$M$31</f>
        <v/>
      </c>
      <c r="J1081" s="42" t="str">
        <f aca="false">'Aug 31'!$S$31</f>
        <v/>
      </c>
      <c r="K1081" s="40" t="n">
        <f aca="false">'Aug 31'!$AG$31</f>
        <v>0</v>
      </c>
      <c r="L1081" s="40" t="n">
        <f aca="false">'Aug 31'!$N$31</f>
        <v>0</v>
      </c>
    </row>
    <row r="1082" customFormat="false" ht="15" hidden="false" customHeight="false" outlineLevel="0" collapsed="false">
      <c r="A1082" s="38" t="str">
        <f aca="false">IF(OR(C1082="",C1082=0),"",IF(AND(OR($B$5="",G1082=$B$5,H1082=$B$5),OR($D$5="",F1082=$D$5),OR($E$5="",K1082=$E$5),OR($G$5="",L1082=$G$5),OR($H$5="",N(J1082)&gt;=$H$5),OR($I$5="",ISNUMBER(SEARCH($I$5,C1082&amp;" "&amp;D1082&amp;" "&amp;E1082&amp;" "&amp;I1082)))),"✓",""))</f>
        <v/>
      </c>
      <c r="B1082" s="39" t="n">
        <v>46265</v>
      </c>
      <c r="C1082" s="40" t="n">
        <f aca="false">'Aug 31'!$D$32</f>
        <v>0</v>
      </c>
      <c r="D1082" s="40" t="n">
        <f aca="false">'Aug 31'!$B$32</f>
        <v>0</v>
      </c>
      <c r="E1082" s="41" t="n">
        <f aca="false">'Aug 31'!$E$32</f>
        <v>0</v>
      </c>
      <c r="F1082" s="40" t="n">
        <f aca="false">'Aug 31'!$A$32</f>
        <v>0</v>
      </c>
      <c r="G1082" s="41" t="n">
        <f aca="false">'Aug 31'!$F$32</f>
        <v>0</v>
      </c>
      <c r="H1082" s="41" t="n">
        <f aca="false">'Aug 31'!$G$32</f>
        <v>0</v>
      </c>
      <c r="I1082" s="41" t="str">
        <f aca="false">'Aug 31'!$M$32</f>
        <v/>
      </c>
      <c r="J1082" s="42" t="str">
        <f aca="false">'Aug 31'!$S$32</f>
        <v/>
      </c>
      <c r="K1082" s="40" t="n">
        <f aca="false">'Aug 31'!$AG$32</f>
        <v>0</v>
      </c>
      <c r="L1082" s="40" t="n">
        <f aca="false">'Aug 31'!$N$32</f>
        <v>0</v>
      </c>
    </row>
    <row r="1083" customFormat="false" ht="15" hidden="false" customHeight="false" outlineLevel="0" collapsed="false">
      <c r="A1083" s="38" t="str">
        <f aca="false">IF(OR(C1083="",C1083=0),"",IF(AND(OR($B$5="",G1083=$B$5,H1083=$B$5),OR($D$5="",F1083=$D$5),OR($E$5="",K1083=$E$5),OR($G$5="",L1083=$G$5),OR($H$5="",N(J1083)&gt;=$H$5),OR($I$5="",ISNUMBER(SEARCH($I$5,C1083&amp;" "&amp;D1083&amp;" "&amp;E1083&amp;" "&amp;I1083)))),"✓",""))</f>
        <v/>
      </c>
      <c r="B1083" s="39" t="n">
        <v>46265</v>
      </c>
      <c r="C1083" s="40" t="n">
        <f aca="false">'Aug 31'!$D$33</f>
        <v>0</v>
      </c>
      <c r="D1083" s="40" t="n">
        <f aca="false">'Aug 31'!$B$33</f>
        <v>0</v>
      </c>
      <c r="E1083" s="41" t="n">
        <f aca="false">'Aug 31'!$E$33</f>
        <v>0</v>
      </c>
      <c r="F1083" s="40" t="n">
        <f aca="false">'Aug 31'!$A$33</f>
        <v>0</v>
      </c>
      <c r="G1083" s="41" t="n">
        <f aca="false">'Aug 31'!$F$33</f>
        <v>0</v>
      </c>
      <c r="H1083" s="41" t="n">
        <f aca="false">'Aug 31'!$G$33</f>
        <v>0</v>
      </c>
      <c r="I1083" s="41" t="str">
        <f aca="false">'Aug 31'!$M$33</f>
        <v/>
      </c>
      <c r="J1083" s="42" t="str">
        <f aca="false">'Aug 31'!$S$33</f>
        <v/>
      </c>
      <c r="K1083" s="40" t="n">
        <f aca="false">'Aug 31'!$AG$33</f>
        <v>0</v>
      </c>
      <c r="L1083" s="40" t="n">
        <f aca="false">'Aug 31'!$N$33</f>
        <v>0</v>
      </c>
    </row>
    <row r="1084" customFormat="false" ht="15" hidden="false" customHeight="false" outlineLevel="0" collapsed="false">
      <c r="A1084" s="38" t="str">
        <f aca="false">IF(OR(C1084="",C1084=0),"",IF(AND(OR($B$5="",G1084=$B$5,H1084=$B$5),OR($D$5="",F1084=$D$5),OR($E$5="",K1084=$E$5),OR($G$5="",L1084=$G$5),OR($H$5="",N(J1084)&gt;=$H$5),OR($I$5="",ISNUMBER(SEARCH($I$5,C1084&amp;" "&amp;D1084&amp;" "&amp;E1084&amp;" "&amp;I1084)))),"✓",""))</f>
        <v/>
      </c>
      <c r="B1084" s="39" t="n">
        <v>46265</v>
      </c>
      <c r="C1084" s="40" t="n">
        <f aca="false">'Aug 31'!$D$34</f>
        <v>0</v>
      </c>
      <c r="D1084" s="40" t="n">
        <f aca="false">'Aug 31'!$B$34</f>
        <v>0</v>
      </c>
      <c r="E1084" s="41" t="n">
        <f aca="false">'Aug 31'!$E$34</f>
        <v>0</v>
      </c>
      <c r="F1084" s="40" t="n">
        <f aca="false">'Aug 31'!$A$34</f>
        <v>0</v>
      </c>
      <c r="G1084" s="41" t="n">
        <f aca="false">'Aug 31'!$F$34</f>
        <v>0</v>
      </c>
      <c r="H1084" s="41" t="n">
        <f aca="false">'Aug 31'!$G$34</f>
        <v>0</v>
      </c>
      <c r="I1084" s="41" t="str">
        <f aca="false">'Aug 31'!$M$34</f>
        <v/>
      </c>
      <c r="J1084" s="42" t="str">
        <f aca="false">'Aug 31'!$S$34</f>
        <v/>
      </c>
      <c r="K1084" s="40" t="n">
        <f aca="false">'Aug 31'!$AG$34</f>
        <v>0</v>
      </c>
      <c r="L1084" s="40" t="n">
        <f aca="false">'Aug 31'!$N$34</f>
        <v>0</v>
      </c>
    </row>
    <row r="1085" customFormat="false" ht="15" hidden="false" customHeight="false" outlineLevel="0" collapsed="false">
      <c r="A1085" s="38" t="str">
        <f aca="false">IF(OR(C1085="",C1085=0),"",IF(AND(OR($B$5="",G1085=$B$5,H1085=$B$5),OR($D$5="",F1085=$D$5),OR($E$5="",K1085=$E$5),OR($G$5="",L1085=$G$5),OR($H$5="",N(J1085)&gt;=$H$5),OR($I$5="",ISNUMBER(SEARCH($I$5,C1085&amp;" "&amp;D1085&amp;" "&amp;E1085&amp;" "&amp;I1085)))),"✓",""))</f>
        <v/>
      </c>
      <c r="B1085" s="39" t="n">
        <v>46265</v>
      </c>
      <c r="C1085" s="40" t="n">
        <f aca="false">'Aug 31'!$D$35</f>
        <v>0</v>
      </c>
      <c r="D1085" s="40" t="n">
        <f aca="false">'Aug 31'!$B$35</f>
        <v>0</v>
      </c>
      <c r="E1085" s="41" t="n">
        <f aca="false">'Aug 31'!$E$35</f>
        <v>0</v>
      </c>
      <c r="F1085" s="40" t="n">
        <f aca="false">'Aug 31'!$A$35</f>
        <v>0</v>
      </c>
      <c r="G1085" s="41" t="n">
        <f aca="false">'Aug 31'!$F$35</f>
        <v>0</v>
      </c>
      <c r="H1085" s="41" t="n">
        <f aca="false">'Aug 31'!$G$35</f>
        <v>0</v>
      </c>
      <c r="I1085" s="41" t="str">
        <f aca="false">'Aug 31'!$M$35</f>
        <v/>
      </c>
      <c r="J1085" s="42" t="str">
        <f aca="false">'Aug 31'!$S$35</f>
        <v/>
      </c>
      <c r="K1085" s="40" t="n">
        <f aca="false">'Aug 31'!$AG$35</f>
        <v>0</v>
      </c>
      <c r="L1085" s="40" t="n">
        <f aca="false">'Aug 31'!$N$35</f>
        <v>0</v>
      </c>
    </row>
    <row r="1086" customFormat="false" ht="15" hidden="false" customHeight="false" outlineLevel="0" collapsed="false">
      <c r="A1086" s="38" t="str">
        <f aca="false">IF(OR(C1086="",C1086=0),"",IF(AND(OR($B$5="",G1086=$B$5,H1086=$B$5),OR($D$5="",F1086=$D$5),OR($E$5="",K1086=$E$5),OR($G$5="",L1086=$G$5),OR($H$5="",N(J1086)&gt;=$H$5),OR($I$5="",ISNUMBER(SEARCH($I$5,C1086&amp;" "&amp;D1086&amp;" "&amp;E1086&amp;" "&amp;I1086)))),"✓",""))</f>
        <v/>
      </c>
      <c r="B1086" s="39" t="n">
        <v>46265</v>
      </c>
      <c r="C1086" s="40" t="n">
        <f aca="false">'Aug 31'!$D$36</f>
        <v>0</v>
      </c>
      <c r="D1086" s="40" t="n">
        <f aca="false">'Aug 31'!$B$36</f>
        <v>0</v>
      </c>
      <c r="E1086" s="41" t="n">
        <f aca="false">'Aug 31'!$E$36</f>
        <v>0</v>
      </c>
      <c r="F1086" s="40" t="n">
        <f aca="false">'Aug 31'!$A$36</f>
        <v>0</v>
      </c>
      <c r="G1086" s="41" t="n">
        <f aca="false">'Aug 31'!$F$36</f>
        <v>0</v>
      </c>
      <c r="H1086" s="41" t="n">
        <f aca="false">'Aug 31'!$G$36</f>
        <v>0</v>
      </c>
      <c r="I1086" s="41" t="str">
        <f aca="false">'Aug 31'!$M$36</f>
        <v/>
      </c>
      <c r="J1086" s="42" t="str">
        <f aca="false">'Aug 31'!$S$36</f>
        <v/>
      </c>
      <c r="K1086" s="40" t="n">
        <f aca="false">'Aug 31'!$AG$36</f>
        <v>0</v>
      </c>
      <c r="L1086" s="40" t="n">
        <f aca="false">'Aug 31'!$N$36</f>
        <v>0</v>
      </c>
    </row>
    <row r="1087" customFormat="false" ht="15" hidden="false" customHeight="false" outlineLevel="0" collapsed="false">
      <c r="A1087" s="38" t="str">
        <f aca="false">IF(OR(C1087="",C1087=0),"",IF(AND(OR($B$5="",G1087=$B$5,H1087=$B$5),OR($D$5="",F1087=$D$5),OR($E$5="",K1087=$E$5),OR($G$5="",L1087=$G$5),OR($H$5="",N(J1087)&gt;=$H$5),OR($I$5="",ISNUMBER(SEARCH($I$5,C1087&amp;" "&amp;D1087&amp;" "&amp;E1087&amp;" "&amp;I1087)))),"✓",""))</f>
        <v/>
      </c>
      <c r="B1087" s="39" t="n">
        <v>46265</v>
      </c>
      <c r="C1087" s="40" t="n">
        <f aca="false">'Aug 31'!$D$37</f>
        <v>0</v>
      </c>
      <c r="D1087" s="40" t="n">
        <f aca="false">'Aug 31'!$B$37</f>
        <v>0</v>
      </c>
      <c r="E1087" s="41" t="n">
        <f aca="false">'Aug 31'!$E$37</f>
        <v>0</v>
      </c>
      <c r="F1087" s="40" t="n">
        <f aca="false">'Aug 31'!$A$37</f>
        <v>0</v>
      </c>
      <c r="G1087" s="41" t="n">
        <f aca="false">'Aug 31'!$F$37</f>
        <v>0</v>
      </c>
      <c r="H1087" s="41" t="n">
        <f aca="false">'Aug 31'!$G$37</f>
        <v>0</v>
      </c>
      <c r="I1087" s="41" t="str">
        <f aca="false">'Aug 31'!$M$37</f>
        <v/>
      </c>
      <c r="J1087" s="42" t="str">
        <f aca="false">'Aug 31'!$S$37</f>
        <v/>
      </c>
      <c r="K1087" s="40" t="n">
        <f aca="false">'Aug 31'!$AG$37</f>
        <v>0</v>
      </c>
      <c r="L1087" s="40" t="n">
        <f aca="false">'Aug 31'!$N$37</f>
        <v>0</v>
      </c>
    </row>
    <row r="1088" customFormat="false" ht="15" hidden="false" customHeight="false" outlineLevel="0" collapsed="false">
      <c r="A1088" s="38" t="str">
        <f aca="false">IF(OR(C1088="",C1088=0),"",IF(AND(OR($B$5="",G1088=$B$5,H1088=$B$5),OR($D$5="",F1088=$D$5),OR($E$5="",K1088=$E$5),OR($G$5="",L1088=$G$5),OR($H$5="",N(J1088)&gt;=$H$5),OR($I$5="",ISNUMBER(SEARCH($I$5,C1088&amp;" "&amp;D1088&amp;" "&amp;E1088&amp;" "&amp;I1088)))),"✓",""))</f>
        <v/>
      </c>
      <c r="B1088" s="39" t="n">
        <v>46265</v>
      </c>
      <c r="C1088" s="40" t="n">
        <f aca="false">'Aug 31'!$D$38</f>
        <v>0</v>
      </c>
      <c r="D1088" s="40" t="n">
        <f aca="false">'Aug 31'!$B$38</f>
        <v>0</v>
      </c>
      <c r="E1088" s="41" t="n">
        <f aca="false">'Aug 31'!$E$38</f>
        <v>0</v>
      </c>
      <c r="F1088" s="40" t="n">
        <f aca="false">'Aug 31'!$A$38</f>
        <v>0</v>
      </c>
      <c r="G1088" s="41" t="n">
        <f aca="false">'Aug 31'!$F$38</f>
        <v>0</v>
      </c>
      <c r="H1088" s="41" t="n">
        <f aca="false">'Aug 31'!$G$38</f>
        <v>0</v>
      </c>
      <c r="I1088" s="41" t="str">
        <f aca="false">'Aug 31'!$M$38</f>
        <v/>
      </c>
      <c r="J1088" s="42" t="str">
        <f aca="false">'Aug 31'!$S$38</f>
        <v/>
      </c>
      <c r="K1088" s="40" t="n">
        <f aca="false">'Aug 31'!$AG$38</f>
        <v>0</v>
      </c>
      <c r="L1088" s="40" t="n">
        <f aca="false">'Aug 31'!$N$38</f>
        <v>0</v>
      </c>
    </row>
    <row r="1089" customFormat="false" ht="15" hidden="false" customHeight="false" outlineLevel="0" collapsed="false">
      <c r="A1089" s="38" t="str">
        <f aca="false">IF(OR(C1089="",C1089=0),"",IF(AND(OR($B$5="",G1089=$B$5,H1089=$B$5),OR($D$5="",F1089=$D$5),OR($E$5="",K1089=$E$5),OR($G$5="",L1089=$G$5),OR($H$5="",N(J1089)&gt;=$H$5),OR($I$5="",ISNUMBER(SEARCH($I$5,C1089&amp;" "&amp;D1089&amp;" "&amp;E1089&amp;" "&amp;I1089)))),"✓",""))</f>
        <v/>
      </c>
      <c r="B1089" s="39" t="n">
        <v>46265</v>
      </c>
      <c r="C1089" s="40" t="n">
        <f aca="false">'Aug 31'!$D$39</f>
        <v>0</v>
      </c>
      <c r="D1089" s="40" t="n">
        <f aca="false">'Aug 31'!$B$39</f>
        <v>0</v>
      </c>
      <c r="E1089" s="41" t="n">
        <f aca="false">'Aug 31'!$E$39</f>
        <v>0</v>
      </c>
      <c r="F1089" s="40" t="n">
        <f aca="false">'Aug 31'!$A$39</f>
        <v>0</v>
      </c>
      <c r="G1089" s="41" t="n">
        <f aca="false">'Aug 31'!$F$39</f>
        <v>0</v>
      </c>
      <c r="H1089" s="41" t="n">
        <f aca="false">'Aug 31'!$G$39</f>
        <v>0</v>
      </c>
      <c r="I1089" s="41" t="str">
        <f aca="false">'Aug 31'!$M$39</f>
        <v/>
      </c>
      <c r="J1089" s="42" t="str">
        <f aca="false">'Aug 31'!$S$39</f>
        <v/>
      </c>
      <c r="K1089" s="40" t="n">
        <f aca="false">'Aug 31'!$AG$39</f>
        <v>0</v>
      </c>
      <c r="L1089" s="40" t="n">
        <f aca="false">'Aug 31'!$N$39</f>
        <v>0</v>
      </c>
    </row>
    <row r="1090" customFormat="false" ht="15" hidden="false" customHeight="false" outlineLevel="0" collapsed="false">
      <c r="A1090" s="38" t="str">
        <f aca="false">IF(OR(C1090="",C1090=0),"",IF(AND(OR($B$5="",G1090=$B$5,H1090=$B$5),OR($D$5="",F1090=$D$5),OR($E$5="",K1090=$E$5),OR($G$5="",L1090=$G$5),OR($H$5="",N(J1090)&gt;=$H$5),OR($I$5="",ISNUMBER(SEARCH($I$5,C1090&amp;" "&amp;D1090&amp;" "&amp;E1090&amp;" "&amp;I1090)))),"✓",""))</f>
        <v/>
      </c>
      <c r="B1090" s="39" t="n">
        <v>46265</v>
      </c>
      <c r="C1090" s="40" t="n">
        <f aca="false">'Aug 31'!$D$40</f>
        <v>0</v>
      </c>
      <c r="D1090" s="40" t="n">
        <f aca="false">'Aug 31'!$B$40</f>
        <v>0</v>
      </c>
      <c r="E1090" s="41" t="n">
        <f aca="false">'Aug 31'!$E$40</f>
        <v>0</v>
      </c>
      <c r="F1090" s="40" t="n">
        <f aca="false">'Aug 31'!$A$40</f>
        <v>0</v>
      </c>
      <c r="G1090" s="41" t="n">
        <f aca="false">'Aug 31'!$F$40</f>
        <v>0</v>
      </c>
      <c r="H1090" s="41" t="n">
        <f aca="false">'Aug 31'!$G$40</f>
        <v>0</v>
      </c>
      <c r="I1090" s="41" t="str">
        <f aca="false">'Aug 31'!$M$40</f>
        <v/>
      </c>
      <c r="J1090" s="42" t="str">
        <f aca="false">'Aug 31'!$S$40</f>
        <v/>
      </c>
      <c r="K1090" s="40" t="n">
        <f aca="false">'Aug 31'!$AG$40</f>
        <v>0</v>
      </c>
      <c r="L1090" s="40" t="n">
        <f aca="false">'Aug 31'!$N$40</f>
        <v>0</v>
      </c>
    </row>
    <row r="1091" customFormat="false" ht="15" hidden="false" customHeight="false" outlineLevel="0" collapsed="false">
      <c r="A1091" s="38" t="str">
        <f aca="false">IF(OR(C1091="",C1091=0),"",IF(AND(OR($B$5="",G1091=$B$5,H1091=$B$5),OR($D$5="",F1091=$D$5),OR($E$5="",K1091=$E$5),OR($G$5="",L1091=$G$5),OR($H$5="",N(J1091)&gt;=$H$5),OR($I$5="",ISNUMBER(SEARCH($I$5,C1091&amp;" "&amp;D1091&amp;" "&amp;E1091&amp;" "&amp;I1091)))),"✓",""))</f>
        <v/>
      </c>
      <c r="B1091" s="39" t="n">
        <v>46265</v>
      </c>
      <c r="C1091" s="40" t="n">
        <f aca="false">'Aug 31'!$D$41</f>
        <v>0</v>
      </c>
      <c r="D1091" s="40" t="n">
        <f aca="false">'Aug 31'!$B$41</f>
        <v>0</v>
      </c>
      <c r="E1091" s="41" t="n">
        <f aca="false">'Aug 31'!$E$41</f>
        <v>0</v>
      </c>
      <c r="F1091" s="40" t="n">
        <f aca="false">'Aug 31'!$A$41</f>
        <v>0</v>
      </c>
      <c r="G1091" s="41" t="n">
        <f aca="false">'Aug 31'!$F$41</f>
        <v>0</v>
      </c>
      <c r="H1091" s="41" t="n">
        <f aca="false">'Aug 31'!$G$41</f>
        <v>0</v>
      </c>
      <c r="I1091" s="41" t="str">
        <f aca="false">'Aug 31'!$M$41</f>
        <v/>
      </c>
      <c r="J1091" s="42" t="str">
        <f aca="false">'Aug 31'!$S$41</f>
        <v/>
      </c>
      <c r="K1091" s="40" t="n">
        <f aca="false">'Aug 31'!$AG$41</f>
        <v>0</v>
      </c>
      <c r="L1091" s="40" t="n">
        <f aca="false">'Aug 31'!$N$41</f>
        <v>0</v>
      </c>
    </row>
    <row r="1092" customFormat="false" ht="15" hidden="false" customHeight="false" outlineLevel="0" collapsed="false">
      <c r="A1092" s="38" t="str">
        <f aca="false">IF(OR(C1092="",C1092=0),"",IF(AND(OR($B$5="",G1092=$B$5,H1092=$B$5),OR($D$5="",F1092=$D$5),OR($E$5="",K1092=$E$5),OR($G$5="",L1092=$G$5),OR($H$5="",N(J1092)&gt;=$H$5),OR($I$5="",ISNUMBER(SEARCH($I$5,C1092&amp;" "&amp;D1092&amp;" "&amp;E1092&amp;" "&amp;I1092)))),"✓",""))</f>
        <v/>
      </c>
      <c r="B1092" s="39" t="n">
        <v>46265</v>
      </c>
      <c r="C1092" s="40" t="n">
        <f aca="false">'Aug 31'!$D$42</f>
        <v>0</v>
      </c>
      <c r="D1092" s="40" t="n">
        <f aca="false">'Aug 31'!$B$42</f>
        <v>0</v>
      </c>
      <c r="E1092" s="41" t="n">
        <f aca="false">'Aug 31'!$E$42</f>
        <v>0</v>
      </c>
      <c r="F1092" s="40" t="n">
        <f aca="false">'Aug 31'!$A$42</f>
        <v>0</v>
      </c>
      <c r="G1092" s="41" t="n">
        <f aca="false">'Aug 31'!$F$42</f>
        <v>0</v>
      </c>
      <c r="H1092" s="41" t="n">
        <f aca="false">'Aug 31'!$G$42</f>
        <v>0</v>
      </c>
      <c r="I1092" s="41" t="str">
        <f aca="false">'Aug 31'!$M$42</f>
        <v/>
      </c>
      <c r="J1092" s="42" t="str">
        <f aca="false">'Aug 31'!$S$42</f>
        <v/>
      </c>
      <c r="K1092" s="40" t="n">
        <f aca="false">'Aug 31'!$AG$42</f>
        <v>0</v>
      </c>
      <c r="L1092" s="40" t="n">
        <f aca="false">'Aug 31'!$N$42</f>
        <v>0</v>
      </c>
    </row>
  </sheetData>
  <sheetProtection sheet="true" formatColumns="false" formatRows="false"/>
  <mergeCells count="10">
    <mergeCell ref="A1:B3"/>
    <mergeCell ref="C1:I2"/>
    <mergeCell ref="C3:I3"/>
    <mergeCell ref="B4:C4"/>
    <mergeCell ref="E4:F4"/>
    <mergeCell ref="I4:L4"/>
    <mergeCell ref="B5:C5"/>
    <mergeCell ref="E5:F5"/>
    <mergeCell ref="I5:L5"/>
    <mergeCell ref="B6:E6"/>
  </mergeCells>
  <dataValidations count="4">
    <dataValidation allowBlank="true" errorStyle="stop" operator="between" showDropDown="false" showErrorMessage="false" showInputMessage="false" sqref="D5" type="list">
      <formula1>"New,Used"</formula1>
      <formula2>0</formula2>
    </dataValidation>
    <dataValidation allowBlank="true" errorStyle="stop" operator="between" showDropDown="false" showErrorMessage="false" showInputMessage="false" sqref="E5" type="list">
      <formula1>"Delivered,Pending,Unwind,Back Out"</formula1>
      <formula2>0</formula2>
    </dataValidation>
    <dataValidation allowBlank="true" errorStyle="stop" operator="between" showDropDown="false" showErrorMessage="false" showInputMessage="false" sqref="G5" type="list">
      <formula1>"Y"</formula1>
      <formula2>0</formula2>
    </dataValidation>
    <dataValidation allowBlank="true" errorStyle="stop" operator="between" showDropDown="false" showErrorMessage="false" showInputMessage="false" sqref="B5" type="list">
      <formula1>SalespeopleList</formula1>
      <formula2>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B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N7" activeCellId="0" sqref="N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15"/>
    <col collapsed="false" customWidth="true" hidden="false" outlineLevel="0" max="3" min="3" style="0" width="6"/>
    <col collapsed="false" customWidth="true" hidden="false" outlineLevel="0" max="5" min="4" style="0" width="8.43"/>
    <col collapsed="false" customWidth="true" hidden="false" outlineLevel="0" max="6" min="6" style="0" width="8"/>
    <col collapsed="false" customWidth="true" hidden="false" outlineLevel="0" max="10" min="7" style="0" width="9"/>
    <col collapsed="false" customWidth="true" hidden="false" outlineLevel="0" max="12" min="11" style="0" width="10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6" min="15" style="0" width="9"/>
    <col collapsed="false" customWidth="true" hidden="false" outlineLevel="0" max="18" min="17" style="0" width="6"/>
    <col collapsed="false" customWidth="true" hidden="true" outlineLevel="0" max="60" min="20" style="0" width="13"/>
  </cols>
  <sheetData>
    <row r="1" customFormat="false" ht="19.5" hidden="false" customHeight="true" outlineLevel="0" collapsed="false">
      <c r="A1" s="1" t="s">
        <v>76</v>
      </c>
      <c r="B1" s="1"/>
      <c r="C1" s="1"/>
      <c r="D1" s="2" t="s">
        <v>77</v>
      </c>
      <c r="E1" s="2"/>
      <c r="F1" s="2"/>
      <c r="G1" s="2"/>
      <c r="H1" s="2"/>
      <c r="I1" s="2"/>
      <c r="J1" s="2"/>
      <c r="K1" s="2"/>
      <c r="L1" s="2"/>
      <c r="M1" s="2"/>
      <c r="N1" s="3" t="str">
        <f aca="true">" as of "&amp;TEXT(TODAY(),"ddd mmm d")</f>
        <v> as of Sun Aug 2</v>
      </c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1"/>
      <c r="D3" s="4" t="s">
        <v>78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T3" s="0" t="s">
        <v>79</v>
      </c>
    </row>
    <row r="4" customFormat="false" ht="15" hidden="false" customHeight="false" outlineLevel="0" collapsed="false">
      <c r="T4" s="0" t="str">
        <f aca="false">'Staff &amp; Lists'!A5</f>
        <v>FEDY ALI</v>
      </c>
      <c r="U4" s="0" t="n">
        <f aca="false">SUMPRODUCT(('Aug 1'!$F$8:$F$42=$T4)*'Aug 1'!$AJ$8:$AJ$42+('Aug 1'!$G$8:$G$42=$T4)*'Aug 1'!$AK$8:$AK$42)</f>
        <v>0</v>
      </c>
      <c r="V4" s="0" t="n">
        <f aca="false">SUMPRODUCT(('Aug 2'!$F$8:$F$42=$T4)*'Aug 2'!$AJ$8:$AJ$42+('Aug 2'!$G$8:$G$42=$T4)*'Aug 2'!$AK$8:$AK$42)</f>
        <v>0</v>
      </c>
      <c r="W4" s="0" t="n">
        <f aca="false">SUMPRODUCT(('Aug 3'!$F$8:$F$42=$T4)*'Aug 3'!$AJ$8:$AJ$42+('Aug 3'!$G$8:$G$42=$T4)*'Aug 3'!$AK$8:$AK$42)</f>
        <v>0</v>
      </c>
      <c r="X4" s="0" t="n">
        <f aca="false">SUMPRODUCT(('Aug 4'!$F$8:$F$42=$T4)*'Aug 4'!$AJ$8:$AJ$42+('Aug 4'!$G$8:$G$42=$T4)*'Aug 4'!$AK$8:$AK$42)</f>
        <v>0</v>
      </c>
      <c r="Y4" s="0" t="n">
        <f aca="false">SUMPRODUCT(('Aug 5'!$F$8:$F$42=$T4)*'Aug 5'!$AJ$8:$AJ$42+('Aug 5'!$G$8:$G$42=$T4)*'Aug 5'!$AK$8:$AK$42)</f>
        <v>0</v>
      </c>
      <c r="Z4" s="0" t="n">
        <f aca="false">SUMPRODUCT(('Aug 6'!$F$8:$F$42=$T4)*'Aug 6'!$AJ$8:$AJ$42+('Aug 6'!$G$8:$G$42=$T4)*'Aug 6'!$AK$8:$AK$42)</f>
        <v>0</v>
      </c>
      <c r="AA4" s="0" t="n">
        <f aca="false">SUMPRODUCT(('Aug 7'!$F$8:$F$42=$T4)*'Aug 7'!$AJ$8:$AJ$42+('Aug 7'!$G$8:$G$42=$T4)*'Aug 7'!$AK$8:$AK$42)</f>
        <v>0</v>
      </c>
      <c r="AB4" s="0" t="n">
        <f aca="false">SUMPRODUCT(('Aug 8'!$F$8:$F$42=$T4)*'Aug 8'!$AJ$8:$AJ$42+('Aug 8'!$G$8:$G$42=$T4)*'Aug 8'!$AK$8:$AK$42)</f>
        <v>0</v>
      </c>
      <c r="AC4" s="0" t="n">
        <f aca="false">SUMPRODUCT(('Aug 9'!$F$8:$F$42=$T4)*'Aug 9'!$AJ$8:$AJ$42+('Aug 9'!$G$8:$G$42=$T4)*'Aug 9'!$AK$8:$AK$42)</f>
        <v>0</v>
      </c>
      <c r="AD4" s="0" t="n">
        <f aca="false">SUMPRODUCT(('Aug 10'!$F$8:$F$42=$T4)*'Aug 10'!$AJ$8:$AJ$42+('Aug 10'!$G$8:$G$42=$T4)*'Aug 10'!$AK$8:$AK$42)</f>
        <v>0</v>
      </c>
      <c r="AE4" s="0" t="n">
        <f aca="false">SUMPRODUCT(('Aug 11'!$F$8:$F$42=$T4)*'Aug 11'!$AJ$8:$AJ$42+('Aug 11'!$G$8:$G$42=$T4)*'Aug 11'!$AK$8:$AK$42)</f>
        <v>0</v>
      </c>
      <c r="AF4" s="0" t="n">
        <f aca="false">SUMPRODUCT(('Aug 12'!$F$8:$F$42=$T4)*'Aug 12'!$AJ$8:$AJ$42+('Aug 12'!$G$8:$G$42=$T4)*'Aug 12'!$AK$8:$AK$42)</f>
        <v>0</v>
      </c>
      <c r="AG4" s="0" t="n">
        <f aca="false">SUMPRODUCT(('Aug 13'!$F$8:$F$42=$T4)*'Aug 13'!$AJ$8:$AJ$42+('Aug 13'!$G$8:$G$42=$T4)*'Aug 13'!$AK$8:$AK$42)</f>
        <v>0</v>
      </c>
      <c r="AH4" s="0" t="n">
        <f aca="false">SUMPRODUCT(('Aug 14'!$F$8:$F$42=$T4)*'Aug 14'!$AJ$8:$AJ$42+('Aug 14'!$G$8:$G$42=$T4)*'Aug 14'!$AK$8:$AK$42)</f>
        <v>0</v>
      </c>
      <c r="AI4" s="0" t="n">
        <f aca="false">SUMPRODUCT(('Aug 15'!$F$8:$F$42=$T4)*'Aug 15'!$AJ$8:$AJ$42+('Aug 15'!$G$8:$G$42=$T4)*'Aug 15'!$AK$8:$AK$42)</f>
        <v>0</v>
      </c>
      <c r="AJ4" s="0" t="n">
        <f aca="false">SUMPRODUCT(('Aug 16'!$F$8:$F$42=$T4)*'Aug 16'!$AJ$8:$AJ$42+('Aug 16'!$G$8:$G$42=$T4)*'Aug 16'!$AK$8:$AK$42)</f>
        <v>0</v>
      </c>
      <c r="AK4" s="0" t="n">
        <f aca="false">SUMPRODUCT(('Aug 17'!$F$8:$F$42=$T4)*'Aug 17'!$AJ$8:$AJ$42+('Aug 17'!$G$8:$G$42=$T4)*'Aug 17'!$AK$8:$AK$42)</f>
        <v>0</v>
      </c>
      <c r="AL4" s="0" t="n">
        <f aca="false">SUMPRODUCT(('Aug 18'!$F$8:$F$42=$T4)*'Aug 18'!$AJ$8:$AJ$42+('Aug 18'!$G$8:$G$42=$T4)*'Aug 18'!$AK$8:$AK$42)</f>
        <v>0</v>
      </c>
      <c r="AM4" s="0" t="n">
        <f aca="false">SUMPRODUCT(('Aug 19'!$F$8:$F$42=$T4)*'Aug 19'!$AJ$8:$AJ$42+('Aug 19'!$G$8:$G$42=$T4)*'Aug 19'!$AK$8:$AK$42)</f>
        <v>0</v>
      </c>
      <c r="AN4" s="0" t="n">
        <f aca="false">SUMPRODUCT(('Aug 20'!$F$8:$F$42=$T4)*'Aug 20'!$AJ$8:$AJ$42+('Aug 20'!$G$8:$G$42=$T4)*'Aug 20'!$AK$8:$AK$42)</f>
        <v>0</v>
      </c>
      <c r="AO4" s="0" t="n">
        <f aca="false">SUMPRODUCT(('Aug 21'!$F$8:$F$42=$T4)*'Aug 21'!$AJ$8:$AJ$42+('Aug 21'!$G$8:$G$42=$T4)*'Aug 21'!$AK$8:$AK$42)</f>
        <v>0</v>
      </c>
      <c r="AP4" s="0" t="n">
        <f aca="false">SUMPRODUCT(('Aug 22'!$F$8:$F$42=$T4)*'Aug 22'!$AJ$8:$AJ$42+('Aug 22'!$G$8:$G$42=$T4)*'Aug 22'!$AK$8:$AK$42)</f>
        <v>0</v>
      </c>
      <c r="AQ4" s="0" t="n">
        <f aca="false">SUMPRODUCT(('Aug 23'!$F$8:$F$42=$T4)*'Aug 23'!$AJ$8:$AJ$42+('Aug 23'!$G$8:$G$42=$T4)*'Aug 23'!$AK$8:$AK$42)</f>
        <v>0</v>
      </c>
      <c r="AR4" s="0" t="n">
        <f aca="false">SUMPRODUCT(('Aug 24'!$F$8:$F$42=$T4)*'Aug 24'!$AJ$8:$AJ$42+('Aug 24'!$G$8:$G$42=$T4)*'Aug 24'!$AK$8:$AK$42)</f>
        <v>0</v>
      </c>
      <c r="AS4" s="0" t="n">
        <f aca="false">SUMPRODUCT(('Aug 25'!$F$8:$F$42=$T4)*'Aug 25'!$AJ$8:$AJ$42+('Aug 25'!$G$8:$G$42=$T4)*'Aug 25'!$AK$8:$AK$42)</f>
        <v>0</v>
      </c>
      <c r="AT4" s="0" t="n">
        <f aca="false">SUMPRODUCT(('Aug 26'!$F$8:$F$42=$T4)*'Aug 26'!$AJ$8:$AJ$42+('Aug 26'!$G$8:$G$42=$T4)*'Aug 26'!$AK$8:$AK$42)</f>
        <v>0</v>
      </c>
      <c r="AU4" s="0" t="n">
        <f aca="false">SUMPRODUCT(('Aug 27'!$F$8:$F$42=$T4)*'Aug 27'!$AJ$8:$AJ$42+('Aug 27'!$G$8:$G$42=$T4)*'Aug 27'!$AK$8:$AK$42)</f>
        <v>0</v>
      </c>
      <c r="AV4" s="0" t="n">
        <f aca="false">SUMPRODUCT(('Aug 28'!$F$8:$F$42=$T4)*'Aug 28'!$AJ$8:$AJ$42+('Aug 28'!$G$8:$G$42=$T4)*'Aug 28'!$AK$8:$AK$42)</f>
        <v>0</v>
      </c>
      <c r="AW4" s="0" t="n">
        <f aca="false">SUMPRODUCT(('Aug 29'!$F$8:$F$42=$T4)*'Aug 29'!$AJ$8:$AJ$42+('Aug 29'!$G$8:$G$42=$T4)*'Aug 29'!$AK$8:$AK$42)</f>
        <v>0</v>
      </c>
      <c r="AX4" s="0" t="n">
        <f aca="false">SUMPRODUCT(('Aug 30'!$F$8:$F$42=$T4)*'Aug 30'!$AJ$8:$AJ$42+('Aug 30'!$G$8:$G$42=$T4)*'Aug 30'!$AK$8:$AK$42)</f>
        <v>0</v>
      </c>
      <c r="AY4" s="0" t="n">
        <f aca="false">SUMPRODUCT(('Aug 31'!$F$8:$F$42=$T4)*'Aug 31'!$AJ$8:$AJ$42+('Aug 31'!$G$8:$G$42=$T4)*'Aug 31'!$AK$8:$AK$42)</f>
        <v>0</v>
      </c>
      <c r="BA4" s="0" t="n">
        <f aca="false">SUM(U4:AD4)</f>
        <v>0</v>
      </c>
      <c r="BB4" s="0" t="n">
        <f aca="false">MATCH(BD4,'Pay Plan'!$C$6:$C$12,1)</f>
        <v>1</v>
      </c>
      <c r="BC4" s="0" t="n">
        <f aca="false">SUMPRODUCT(('Aug 1'!$F$8:$F$42=$T4)*'Aug 1'!$AI$8:$AI$42*(('Aug 1'!$AM$8:$AM$42="Y")+('Aug 1'!$AN$8:$AN$42="Y")+('Aug 1'!$AO$8:$AO$42="Y")))+SUMPRODUCT(('Aug 2'!$F$8:$F$42=$T4)*'Aug 2'!$AI$8:$AI$42*(('Aug 2'!$AM$8:$AM$42="Y")+('Aug 2'!$AN$8:$AN$42="Y")+('Aug 2'!$AO$8:$AO$42="Y")))+SUMPRODUCT(('Aug 3'!$F$8:$F$42=$T4)*'Aug 3'!$AI$8:$AI$42*(('Aug 3'!$AM$8:$AM$42="Y")+('Aug 3'!$AN$8:$AN$42="Y")+('Aug 3'!$AO$8:$AO$42="Y")))+SUMPRODUCT(('Aug 4'!$F$8:$F$42=$T4)*'Aug 4'!$AI$8:$AI$42*(('Aug 4'!$AM$8:$AM$42="Y")+('Aug 4'!$AN$8:$AN$42="Y")+('Aug 4'!$AO$8:$AO$42="Y")))+SUMPRODUCT(('Aug 5'!$F$8:$F$42=$T4)*'Aug 5'!$AI$8:$AI$42*(('Aug 5'!$AM$8:$AM$42="Y")+('Aug 5'!$AN$8:$AN$42="Y")+('Aug 5'!$AO$8:$AO$42="Y")))+SUMPRODUCT(('Aug 6'!$F$8:$F$42=$T4)*'Aug 6'!$AI$8:$AI$42*(('Aug 6'!$AM$8:$AM$42="Y")+('Aug 6'!$AN$8:$AN$42="Y")+('Aug 6'!$AO$8:$AO$42="Y")))+SUMPRODUCT(('Aug 7'!$F$8:$F$42=$T4)*'Aug 7'!$AI$8:$AI$42*(('Aug 7'!$AM$8:$AM$42="Y")+('Aug 7'!$AN$8:$AN$42="Y")+('Aug 7'!$AO$8:$AO$42="Y")))+SUMPRODUCT(('Aug 8'!$F$8:$F$42=$T4)*'Aug 8'!$AI$8:$AI$42*(('Aug 8'!$AM$8:$AM$42="Y")+('Aug 8'!$AN$8:$AN$42="Y")+('Aug 8'!$AO$8:$AO$42="Y")))+SUMPRODUCT(('Aug 9'!$F$8:$F$42=$T4)*'Aug 9'!$AI$8:$AI$42*(('Aug 9'!$AM$8:$AM$42="Y")+('Aug 9'!$AN$8:$AN$42="Y")+('Aug 9'!$AO$8:$AO$42="Y")))+SUMPRODUCT(('Aug 10'!$F$8:$F$42=$T4)*'Aug 10'!$AI$8:$AI$42*(('Aug 10'!$AM$8:$AM$42="Y")+('Aug 10'!$AN$8:$AN$42="Y")+('Aug 10'!$AO$8:$AO$42="Y")))+SUMPRODUCT(('Aug 11'!$F$8:$F$42=$T4)*'Aug 11'!$AI$8:$AI$42*(('Aug 11'!$AM$8:$AM$42="Y")+('Aug 11'!$AN$8:$AN$42="Y")+('Aug 11'!$AO$8:$AO$42="Y")))+SUMPRODUCT(('Aug 12'!$F$8:$F$42=$T4)*'Aug 12'!$AI$8:$AI$42*(('Aug 12'!$AM$8:$AM$42="Y")+('Aug 12'!$AN$8:$AN$42="Y")+('Aug 12'!$AO$8:$AO$42="Y")))+SUMPRODUCT(('Aug 13'!$F$8:$F$42=$T4)*'Aug 13'!$AI$8:$AI$42*(('Aug 13'!$AM$8:$AM$42="Y")+('Aug 13'!$AN$8:$AN$42="Y")+('Aug 13'!$AO$8:$AO$42="Y")))+SUMPRODUCT(('Aug 14'!$F$8:$F$42=$T4)*'Aug 14'!$AI$8:$AI$42*(('Aug 14'!$AM$8:$AM$42="Y")+('Aug 14'!$AN$8:$AN$42="Y")+('Aug 14'!$AO$8:$AO$42="Y")))+SUMPRODUCT(('Aug 15'!$F$8:$F$42=$T4)*'Aug 15'!$AI$8:$AI$42*(('Aug 15'!$AM$8:$AM$42="Y")+('Aug 15'!$AN$8:$AN$42="Y")+('Aug 15'!$AO$8:$AO$42="Y")))+SUMPRODUCT(('Aug 16'!$F$8:$F$42=$T4)*'Aug 16'!$AI$8:$AI$42*(('Aug 16'!$AM$8:$AM$42="Y")+('Aug 16'!$AN$8:$AN$42="Y")+('Aug 16'!$AO$8:$AO$42="Y")))+SUMPRODUCT(('Aug 17'!$F$8:$F$42=$T4)*'Aug 17'!$AI$8:$AI$42*(('Aug 17'!$AM$8:$AM$42="Y")+('Aug 17'!$AN$8:$AN$42="Y")+('Aug 17'!$AO$8:$AO$42="Y")))+SUMPRODUCT(('Aug 18'!$F$8:$F$42=$T4)*'Aug 18'!$AI$8:$AI$42*(('Aug 18'!$AM$8:$AM$42="Y")+('Aug 18'!$AN$8:$AN$42="Y")+('Aug 18'!$AO$8:$AO$42="Y")))+SUMPRODUCT(('Aug 19'!$F$8:$F$42=$T4)*'Aug 19'!$AI$8:$AI$42*(('Aug 19'!$AM$8:$AM$42="Y")+('Aug 19'!$AN$8:$AN$42="Y")+('Aug 19'!$AO$8:$AO$42="Y")))+SUMPRODUCT(('Aug 20'!$F$8:$F$42=$T4)*'Aug 20'!$AI$8:$AI$42*(('Aug 20'!$AM$8:$AM$42="Y")+('Aug 20'!$AN$8:$AN$42="Y")+('Aug 20'!$AO$8:$AO$42="Y")))+SUMPRODUCT(('Aug 21'!$F$8:$F$42=$T4)*'Aug 21'!$AI$8:$AI$42*(('Aug 21'!$AM$8:$AM$42="Y")+('Aug 21'!$AN$8:$AN$42="Y")+('Aug 21'!$AO$8:$AO$42="Y")))+SUMPRODUCT(('Aug 22'!$F$8:$F$42=$T4)*'Aug 22'!$AI$8:$AI$42*(('Aug 22'!$AM$8:$AM$42="Y")+('Aug 22'!$AN$8:$AN$42="Y")+('Aug 22'!$AO$8:$AO$42="Y")))+SUMPRODUCT(('Aug 23'!$F$8:$F$42=$T4)*'Aug 23'!$AI$8:$AI$42*(('Aug 23'!$AM$8:$AM$42="Y")+('Aug 23'!$AN$8:$AN$42="Y")+('Aug 23'!$AO$8:$AO$42="Y")))+SUMPRODUCT(('Aug 24'!$F$8:$F$42=$T4)*'Aug 24'!$AI$8:$AI$42*(('Aug 24'!$AM$8:$AM$42="Y")+('Aug 24'!$AN$8:$AN$42="Y")+('Aug 24'!$AO$8:$AO$42="Y")))+SUMPRODUCT(('Aug 25'!$F$8:$F$42=$T4)*'Aug 25'!$AI$8:$AI$42*(('Aug 25'!$AM$8:$AM$42="Y")+('Aug 25'!$AN$8:$AN$42="Y")+('Aug 25'!$AO$8:$AO$42="Y")))+SUMPRODUCT(('Aug 26'!$F$8:$F$42=$T4)*'Aug 26'!$AI$8:$AI$42*(('Aug 26'!$AM$8:$AM$42="Y")+('Aug 26'!$AN$8:$AN$42="Y")+('Aug 26'!$AO$8:$AO$42="Y")))+SUMPRODUCT(('Aug 27'!$F$8:$F$42=$T4)*'Aug 27'!$AI$8:$AI$42*(('Aug 27'!$AM$8:$AM$42="Y")+('Aug 27'!$AN$8:$AN$42="Y")+('Aug 27'!$AO$8:$AO$42="Y")))+SUMPRODUCT(('Aug 28'!$F$8:$F$42=$T4)*'Aug 28'!$AI$8:$AI$42*(('Aug 28'!$AM$8:$AM$42="Y")+('Aug 28'!$AN$8:$AN$42="Y")+('Aug 28'!$AO$8:$AO$42="Y")))+SUMPRODUCT(('Aug 29'!$F$8:$F$42=$T4)*'Aug 29'!$AI$8:$AI$42*(('Aug 29'!$AM$8:$AM$42="Y")+('Aug 29'!$AN$8:$AN$42="Y")+('Aug 29'!$AO$8:$AO$42="Y")))+SUMPRODUCT(('Aug 30'!$F$8:$F$42=$T4)*'Aug 30'!$AI$8:$AI$42*(('Aug 30'!$AM$8:$AM$42="Y")+('Aug 30'!$AN$8:$AN$42="Y")+('Aug 30'!$AO$8:$AO$42="Y")))+SUMPRODUCT(('Aug 31'!$F$8:$F$42=$T4)*'Aug 31'!$AI$8:$AI$42*(('Aug 31'!$AM$8:$AM$42="Y")+('Aug 31'!$AN$8:$AN$42="Y")+('Aug 31'!$AO$8:$AO$42="Y")))</f>
        <v>0</v>
      </c>
      <c r="BD4" s="0" t="n">
        <f aca="false">SUM(U4:AY4)</f>
        <v>0</v>
      </c>
      <c r="BE4" s="0" t="n">
        <f aca="false">SUM(U23:AY23)</f>
        <v>0</v>
      </c>
      <c r="BF4" s="0" t="n">
        <f aca="false">SUM(U42:AY42)</f>
        <v>0</v>
      </c>
      <c r="BH4" s="0" t="n">
        <f aca="false">'Aug 1'!$G$46+'Aug 2'!$G$46+'Aug 3'!$G$46+'Aug 4'!$G$46+'Aug 5'!$G$46+'Aug 6'!$G$46+'Aug 7'!$G$46+'Aug 8'!$G$46+'Aug 9'!$G$46+'Aug 10'!$G$46+'Aug 11'!$G$46+'Aug 12'!$G$46+'Aug 13'!$G$46+'Aug 14'!$G$46+'Aug 15'!$G$46+'Aug 16'!$G$46+'Aug 17'!$G$46+'Aug 18'!$G$46+'Aug 19'!$G$46+'Aug 20'!$G$46+'Aug 21'!$G$46+'Aug 22'!$G$46+'Aug 23'!$G$46+'Aug 24'!$G$46+'Aug 25'!$G$46+'Aug 26'!$G$46+'Aug 27'!$G$46+'Aug 28'!$G$46+'Aug 29'!$G$46+'Aug 30'!$G$46+'Aug 31'!$G$46</f>
        <v>0</v>
      </c>
    </row>
    <row r="5" customFormat="false" ht="15" hidden="false" customHeight="false" outlineLevel="0" collapsed="false">
      <c r="T5" s="0" t="str">
        <f aca="false">'Staff &amp; Lists'!A6</f>
        <v>CHAD EMBRY</v>
      </c>
      <c r="U5" s="0" t="n">
        <f aca="false">SUMPRODUCT(('Aug 1'!$F$8:$F$42=$T5)*'Aug 1'!$AJ$8:$AJ$42+('Aug 1'!$G$8:$G$42=$T5)*'Aug 1'!$AK$8:$AK$42)</f>
        <v>0</v>
      </c>
      <c r="V5" s="0" t="n">
        <f aca="false">SUMPRODUCT(('Aug 2'!$F$8:$F$42=$T5)*'Aug 2'!$AJ$8:$AJ$42+('Aug 2'!$G$8:$G$42=$T5)*'Aug 2'!$AK$8:$AK$42)</f>
        <v>0</v>
      </c>
      <c r="W5" s="0" t="n">
        <f aca="false">SUMPRODUCT(('Aug 3'!$F$8:$F$42=$T5)*'Aug 3'!$AJ$8:$AJ$42+('Aug 3'!$G$8:$G$42=$T5)*'Aug 3'!$AK$8:$AK$42)</f>
        <v>0</v>
      </c>
      <c r="X5" s="0" t="n">
        <f aca="false">SUMPRODUCT(('Aug 4'!$F$8:$F$42=$T5)*'Aug 4'!$AJ$8:$AJ$42+('Aug 4'!$G$8:$G$42=$T5)*'Aug 4'!$AK$8:$AK$42)</f>
        <v>0</v>
      </c>
      <c r="Y5" s="0" t="n">
        <f aca="false">SUMPRODUCT(('Aug 5'!$F$8:$F$42=$T5)*'Aug 5'!$AJ$8:$AJ$42+('Aug 5'!$G$8:$G$42=$T5)*'Aug 5'!$AK$8:$AK$42)</f>
        <v>0</v>
      </c>
      <c r="Z5" s="0" t="n">
        <f aca="false">SUMPRODUCT(('Aug 6'!$F$8:$F$42=$T5)*'Aug 6'!$AJ$8:$AJ$42+('Aug 6'!$G$8:$G$42=$T5)*'Aug 6'!$AK$8:$AK$42)</f>
        <v>0</v>
      </c>
      <c r="AA5" s="0" t="n">
        <f aca="false">SUMPRODUCT(('Aug 7'!$F$8:$F$42=$T5)*'Aug 7'!$AJ$8:$AJ$42+('Aug 7'!$G$8:$G$42=$T5)*'Aug 7'!$AK$8:$AK$42)</f>
        <v>0</v>
      </c>
      <c r="AB5" s="0" t="n">
        <f aca="false">SUMPRODUCT(('Aug 8'!$F$8:$F$42=$T5)*'Aug 8'!$AJ$8:$AJ$42+('Aug 8'!$G$8:$G$42=$T5)*'Aug 8'!$AK$8:$AK$42)</f>
        <v>0</v>
      </c>
      <c r="AC5" s="0" t="n">
        <f aca="false">SUMPRODUCT(('Aug 9'!$F$8:$F$42=$T5)*'Aug 9'!$AJ$8:$AJ$42+('Aug 9'!$G$8:$G$42=$T5)*'Aug 9'!$AK$8:$AK$42)</f>
        <v>0</v>
      </c>
      <c r="AD5" s="0" t="n">
        <f aca="false">SUMPRODUCT(('Aug 10'!$F$8:$F$42=$T5)*'Aug 10'!$AJ$8:$AJ$42+('Aug 10'!$G$8:$G$42=$T5)*'Aug 10'!$AK$8:$AK$42)</f>
        <v>0</v>
      </c>
      <c r="AE5" s="0" t="n">
        <f aca="false">SUMPRODUCT(('Aug 11'!$F$8:$F$42=$T5)*'Aug 11'!$AJ$8:$AJ$42+('Aug 11'!$G$8:$G$42=$T5)*'Aug 11'!$AK$8:$AK$42)</f>
        <v>0</v>
      </c>
      <c r="AF5" s="0" t="n">
        <f aca="false">SUMPRODUCT(('Aug 12'!$F$8:$F$42=$T5)*'Aug 12'!$AJ$8:$AJ$42+('Aug 12'!$G$8:$G$42=$T5)*'Aug 12'!$AK$8:$AK$42)</f>
        <v>0</v>
      </c>
      <c r="AG5" s="0" t="n">
        <f aca="false">SUMPRODUCT(('Aug 13'!$F$8:$F$42=$T5)*'Aug 13'!$AJ$8:$AJ$42+('Aug 13'!$G$8:$G$42=$T5)*'Aug 13'!$AK$8:$AK$42)</f>
        <v>0</v>
      </c>
      <c r="AH5" s="0" t="n">
        <f aca="false">SUMPRODUCT(('Aug 14'!$F$8:$F$42=$T5)*'Aug 14'!$AJ$8:$AJ$42+('Aug 14'!$G$8:$G$42=$T5)*'Aug 14'!$AK$8:$AK$42)</f>
        <v>0</v>
      </c>
      <c r="AI5" s="0" t="n">
        <f aca="false">SUMPRODUCT(('Aug 15'!$F$8:$F$42=$T5)*'Aug 15'!$AJ$8:$AJ$42+('Aug 15'!$G$8:$G$42=$T5)*'Aug 15'!$AK$8:$AK$42)</f>
        <v>0</v>
      </c>
      <c r="AJ5" s="0" t="n">
        <f aca="false">SUMPRODUCT(('Aug 16'!$F$8:$F$42=$T5)*'Aug 16'!$AJ$8:$AJ$42+('Aug 16'!$G$8:$G$42=$T5)*'Aug 16'!$AK$8:$AK$42)</f>
        <v>0</v>
      </c>
      <c r="AK5" s="0" t="n">
        <f aca="false">SUMPRODUCT(('Aug 17'!$F$8:$F$42=$T5)*'Aug 17'!$AJ$8:$AJ$42+('Aug 17'!$G$8:$G$42=$T5)*'Aug 17'!$AK$8:$AK$42)</f>
        <v>0</v>
      </c>
      <c r="AL5" s="0" t="n">
        <f aca="false">SUMPRODUCT(('Aug 18'!$F$8:$F$42=$T5)*'Aug 18'!$AJ$8:$AJ$42+('Aug 18'!$G$8:$G$42=$T5)*'Aug 18'!$AK$8:$AK$42)</f>
        <v>0</v>
      </c>
      <c r="AM5" s="0" t="n">
        <f aca="false">SUMPRODUCT(('Aug 19'!$F$8:$F$42=$T5)*'Aug 19'!$AJ$8:$AJ$42+('Aug 19'!$G$8:$G$42=$T5)*'Aug 19'!$AK$8:$AK$42)</f>
        <v>0</v>
      </c>
      <c r="AN5" s="0" t="n">
        <f aca="false">SUMPRODUCT(('Aug 20'!$F$8:$F$42=$T5)*'Aug 20'!$AJ$8:$AJ$42+('Aug 20'!$G$8:$G$42=$T5)*'Aug 20'!$AK$8:$AK$42)</f>
        <v>0</v>
      </c>
      <c r="AO5" s="0" t="n">
        <f aca="false">SUMPRODUCT(('Aug 21'!$F$8:$F$42=$T5)*'Aug 21'!$AJ$8:$AJ$42+('Aug 21'!$G$8:$G$42=$T5)*'Aug 21'!$AK$8:$AK$42)</f>
        <v>0</v>
      </c>
      <c r="AP5" s="0" t="n">
        <f aca="false">SUMPRODUCT(('Aug 22'!$F$8:$F$42=$T5)*'Aug 22'!$AJ$8:$AJ$42+('Aug 22'!$G$8:$G$42=$T5)*'Aug 22'!$AK$8:$AK$42)</f>
        <v>0</v>
      </c>
      <c r="AQ5" s="0" t="n">
        <f aca="false">SUMPRODUCT(('Aug 23'!$F$8:$F$42=$T5)*'Aug 23'!$AJ$8:$AJ$42+('Aug 23'!$G$8:$G$42=$T5)*'Aug 23'!$AK$8:$AK$42)</f>
        <v>0</v>
      </c>
      <c r="AR5" s="0" t="n">
        <f aca="false">SUMPRODUCT(('Aug 24'!$F$8:$F$42=$T5)*'Aug 24'!$AJ$8:$AJ$42+('Aug 24'!$G$8:$G$42=$T5)*'Aug 24'!$AK$8:$AK$42)</f>
        <v>0</v>
      </c>
      <c r="AS5" s="0" t="n">
        <f aca="false">SUMPRODUCT(('Aug 25'!$F$8:$F$42=$T5)*'Aug 25'!$AJ$8:$AJ$42+('Aug 25'!$G$8:$G$42=$T5)*'Aug 25'!$AK$8:$AK$42)</f>
        <v>0</v>
      </c>
      <c r="AT5" s="0" t="n">
        <f aca="false">SUMPRODUCT(('Aug 26'!$F$8:$F$42=$T5)*'Aug 26'!$AJ$8:$AJ$42+('Aug 26'!$G$8:$G$42=$T5)*'Aug 26'!$AK$8:$AK$42)</f>
        <v>0</v>
      </c>
      <c r="AU5" s="0" t="n">
        <f aca="false">SUMPRODUCT(('Aug 27'!$F$8:$F$42=$T5)*'Aug 27'!$AJ$8:$AJ$42+('Aug 27'!$G$8:$G$42=$T5)*'Aug 27'!$AK$8:$AK$42)</f>
        <v>0</v>
      </c>
      <c r="AV5" s="0" t="n">
        <f aca="false">SUMPRODUCT(('Aug 28'!$F$8:$F$42=$T5)*'Aug 28'!$AJ$8:$AJ$42+('Aug 28'!$G$8:$G$42=$T5)*'Aug 28'!$AK$8:$AK$42)</f>
        <v>0</v>
      </c>
      <c r="AW5" s="0" t="n">
        <f aca="false">SUMPRODUCT(('Aug 29'!$F$8:$F$42=$T5)*'Aug 29'!$AJ$8:$AJ$42+('Aug 29'!$G$8:$G$42=$T5)*'Aug 29'!$AK$8:$AK$42)</f>
        <v>0</v>
      </c>
      <c r="AX5" s="0" t="n">
        <f aca="false">SUMPRODUCT(('Aug 30'!$F$8:$F$42=$T5)*'Aug 30'!$AJ$8:$AJ$42+('Aug 30'!$G$8:$G$42=$T5)*'Aug 30'!$AK$8:$AK$42)</f>
        <v>0</v>
      </c>
      <c r="AY5" s="0" t="n">
        <f aca="false">SUMPRODUCT(('Aug 31'!$F$8:$F$42=$T5)*'Aug 31'!$AJ$8:$AJ$42+('Aug 31'!$G$8:$G$42=$T5)*'Aug 31'!$AK$8:$AK$42)</f>
        <v>0</v>
      </c>
      <c r="BA5" s="0" t="n">
        <f aca="false">SUM(U5:AD5)</f>
        <v>0</v>
      </c>
      <c r="BB5" s="0" t="n">
        <f aca="false">MATCH(BD5,'Pay Plan'!$C$6:$C$12,1)</f>
        <v>1</v>
      </c>
      <c r="BC5" s="0" t="n">
        <f aca="false">SUMPRODUCT(('Aug 1'!$F$8:$F$42=$T5)*'Aug 1'!$AI$8:$AI$42*(('Aug 1'!$AM$8:$AM$42="Y")+('Aug 1'!$AN$8:$AN$42="Y")+('Aug 1'!$AO$8:$AO$42="Y")))+SUMPRODUCT(('Aug 2'!$F$8:$F$42=$T5)*'Aug 2'!$AI$8:$AI$42*(('Aug 2'!$AM$8:$AM$42="Y")+('Aug 2'!$AN$8:$AN$42="Y")+('Aug 2'!$AO$8:$AO$42="Y")))+SUMPRODUCT(('Aug 3'!$F$8:$F$42=$T5)*'Aug 3'!$AI$8:$AI$42*(('Aug 3'!$AM$8:$AM$42="Y")+('Aug 3'!$AN$8:$AN$42="Y")+('Aug 3'!$AO$8:$AO$42="Y")))+SUMPRODUCT(('Aug 4'!$F$8:$F$42=$T5)*'Aug 4'!$AI$8:$AI$42*(('Aug 4'!$AM$8:$AM$42="Y")+('Aug 4'!$AN$8:$AN$42="Y")+('Aug 4'!$AO$8:$AO$42="Y")))+SUMPRODUCT(('Aug 5'!$F$8:$F$42=$T5)*'Aug 5'!$AI$8:$AI$42*(('Aug 5'!$AM$8:$AM$42="Y")+('Aug 5'!$AN$8:$AN$42="Y")+('Aug 5'!$AO$8:$AO$42="Y")))+SUMPRODUCT(('Aug 6'!$F$8:$F$42=$T5)*'Aug 6'!$AI$8:$AI$42*(('Aug 6'!$AM$8:$AM$42="Y")+('Aug 6'!$AN$8:$AN$42="Y")+('Aug 6'!$AO$8:$AO$42="Y")))+SUMPRODUCT(('Aug 7'!$F$8:$F$42=$T5)*'Aug 7'!$AI$8:$AI$42*(('Aug 7'!$AM$8:$AM$42="Y")+('Aug 7'!$AN$8:$AN$42="Y")+('Aug 7'!$AO$8:$AO$42="Y")))+SUMPRODUCT(('Aug 8'!$F$8:$F$42=$T5)*'Aug 8'!$AI$8:$AI$42*(('Aug 8'!$AM$8:$AM$42="Y")+('Aug 8'!$AN$8:$AN$42="Y")+('Aug 8'!$AO$8:$AO$42="Y")))+SUMPRODUCT(('Aug 9'!$F$8:$F$42=$T5)*'Aug 9'!$AI$8:$AI$42*(('Aug 9'!$AM$8:$AM$42="Y")+('Aug 9'!$AN$8:$AN$42="Y")+('Aug 9'!$AO$8:$AO$42="Y")))+SUMPRODUCT(('Aug 10'!$F$8:$F$42=$T5)*'Aug 10'!$AI$8:$AI$42*(('Aug 10'!$AM$8:$AM$42="Y")+('Aug 10'!$AN$8:$AN$42="Y")+('Aug 10'!$AO$8:$AO$42="Y")))+SUMPRODUCT(('Aug 11'!$F$8:$F$42=$T5)*'Aug 11'!$AI$8:$AI$42*(('Aug 11'!$AM$8:$AM$42="Y")+('Aug 11'!$AN$8:$AN$42="Y")+('Aug 11'!$AO$8:$AO$42="Y")))+SUMPRODUCT(('Aug 12'!$F$8:$F$42=$T5)*'Aug 12'!$AI$8:$AI$42*(('Aug 12'!$AM$8:$AM$42="Y")+('Aug 12'!$AN$8:$AN$42="Y")+('Aug 12'!$AO$8:$AO$42="Y")))+SUMPRODUCT(('Aug 13'!$F$8:$F$42=$T5)*'Aug 13'!$AI$8:$AI$42*(('Aug 13'!$AM$8:$AM$42="Y")+('Aug 13'!$AN$8:$AN$42="Y")+('Aug 13'!$AO$8:$AO$42="Y")))+SUMPRODUCT(('Aug 14'!$F$8:$F$42=$T5)*'Aug 14'!$AI$8:$AI$42*(('Aug 14'!$AM$8:$AM$42="Y")+('Aug 14'!$AN$8:$AN$42="Y")+('Aug 14'!$AO$8:$AO$42="Y")))+SUMPRODUCT(('Aug 15'!$F$8:$F$42=$T5)*'Aug 15'!$AI$8:$AI$42*(('Aug 15'!$AM$8:$AM$42="Y")+('Aug 15'!$AN$8:$AN$42="Y")+('Aug 15'!$AO$8:$AO$42="Y")))+SUMPRODUCT(('Aug 16'!$F$8:$F$42=$T5)*'Aug 16'!$AI$8:$AI$42*(('Aug 16'!$AM$8:$AM$42="Y")+('Aug 16'!$AN$8:$AN$42="Y")+('Aug 16'!$AO$8:$AO$42="Y")))+SUMPRODUCT(('Aug 17'!$F$8:$F$42=$T5)*'Aug 17'!$AI$8:$AI$42*(('Aug 17'!$AM$8:$AM$42="Y")+('Aug 17'!$AN$8:$AN$42="Y")+('Aug 17'!$AO$8:$AO$42="Y")))+SUMPRODUCT(('Aug 18'!$F$8:$F$42=$T5)*'Aug 18'!$AI$8:$AI$42*(('Aug 18'!$AM$8:$AM$42="Y")+('Aug 18'!$AN$8:$AN$42="Y")+('Aug 18'!$AO$8:$AO$42="Y")))+SUMPRODUCT(('Aug 19'!$F$8:$F$42=$T5)*'Aug 19'!$AI$8:$AI$42*(('Aug 19'!$AM$8:$AM$42="Y")+('Aug 19'!$AN$8:$AN$42="Y")+('Aug 19'!$AO$8:$AO$42="Y")))+SUMPRODUCT(('Aug 20'!$F$8:$F$42=$T5)*'Aug 20'!$AI$8:$AI$42*(('Aug 20'!$AM$8:$AM$42="Y")+('Aug 20'!$AN$8:$AN$42="Y")+('Aug 20'!$AO$8:$AO$42="Y")))+SUMPRODUCT(('Aug 21'!$F$8:$F$42=$T5)*'Aug 21'!$AI$8:$AI$42*(('Aug 21'!$AM$8:$AM$42="Y")+('Aug 21'!$AN$8:$AN$42="Y")+('Aug 21'!$AO$8:$AO$42="Y")))+SUMPRODUCT(('Aug 22'!$F$8:$F$42=$T5)*'Aug 22'!$AI$8:$AI$42*(('Aug 22'!$AM$8:$AM$42="Y")+('Aug 22'!$AN$8:$AN$42="Y")+('Aug 22'!$AO$8:$AO$42="Y")))+SUMPRODUCT(('Aug 23'!$F$8:$F$42=$T5)*'Aug 23'!$AI$8:$AI$42*(('Aug 23'!$AM$8:$AM$42="Y")+('Aug 23'!$AN$8:$AN$42="Y")+('Aug 23'!$AO$8:$AO$42="Y")))+SUMPRODUCT(('Aug 24'!$F$8:$F$42=$T5)*'Aug 24'!$AI$8:$AI$42*(('Aug 24'!$AM$8:$AM$42="Y")+('Aug 24'!$AN$8:$AN$42="Y")+('Aug 24'!$AO$8:$AO$42="Y")))+SUMPRODUCT(('Aug 25'!$F$8:$F$42=$T5)*'Aug 25'!$AI$8:$AI$42*(('Aug 25'!$AM$8:$AM$42="Y")+('Aug 25'!$AN$8:$AN$42="Y")+('Aug 25'!$AO$8:$AO$42="Y")))+SUMPRODUCT(('Aug 26'!$F$8:$F$42=$T5)*'Aug 26'!$AI$8:$AI$42*(('Aug 26'!$AM$8:$AM$42="Y")+('Aug 26'!$AN$8:$AN$42="Y")+('Aug 26'!$AO$8:$AO$42="Y")))+SUMPRODUCT(('Aug 27'!$F$8:$F$42=$T5)*'Aug 27'!$AI$8:$AI$42*(('Aug 27'!$AM$8:$AM$42="Y")+('Aug 27'!$AN$8:$AN$42="Y")+('Aug 27'!$AO$8:$AO$42="Y")))+SUMPRODUCT(('Aug 28'!$F$8:$F$42=$T5)*'Aug 28'!$AI$8:$AI$42*(('Aug 28'!$AM$8:$AM$42="Y")+('Aug 28'!$AN$8:$AN$42="Y")+('Aug 28'!$AO$8:$AO$42="Y")))+SUMPRODUCT(('Aug 29'!$F$8:$F$42=$T5)*'Aug 29'!$AI$8:$AI$42*(('Aug 29'!$AM$8:$AM$42="Y")+('Aug 29'!$AN$8:$AN$42="Y")+('Aug 29'!$AO$8:$AO$42="Y")))+SUMPRODUCT(('Aug 30'!$F$8:$F$42=$T5)*'Aug 30'!$AI$8:$AI$42*(('Aug 30'!$AM$8:$AM$42="Y")+('Aug 30'!$AN$8:$AN$42="Y")+('Aug 30'!$AO$8:$AO$42="Y")))+SUMPRODUCT(('Aug 31'!$F$8:$F$42=$T5)*'Aug 31'!$AI$8:$AI$42*(('Aug 31'!$AM$8:$AM$42="Y")+('Aug 31'!$AN$8:$AN$42="Y")+('Aug 31'!$AO$8:$AO$42="Y")))</f>
        <v>0</v>
      </c>
      <c r="BD5" s="0" t="n">
        <f aca="false">SUM(U5:AY5)</f>
        <v>0</v>
      </c>
      <c r="BE5" s="0" t="n">
        <f aca="false">SUM(U24:AY24)</f>
        <v>0</v>
      </c>
      <c r="BF5" s="0" t="n">
        <f aca="false">SUM(U43:AY43)</f>
        <v>0</v>
      </c>
      <c r="BH5" s="0" t="n">
        <f aca="false">SUMPRODUCT('Aug 1'!$AI$8:$AI$42*(('Aug 1'!$AM$8:$AM$42="Y")+('Aug 1'!$AN$8:$AN$42="Y")+('Aug 1'!$AO$8:$AO$42="Y")))+SUMPRODUCT('Aug 2'!$AI$8:$AI$42*(('Aug 2'!$AM$8:$AM$42="Y")+('Aug 2'!$AN$8:$AN$42="Y")+('Aug 2'!$AO$8:$AO$42="Y")))+SUMPRODUCT('Aug 3'!$AI$8:$AI$42*(('Aug 3'!$AM$8:$AM$42="Y")+('Aug 3'!$AN$8:$AN$42="Y")+('Aug 3'!$AO$8:$AO$42="Y")))+SUMPRODUCT('Aug 4'!$AI$8:$AI$42*(('Aug 4'!$AM$8:$AM$42="Y")+('Aug 4'!$AN$8:$AN$42="Y")+('Aug 4'!$AO$8:$AO$42="Y")))+SUMPRODUCT('Aug 5'!$AI$8:$AI$42*(('Aug 5'!$AM$8:$AM$42="Y")+('Aug 5'!$AN$8:$AN$42="Y")+('Aug 5'!$AO$8:$AO$42="Y")))+SUMPRODUCT('Aug 6'!$AI$8:$AI$42*(('Aug 6'!$AM$8:$AM$42="Y")+('Aug 6'!$AN$8:$AN$42="Y")+('Aug 6'!$AO$8:$AO$42="Y")))+SUMPRODUCT('Aug 7'!$AI$8:$AI$42*(('Aug 7'!$AM$8:$AM$42="Y")+('Aug 7'!$AN$8:$AN$42="Y")+('Aug 7'!$AO$8:$AO$42="Y")))+SUMPRODUCT('Aug 8'!$AI$8:$AI$42*(('Aug 8'!$AM$8:$AM$42="Y")+('Aug 8'!$AN$8:$AN$42="Y")+('Aug 8'!$AO$8:$AO$42="Y")))+SUMPRODUCT('Aug 9'!$AI$8:$AI$42*(('Aug 9'!$AM$8:$AM$42="Y")+('Aug 9'!$AN$8:$AN$42="Y")+('Aug 9'!$AO$8:$AO$42="Y")))+SUMPRODUCT('Aug 10'!$AI$8:$AI$42*(('Aug 10'!$AM$8:$AM$42="Y")+('Aug 10'!$AN$8:$AN$42="Y")+('Aug 10'!$AO$8:$AO$42="Y")))+SUMPRODUCT('Aug 11'!$AI$8:$AI$42*(('Aug 11'!$AM$8:$AM$42="Y")+('Aug 11'!$AN$8:$AN$42="Y")+('Aug 11'!$AO$8:$AO$42="Y")))+SUMPRODUCT('Aug 12'!$AI$8:$AI$42*(('Aug 12'!$AM$8:$AM$42="Y")+('Aug 12'!$AN$8:$AN$42="Y")+('Aug 12'!$AO$8:$AO$42="Y")))+SUMPRODUCT('Aug 13'!$AI$8:$AI$42*(('Aug 13'!$AM$8:$AM$42="Y")+('Aug 13'!$AN$8:$AN$42="Y")+('Aug 13'!$AO$8:$AO$42="Y")))+SUMPRODUCT('Aug 14'!$AI$8:$AI$42*(('Aug 14'!$AM$8:$AM$42="Y")+('Aug 14'!$AN$8:$AN$42="Y")+('Aug 14'!$AO$8:$AO$42="Y")))+SUMPRODUCT('Aug 15'!$AI$8:$AI$42*(('Aug 15'!$AM$8:$AM$42="Y")+('Aug 15'!$AN$8:$AN$42="Y")+('Aug 15'!$AO$8:$AO$42="Y")))+SUMPRODUCT('Aug 16'!$AI$8:$AI$42*(('Aug 16'!$AM$8:$AM$42="Y")+('Aug 16'!$AN$8:$AN$42="Y")+('Aug 16'!$AO$8:$AO$42="Y")))+SUMPRODUCT('Aug 17'!$AI$8:$AI$42*(('Aug 17'!$AM$8:$AM$42="Y")+('Aug 17'!$AN$8:$AN$42="Y")+('Aug 17'!$AO$8:$AO$42="Y")))+SUMPRODUCT('Aug 18'!$AI$8:$AI$42*(('Aug 18'!$AM$8:$AM$42="Y")+('Aug 18'!$AN$8:$AN$42="Y")+('Aug 18'!$AO$8:$AO$42="Y")))+SUMPRODUCT('Aug 19'!$AI$8:$AI$42*(('Aug 19'!$AM$8:$AM$42="Y")+('Aug 19'!$AN$8:$AN$42="Y")+('Aug 19'!$AO$8:$AO$42="Y")))+SUMPRODUCT('Aug 20'!$AI$8:$AI$42*(('Aug 20'!$AM$8:$AM$42="Y")+('Aug 20'!$AN$8:$AN$42="Y")+('Aug 20'!$AO$8:$AO$42="Y")))+SUMPRODUCT('Aug 21'!$AI$8:$AI$42*(('Aug 21'!$AM$8:$AM$42="Y")+('Aug 21'!$AN$8:$AN$42="Y")+('Aug 21'!$AO$8:$AO$42="Y")))+SUMPRODUCT('Aug 22'!$AI$8:$AI$42*(('Aug 22'!$AM$8:$AM$42="Y")+('Aug 22'!$AN$8:$AN$42="Y")+('Aug 22'!$AO$8:$AO$42="Y")))+SUMPRODUCT('Aug 23'!$AI$8:$AI$42*(('Aug 23'!$AM$8:$AM$42="Y")+('Aug 23'!$AN$8:$AN$42="Y")+('Aug 23'!$AO$8:$AO$42="Y")))+SUMPRODUCT('Aug 24'!$AI$8:$AI$42*(('Aug 24'!$AM$8:$AM$42="Y")+('Aug 24'!$AN$8:$AN$42="Y")+('Aug 24'!$AO$8:$AO$42="Y")))+SUMPRODUCT('Aug 25'!$AI$8:$AI$42*(('Aug 25'!$AM$8:$AM$42="Y")+('Aug 25'!$AN$8:$AN$42="Y")+('Aug 25'!$AO$8:$AO$42="Y")))+SUMPRODUCT('Aug 26'!$AI$8:$AI$42*(('Aug 26'!$AM$8:$AM$42="Y")+('Aug 26'!$AN$8:$AN$42="Y")+('Aug 26'!$AO$8:$AO$42="Y")))+SUMPRODUCT('Aug 27'!$AI$8:$AI$42*(('Aug 27'!$AM$8:$AM$42="Y")+('Aug 27'!$AN$8:$AN$42="Y")+('Aug 27'!$AO$8:$AO$42="Y")))+SUMPRODUCT('Aug 28'!$AI$8:$AI$42*(('Aug 28'!$AM$8:$AM$42="Y")+('Aug 28'!$AN$8:$AN$42="Y")+('Aug 28'!$AO$8:$AO$42="Y")))+SUMPRODUCT('Aug 29'!$AI$8:$AI$42*(('Aug 29'!$AM$8:$AM$42="Y")+('Aug 29'!$AN$8:$AN$42="Y")+('Aug 29'!$AO$8:$AO$42="Y")))+SUMPRODUCT('Aug 30'!$AI$8:$AI$42*(('Aug 30'!$AM$8:$AM$42="Y")+('Aug 30'!$AN$8:$AN$42="Y")+('Aug 30'!$AO$8:$AO$42="Y")))+SUMPRODUCT('Aug 31'!$AI$8:$AI$42*(('Aug 31'!$AM$8:$AM$42="Y")+('Aug 31'!$AN$8:$AN$42="Y")+('Aug 31'!$AO$8:$AO$42="Y")))</f>
        <v>0</v>
      </c>
    </row>
    <row r="6" customFormat="false" ht="18" hidden="false" customHeight="true" outlineLevel="0" collapsed="false">
      <c r="A6" s="36" t="s">
        <v>80</v>
      </c>
      <c r="B6" s="37" t="s">
        <v>81</v>
      </c>
      <c r="C6" s="36" t="s">
        <v>29</v>
      </c>
      <c r="D6" s="36" t="s">
        <v>30</v>
      </c>
      <c r="E6" s="36" t="s">
        <v>82</v>
      </c>
      <c r="F6" s="36" t="s">
        <v>83</v>
      </c>
      <c r="G6" s="36" t="s">
        <v>84</v>
      </c>
      <c r="H6" s="36" t="s">
        <v>85</v>
      </c>
      <c r="I6" s="36" t="s">
        <v>86</v>
      </c>
      <c r="J6" s="36" t="s">
        <v>87</v>
      </c>
      <c r="K6" s="43" t="s">
        <v>88</v>
      </c>
      <c r="L6" s="43"/>
      <c r="M6" s="43"/>
      <c r="N6" s="36" t="s">
        <v>89</v>
      </c>
      <c r="O6" s="43" t="s">
        <v>90</v>
      </c>
      <c r="P6" s="43"/>
      <c r="Q6" s="43"/>
      <c r="R6" s="43"/>
      <c r="T6" s="0" t="str">
        <f aca="false">'Staff &amp; Lists'!A7</f>
        <v>RICH AMMERMAN</v>
      </c>
      <c r="U6" s="0" t="n">
        <f aca="false">SUMPRODUCT(('Aug 1'!$F$8:$F$42=$T6)*'Aug 1'!$AJ$8:$AJ$42+('Aug 1'!$G$8:$G$42=$T6)*'Aug 1'!$AK$8:$AK$42)</f>
        <v>0</v>
      </c>
      <c r="V6" s="0" t="n">
        <f aca="false">SUMPRODUCT(('Aug 2'!$F$8:$F$42=$T6)*'Aug 2'!$AJ$8:$AJ$42+('Aug 2'!$G$8:$G$42=$T6)*'Aug 2'!$AK$8:$AK$42)</f>
        <v>0</v>
      </c>
      <c r="W6" s="0" t="n">
        <f aca="false">SUMPRODUCT(('Aug 3'!$F$8:$F$42=$T6)*'Aug 3'!$AJ$8:$AJ$42+('Aug 3'!$G$8:$G$42=$T6)*'Aug 3'!$AK$8:$AK$42)</f>
        <v>0</v>
      </c>
      <c r="X6" s="0" t="n">
        <f aca="false">SUMPRODUCT(('Aug 4'!$F$8:$F$42=$T6)*'Aug 4'!$AJ$8:$AJ$42+('Aug 4'!$G$8:$G$42=$T6)*'Aug 4'!$AK$8:$AK$42)</f>
        <v>0</v>
      </c>
      <c r="Y6" s="0" t="n">
        <f aca="false">SUMPRODUCT(('Aug 5'!$F$8:$F$42=$T6)*'Aug 5'!$AJ$8:$AJ$42+('Aug 5'!$G$8:$G$42=$T6)*'Aug 5'!$AK$8:$AK$42)</f>
        <v>0</v>
      </c>
      <c r="Z6" s="0" t="n">
        <f aca="false">SUMPRODUCT(('Aug 6'!$F$8:$F$42=$T6)*'Aug 6'!$AJ$8:$AJ$42+('Aug 6'!$G$8:$G$42=$T6)*'Aug 6'!$AK$8:$AK$42)</f>
        <v>0</v>
      </c>
      <c r="AA6" s="0" t="n">
        <f aca="false">SUMPRODUCT(('Aug 7'!$F$8:$F$42=$T6)*'Aug 7'!$AJ$8:$AJ$42+('Aug 7'!$G$8:$G$42=$T6)*'Aug 7'!$AK$8:$AK$42)</f>
        <v>0</v>
      </c>
      <c r="AB6" s="0" t="n">
        <f aca="false">SUMPRODUCT(('Aug 8'!$F$8:$F$42=$T6)*'Aug 8'!$AJ$8:$AJ$42+('Aug 8'!$G$8:$G$42=$T6)*'Aug 8'!$AK$8:$AK$42)</f>
        <v>0</v>
      </c>
      <c r="AC6" s="0" t="n">
        <f aca="false">SUMPRODUCT(('Aug 9'!$F$8:$F$42=$T6)*'Aug 9'!$AJ$8:$AJ$42+('Aug 9'!$G$8:$G$42=$T6)*'Aug 9'!$AK$8:$AK$42)</f>
        <v>0</v>
      </c>
      <c r="AD6" s="0" t="n">
        <f aca="false">SUMPRODUCT(('Aug 10'!$F$8:$F$42=$T6)*'Aug 10'!$AJ$8:$AJ$42+('Aug 10'!$G$8:$G$42=$T6)*'Aug 10'!$AK$8:$AK$42)</f>
        <v>0</v>
      </c>
      <c r="AE6" s="0" t="n">
        <f aca="false">SUMPRODUCT(('Aug 11'!$F$8:$F$42=$T6)*'Aug 11'!$AJ$8:$AJ$42+('Aug 11'!$G$8:$G$42=$T6)*'Aug 11'!$AK$8:$AK$42)</f>
        <v>0</v>
      </c>
      <c r="AF6" s="0" t="n">
        <f aca="false">SUMPRODUCT(('Aug 12'!$F$8:$F$42=$T6)*'Aug 12'!$AJ$8:$AJ$42+('Aug 12'!$G$8:$G$42=$T6)*'Aug 12'!$AK$8:$AK$42)</f>
        <v>0</v>
      </c>
      <c r="AG6" s="0" t="n">
        <f aca="false">SUMPRODUCT(('Aug 13'!$F$8:$F$42=$T6)*'Aug 13'!$AJ$8:$AJ$42+('Aug 13'!$G$8:$G$42=$T6)*'Aug 13'!$AK$8:$AK$42)</f>
        <v>0</v>
      </c>
      <c r="AH6" s="0" t="n">
        <f aca="false">SUMPRODUCT(('Aug 14'!$F$8:$F$42=$T6)*'Aug 14'!$AJ$8:$AJ$42+('Aug 14'!$G$8:$G$42=$T6)*'Aug 14'!$AK$8:$AK$42)</f>
        <v>0</v>
      </c>
      <c r="AI6" s="0" t="n">
        <f aca="false">SUMPRODUCT(('Aug 15'!$F$8:$F$42=$T6)*'Aug 15'!$AJ$8:$AJ$42+('Aug 15'!$G$8:$G$42=$T6)*'Aug 15'!$AK$8:$AK$42)</f>
        <v>0</v>
      </c>
      <c r="AJ6" s="0" t="n">
        <f aca="false">SUMPRODUCT(('Aug 16'!$F$8:$F$42=$T6)*'Aug 16'!$AJ$8:$AJ$42+('Aug 16'!$G$8:$G$42=$T6)*'Aug 16'!$AK$8:$AK$42)</f>
        <v>0</v>
      </c>
      <c r="AK6" s="0" t="n">
        <f aca="false">SUMPRODUCT(('Aug 17'!$F$8:$F$42=$T6)*'Aug 17'!$AJ$8:$AJ$42+('Aug 17'!$G$8:$G$42=$T6)*'Aug 17'!$AK$8:$AK$42)</f>
        <v>0</v>
      </c>
      <c r="AL6" s="0" t="n">
        <f aca="false">SUMPRODUCT(('Aug 18'!$F$8:$F$42=$T6)*'Aug 18'!$AJ$8:$AJ$42+('Aug 18'!$G$8:$G$42=$T6)*'Aug 18'!$AK$8:$AK$42)</f>
        <v>0</v>
      </c>
      <c r="AM6" s="0" t="n">
        <f aca="false">SUMPRODUCT(('Aug 19'!$F$8:$F$42=$T6)*'Aug 19'!$AJ$8:$AJ$42+('Aug 19'!$G$8:$G$42=$T6)*'Aug 19'!$AK$8:$AK$42)</f>
        <v>0</v>
      </c>
      <c r="AN6" s="0" t="n">
        <f aca="false">SUMPRODUCT(('Aug 20'!$F$8:$F$42=$T6)*'Aug 20'!$AJ$8:$AJ$42+('Aug 20'!$G$8:$G$42=$T6)*'Aug 20'!$AK$8:$AK$42)</f>
        <v>0</v>
      </c>
      <c r="AO6" s="0" t="n">
        <f aca="false">SUMPRODUCT(('Aug 21'!$F$8:$F$42=$T6)*'Aug 21'!$AJ$8:$AJ$42+('Aug 21'!$G$8:$G$42=$T6)*'Aug 21'!$AK$8:$AK$42)</f>
        <v>0</v>
      </c>
      <c r="AP6" s="0" t="n">
        <f aca="false">SUMPRODUCT(('Aug 22'!$F$8:$F$42=$T6)*'Aug 22'!$AJ$8:$AJ$42+('Aug 22'!$G$8:$G$42=$T6)*'Aug 22'!$AK$8:$AK$42)</f>
        <v>0</v>
      </c>
      <c r="AQ6" s="0" t="n">
        <f aca="false">SUMPRODUCT(('Aug 23'!$F$8:$F$42=$T6)*'Aug 23'!$AJ$8:$AJ$42+('Aug 23'!$G$8:$G$42=$T6)*'Aug 23'!$AK$8:$AK$42)</f>
        <v>0</v>
      </c>
      <c r="AR6" s="0" t="n">
        <f aca="false">SUMPRODUCT(('Aug 24'!$F$8:$F$42=$T6)*'Aug 24'!$AJ$8:$AJ$42+('Aug 24'!$G$8:$G$42=$T6)*'Aug 24'!$AK$8:$AK$42)</f>
        <v>0</v>
      </c>
      <c r="AS6" s="0" t="n">
        <f aca="false">SUMPRODUCT(('Aug 25'!$F$8:$F$42=$T6)*'Aug 25'!$AJ$8:$AJ$42+('Aug 25'!$G$8:$G$42=$T6)*'Aug 25'!$AK$8:$AK$42)</f>
        <v>0</v>
      </c>
      <c r="AT6" s="0" t="n">
        <f aca="false">SUMPRODUCT(('Aug 26'!$F$8:$F$42=$T6)*'Aug 26'!$AJ$8:$AJ$42+('Aug 26'!$G$8:$G$42=$T6)*'Aug 26'!$AK$8:$AK$42)</f>
        <v>0</v>
      </c>
      <c r="AU6" s="0" t="n">
        <f aca="false">SUMPRODUCT(('Aug 27'!$F$8:$F$42=$T6)*'Aug 27'!$AJ$8:$AJ$42+('Aug 27'!$G$8:$G$42=$T6)*'Aug 27'!$AK$8:$AK$42)</f>
        <v>0</v>
      </c>
      <c r="AV6" s="0" t="n">
        <f aca="false">SUMPRODUCT(('Aug 28'!$F$8:$F$42=$T6)*'Aug 28'!$AJ$8:$AJ$42+('Aug 28'!$G$8:$G$42=$T6)*'Aug 28'!$AK$8:$AK$42)</f>
        <v>0</v>
      </c>
      <c r="AW6" s="0" t="n">
        <f aca="false">SUMPRODUCT(('Aug 29'!$F$8:$F$42=$T6)*'Aug 29'!$AJ$8:$AJ$42+('Aug 29'!$G$8:$G$42=$T6)*'Aug 29'!$AK$8:$AK$42)</f>
        <v>0</v>
      </c>
      <c r="AX6" s="0" t="n">
        <f aca="false">SUMPRODUCT(('Aug 30'!$F$8:$F$42=$T6)*'Aug 30'!$AJ$8:$AJ$42+('Aug 30'!$G$8:$G$42=$T6)*'Aug 30'!$AK$8:$AK$42)</f>
        <v>0</v>
      </c>
      <c r="AY6" s="0" t="n">
        <f aca="false">SUMPRODUCT(('Aug 31'!$F$8:$F$42=$T6)*'Aug 31'!$AJ$8:$AJ$42+('Aug 31'!$G$8:$G$42=$T6)*'Aug 31'!$AK$8:$AK$42)</f>
        <v>0</v>
      </c>
      <c r="BA6" s="0" t="n">
        <f aca="false">SUM(U6:AD6)</f>
        <v>0</v>
      </c>
      <c r="BB6" s="0" t="n">
        <f aca="false">MATCH(BD6,'Pay Plan'!$C$6:$C$12,1)</f>
        <v>1</v>
      </c>
      <c r="BC6" s="0" t="n">
        <f aca="false">SUMPRODUCT(('Aug 1'!$F$8:$F$42=$T6)*'Aug 1'!$AI$8:$AI$42*(('Aug 1'!$AM$8:$AM$42="Y")+('Aug 1'!$AN$8:$AN$42="Y")+('Aug 1'!$AO$8:$AO$42="Y")))+SUMPRODUCT(('Aug 2'!$F$8:$F$42=$T6)*'Aug 2'!$AI$8:$AI$42*(('Aug 2'!$AM$8:$AM$42="Y")+('Aug 2'!$AN$8:$AN$42="Y")+('Aug 2'!$AO$8:$AO$42="Y")))+SUMPRODUCT(('Aug 3'!$F$8:$F$42=$T6)*'Aug 3'!$AI$8:$AI$42*(('Aug 3'!$AM$8:$AM$42="Y")+('Aug 3'!$AN$8:$AN$42="Y")+('Aug 3'!$AO$8:$AO$42="Y")))+SUMPRODUCT(('Aug 4'!$F$8:$F$42=$T6)*'Aug 4'!$AI$8:$AI$42*(('Aug 4'!$AM$8:$AM$42="Y")+('Aug 4'!$AN$8:$AN$42="Y")+('Aug 4'!$AO$8:$AO$42="Y")))+SUMPRODUCT(('Aug 5'!$F$8:$F$42=$T6)*'Aug 5'!$AI$8:$AI$42*(('Aug 5'!$AM$8:$AM$42="Y")+('Aug 5'!$AN$8:$AN$42="Y")+('Aug 5'!$AO$8:$AO$42="Y")))+SUMPRODUCT(('Aug 6'!$F$8:$F$42=$T6)*'Aug 6'!$AI$8:$AI$42*(('Aug 6'!$AM$8:$AM$42="Y")+('Aug 6'!$AN$8:$AN$42="Y")+('Aug 6'!$AO$8:$AO$42="Y")))+SUMPRODUCT(('Aug 7'!$F$8:$F$42=$T6)*'Aug 7'!$AI$8:$AI$42*(('Aug 7'!$AM$8:$AM$42="Y")+('Aug 7'!$AN$8:$AN$42="Y")+('Aug 7'!$AO$8:$AO$42="Y")))+SUMPRODUCT(('Aug 8'!$F$8:$F$42=$T6)*'Aug 8'!$AI$8:$AI$42*(('Aug 8'!$AM$8:$AM$42="Y")+('Aug 8'!$AN$8:$AN$42="Y")+('Aug 8'!$AO$8:$AO$42="Y")))+SUMPRODUCT(('Aug 9'!$F$8:$F$42=$T6)*'Aug 9'!$AI$8:$AI$42*(('Aug 9'!$AM$8:$AM$42="Y")+('Aug 9'!$AN$8:$AN$42="Y")+('Aug 9'!$AO$8:$AO$42="Y")))+SUMPRODUCT(('Aug 10'!$F$8:$F$42=$T6)*'Aug 10'!$AI$8:$AI$42*(('Aug 10'!$AM$8:$AM$42="Y")+('Aug 10'!$AN$8:$AN$42="Y")+('Aug 10'!$AO$8:$AO$42="Y")))+SUMPRODUCT(('Aug 11'!$F$8:$F$42=$T6)*'Aug 11'!$AI$8:$AI$42*(('Aug 11'!$AM$8:$AM$42="Y")+('Aug 11'!$AN$8:$AN$42="Y")+('Aug 11'!$AO$8:$AO$42="Y")))+SUMPRODUCT(('Aug 12'!$F$8:$F$42=$T6)*'Aug 12'!$AI$8:$AI$42*(('Aug 12'!$AM$8:$AM$42="Y")+('Aug 12'!$AN$8:$AN$42="Y")+('Aug 12'!$AO$8:$AO$42="Y")))+SUMPRODUCT(('Aug 13'!$F$8:$F$42=$T6)*'Aug 13'!$AI$8:$AI$42*(('Aug 13'!$AM$8:$AM$42="Y")+('Aug 13'!$AN$8:$AN$42="Y")+('Aug 13'!$AO$8:$AO$42="Y")))+SUMPRODUCT(('Aug 14'!$F$8:$F$42=$T6)*'Aug 14'!$AI$8:$AI$42*(('Aug 14'!$AM$8:$AM$42="Y")+('Aug 14'!$AN$8:$AN$42="Y")+('Aug 14'!$AO$8:$AO$42="Y")))+SUMPRODUCT(('Aug 15'!$F$8:$F$42=$T6)*'Aug 15'!$AI$8:$AI$42*(('Aug 15'!$AM$8:$AM$42="Y")+('Aug 15'!$AN$8:$AN$42="Y")+('Aug 15'!$AO$8:$AO$42="Y")))+SUMPRODUCT(('Aug 16'!$F$8:$F$42=$T6)*'Aug 16'!$AI$8:$AI$42*(('Aug 16'!$AM$8:$AM$42="Y")+('Aug 16'!$AN$8:$AN$42="Y")+('Aug 16'!$AO$8:$AO$42="Y")))+SUMPRODUCT(('Aug 17'!$F$8:$F$42=$T6)*'Aug 17'!$AI$8:$AI$42*(('Aug 17'!$AM$8:$AM$42="Y")+('Aug 17'!$AN$8:$AN$42="Y")+('Aug 17'!$AO$8:$AO$42="Y")))+SUMPRODUCT(('Aug 18'!$F$8:$F$42=$T6)*'Aug 18'!$AI$8:$AI$42*(('Aug 18'!$AM$8:$AM$42="Y")+('Aug 18'!$AN$8:$AN$42="Y")+('Aug 18'!$AO$8:$AO$42="Y")))+SUMPRODUCT(('Aug 19'!$F$8:$F$42=$T6)*'Aug 19'!$AI$8:$AI$42*(('Aug 19'!$AM$8:$AM$42="Y")+('Aug 19'!$AN$8:$AN$42="Y")+('Aug 19'!$AO$8:$AO$42="Y")))+SUMPRODUCT(('Aug 20'!$F$8:$F$42=$T6)*'Aug 20'!$AI$8:$AI$42*(('Aug 20'!$AM$8:$AM$42="Y")+('Aug 20'!$AN$8:$AN$42="Y")+('Aug 20'!$AO$8:$AO$42="Y")))+SUMPRODUCT(('Aug 21'!$F$8:$F$42=$T6)*'Aug 21'!$AI$8:$AI$42*(('Aug 21'!$AM$8:$AM$42="Y")+('Aug 21'!$AN$8:$AN$42="Y")+('Aug 21'!$AO$8:$AO$42="Y")))+SUMPRODUCT(('Aug 22'!$F$8:$F$42=$T6)*'Aug 22'!$AI$8:$AI$42*(('Aug 22'!$AM$8:$AM$42="Y")+('Aug 22'!$AN$8:$AN$42="Y")+('Aug 22'!$AO$8:$AO$42="Y")))+SUMPRODUCT(('Aug 23'!$F$8:$F$42=$T6)*'Aug 23'!$AI$8:$AI$42*(('Aug 23'!$AM$8:$AM$42="Y")+('Aug 23'!$AN$8:$AN$42="Y")+('Aug 23'!$AO$8:$AO$42="Y")))+SUMPRODUCT(('Aug 24'!$F$8:$F$42=$T6)*'Aug 24'!$AI$8:$AI$42*(('Aug 24'!$AM$8:$AM$42="Y")+('Aug 24'!$AN$8:$AN$42="Y")+('Aug 24'!$AO$8:$AO$42="Y")))+SUMPRODUCT(('Aug 25'!$F$8:$F$42=$T6)*'Aug 25'!$AI$8:$AI$42*(('Aug 25'!$AM$8:$AM$42="Y")+('Aug 25'!$AN$8:$AN$42="Y")+('Aug 25'!$AO$8:$AO$42="Y")))+SUMPRODUCT(('Aug 26'!$F$8:$F$42=$T6)*'Aug 26'!$AI$8:$AI$42*(('Aug 26'!$AM$8:$AM$42="Y")+('Aug 26'!$AN$8:$AN$42="Y")+('Aug 26'!$AO$8:$AO$42="Y")))+SUMPRODUCT(('Aug 27'!$F$8:$F$42=$T6)*'Aug 27'!$AI$8:$AI$42*(('Aug 27'!$AM$8:$AM$42="Y")+('Aug 27'!$AN$8:$AN$42="Y")+('Aug 27'!$AO$8:$AO$42="Y")))+SUMPRODUCT(('Aug 28'!$F$8:$F$42=$T6)*'Aug 28'!$AI$8:$AI$42*(('Aug 28'!$AM$8:$AM$42="Y")+('Aug 28'!$AN$8:$AN$42="Y")+('Aug 28'!$AO$8:$AO$42="Y")))+SUMPRODUCT(('Aug 29'!$F$8:$F$42=$T6)*'Aug 29'!$AI$8:$AI$42*(('Aug 29'!$AM$8:$AM$42="Y")+('Aug 29'!$AN$8:$AN$42="Y")+('Aug 29'!$AO$8:$AO$42="Y")))+SUMPRODUCT(('Aug 30'!$F$8:$F$42=$T6)*'Aug 30'!$AI$8:$AI$42*(('Aug 30'!$AM$8:$AM$42="Y")+('Aug 30'!$AN$8:$AN$42="Y")+('Aug 30'!$AO$8:$AO$42="Y")))+SUMPRODUCT(('Aug 31'!$F$8:$F$42=$T6)*'Aug 31'!$AI$8:$AI$42*(('Aug 31'!$AM$8:$AM$42="Y")+('Aug 31'!$AN$8:$AN$42="Y")+('Aug 31'!$AO$8:$AO$42="Y")))</f>
        <v>0</v>
      </c>
      <c r="BD6" s="0" t="n">
        <f aca="false">SUM(U6:AY6)</f>
        <v>0</v>
      </c>
      <c r="BE6" s="0" t="n">
        <f aca="false">SUM(U25:AY25)</f>
        <v>0</v>
      </c>
      <c r="BF6" s="0" t="n">
        <f aca="false">SUM(U44:AY44)</f>
        <v>0</v>
      </c>
      <c r="BH6" s="0" t="n">
        <f aca="false">MIN(BF4:BF19)</f>
        <v>0</v>
      </c>
    </row>
    <row r="7" customFormat="false" ht="14.25" hidden="false" customHeight="true" outlineLevel="0" collapsed="false">
      <c r="A7" s="44" t="n">
        <v>1</v>
      </c>
      <c r="B7" s="45" t="str">
        <f aca="false">$T4</f>
        <v>FEDY ALI</v>
      </c>
      <c r="C7" s="22" t="n">
        <f aca="false">BD4</f>
        <v>0</v>
      </c>
      <c r="D7" s="25" t="n">
        <f aca="false">BE4</f>
        <v>0</v>
      </c>
      <c r="E7" s="25" t="str">
        <f aca="false">IF(BD4=0,"—",BE4/BD4)</f>
        <v>—</v>
      </c>
      <c r="F7" s="44" t="str">
        <f aca="false">IF(BD4=0,"—",INDEX('Pay Plan'!$B$6:$B$12,BB4))</f>
        <v>—</v>
      </c>
      <c r="G7" s="25" t="n">
        <f aca="false">BF4</f>
        <v>0</v>
      </c>
      <c r="H7" s="25" t="n">
        <f aca="false">LOOKUP(BD4,'Pay Plan'!$B$15:$B$20,'Pay Plan'!$C$15:$C$20)</f>
        <v>0</v>
      </c>
      <c r="I7" s="25" t="n">
        <f aca="false">LOOKUP(BA4,'Pay Plan'!$E$15:$E$19,'Pay Plan'!$F$15:$F$19)</f>
        <v>0</v>
      </c>
      <c r="J7" s="25" t="n">
        <f aca="false">BC4*'Pay Plan'!$I$15</f>
        <v>0</v>
      </c>
      <c r="K7" s="46" t="n">
        <f aca="false">G7+H7+I7+J7</f>
        <v>0</v>
      </c>
      <c r="L7" s="46"/>
      <c r="M7" s="46"/>
      <c r="N7" s="47"/>
      <c r="O7" s="46" t="n">
        <f aca="false">K7-N7</f>
        <v>0</v>
      </c>
      <c r="P7" s="46"/>
      <c r="Q7" s="46"/>
      <c r="R7" s="46"/>
      <c r="T7" s="0" t="str">
        <f aca="false">'Staff &amp; Lists'!A8</f>
        <v>GARRET SCHWETTMAN</v>
      </c>
      <c r="U7" s="0" t="n">
        <f aca="false">SUMPRODUCT(('Aug 1'!$F$8:$F$42=$T7)*'Aug 1'!$AJ$8:$AJ$42+('Aug 1'!$G$8:$G$42=$T7)*'Aug 1'!$AK$8:$AK$42)</f>
        <v>0</v>
      </c>
      <c r="V7" s="0" t="n">
        <f aca="false">SUMPRODUCT(('Aug 2'!$F$8:$F$42=$T7)*'Aug 2'!$AJ$8:$AJ$42+('Aug 2'!$G$8:$G$42=$T7)*'Aug 2'!$AK$8:$AK$42)</f>
        <v>0</v>
      </c>
      <c r="W7" s="0" t="n">
        <f aca="false">SUMPRODUCT(('Aug 3'!$F$8:$F$42=$T7)*'Aug 3'!$AJ$8:$AJ$42+('Aug 3'!$G$8:$G$42=$T7)*'Aug 3'!$AK$8:$AK$42)</f>
        <v>0</v>
      </c>
      <c r="X7" s="0" t="n">
        <f aca="false">SUMPRODUCT(('Aug 4'!$F$8:$F$42=$T7)*'Aug 4'!$AJ$8:$AJ$42+('Aug 4'!$G$8:$G$42=$T7)*'Aug 4'!$AK$8:$AK$42)</f>
        <v>0</v>
      </c>
      <c r="Y7" s="0" t="n">
        <f aca="false">SUMPRODUCT(('Aug 5'!$F$8:$F$42=$T7)*'Aug 5'!$AJ$8:$AJ$42+('Aug 5'!$G$8:$G$42=$T7)*'Aug 5'!$AK$8:$AK$42)</f>
        <v>0</v>
      </c>
      <c r="Z7" s="0" t="n">
        <f aca="false">SUMPRODUCT(('Aug 6'!$F$8:$F$42=$T7)*'Aug 6'!$AJ$8:$AJ$42+('Aug 6'!$G$8:$G$42=$T7)*'Aug 6'!$AK$8:$AK$42)</f>
        <v>0</v>
      </c>
      <c r="AA7" s="0" t="n">
        <f aca="false">SUMPRODUCT(('Aug 7'!$F$8:$F$42=$T7)*'Aug 7'!$AJ$8:$AJ$42+('Aug 7'!$G$8:$G$42=$T7)*'Aug 7'!$AK$8:$AK$42)</f>
        <v>0</v>
      </c>
      <c r="AB7" s="0" t="n">
        <f aca="false">SUMPRODUCT(('Aug 8'!$F$8:$F$42=$T7)*'Aug 8'!$AJ$8:$AJ$42+('Aug 8'!$G$8:$G$42=$T7)*'Aug 8'!$AK$8:$AK$42)</f>
        <v>0</v>
      </c>
      <c r="AC7" s="0" t="n">
        <f aca="false">SUMPRODUCT(('Aug 9'!$F$8:$F$42=$T7)*'Aug 9'!$AJ$8:$AJ$42+('Aug 9'!$G$8:$G$42=$T7)*'Aug 9'!$AK$8:$AK$42)</f>
        <v>0</v>
      </c>
      <c r="AD7" s="0" t="n">
        <f aca="false">SUMPRODUCT(('Aug 10'!$F$8:$F$42=$T7)*'Aug 10'!$AJ$8:$AJ$42+('Aug 10'!$G$8:$G$42=$T7)*'Aug 10'!$AK$8:$AK$42)</f>
        <v>0</v>
      </c>
      <c r="AE7" s="0" t="n">
        <f aca="false">SUMPRODUCT(('Aug 11'!$F$8:$F$42=$T7)*'Aug 11'!$AJ$8:$AJ$42+('Aug 11'!$G$8:$G$42=$T7)*'Aug 11'!$AK$8:$AK$42)</f>
        <v>0</v>
      </c>
      <c r="AF7" s="0" t="n">
        <f aca="false">SUMPRODUCT(('Aug 12'!$F$8:$F$42=$T7)*'Aug 12'!$AJ$8:$AJ$42+('Aug 12'!$G$8:$G$42=$T7)*'Aug 12'!$AK$8:$AK$42)</f>
        <v>0</v>
      </c>
      <c r="AG7" s="0" t="n">
        <f aca="false">SUMPRODUCT(('Aug 13'!$F$8:$F$42=$T7)*'Aug 13'!$AJ$8:$AJ$42+('Aug 13'!$G$8:$G$42=$T7)*'Aug 13'!$AK$8:$AK$42)</f>
        <v>0</v>
      </c>
      <c r="AH7" s="0" t="n">
        <f aca="false">SUMPRODUCT(('Aug 14'!$F$8:$F$42=$T7)*'Aug 14'!$AJ$8:$AJ$42+('Aug 14'!$G$8:$G$42=$T7)*'Aug 14'!$AK$8:$AK$42)</f>
        <v>0</v>
      </c>
      <c r="AI7" s="0" t="n">
        <f aca="false">SUMPRODUCT(('Aug 15'!$F$8:$F$42=$T7)*'Aug 15'!$AJ$8:$AJ$42+('Aug 15'!$G$8:$G$42=$T7)*'Aug 15'!$AK$8:$AK$42)</f>
        <v>0</v>
      </c>
      <c r="AJ7" s="0" t="n">
        <f aca="false">SUMPRODUCT(('Aug 16'!$F$8:$F$42=$T7)*'Aug 16'!$AJ$8:$AJ$42+('Aug 16'!$G$8:$G$42=$T7)*'Aug 16'!$AK$8:$AK$42)</f>
        <v>0</v>
      </c>
      <c r="AK7" s="0" t="n">
        <f aca="false">SUMPRODUCT(('Aug 17'!$F$8:$F$42=$T7)*'Aug 17'!$AJ$8:$AJ$42+('Aug 17'!$G$8:$G$42=$T7)*'Aug 17'!$AK$8:$AK$42)</f>
        <v>0</v>
      </c>
      <c r="AL7" s="0" t="n">
        <f aca="false">SUMPRODUCT(('Aug 18'!$F$8:$F$42=$T7)*'Aug 18'!$AJ$8:$AJ$42+('Aug 18'!$G$8:$G$42=$T7)*'Aug 18'!$AK$8:$AK$42)</f>
        <v>0</v>
      </c>
      <c r="AM7" s="0" t="n">
        <f aca="false">SUMPRODUCT(('Aug 19'!$F$8:$F$42=$T7)*'Aug 19'!$AJ$8:$AJ$42+('Aug 19'!$G$8:$G$42=$T7)*'Aug 19'!$AK$8:$AK$42)</f>
        <v>0</v>
      </c>
      <c r="AN7" s="0" t="n">
        <f aca="false">SUMPRODUCT(('Aug 20'!$F$8:$F$42=$T7)*'Aug 20'!$AJ$8:$AJ$42+('Aug 20'!$G$8:$G$42=$T7)*'Aug 20'!$AK$8:$AK$42)</f>
        <v>0</v>
      </c>
      <c r="AO7" s="0" t="n">
        <f aca="false">SUMPRODUCT(('Aug 21'!$F$8:$F$42=$T7)*'Aug 21'!$AJ$8:$AJ$42+('Aug 21'!$G$8:$G$42=$T7)*'Aug 21'!$AK$8:$AK$42)</f>
        <v>0</v>
      </c>
      <c r="AP7" s="0" t="n">
        <f aca="false">SUMPRODUCT(('Aug 22'!$F$8:$F$42=$T7)*'Aug 22'!$AJ$8:$AJ$42+('Aug 22'!$G$8:$G$42=$T7)*'Aug 22'!$AK$8:$AK$42)</f>
        <v>0</v>
      </c>
      <c r="AQ7" s="0" t="n">
        <f aca="false">SUMPRODUCT(('Aug 23'!$F$8:$F$42=$T7)*'Aug 23'!$AJ$8:$AJ$42+('Aug 23'!$G$8:$G$42=$T7)*'Aug 23'!$AK$8:$AK$42)</f>
        <v>0</v>
      </c>
      <c r="AR7" s="0" t="n">
        <f aca="false">SUMPRODUCT(('Aug 24'!$F$8:$F$42=$T7)*'Aug 24'!$AJ$8:$AJ$42+('Aug 24'!$G$8:$G$42=$T7)*'Aug 24'!$AK$8:$AK$42)</f>
        <v>0</v>
      </c>
      <c r="AS7" s="0" t="n">
        <f aca="false">SUMPRODUCT(('Aug 25'!$F$8:$F$42=$T7)*'Aug 25'!$AJ$8:$AJ$42+('Aug 25'!$G$8:$G$42=$T7)*'Aug 25'!$AK$8:$AK$42)</f>
        <v>0</v>
      </c>
      <c r="AT7" s="0" t="n">
        <f aca="false">SUMPRODUCT(('Aug 26'!$F$8:$F$42=$T7)*'Aug 26'!$AJ$8:$AJ$42+('Aug 26'!$G$8:$G$42=$T7)*'Aug 26'!$AK$8:$AK$42)</f>
        <v>0</v>
      </c>
      <c r="AU7" s="0" t="n">
        <f aca="false">SUMPRODUCT(('Aug 27'!$F$8:$F$42=$T7)*'Aug 27'!$AJ$8:$AJ$42+('Aug 27'!$G$8:$G$42=$T7)*'Aug 27'!$AK$8:$AK$42)</f>
        <v>0</v>
      </c>
      <c r="AV7" s="0" t="n">
        <f aca="false">SUMPRODUCT(('Aug 28'!$F$8:$F$42=$T7)*'Aug 28'!$AJ$8:$AJ$42+('Aug 28'!$G$8:$G$42=$T7)*'Aug 28'!$AK$8:$AK$42)</f>
        <v>0</v>
      </c>
      <c r="AW7" s="0" t="n">
        <f aca="false">SUMPRODUCT(('Aug 29'!$F$8:$F$42=$T7)*'Aug 29'!$AJ$8:$AJ$42+('Aug 29'!$G$8:$G$42=$T7)*'Aug 29'!$AK$8:$AK$42)</f>
        <v>0</v>
      </c>
      <c r="AX7" s="0" t="n">
        <f aca="false">SUMPRODUCT(('Aug 30'!$F$8:$F$42=$T7)*'Aug 30'!$AJ$8:$AJ$42+('Aug 30'!$G$8:$G$42=$T7)*'Aug 30'!$AK$8:$AK$42)</f>
        <v>0</v>
      </c>
      <c r="AY7" s="0" t="n">
        <f aca="false">SUMPRODUCT(('Aug 31'!$F$8:$F$42=$T7)*'Aug 31'!$AJ$8:$AJ$42+('Aug 31'!$G$8:$G$42=$T7)*'Aug 31'!$AK$8:$AK$42)</f>
        <v>0</v>
      </c>
      <c r="BA7" s="0" t="n">
        <f aca="false">SUM(U7:AD7)</f>
        <v>0</v>
      </c>
      <c r="BB7" s="0" t="n">
        <f aca="false">MATCH(BD7,'Pay Plan'!$C$6:$C$12,1)</f>
        <v>1</v>
      </c>
      <c r="BC7" s="0" t="n">
        <f aca="false">SUMPRODUCT(('Aug 1'!$F$8:$F$42=$T7)*'Aug 1'!$AI$8:$AI$42*(('Aug 1'!$AM$8:$AM$42="Y")+('Aug 1'!$AN$8:$AN$42="Y")+('Aug 1'!$AO$8:$AO$42="Y")))+SUMPRODUCT(('Aug 2'!$F$8:$F$42=$T7)*'Aug 2'!$AI$8:$AI$42*(('Aug 2'!$AM$8:$AM$42="Y")+('Aug 2'!$AN$8:$AN$42="Y")+('Aug 2'!$AO$8:$AO$42="Y")))+SUMPRODUCT(('Aug 3'!$F$8:$F$42=$T7)*'Aug 3'!$AI$8:$AI$42*(('Aug 3'!$AM$8:$AM$42="Y")+('Aug 3'!$AN$8:$AN$42="Y")+('Aug 3'!$AO$8:$AO$42="Y")))+SUMPRODUCT(('Aug 4'!$F$8:$F$42=$T7)*'Aug 4'!$AI$8:$AI$42*(('Aug 4'!$AM$8:$AM$42="Y")+('Aug 4'!$AN$8:$AN$42="Y")+('Aug 4'!$AO$8:$AO$42="Y")))+SUMPRODUCT(('Aug 5'!$F$8:$F$42=$T7)*'Aug 5'!$AI$8:$AI$42*(('Aug 5'!$AM$8:$AM$42="Y")+('Aug 5'!$AN$8:$AN$42="Y")+('Aug 5'!$AO$8:$AO$42="Y")))+SUMPRODUCT(('Aug 6'!$F$8:$F$42=$T7)*'Aug 6'!$AI$8:$AI$42*(('Aug 6'!$AM$8:$AM$42="Y")+('Aug 6'!$AN$8:$AN$42="Y")+('Aug 6'!$AO$8:$AO$42="Y")))+SUMPRODUCT(('Aug 7'!$F$8:$F$42=$T7)*'Aug 7'!$AI$8:$AI$42*(('Aug 7'!$AM$8:$AM$42="Y")+('Aug 7'!$AN$8:$AN$42="Y")+('Aug 7'!$AO$8:$AO$42="Y")))+SUMPRODUCT(('Aug 8'!$F$8:$F$42=$T7)*'Aug 8'!$AI$8:$AI$42*(('Aug 8'!$AM$8:$AM$42="Y")+('Aug 8'!$AN$8:$AN$42="Y")+('Aug 8'!$AO$8:$AO$42="Y")))+SUMPRODUCT(('Aug 9'!$F$8:$F$42=$T7)*'Aug 9'!$AI$8:$AI$42*(('Aug 9'!$AM$8:$AM$42="Y")+('Aug 9'!$AN$8:$AN$42="Y")+('Aug 9'!$AO$8:$AO$42="Y")))+SUMPRODUCT(('Aug 10'!$F$8:$F$42=$T7)*'Aug 10'!$AI$8:$AI$42*(('Aug 10'!$AM$8:$AM$42="Y")+('Aug 10'!$AN$8:$AN$42="Y")+('Aug 10'!$AO$8:$AO$42="Y")))+SUMPRODUCT(('Aug 11'!$F$8:$F$42=$T7)*'Aug 11'!$AI$8:$AI$42*(('Aug 11'!$AM$8:$AM$42="Y")+('Aug 11'!$AN$8:$AN$42="Y")+('Aug 11'!$AO$8:$AO$42="Y")))+SUMPRODUCT(('Aug 12'!$F$8:$F$42=$T7)*'Aug 12'!$AI$8:$AI$42*(('Aug 12'!$AM$8:$AM$42="Y")+('Aug 12'!$AN$8:$AN$42="Y")+('Aug 12'!$AO$8:$AO$42="Y")))+SUMPRODUCT(('Aug 13'!$F$8:$F$42=$T7)*'Aug 13'!$AI$8:$AI$42*(('Aug 13'!$AM$8:$AM$42="Y")+('Aug 13'!$AN$8:$AN$42="Y")+('Aug 13'!$AO$8:$AO$42="Y")))+SUMPRODUCT(('Aug 14'!$F$8:$F$42=$T7)*'Aug 14'!$AI$8:$AI$42*(('Aug 14'!$AM$8:$AM$42="Y")+('Aug 14'!$AN$8:$AN$42="Y")+('Aug 14'!$AO$8:$AO$42="Y")))+SUMPRODUCT(('Aug 15'!$F$8:$F$42=$T7)*'Aug 15'!$AI$8:$AI$42*(('Aug 15'!$AM$8:$AM$42="Y")+('Aug 15'!$AN$8:$AN$42="Y")+('Aug 15'!$AO$8:$AO$42="Y")))+SUMPRODUCT(('Aug 16'!$F$8:$F$42=$T7)*'Aug 16'!$AI$8:$AI$42*(('Aug 16'!$AM$8:$AM$42="Y")+('Aug 16'!$AN$8:$AN$42="Y")+('Aug 16'!$AO$8:$AO$42="Y")))+SUMPRODUCT(('Aug 17'!$F$8:$F$42=$T7)*'Aug 17'!$AI$8:$AI$42*(('Aug 17'!$AM$8:$AM$42="Y")+('Aug 17'!$AN$8:$AN$42="Y")+('Aug 17'!$AO$8:$AO$42="Y")))+SUMPRODUCT(('Aug 18'!$F$8:$F$42=$T7)*'Aug 18'!$AI$8:$AI$42*(('Aug 18'!$AM$8:$AM$42="Y")+('Aug 18'!$AN$8:$AN$42="Y")+('Aug 18'!$AO$8:$AO$42="Y")))+SUMPRODUCT(('Aug 19'!$F$8:$F$42=$T7)*'Aug 19'!$AI$8:$AI$42*(('Aug 19'!$AM$8:$AM$42="Y")+('Aug 19'!$AN$8:$AN$42="Y")+('Aug 19'!$AO$8:$AO$42="Y")))+SUMPRODUCT(('Aug 20'!$F$8:$F$42=$T7)*'Aug 20'!$AI$8:$AI$42*(('Aug 20'!$AM$8:$AM$42="Y")+('Aug 20'!$AN$8:$AN$42="Y")+('Aug 20'!$AO$8:$AO$42="Y")))+SUMPRODUCT(('Aug 21'!$F$8:$F$42=$T7)*'Aug 21'!$AI$8:$AI$42*(('Aug 21'!$AM$8:$AM$42="Y")+('Aug 21'!$AN$8:$AN$42="Y")+('Aug 21'!$AO$8:$AO$42="Y")))+SUMPRODUCT(('Aug 22'!$F$8:$F$42=$T7)*'Aug 22'!$AI$8:$AI$42*(('Aug 22'!$AM$8:$AM$42="Y")+('Aug 22'!$AN$8:$AN$42="Y")+('Aug 22'!$AO$8:$AO$42="Y")))+SUMPRODUCT(('Aug 23'!$F$8:$F$42=$T7)*'Aug 23'!$AI$8:$AI$42*(('Aug 23'!$AM$8:$AM$42="Y")+('Aug 23'!$AN$8:$AN$42="Y")+('Aug 23'!$AO$8:$AO$42="Y")))+SUMPRODUCT(('Aug 24'!$F$8:$F$42=$T7)*'Aug 24'!$AI$8:$AI$42*(('Aug 24'!$AM$8:$AM$42="Y")+('Aug 24'!$AN$8:$AN$42="Y")+('Aug 24'!$AO$8:$AO$42="Y")))+SUMPRODUCT(('Aug 25'!$F$8:$F$42=$T7)*'Aug 25'!$AI$8:$AI$42*(('Aug 25'!$AM$8:$AM$42="Y")+('Aug 25'!$AN$8:$AN$42="Y")+('Aug 25'!$AO$8:$AO$42="Y")))+SUMPRODUCT(('Aug 26'!$F$8:$F$42=$T7)*'Aug 26'!$AI$8:$AI$42*(('Aug 26'!$AM$8:$AM$42="Y")+('Aug 26'!$AN$8:$AN$42="Y")+('Aug 26'!$AO$8:$AO$42="Y")))+SUMPRODUCT(('Aug 27'!$F$8:$F$42=$T7)*'Aug 27'!$AI$8:$AI$42*(('Aug 27'!$AM$8:$AM$42="Y")+('Aug 27'!$AN$8:$AN$42="Y")+('Aug 27'!$AO$8:$AO$42="Y")))+SUMPRODUCT(('Aug 28'!$F$8:$F$42=$T7)*'Aug 28'!$AI$8:$AI$42*(('Aug 28'!$AM$8:$AM$42="Y")+('Aug 28'!$AN$8:$AN$42="Y")+('Aug 28'!$AO$8:$AO$42="Y")))+SUMPRODUCT(('Aug 29'!$F$8:$F$42=$T7)*'Aug 29'!$AI$8:$AI$42*(('Aug 29'!$AM$8:$AM$42="Y")+('Aug 29'!$AN$8:$AN$42="Y")+('Aug 29'!$AO$8:$AO$42="Y")))+SUMPRODUCT(('Aug 30'!$F$8:$F$42=$T7)*'Aug 30'!$AI$8:$AI$42*(('Aug 30'!$AM$8:$AM$42="Y")+('Aug 30'!$AN$8:$AN$42="Y")+('Aug 30'!$AO$8:$AO$42="Y")))+SUMPRODUCT(('Aug 31'!$F$8:$F$42=$T7)*'Aug 31'!$AI$8:$AI$42*(('Aug 31'!$AM$8:$AM$42="Y")+('Aug 31'!$AN$8:$AN$42="Y")+('Aug 31'!$AO$8:$AO$42="Y")))</f>
        <v>0</v>
      </c>
      <c r="BD7" s="0" t="n">
        <f aca="false">SUM(U7:AY7)</f>
        <v>0</v>
      </c>
      <c r="BE7" s="0" t="n">
        <f aca="false">SUM(U26:AY26)</f>
        <v>0</v>
      </c>
      <c r="BF7" s="0" t="n">
        <f aca="false">SUM(U45:AY45)</f>
        <v>0</v>
      </c>
      <c r="BH7" s="0" t="n">
        <f aca="false">MIN(BD4:BD19)</f>
        <v>0</v>
      </c>
    </row>
    <row r="8" customFormat="false" ht="14.25" hidden="false" customHeight="true" outlineLevel="0" collapsed="false">
      <c r="A8" s="48" t="n">
        <v>2</v>
      </c>
      <c r="B8" s="49" t="str">
        <f aca="false">$T5</f>
        <v>CHAD EMBRY</v>
      </c>
      <c r="C8" s="50" t="n">
        <f aca="false">BD5</f>
        <v>0</v>
      </c>
      <c r="D8" s="51" t="n">
        <f aca="false">BE5</f>
        <v>0</v>
      </c>
      <c r="E8" s="51" t="str">
        <f aca="false">IF(BD5=0,"—",BE5/BD5)</f>
        <v>—</v>
      </c>
      <c r="F8" s="48" t="str">
        <f aca="false">IF(BD5=0,"—",INDEX('Pay Plan'!$B$6:$B$12,BB5))</f>
        <v>—</v>
      </c>
      <c r="G8" s="51" t="n">
        <f aca="false">BF5</f>
        <v>0</v>
      </c>
      <c r="H8" s="51" t="n">
        <f aca="false">LOOKUP(BD5,'Pay Plan'!$B$15:$B$20,'Pay Plan'!$C$15:$C$20)</f>
        <v>0</v>
      </c>
      <c r="I8" s="51" t="n">
        <f aca="false">LOOKUP(BA5,'Pay Plan'!$E$15:$E$19,'Pay Plan'!$F$15:$F$19)</f>
        <v>0</v>
      </c>
      <c r="J8" s="51" t="n">
        <f aca="false">BC5*'Pay Plan'!$I$15</f>
        <v>0</v>
      </c>
      <c r="K8" s="52" t="n">
        <f aca="false">G8+H8+I8+J8</f>
        <v>0</v>
      </c>
      <c r="L8" s="52"/>
      <c r="M8" s="52"/>
      <c r="N8" s="47"/>
      <c r="O8" s="52" t="n">
        <f aca="false">K8-N8</f>
        <v>0</v>
      </c>
      <c r="P8" s="52"/>
      <c r="Q8" s="52"/>
      <c r="R8" s="52"/>
      <c r="T8" s="0" t="str">
        <f aca="false">'Staff &amp; Lists'!A9</f>
        <v>MERCEDES CLARK</v>
      </c>
      <c r="U8" s="0" t="n">
        <f aca="false">SUMPRODUCT(('Aug 1'!$F$8:$F$42=$T8)*'Aug 1'!$AJ$8:$AJ$42+('Aug 1'!$G$8:$G$42=$T8)*'Aug 1'!$AK$8:$AK$42)</f>
        <v>0</v>
      </c>
      <c r="V8" s="0" t="n">
        <f aca="false">SUMPRODUCT(('Aug 2'!$F$8:$F$42=$T8)*'Aug 2'!$AJ$8:$AJ$42+('Aug 2'!$G$8:$G$42=$T8)*'Aug 2'!$AK$8:$AK$42)</f>
        <v>0</v>
      </c>
      <c r="W8" s="0" t="n">
        <f aca="false">SUMPRODUCT(('Aug 3'!$F$8:$F$42=$T8)*'Aug 3'!$AJ$8:$AJ$42+('Aug 3'!$G$8:$G$42=$T8)*'Aug 3'!$AK$8:$AK$42)</f>
        <v>0</v>
      </c>
      <c r="X8" s="0" t="n">
        <f aca="false">SUMPRODUCT(('Aug 4'!$F$8:$F$42=$T8)*'Aug 4'!$AJ$8:$AJ$42+('Aug 4'!$G$8:$G$42=$T8)*'Aug 4'!$AK$8:$AK$42)</f>
        <v>0</v>
      </c>
      <c r="Y8" s="0" t="n">
        <f aca="false">SUMPRODUCT(('Aug 5'!$F$8:$F$42=$T8)*'Aug 5'!$AJ$8:$AJ$42+('Aug 5'!$G$8:$G$42=$T8)*'Aug 5'!$AK$8:$AK$42)</f>
        <v>0</v>
      </c>
      <c r="Z8" s="0" t="n">
        <f aca="false">SUMPRODUCT(('Aug 6'!$F$8:$F$42=$T8)*'Aug 6'!$AJ$8:$AJ$42+('Aug 6'!$G$8:$G$42=$T8)*'Aug 6'!$AK$8:$AK$42)</f>
        <v>0</v>
      </c>
      <c r="AA8" s="0" t="n">
        <f aca="false">SUMPRODUCT(('Aug 7'!$F$8:$F$42=$T8)*'Aug 7'!$AJ$8:$AJ$42+('Aug 7'!$G$8:$G$42=$T8)*'Aug 7'!$AK$8:$AK$42)</f>
        <v>0</v>
      </c>
      <c r="AB8" s="0" t="n">
        <f aca="false">SUMPRODUCT(('Aug 8'!$F$8:$F$42=$T8)*'Aug 8'!$AJ$8:$AJ$42+('Aug 8'!$G$8:$G$42=$T8)*'Aug 8'!$AK$8:$AK$42)</f>
        <v>0</v>
      </c>
      <c r="AC8" s="0" t="n">
        <f aca="false">SUMPRODUCT(('Aug 9'!$F$8:$F$42=$T8)*'Aug 9'!$AJ$8:$AJ$42+('Aug 9'!$G$8:$G$42=$T8)*'Aug 9'!$AK$8:$AK$42)</f>
        <v>0</v>
      </c>
      <c r="AD8" s="0" t="n">
        <f aca="false">SUMPRODUCT(('Aug 10'!$F$8:$F$42=$T8)*'Aug 10'!$AJ$8:$AJ$42+('Aug 10'!$G$8:$G$42=$T8)*'Aug 10'!$AK$8:$AK$42)</f>
        <v>0</v>
      </c>
      <c r="AE8" s="0" t="n">
        <f aca="false">SUMPRODUCT(('Aug 11'!$F$8:$F$42=$T8)*'Aug 11'!$AJ$8:$AJ$42+('Aug 11'!$G$8:$G$42=$T8)*'Aug 11'!$AK$8:$AK$42)</f>
        <v>0</v>
      </c>
      <c r="AF8" s="0" t="n">
        <f aca="false">SUMPRODUCT(('Aug 12'!$F$8:$F$42=$T8)*'Aug 12'!$AJ$8:$AJ$42+('Aug 12'!$G$8:$G$42=$T8)*'Aug 12'!$AK$8:$AK$42)</f>
        <v>0</v>
      </c>
      <c r="AG8" s="0" t="n">
        <f aca="false">SUMPRODUCT(('Aug 13'!$F$8:$F$42=$T8)*'Aug 13'!$AJ$8:$AJ$42+('Aug 13'!$G$8:$G$42=$T8)*'Aug 13'!$AK$8:$AK$42)</f>
        <v>0</v>
      </c>
      <c r="AH8" s="0" t="n">
        <f aca="false">SUMPRODUCT(('Aug 14'!$F$8:$F$42=$T8)*'Aug 14'!$AJ$8:$AJ$42+('Aug 14'!$G$8:$G$42=$T8)*'Aug 14'!$AK$8:$AK$42)</f>
        <v>0</v>
      </c>
      <c r="AI8" s="0" t="n">
        <f aca="false">SUMPRODUCT(('Aug 15'!$F$8:$F$42=$T8)*'Aug 15'!$AJ$8:$AJ$42+('Aug 15'!$G$8:$G$42=$T8)*'Aug 15'!$AK$8:$AK$42)</f>
        <v>0</v>
      </c>
      <c r="AJ8" s="0" t="n">
        <f aca="false">SUMPRODUCT(('Aug 16'!$F$8:$F$42=$T8)*'Aug 16'!$AJ$8:$AJ$42+('Aug 16'!$G$8:$G$42=$T8)*'Aug 16'!$AK$8:$AK$42)</f>
        <v>0</v>
      </c>
      <c r="AK8" s="0" t="n">
        <f aca="false">SUMPRODUCT(('Aug 17'!$F$8:$F$42=$T8)*'Aug 17'!$AJ$8:$AJ$42+('Aug 17'!$G$8:$G$42=$T8)*'Aug 17'!$AK$8:$AK$42)</f>
        <v>0</v>
      </c>
      <c r="AL8" s="0" t="n">
        <f aca="false">SUMPRODUCT(('Aug 18'!$F$8:$F$42=$T8)*'Aug 18'!$AJ$8:$AJ$42+('Aug 18'!$G$8:$G$42=$T8)*'Aug 18'!$AK$8:$AK$42)</f>
        <v>0</v>
      </c>
      <c r="AM8" s="0" t="n">
        <f aca="false">SUMPRODUCT(('Aug 19'!$F$8:$F$42=$T8)*'Aug 19'!$AJ$8:$AJ$42+('Aug 19'!$G$8:$G$42=$T8)*'Aug 19'!$AK$8:$AK$42)</f>
        <v>0</v>
      </c>
      <c r="AN8" s="0" t="n">
        <f aca="false">SUMPRODUCT(('Aug 20'!$F$8:$F$42=$T8)*'Aug 20'!$AJ$8:$AJ$42+('Aug 20'!$G$8:$G$42=$T8)*'Aug 20'!$AK$8:$AK$42)</f>
        <v>0</v>
      </c>
      <c r="AO8" s="0" t="n">
        <f aca="false">SUMPRODUCT(('Aug 21'!$F$8:$F$42=$T8)*'Aug 21'!$AJ$8:$AJ$42+('Aug 21'!$G$8:$G$42=$T8)*'Aug 21'!$AK$8:$AK$42)</f>
        <v>0</v>
      </c>
      <c r="AP8" s="0" t="n">
        <f aca="false">SUMPRODUCT(('Aug 22'!$F$8:$F$42=$T8)*'Aug 22'!$AJ$8:$AJ$42+('Aug 22'!$G$8:$G$42=$T8)*'Aug 22'!$AK$8:$AK$42)</f>
        <v>0</v>
      </c>
      <c r="AQ8" s="0" t="n">
        <f aca="false">SUMPRODUCT(('Aug 23'!$F$8:$F$42=$T8)*'Aug 23'!$AJ$8:$AJ$42+('Aug 23'!$G$8:$G$42=$T8)*'Aug 23'!$AK$8:$AK$42)</f>
        <v>0</v>
      </c>
      <c r="AR8" s="0" t="n">
        <f aca="false">SUMPRODUCT(('Aug 24'!$F$8:$F$42=$T8)*'Aug 24'!$AJ$8:$AJ$42+('Aug 24'!$G$8:$G$42=$T8)*'Aug 24'!$AK$8:$AK$42)</f>
        <v>0</v>
      </c>
      <c r="AS8" s="0" t="n">
        <f aca="false">SUMPRODUCT(('Aug 25'!$F$8:$F$42=$T8)*'Aug 25'!$AJ$8:$AJ$42+('Aug 25'!$G$8:$G$42=$T8)*'Aug 25'!$AK$8:$AK$42)</f>
        <v>0</v>
      </c>
      <c r="AT8" s="0" t="n">
        <f aca="false">SUMPRODUCT(('Aug 26'!$F$8:$F$42=$T8)*'Aug 26'!$AJ$8:$AJ$42+('Aug 26'!$G$8:$G$42=$T8)*'Aug 26'!$AK$8:$AK$42)</f>
        <v>0</v>
      </c>
      <c r="AU8" s="0" t="n">
        <f aca="false">SUMPRODUCT(('Aug 27'!$F$8:$F$42=$T8)*'Aug 27'!$AJ$8:$AJ$42+('Aug 27'!$G$8:$G$42=$T8)*'Aug 27'!$AK$8:$AK$42)</f>
        <v>0</v>
      </c>
      <c r="AV8" s="0" t="n">
        <f aca="false">SUMPRODUCT(('Aug 28'!$F$8:$F$42=$T8)*'Aug 28'!$AJ$8:$AJ$42+('Aug 28'!$G$8:$G$42=$T8)*'Aug 28'!$AK$8:$AK$42)</f>
        <v>0</v>
      </c>
      <c r="AW8" s="0" t="n">
        <f aca="false">SUMPRODUCT(('Aug 29'!$F$8:$F$42=$T8)*'Aug 29'!$AJ$8:$AJ$42+('Aug 29'!$G$8:$G$42=$T8)*'Aug 29'!$AK$8:$AK$42)</f>
        <v>0</v>
      </c>
      <c r="AX8" s="0" t="n">
        <f aca="false">SUMPRODUCT(('Aug 30'!$F$8:$F$42=$T8)*'Aug 30'!$AJ$8:$AJ$42+('Aug 30'!$G$8:$G$42=$T8)*'Aug 30'!$AK$8:$AK$42)</f>
        <v>0</v>
      </c>
      <c r="AY8" s="0" t="n">
        <f aca="false">SUMPRODUCT(('Aug 31'!$F$8:$F$42=$T8)*'Aug 31'!$AJ$8:$AJ$42+('Aug 31'!$G$8:$G$42=$T8)*'Aug 31'!$AK$8:$AK$42)</f>
        <v>0</v>
      </c>
      <c r="BA8" s="0" t="n">
        <f aca="false">SUM(U8:AD8)</f>
        <v>0</v>
      </c>
      <c r="BB8" s="0" t="n">
        <f aca="false">MATCH(BD8,'Pay Plan'!$C$6:$C$12,1)</f>
        <v>1</v>
      </c>
      <c r="BC8" s="0" t="n">
        <f aca="false">SUMPRODUCT(('Aug 1'!$F$8:$F$42=$T8)*'Aug 1'!$AI$8:$AI$42*(('Aug 1'!$AM$8:$AM$42="Y")+('Aug 1'!$AN$8:$AN$42="Y")+('Aug 1'!$AO$8:$AO$42="Y")))+SUMPRODUCT(('Aug 2'!$F$8:$F$42=$T8)*'Aug 2'!$AI$8:$AI$42*(('Aug 2'!$AM$8:$AM$42="Y")+('Aug 2'!$AN$8:$AN$42="Y")+('Aug 2'!$AO$8:$AO$42="Y")))+SUMPRODUCT(('Aug 3'!$F$8:$F$42=$T8)*'Aug 3'!$AI$8:$AI$42*(('Aug 3'!$AM$8:$AM$42="Y")+('Aug 3'!$AN$8:$AN$42="Y")+('Aug 3'!$AO$8:$AO$42="Y")))+SUMPRODUCT(('Aug 4'!$F$8:$F$42=$T8)*'Aug 4'!$AI$8:$AI$42*(('Aug 4'!$AM$8:$AM$42="Y")+('Aug 4'!$AN$8:$AN$42="Y")+('Aug 4'!$AO$8:$AO$42="Y")))+SUMPRODUCT(('Aug 5'!$F$8:$F$42=$T8)*'Aug 5'!$AI$8:$AI$42*(('Aug 5'!$AM$8:$AM$42="Y")+('Aug 5'!$AN$8:$AN$42="Y")+('Aug 5'!$AO$8:$AO$42="Y")))+SUMPRODUCT(('Aug 6'!$F$8:$F$42=$T8)*'Aug 6'!$AI$8:$AI$42*(('Aug 6'!$AM$8:$AM$42="Y")+('Aug 6'!$AN$8:$AN$42="Y")+('Aug 6'!$AO$8:$AO$42="Y")))+SUMPRODUCT(('Aug 7'!$F$8:$F$42=$T8)*'Aug 7'!$AI$8:$AI$42*(('Aug 7'!$AM$8:$AM$42="Y")+('Aug 7'!$AN$8:$AN$42="Y")+('Aug 7'!$AO$8:$AO$42="Y")))+SUMPRODUCT(('Aug 8'!$F$8:$F$42=$T8)*'Aug 8'!$AI$8:$AI$42*(('Aug 8'!$AM$8:$AM$42="Y")+('Aug 8'!$AN$8:$AN$42="Y")+('Aug 8'!$AO$8:$AO$42="Y")))+SUMPRODUCT(('Aug 9'!$F$8:$F$42=$T8)*'Aug 9'!$AI$8:$AI$42*(('Aug 9'!$AM$8:$AM$42="Y")+('Aug 9'!$AN$8:$AN$42="Y")+('Aug 9'!$AO$8:$AO$42="Y")))+SUMPRODUCT(('Aug 10'!$F$8:$F$42=$T8)*'Aug 10'!$AI$8:$AI$42*(('Aug 10'!$AM$8:$AM$42="Y")+('Aug 10'!$AN$8:$AN$42="Y")+('Aug 10'!$AO$8:$AO$42="Y")))+SUMPRODUCT(('Aug 11'!$F$8:$F$42=$T8)*'Aug 11'!$AI$8:$AI$42*(('Aug 11'!$AM$8:$AM$42="Y")+('Aug 11'!$AN$8:$AN$42="Y")+('Aug 11'!$AO$8:$AO$42="Y")))+SUMPRODUCT(('Aug 12'!$F$8:$F$42=$T8)*'Aug 12'!$AI$8:$AI$42*(('Aug 12'!$AM$8:$AM$42="Y")+('Aug 12'!$AN$8:$AN$42="Y")+('Aug 12'!$AO$8:$AO$42="Y")))+SUMPRODUCT(('Aug 13'!$F$8:$F$42=$T8)*'Aug 13'!$AI$8:$AI$42*(('Aug 13'!$AM$8:$AM$42="Y")+('Aug 13'!$AN$8:$AN$42="Y")+('Aug 13'!$AO$8:$AO$42="Y")))+SUMPRODUCT(('Aug 14'!$F$8:$F$42=$T8)*'Aug 14'!$AI$8:$AI$42*(('Aug 14'!$AM$8:$AM$42="Y")+('Aug 14'!$AN$8:$AN$42="Y")+('Aug 14'!$AO$8:$AO$42="Y")))+SUMPRODUCT(('Aug 15'!$F$8:$F$42=$T8)*'Aug 15'!$AI$8:$AI$42*(('Aug 15'!$AM$8:$AM$42="Y")+('Aug 15'!$AN$8:$AN$42="Y")+('Aug 15'!$AO$8:$AO$42="Y")))+SUMPRODUCT(('Aug 16'!$F$8:$F$42=$T8)*'Aug 16'!$AI$8:$AI$42*(('Aug 16'!$AM$8:$AM$42="Y")+('Aug 16'!$AN$8:$AN$42="Y")+('Aug 16'!$AO$8:$AO$42="Y")))+SUMPRODUCT(('Aug 17'!$F$8:$F$42=$T8)*'Aug 17'!$AI$8:$AI$42*(('Aug 17'!$AM$8:$AM$42="Y")+('Aug 17'!$AN$8:$AN$42="Y")+('Aug 17'!$AO$8:$AO$42="Y")))+SUMPRODUCT(('Aug 18'!$F$8:$F$42=$T8)*'Aug 18'!$AI$8:$AI$42*(('Aug 18'!$AM$8:$AM$42="Y")+('Aug 18'!$AN$8:$AN$42="Y")+('Aug 18'!$AO$8:$AO$42="Y")))+SUMPRODUCT(('Aug 19'!$F$8:$F$42=$T8)*'Aug 19'!$AI$8:$AI$42*(('Aug 19'!$AM$8:$AM$42="Y")+('Aug 19'!$AN$8:$AN$42="Y")+('Aug 19'!$AO$8:$AO$42="Y")))+SUMPRODUCT(('Aug 20'!$F$8:$F$42=$T8)*'Aug 20'!$AI$8:$AI$42*(('Aug 20'!$AM$8:$AM$42="Y")+('Aug 20'!$AN$8:$AN$42="Y")+('Aug 20'!$AO$8:$AO$42="Y")))+SUMPRODUCT(('Aug 21'!$F$8:$F$42=$T8)*'Aug 21'!$AI$8:$AI$42*(('Aug 21'!$AM$8:$AM$42="Y")+('Aug 21'!$AN$8:$AN$42="Y")+('Aug 21'!$AO$8:$AO$42="Y")))+SUMPRODUCT(('Aug 22'!$F$8:$F$42=$T8)*'Aug 22'!$AI$8:$AI$42*(('Aug 22'!$AM$8:$AM$42="Y")+('Aug 22'!$AN$8:$AN$42="Y")+('Aug 22'!$AO$8:$AO$42="Y")))+SUMPRODUCT(('Aug 23'!$F$8:$F$42=$T8)*'Aug 23'!$AI$8:$AI$42*(('Aug 23'!$AM$8:$AM$42="Y")+('Aug 23'!$AN$8:$AN$42="Y")+('Aug 23'!$AO$8:$AO$42="Y")))+SUMPRODUCT(('Aug 24'!$F$8:$F$42=$T8)*'Aug 24'!$AI$8:$AI$42*(('Aug 24'!$AM$8:$AM$42="Y")+('Aug 24'!$AN$8:$AN$42="Y")+('Aug 24'!$AO$8:$AO$42="Y")))+SUMPRODUCT(('Aug 25'!$F$8:$F$42=$T8)*'Aug 25'!$AI$8:$AI$42*(('Aug 25'!$AM$8:$AM$42="Y")+('Aug 25'!$AN$8:$AN$42="Y")+('Aug 25'!$AO$8:$AO$42="Y")))+SUMPRODUCT(('Aug 26'!$F$8:$F$42=$T8)*'Aug 26'!$AI$8:$AI$42*(('Aug 26'!$AM$8:$AM$42="Y")+('Aug 26'!$AN$8:$AN$42="Y")+('Aug 26'!$AO$8:$AO$42="Y")))+SUMPRODUCT(('Aug 27'!$F$8:$F$42=$T8)*'Aug 27'!$AI$8:$AI$42*(('Aug 27'!$AM$8:$AM$42="Y")+('Aug 27'!$AN$8:$AN$42="Y")+('Aug 27'!$AO$8:$AO$42="Y")))+SUMPRODUCT(('Aug 28'!$F$8:$F$42=$T8)*'Aug 28'!$AI$8:$AI$42*(('Aug 28'!$AM$8:$AM$42="Y")+('Aug 28'!$AN$8:$AN$42="Y")+('Aug 28'!$AO$8:$AO$42="Y")))+SUMPRODUCT(('Aug 29'!$F$8:$F$42=$T8)*'Aug 29'!$AI$8:$AI$42*(('Aug 29'!$AM$8:$AM$42="Y")+('Aug 29'!$AN$8:$AN$42="Y")+('Aug 29'!$AO$8:$AO$42="Y")))+SUMPRODUCT(('Aug 30'!$F$8:$F$42=$T8)*'Aug 30'!$AI$8:$AI$42*(('Aug 30'!$AM$8:$AM$42="Y")+('Aug 30'!$AN$8:$AN$42="Y")+('Aug 30'!$AO$8:$AO$42="Y")))+SUMPRODUCT(('Aug 31'!$F$8:$F$42=$T8)*'Aug 31'!$AI$8:$AI$42*(('Aug 31'!$AM$8:$AM$42="Y")+('Aug 31'!$AN$8:$AN$42="Y")+('Aug 31'!$AO$8:$AO$42="Y")))</f>
        <v>0</v>
      </c>
      <c r="BD8" s="0" t="n">
        <f aca="false">SUM(U8:AY8)</f>
        <v>0</v>
      </c>
      <c r="BE8" s="0" t="n">
        <f aca="false">SUM(U27:AY27)</f>
        <v>0</v>
      </c>
      <c r="BF8" s="0" t="n">
        <f aca="false">SUM(U46:AY46)</f>
        <v>0</v>
      </c>
      <c r="BH8" s="0" t="n">
        <f aca="false">SUMPRODUCT((BD4:BD19&gt;0)*(BB4:BB19&lt;1))</f>
        <v>0</v>
      </c>
    </row>
    <row r="9" customFormat="false" ht="14.25" hidden="false" customHeight="true" outlineLevel="0" collapsed="false">
      <c r="A9" s="44" t="n">
        <v>3</v>
      </c>
      <c r="B9" s="45" t="str">
        <f aca="false">$T6</f>
        <v>RICH AMMERMAN</v>
      </c>
      <c r="C9" s="22" t="n">
        <f aca="false">BD6</f>
        <v>0</v>
      </c>
      <c r="D9" s="25" t="n">
        <f aca="false">BE6</f>
        <v>0</v>
      </c>
      <c r="E9" s="25" t="str">
        <f aca="false">IF(BD6=0,"—",BE6/BD6)</f>
        <v>—</v>
      </c>
      <c r="F9" s="44" t="str">
        <f aca="false">IF(BD6=0,"—",INDEX('Pay Plan'!$B$6:$B$12,BB6))</f>
        <v>—</v>
      </c>
      <c r="G9" s="25" t="n">
        <f aca="false">BF6</f>
        <v>0</v>
      </c>
      <c r="H9" s="25" t="n">
        <f aca="false">LOOKUP(BD6,'Pay Plan'!$B$15:$B$20,'Pay Plan'!$C$15:$C$20)</f>
        <v>0</v>
      </c>
      <c r="I9" s="25" t="n">
        <f aca="false">LOOKUP(BA6,'Pay Plan'!$E$15:$E$19,'Pay Plan'!$F$15:$F$19)</f>
        <v>0</v>
      </c>
      <c r="J9" s="25" t="n">
        <f aca="false">BC6*'Pay Plan'!$I$15</f>
        <v>0</v>
      </c>
      <c r="K9" s="46" t="n">
        <f aca="false">G9+H9+I9+J9</f>
        <v>0</v>
      </c>
      <c r="L9" s="46"/>
      <c r="M9" s="46"/>
      <c r="N9" s="47"/>
      <c r="O9" s="46" t="n">
        <f aca="false">K9-N9</f>
        <v>0</v>
      </c>
      <c r="P9" s="46"/>
      <c r="Q9" s="46"/>
      <c r="R9" s="46"/>
      <c r="T9" s="0" t="str">
        <f aca="false">'Staff &amp; Lists'!A10</f>
        <v>ZAY JOHNSON</v>
      </c>
      <c r="U9" s="0" t="n">
        <f aca="false">SUMPRODUCT(('Aug 1'!$F$8:$F$42=$T9)*'Aug 1'!$AJ$8:$AJ$42+('Aug 1'!$G$8:$G$42=$T9)*'Aug 1'!$AK$8:$AK$42)</f>
        <v>0</v>
      </c>
      <c r="V9" s="0" t="n">
        <f aca="false">SUMPRODUCT(('Aug 2'!$F$8:$F$42=$T9)*'Aug 2'!$AJ$8:$AJ$42+('Aug 2'!$G$8:$G$42=$T9)*'Aug 2'!$AK$8:$AK$42)</f>
        <v>0</v>
      </c>
      <c r="W9" s="0" t="n">
        <f aca="false">SUMPRODUCT(('Aug 3'!$F$8:$F$42=$T9)*'Aug 3'!$AJ$8:$AJ$42+('Aug 3'!$G$8:$G$42=$T9)*'Aug 3'!$AK$8:$AK$42)</f>
        <v>0</v>
      </c>
      <c r="X9" s="0" t="n">
        <f aca="false">SUMPRODUCT(('Aug 4'!$F$8:$F$42=$T9)*'Aug 4'!$AJ$8:$AJ$42+('Aug 4'!$G$8:$G$42=$T9)*'Aug 4'!$AK$8:$AK$42)</f>
        <v>0</v>
      </c>
      <c r="Y9" s="0" t="n">
        <f aca="false">SUMPRODUCT(('Aug 5'!$F$8:$F$42=$T9)*'Aug 5'!$AJ$8:$AJ$42+('Aug 5'!$G$8:$G$42=$T9)*'Aug 5'!$AK$8:$AK$42)</f>
        <v>0</v>
      </c>
      <c r="Z9" s="0" t="n">
        <f aca="false">SUMPRODUCT(('Aug 6'!$F$8:$F$42=$T9)*'Aug 6'!$AJ$8:$AJ$42+('Aug 6'!$G$8:$G$42=$T9)*'Aug 6'!$AK$8:$AK$42)</f>
        <v>0</v>
      </c>
      <c r="AA9" s="0" t="n">
        <f aca="false">SUMPRODUCT(('Aug 7'!$F$8:$F$42=$T9)*'Aug 7'!$AJ$8:$AJ$42+('Aug 7'!$G$8:$G$42=$T9)*'Aug 7'!$AK$8:$AK$42)</f>
        <v>0</v>
      </c>
      <c r="AB9" s="0" t="n">
        <f aca="false">SUMPRODUCT(('Aug 8'!$F$8:$F$42=$T9)*'Aug 8'!$AJ$8:$AJ$42+('Aug 8'!$G$8:$G$42=$T9)*'Aug 8'!$AK$8:$AK$42)</f>
        <v>0</v>
      </c>
      <c r="AC9" s="0" t="n">
        <f aca="false">SUMPRODUCT(('Aug 9'!$F$8:$F$42=$T9)*'Aug 9'!$AJ$8:$AJ$42+('Aug 9'!$G$8:$G$42=$T9)*'Aug 9'!$AK$8:$AK$42)</f>
        <v>0</v>
      </c>
      <c r="AD9" s="0" t="n">
        <f aca="false">SUMPRODUCT(('Aug 10'!$F$8:$F$42=$T9)*'Aug 10'!$AJ$8:$AJ$42+('Aug 10'!$G$8:$G$42=$T9)*'Aug 10'!$AK$8:$AK$42)</f>
        <v>0</v>
      </c>
      <c r="AE9" s="0" t="n">
        <f aca="false">SUMPRODUCT(('Aug 11'!$F$8:$F$42=$T9)*'Aug 11'!$AJ$8:$AJ$42+('Aug 11'!$G$8:$G$42=$T9)*'Aug 11'!$AK$8:$AK$42)</f>
        <v>0</v>
      </c>
      <c r="AF9" s="0" t="n">
        <f aca="false">SUMPRODUCT(('Aug 12'!$F$8:$F$42=$T9)*'Aug 12'!$AJ$8:$AJ$42+('Aug 12'!$G$8:$G$42=$T9)*'Aug 12'!$AK$8:$AK$42)</f>
        <v>0</v>
      </c>
      <c r="AG9" s="0" t="n">
        <f aca="false">SUMPRODUCT(('Aug 13'!$F$8:$F$42=$T9)*'Aug 13'!$AJ$8:$AJ$42+('Aug 13'!$G$8:$G$42=$T9)*'Aug 13'!$AK$8:$AK$42)</f>
        <v>0</v>
      </c>
      <c r="AH9" s="0" t="n">
        <f aca="false">SUMPRODUCT(('Aug 14'!$F$8:$F$42=$T9)*'Aug 14'!$AJ$8:$AJ$42+('Aug 14'!$G$8:$G$42=$T9)*'Aug 14'!$AK$8:$AK$42)</f>
        <v>0</v>
      </c>
      <c r="AI9" s="0" t="n">
        <f aca="false">SUMPRODUCT(('Aug 15'!$F$8:$F$42=$T9)*'Aug 15'!$AJ$8:$AJ$42+('Aug 15'!$G$8:$G$42=$T9)*'Aug 15'!$AK$8:$AK$42)</f>
        <v>0</v>
      </c>
      <c r="AJ9" s="0" t="n">
        <f aca="false">SUMPRODUCT(('Aug 16'!$F$8:$F$42=$T9)*'Aug 16'!$AJ$8:$AJ$42+('Aug 16'!$G$8:$G$42=$T9)*'Aug 16'!$AK$8:$AK$42)</f>
        <v>0</v>
      </c>
      <c r="AK9" s="0" t="n">
        <f aca="false">SUMPRODUCT(('Aug 17'!$F$8:$F$42=$T9)*'Aug 17'!$AJ$8:$AJ$42+('Aug 17'!$G$8:$G$42=$T9)*'Aug 17'!$AK$8:$AK$42)</f>
        <v>0</v>
      </c>
      <c r="AL9" s="0" t="n">
        <f aca="false">SUMPRODUCT(('Aug 18'!$F$8:$F$42=$T9)*'Aug 18'!$AJ$8:$AJ$42+('Aug 18'!$G$8:$G$42=$T9)*'Aug 18'!$AK$8:$AK$42)</f>
        <v>0</v>
      </c>
      <c r="AM9" s="0" t="n">
        <f aca="false">SUMPRODUCT(('Aug 19'!$F$8:$F$42=$T9)*'Aug 19'!$AJ$8:$AJ$42+('Aug 19'!$G$8:$G$42=$T9)*'Aug 19'!$AK$8:$AK$42)</f>
        <v>0</v>
      </c>
      <c r="AN9" s="0" t="n">
        <f aca="false">SUMPRODUCT(('Aug 20'!$F$8:$F$42=$T9)*'Aug 20'!$AJ$8:$AJ$42+('Aug 20'!$G$8:$G$42=$T9)*'Aug 20'!$AK$8:$AK$42)</f>
        <v>0</v>
      </c>
      <c r="AO9" s="0" t="n">
        <f aca="false">SUMPRODUCT(('Aug 21'!$F$8:$F$42=$T9)*'Aug 21'!$AJ$8:$AJ$42+('Aug 21'!$G$8:$G$42=$T9)*'Aug 21'!$AK$8:$AK$42)</f>
        <v>0</v>
      </c>
      <c r="AP9" s="0" t="n">
        <f aca="false">SUMPRODUCT(('Aug 22'!$F$8:$F$42=$T9)*'Aug 22'!$AJ$8:$AJ$42+('Aug 22'!$G$8:$G$42=$T9)*'Aug 22'!$AK$8:$AK$42)</f>
        <v>0</v>
      </c>
      <c r="AQ9" s="0" t="n">
        <f aca="false">SUMPRODUCT(('Aug 23'!$F$8:$F$42=$T9)*'Aug 23'!$AJ$8:$AJ$42+('Aug 23'!$G$8:$G$42=$T9)*'Aug 23'!$AK$8:$AK$42)</f>
        <v>0</v>
      </c>
      <c r="AR9" s="0" t="n">
        <f aca="false">SUMPRODUCT(('Aug 24'!$F$8:$F$42=$T9)*'Aug 24'!$AJ$8:$AJ$42+('Aug 24'!$G$8:$G$42=$T9)*'Aug 24'!$AK$8:$AK$42)</f>
        <v>0</v>
      </c>
      <c r="AS9" s="0" t="n">
        <f aca="false">SUMPRODUCT(('Aug 25'!$F$8:$F$42=$T9)*'Aug 25'!$AJ$8:$AJ$42+('Aug 25'!$G$8:$G$42=$T9)*'Aug 25'!$AK$8:$AK$42)</f>
        <v>0</v>
      </c>
      <c r="AT9" s="0" t="n">
        <f aca="false">SUMPRODUCT(('Aug 26'!$F$8:$F$42=$T9)*'Aug 26'!$AJ$8:$AJ$42+('Aug 26'!$G$8:$G$42=$T9)*'Aug 26'!$AK$8:$AK$42)</f>
        <v>0</v>
      </c>
      <c r="AU9" s="0" t="n">
        <f aca="false">SUMPRODUCT(('Aug 27'!$F$8:$F$42=$T9)*'Aug 27'!$AJ$8:$AJ$42+('Aug 27'!$G$8:$G$42=$T9)*'Aug 27'!$AK$8:$AK$42)</f>
        <v>0</v>
      </c>
      <c r="AV9" s="0" t="n">
        <f aca="false">SUMPRODUCT(('Aug 28'!$F$8:$F$42=$T9)*'Aug 28'!$AJ$8:$AJ$42+('Aug 28'!$G$8:$G$42=$T9)*'Aug 28'!$AK$8:$AK$42)</f>
        <v>0</v>
      </c>
      <c r="AW9" s="0" t="n">
        <f aca="false">SUMPRODUCT(('Aug 29'!$F$8:$F$42=$T9)*'Aug 29'!$AJ$8:$AJ$42+('Aug 29'!$G$8:$G$42=$T9)*'Aug 29'!$AK$8:$AK$42)</f>
        <v>0</v>
      </c>
      <c r="AX9" s="0" t="n">
        <f aca="false">SUMPRODUCT(('Aug 30'!$F$8:$F$42=$T9)*'Aug 30'!$AJ$8:$AJ$42+('Aug 30'!$G$8:$G$42=$T9)*'Aug 30'!$AK$8:$AK$42)</f>
        <v>0</v>
      </c>
      <c r="AY9" s="0" t="n">
        <f aca="false">SUMPRODUCT(('Aug 31'!$F$8:$F$42=$T9)*'Aug 31'!$AJ$8:$AJ$42+('Aug 31'!$G$8:$G$42=$T9)*'Aug 31'!$AK$8:$AK$42)</f>
        <v>0</v>
      </c>
      <c r="BA9" s="0" t="n">
        <f aca="false">SUM(U9:AD9)</f>
        <v>0</v>
      </c>
      <c r="BB9" s="0" t="n">
        <f aca="false">MATCH(BD9,'Pay Plan'!$C$6:$C$12,1)</f>
        <v>1</v>
      </c>
      <c r="BC9" s="0" t="n">
        <f aca="false">SUMPRODUCT(('Aug 1'!$F$8:$F$42=$T9)*'Aug 1'!$AI$8:$AI$42*(('Aug 1'!$AM$8:$AM$42="Y")+('Aug 1'!$AN$8:$AN$42="Y")+('Aug 1'!$AO$8:$AO$42="Y")))+SUMPRODUCT(('Aug 2'!$F$8:$F$42=$T9)*'Aug 2'!$AI$8:$AI$42*(('Aug 2'!$AM$8:$AM$42="Y")+('Aug 2'!$AN$8:$AN$42="Y")+('Aug 2'!$AO$8:$AO$42="Y")))+SUMPRODUCT(('Aug 3'!$F$8:$F$42=$T9)*'Aug 3'!$AI$8:$AI$42*(('Aug 3'!$AM$8:$AM$42="Y")+('Aug 3'!$AN$8:$AN$42="Y")+('Aug 3'!$AO$8:$AO$42="Y")))+SUMPRODUCT(('Aug 4'!$F$8:$F$42=$T9)*'Aug 4'!$AI$8:$AI$42*(('Aug 4'!$AM$8:$AM$42="Y")+('Aug 4'!$AN$8:$AN$42="Y")+('Aug 4'!$AO$8:$AO$42="Y")))+SUMPRODUCT(('Aug 5'!$F$8:$F$42=$T9)*'Aug 5'!$AI$8:$AI$42*(('Aug 5'!$AM$8:$AM$42="Y")+('Aug 5'!$AN$8:$AN$42="Y")+('Aug 5'!$AO$8:$AO$42="Y")))+SUMPRODUCT(('Aug 6'!$F$8:$F$42=$T9)*'Aug 6'!$AI$8:$AI$42*(('Aug 6'!$AM$8:$AM$42="Y")+('Aug 6'!$AN$8:$AN$42="Y")+('Aug 6'!$AO$8:$AO$42="Y")))+SUMPRODUCT(('Aug 7'!$F$8:$F$42=$T9)*'Aug 7'!$AI$8:$AI$42*(('Aug 7'!$AM$8:$AM$42="Y")+('Aug 7'!$AN$8:$AN$42="Y")+('Aug 7'!$AO$8:$AO$42="Y")))+SUMPRODUCT(('Aug 8'!$F$8:$F$42=$T9)*'Aug 8'!$AI$8:$AI$42*(('Aug 8'!$AM$8:$AM$42="Y")+('Aug 8'!$AN$8:$AN$42="Y")+('Aug 8'!$AO$8:$AO$42="Y")))+SUMPRODUCT(('Aug 9'!$F$8:$F$42=$T9)*'Aug 9'!$AI$8:$AI$42*(('Aug 9'!$AM$8:$AM$42="Y")+('Aug 9'!$AN$8:$AN$42="Y")+('Aug 9'!$AO$8:$AO$42="Y")))+SUMPRODUCT(('Aug 10'!$F$8:$F$42=$T9)*'Aug 10'!$AI$8:$AI$42*(('Aug 10'!$AM$8:$AM$42="Y")+('Aug 10'!$AN$8:$AN$42="Y")+('Aug 10'!$AO$8:$AO$42="Y")))+SUMPRODUCT(('Aug 11'!$F$8:$F$42=$T9)*'Aug 11'!$AI$8:$AI$42*(('Aug 11'!$AM$8:$AM$42="Y")+('Aug 11'!$AN$8:$AN$42="Y")+('Aug 11'!$AO$8:$AO$42="Y")))+SUMPRODUCT(('Aug 12'!$F$8:$F$42=$T9)*'Aug 12'!$AI$8:$AI$42*(('Aug 12'!$AM$8:$AM$42="Y")+('Aug 12'!$AN$8:$AN$42="Y")+('Aug 12'!$AO$8:$AO$42="Y")))+SUMPRODUCT(('Aug 13'!$F$8:$F$42=$T9)*'Aug 13'!$AI$8:$AI$42*(('Aug 13'!$AM$8:$AM$42="Y")+('Aug 13'!$AN$8:$AN$42="Y")+('Aug 13'!$AO$8:$AO$42="Y")))+SUMPRODUCT(('Aug 14'!$F$8:$F$42=$T9)*'Aug 14'!$AI$8:$AI$42*(('Aug 14'!$AM$8:$AM$42="Y")+('Aug 14'!$AN$8:$AN$42="Y")+('Aug 14'!$AO$8:$AO$42="Y")))+SUMPRODUCT(('Aug 15'!$F$8:$F$42=$T9)*'Aug 15'!$AI$8:$AI$42*(('Aug 15'!$AM$8:$AM$42="Y")+('Aug 15'!$AN$8:$AN$42="Y")+('Aug 15'!$AO$8:$AO$42="Y")))+SUMPRODUCT(('Aug 16'!$F$8:$F$42=$T9)*'Aug 16'!$AI$8:$AI$42*(('Aug 16'!$AM$8:$AM$42="Y")+('Aug 16'!$AN$8:$AN$42="Y")+('Aug 16'!$AO$8:$AO$42="Y")))+SUMPRODUCT(('Aug 17'!$F$8:$F$42=$T9)*'Aug 17'!$AI$8:$AI$42*(('Aug 17'!$AM$8:$AM$42="Y")+('Aug 17'!$AN$8:$AN$42="Y")+('Aug 17'!$AO$8:$AO$42="Y")))+SUMPRODUCT(('Aug 18'!$F$8:$F$42=$T9)*'Aug 18'!$AI$8:$AI$42*(('Aug 18'!$AM$8:$AM$42="Y")+('Aug 18'!$AN$8:$AN$42="Y")+('Aug 18'!$AO$8:$AO$42="Y")))+SUMPRODUCT(('Aug 19'!$F$8:$F$42=$T9)*'Aug 19'!$AI$8:$AI$42*(('Aug 19'!$AM$8:$AM$42="Y")+('Aug 19'!$AN$8:$AN$42="Y")+('Aug 19'!$AO$8:$AO$42="Y")))+SUMPRODUCT(('Aug 20'!$F$8:$F$42=$T9)*'Aug 20'!$AI$8:$AI$42*(('Aug 20'!$AM$8:$AM$42="Y")+('Aug 20'!$AN$8:$AN$42="Y")+('Aug 20'!$AO$8:$AO$42="Y")))+SUMPRODUCT(('Aug 21'!$F$8:$F$42=$T9)*'Aug 21'!$AI$8:$AI$42*(('Aug 21'!$AM$8:$AM$42="Y")+('Aug 21'!$AN$8:$AN$42="Y")+('Aug 21'!$AO$8:$AO$42="Y")))+SUMPRODUCT(('Aug 22'!$F$8:$F$42=$T9)*'Aug 22'!$AI$8:$AI$42*(('Aug 22'!$AM$8:$AM$42="Y")+('Aug 22'!$AN$8:$AN$42="Y")+('Aug 22'!$AO$8:$AO$42="Y")))+SUMPRODUCT(('Aug 23'!$F$8:$F$42=$T9)*'Aug 23'!$AI$8:$AI$42*(('Aug 23'!$AM$8:$AM$42="Y")+('Aug 23'!$AN$8:$AN$42="Y")+('Aug 23'!$AO$8:$AO$42="Y")))+SUMPRODUCT(('Aug 24'!$F$8:$F$42=$T9)*'Aug 24'!$AI$8:$AI$42*(('Aug 24'!$AM$8:$AM$42="Y")+('Aug 24'!$AN$8:$AN$42="Y")+('Aug 24'!$AO$8:$AO$42="Y")))+SUMPRODUCT(('Aug 25'!$F$8:$F$42=$T9)*'Aug 25'!$AI$8:$AI$42*(('Aug 25'!$AM$8:$AM$42="Y")+('Aug 25'!$AN$8:$AN$42="Y")+('Aug 25'!$AO$8:$AO$42="Y")))+SUMPRODUCT(('Aug 26'!$F$8:$F$42=$T9)*'Aug 26'!$AI$8:$AI$42*(('Aug 26'!$AM$8:$AM$42="Y")+('Aug 26'!$AN$8:$AN$42="Y")+('Aug 26'!$AO$8:$AO$42="Y")))+SUMPRODUCT(('Aug 27'!$F$8:$F$42=$T9)*'Aug 27'!$AI$8:$AI$42*(('Aug 27'!$AM$8:$AM$42="Y")+('Aug 27'!$AN$8:$AN$42="Y")+('Aug 27'!$AO$8:$AO$42="Y")))+SUMPRODUCT(('Aug 28'!$F$8:$F$42=$T9)*'Aug 28'!$AI$8:$AI$42*(('Aug 28'!$AM$8:$AM$42="Y")+('Aug 28'!$AN$8:$AN$42="Y")+('Aug 28'!$AO$8:$AO$42="Y")))+SUMPRODUCT(('Aug 29'!$F$8:$F$42=$T9)*'Aug 29'!$AI$8:$AI$42*(('Aug 29'!$AM$8:$AM$42="Y")+('Aug 29'!$AN$8:$AN$42="Y")+('Aug 29'!$AO$8:$AO$42="Y")))+SUMPRODUCT(('Aug 30'!$F$8:$F$42=$T9)*'Aug 30'!$AI$8:$AI$42*(('Aug 30'!$AM$8:$AM$42="Y")+('Aug 30'!$AN$8:$AN$42="Y")+('Aug 30'!$AO$8:$AO$42="Y")))+SUMPRODUCT(('Aug 31'!$F$8:$F$42=$T9)*'Aug 31'!$AI$8:$AI$42*(('Aug 31'!$AM$8:$AM$42="Y")+('Aug 31'!$AN$8:$AN$42="Y")+('Aug 31'!$AO$8:$AO$42="Y")))</f>
        <v>0</v>
      </c>
      <c r="BD9" s="0" t="n">
        <f aca="false">SUM(U9:AY9)</f>
        <v>0</v>
      </c>
      <c r="BE9" s="0" t="n">
        <f aca="false">SUM(U28:AY28)</f>
        <v>0</v>
      </c>
      <c r="BF9" s="0" t="n">
        <f aca="false">SUM(U47:AY47)</f>
        <v>0</v>
      </c>
    </row>
    <row r="10" customFormat="false" ht="14.25" hidden="false" customHeight="true" outlineLevel="0" collapsed="false">
      <c r="A10" s="48" t="n">
        <v>4</v>
      </c>
      <c r="B10" s="49" t="str">
        <f aca="false">$T7</f>
        <v>GARRET SCHWETTMAN</v>
      </c>
      <c r="C10" s="50" t="n">
        <f aca="false">BD7</f>
        <v>0</v>
      </c>
      <c r="D10" s="51" t="n">
        <f aca="false">BE7</f>
        <v>0</v>
      </c>
      <c r="E10" s="51" t="str">
        <f aca="false">IF(BD7=0,"—",BE7/BD7)</f>
        <v>—</v>
      </c>
      <c r="F10" s="48" t="str">
        <f aca="false">IF(BD7=0,"—",INDEX('Pay Plan'!$B$6:$B$12,BB7))</f>
        <v>—</v>
      </c>
      <c r="G10" s="51" t="n">
        <f aca="false">BF7</f>
        <v>0</v>
      </c>
      <c r="H10" s="51" t="n">
        <f aca="false">LOOKUP(BD7,'Pay Plan'!$B$15:$B$20,'Pay Plan'!$C$15:$C$20)</f>
        <v>0</v>
      </c>
      <c r="I10" s="51" t="n">
        <f aca="false">LOOKUP(BA7,'Pay Plan'!$E$15:$E$19,'Pay Plan'!$F$15:$F$19)</f>
        <v>0</v>
      </c>
      <c r="J10" s="51" t="n">
        <f aca="false">BC7*'Pay Plan'!$I$15</f>
        <v>0</v>
      </c>
      <c r="K10" s="52" t="n">
        <f aca="false">G10+H10+I10+J10</f>
        <v>0</v>
      </c>
      <c r="L10" s="52"/>
      <c r="M10" s="52"/>
      <c r="N10" s="47"/>
      <c r="O10" s="52" t="n">
        <f aca="false">K10-N10</f>
        <v>0</v>
      </c>
      <c r="P10" s="52"/>
      <c r="Q10" s="52"/>
      <c r="R10" s="52"/>
      <c r="T10" s="0" t="str">
        <f aca="false">'Staff &amp; Lists'!A11</f>
        <v>JUSTIN ROLLER</v>
      </c>
      <c r="U10" s="0" t="n">
        <f aca="false">SUMPRODUCT(('Aug 1'!$F$8:$F$42=$T10)*'Aug 1'!$AJ$8:$AJ$42+('Aug 1'!$G$8:$G$42=$T10)*'Aug 1'!$AK$8:$AK$42)</f>
        <v>0</v>
      </c>
      <c r="V10" s="0" t="n">
        <f aca="false">SUMPRODUCT(('Aug 2'!$F$8:$F$42=$T10)*'Aug 2'!$AJ$8:$AJ$42+('Aug 2'!$G$8:$G$42=$T10)*'Aug 2'!$AK$8:$AK$42)</f>
        <v>0</v>
      </c>
      <c r="W10" s="0" t="n">
        <f aca="false">SUMPRODUCT(('Aug 3'!$F$8:$F$42=$T10)*'Aug 3'!$AJ$8:$AJ$42+('Aug 3'!$G$8:$G$42=$T10)*'Aug 3'!$AK$8:$AK$42)</f>
        <v>0</v>
      </c>
      <c r="X10" s="0" t="n">
        <f aca="false">SUMPRODUCT(('Aug 4'!$F$8:$F$42=$T10)*'Aug 4'!$AJ$8:$AJ$42+('Aug 4'!$G$8:$G$42=$T10)*'Aug 4'!$AK$8:$AK$42)</f>
        <v>0</v>
      </c>
      <c r="Y10" s="0" t="n">
        <f aca="false">SUMPRODUCT(('Aug 5'!$F$8:$F$42=$T10)*'Aug 5'!$AJ$8:$AJ$42+('Aug 5'!$G$8:$G$42=$T10)*'Aug 5'!$AK$8:$AK$42)</f>
        <v>0</v>
      </c>
      <c r="Z10" s="0" t="n">
        <f aca="false">SUMPRODUCT(('Aug 6'!$F$8:$F$42=$T10)*'Aug 6'!$AJ$8:$AJ$42+('Aug 6'!$G$8:$G$42=$T10)*'Aug 6'!$AK$8:$AK$42)</f>
        <v>0</v>
      </c>
      <c r="AA10" s="0" t="n">
        <f aca="false">SUMPRODUCT(('Aug 7'!$F$8:$F$42=$T10)*'Aug 7'!$AJ$8:$AJ$42+('Aug 7'!$G$8:$G$42=$T10)*'Aug 7'!$AK$8:$AK$42)</f>
        <v>0</v>
      </c>
      <c r="AB10" s="0" t="n">
        <f aca="false">SUMPRODUCT(('Aug 8'!$F$8:$F$42=$T10)*'Aug 8'!$AJ$8:$AJ$42+('Aug 8'!$G$8:$G$42=$T10)*'Aug 8'!$AK$8:$AK$42)</f>
        <v>0</v>
      </c>
      <c r="AC10" s="0" t="n">
        <f aca="false">SUMPRODUCT(('Aug 9'!$F$8:$F$42=$T10)*'Aug 9'!$AJ$8:$AJ$42+('Aug 9'!$G$8:$G$42=$T10)*'Aug 9'!$AK$8:$AK$42)</f>
        <v>0</v>
      </c>
      <c r="AD10" s="0" t="n">
        <f aca="false">SUMPRODUCT(('Aug 10'!$F$8:$F$42=$T10)*'Aug 10'!$AJ$8:$AJ$42+('Aug 10'!$G$8:$G$42=$T10)*'Aug 10'!$AK$8:$AK$42)</f>
        <v>0</v>
      </c>
      <c r="AE10" s="0" t="n">
        <f aca="false">SUMPRODUCT(('Aug 11'!$F$8:$F$42=$T10)*'Aug 11'!$AJ$8:$AJ$42+('Aug 11'!$G$8:$G$42=$T10)*'Aug 11'!$AK$8:$AK$42)</f>
        <v>0</v>
      </c>
      <c r="AF10" s="0" t="n">
        <f aca="false">SUMPRODUCT(('Aug 12'!$F$8:$F$42=$T10)*'Aug 12'!$AJ$8:$AJ$42+('Aug 12'!$G$8:$G$42=$T10)*'Aug 12'!$AK$8:$AK$42)</f>
        <v>0</v>
      </c>
      <c r="AG10" s="0" t="n">
        <f aca="false">SUMPRODUCT(('Aug 13'!$F$8:$F$42=$T10)*'Aug 13'!$AJ$8:$AJ$42+('Aug 13'!$G$8:$G$42=$T10)*'Aug 13'!$AK$8:$AK$42)</f>
        <v>0</v>
      </c>
      <c r="AH10" s="0" t="n">
        <f aca="false">SUMPRODUCT(('Aug 14'!$F$8:$F$42=$T10)*'Aug 14'!$AJ$8:$AJ$42+('Aug 14'!$G$8:$G$42=$T10)*'Aug 14'!$AK$8:$AK$42)</f>
        <v>0</v>
      </c>
      <c r="AI10" s="0" t="n">
        <f aca="false">SUMPRODUCT(('Aug 15'!$F$8:$F$42=$T10)*'Aug 15'!$AJ$8:$AJ$42+('Aug 15'!$G$8:$G$42=$T10)*'Aug 15'!$AK$8:$AK$42)</f>
        <v>0</v>
      </c>
      <c r="AJ10" s="0" t="n">
        <f aca="false">SUMPRODUCT(('Aug 16'!$F$8:$F$42=$T10)*'Aug 16'!$AJ$8:$AJ$42+('Aug 16'!$G$8:$G$42=$T10)*'Aug 16'!$AK$8:$AK$42)</f>
        <v>0</v>
      </c>
      <c r="AK10" s="0" t="n">
        <f aca="false">SUMPRODUCT(('Aug 17'!$F$8:$F$42=$T10)*'Aug 17'!$AJ$8:$AJ$42+('Aug 17'!$G$8:$G$42=$T10)*'Aug 17'!$AK$8:$AK$42)</f>
        <v>0</v>
      </c>
      <c r="AL10" s="0" t="n">
        <f aca="false">SUMPRODUCT(('Aug 18'!$F$8:$F$42=$T10)*'Aug 18'!$AJ$8:$AJ$42+('Aug 18'!$G$8:$G$42=$T10)*'Aug 18'!$AK$8:$AK$42)</f>
        <v>0</v>
      </c>
      <c r="AM10" s="0" t="n">
        <f aca="false">SUMPRODUCT(('Aug 19'!$F$8:$F$42=$T10)*'Aug 19'!$AJ$8:$AJ$42+('Aug 19'!$G$8:$G$42=$T10)*'Aug 19'!$AK$8:$AK$42)</f>
        <v>0</v>
      </c>
      <c r="AN10" s="0" t="n">
        <f aca="false">SUMPRODUCT(('Aug 20'!$F$8:$F$42=$T10)*'Aug 20'!$AJ$8:$AJ$42+('Aug 20'!$G$8:$G$42=$T10)*'Aug 20'!$AK$8:$AK$42)</f>
        <v>0</v>
      </c>
      <c r="AO10" s="0" t="n">
        <f aca="false">SUMPRODUCT(('Aug 21'!$F$8:$F$42=$T10)*'Aug 21'!$AJ$8:$AJ$42+('Aug 21'!$G$8:$G$42=$T10)*'Aug 21'!$AK$8:$AK$42)</f>
        <v>0</v>
      </c>
      <c r="AP10" s="0" t="n">
        <f aca="false">SUMPRODUCT(('Aug 22'!$F$8:$F$42=$T10)*'Aug 22'!$AJ$8:$AJ$42+('Aug 22'!$G$8:$G$42=$T10)*'Aug 22'!$AK$8:$AK$42)</f>
        <v>0</v>
      </c>
      <c r="AQ10" s="0" t="n">
        <f aca="false">SUMPRODUCT(('Aug 23'!$F$8:$F$42=$T10)*'Aug 23'!$AJ$8:$AJ$42+('Aug 23'!$G$8:$G$42=$T10)*'Aug 23'!$AK$8:$AK$42)</f>
        <v>0</v>
      </c>
      <c r="AR10" s="0" t="n">
        <f aca="false">SUMPRODUCT(('Aug 24'!$F$8:$F$42=$T10)*'Aug 24'!$AJ$8:$AJ$42+('Aug 24'!$G$8:$G$42=$T10)*'Aug 24'!$AK$8:$AK$42)</f>
        <v>0</v>
      </c>
      <c r="AS10" s="0" t="n">
        <f aca="false">SUMPRODUCT(('Aug 25'!$F$8:$F$42=$T10)*'Aug 25'!$AJ$8:$AJ$42+('Aug 25'!$G$8:$G$42=$T10)*'Aug 25'!$AK$8:$AK$42)</f>
        <v>0</v>
      </c>
      <c r="AT10" s="0" t="n">
        <f aca="false">SUMPRODUCT(('Aug 26'!$F$8:$F$42=$T10)*'Aug 26'!$AJ$8:$AJ$42+('Aug 26'!$G$8:$G$42=$T10)*'Aug 26'!$AK$8:$AK$42)</f>
        <v>0</v>
      </c>
      <c r="AU10" s="0" t="n">
        <f aca="false">SUMPRODUCT(('Aug 27'!$F$8:$F$42=$T10)*'Aug 27'!$AJ$8:$AJ$42+('Aug 27'!$G$8:$G$42=$T10)*'Aug 27'!$AK$8:$AK$42)</f>
        <v>0</v>
      </c>
      <c r="AV10" s="0" t="n">
        <f aca="false">SUMPRODUCT(('Aug 28'!$F$8:$F$42=$T10)*'Aug 28'!$AJ$8:$AJ$42+('Aug 28'!$G$8:$G$42=$T10)*'Aug 28'!$AK$8:$AK$42)</f>
        <v>0</v>
      </c>
      <c r="AW10" s="0" t="n">
        <f aca="false">SUMPRODUCT(('Aug 29'!$F$8:$F$42=$T10)*'Aug 29'!$AJ$8:$AJ$42+('Aug 29'!$G$8:$G$42=$T10)*'Aug 29'!$AK$8:$AK$42)</f>
        <v>0</v>
      </c>
      <c r="AX10" s="0" t="n">
        <f aca="false">SUMPRODUCT(('Aug 30'!$F$8:$F$42=$T10)*'Aug 30'!$AJ$8:$AJ$42+('Aug 30'!$G$8:$G$42=$T10)*'Aug 30'!$AK$8:$AK$42)</f>
        <v>0</v>
      </c>
      <c r="AY10" s="0" t="n">
        <f aca="false">SUMPRODUCT(('Aug 31'!$F$8:$F$42=$T10)*'Aug 31'!$AJ$8:$AJ$42+('Aug 31'!$G$8:$G$42=$T10)*'Aug 31'!$AK$8:$AK$42)</f>
        <v>0</v>
      </c>
      <c r="BA10" s="0" t="n">
        <f aca="false">SUM(U10:AD10)</f>
        <v>0</v>
      </c>
      <c r="BB10" s="0" t="n">
        <f aca="false">MATCH(BD10,'Pay Plan'!$C$6:$C$12,1)</f>
        <v>1</v>
      </c>
      <c r="BC10" s="0" t="n">
        <f aca="false">SUMPRODUCT(('Aug 1'!$F$8:$F$42=$T10)*'Aug 1'!$AI$8:$AI$42*(('Aug 1'!$AM$8:$AM$42="Y")+('Aug 1'!$AN$8:$AN$42="Y")+('Aug 1'!$AO$8:$AO$42="Y")))+SUMPRODUCT(('Aug 2'!$F$8:$F$42=$T10)*'Aug 2'!$AI$8:$AI$42*(('Aug 2'!$AM$8:$AM$42="Y")+('Aug 2'!$AN$8:$AN$42="Y")+('Aug 2'!$AO$8:$AO$42="Y")))+SUMPRODUCT(('Aug 3'!$F$8:$F$42=$T10)*'Aug 3'!$AI$8:$AI$42*(('Aug 3'!$AM$8:$AM$42="Y")+('Aug 3'!$AN$8:$AN$42="Y")+('Aug 3'!$AO$8:$AO$42="Y")))+SUMPRODUCT(('Aug 4'!$F$8:$F$42=$T10)*'Aug 4'!$AI$8:$AI$42*(('Aug 4'!$AM$8:$AM$42="Y")+('Aug 4'!$AN$8:$AN$42="Y")+('Aug 4'!$AO$8:$AO$42="Y")))+SUMPRODUCT(('Aug 5'!$F$8:$F$42=$T10)*'Aug 5'!$AI$8:$AI$42*(('Aug 5'!$AM$8:$AM$42="Y")+('Aug 5'!$AN$8:$AN$42="Y")+('Aug 5'!$AO$8:$AO$42="Y")))+SUMPRODUCT(('Aug 6'!$F$8:$F$42=$T10)*'Aug 6'!$AI$8:$AI$42*(('Aug 6'!$AM$8:$AM$42="Y")+('Aug 6'!$AN$8:$AN$42="Y")+('Aug 6'!$AO$8:$AO$42="Y")))+SUMPRODUCT(('Aug 7'!$F$8:$F$42=$T10)*'Aug 7'!$AI$8:$AI$42*(('Aug 7'!$AM$8:$AM$42="Y")+('Aug 7'!$AN$8:$AN$42="Y")+('Aug 7'!$AO$8:$AO$42="Y")))+SUMPRODUCT(('Aug 8'!$F$8:$F$42=$T10)*'Aug 8'!$AI$8:$AI$42*(('Aug 8'!$AM$8:$AM$42="Y")+('Aug 8'!$AN$8:$AN$42="Y")+('Aug 8'!$AO$8:$AO$42="Y")))+SUMPRODUCT(('Aug 9'!$F$8:$F$42=$T10)*'Aug 9'!$AI$8:$AI$42*(('Aug 9'!$AM$8:$AM$42="Y")+('Aug 9'!$AN$8:$AN$42="Y")+('Aug 9'!$AO$8:$AO$42="Y")))+SUMPRODUCT(('Aug 10'!$F$8:$F$42=$T10)*'Aug 10'!$AI$8:$AI$42*(('Aug 10'!$AM$8:$AM$42="Y")+('Aug 10'!$AN$8:$AN$42="Y")+('Aug 10'!$AO$8:$AO$42="Y")))+SUMPRODUCT(('Aug 11'!$F$8:$F$42=$T10)*'Aug 11'!$AI$8:$AI$42*(('Aug 11'!$AM$8:$AM$42="Y")+('Aug 11'!$AN$8:$AN$42="Y")+('Aug 11'!$AO$8:$AO$42="Y")))+SUMPRODUCT(('Aug 12'!$F$8:$F$42=$T10)*'Aug 12'!$AI$8:$AI$42*(('Aug 12'!$AM$8:$AM$42="Y")+('Aug 12'!$AN$8:$AN$42="Y")+('Aug 12'!$AO$8:$AO$42="Y")))+SUMPRODUCT(('Aug 13'!$F$8:$F$42=$T10)*'Aug 13'!$AI$8:$AI$42*(('Aug 13'!$AM$8:$AM$42="Y")+('Aug 13'!$AN$8:$AN$42="Y")+('Aug 13'!$AO$8:$AO$42="Y")))+SUMPRODUCT(('Aug 14'!$F$8:$F$42=$T10)*'Aug 14'!$AI$8:$AI$42*(('Aug 14'!$AM$8:$AM$42="Y")+('Aug 14'!$AN$8:$AN$42="Y")+('Aug 14'!$AO$8:$AO$42="Y")))+SUMPRODUCT(('Aug 15'!$F$8:$F$42=$T10)*'Aug 15'!$AI$8:$AI$42*(('Aug 15'!$AM$8:$AM$42="Y")+('Aug 15'!$AN$8:$AN$42="Y")+('Aug 15'!$AO$8:$AO$42="Y")))+SUMPRODUCT(('Aug 16'!$F$8:$F$42=$T10)*'Aug 16'!$AI$8:$AI$42*(('Aug 16'!$AM$8:$AM$42="Y")+('Aug 16'!$AN$8:$AN$42="Y")+('Aug 16'!$AO$8:$AO$42="Y")))+SUMPRODUCT(('Aug 17'!$F$8:$F$42=$T10)*'Aug 17'!$AI$8:$AI$42*(('Aug 17'!$AM$8:$AM$42="Y")+('Aug 17'!$AN$8:$AN$42="Y")+('Aug 17'!$AO$8:$AO$42="Y")))+SUMPRODUCT(('Aug 18'!$F$8:$F$42=$T10)*'Aug 18'!$AI$8:$AI$42*(('Aug 18'!$AM$8:$AM$42="Y")+('Aug 18'!$AN$8:$AN$42="Y")+('Aug 18'!$AO$8:$AO$42="Y")))+SUMPRODUCT(('Aug 19'!$F$8:$F$42=$T10)*'Aug 19'!$AI$8:$AI$42*(('Aug 19'!$AM$8:$AM$42="Y")+('Aug 19'!$AN$8:$AN$42="Y")+('Aug 19'!$AO$8:$AO$42="Y")))+SUMPRODUCT(('Aug 20'!$F$8:$F$42=$T10)*'Aug 20'!$AI$8:$AI$42*(('Aug 20'!$AM$8:$AM$42="Y")+('Aug 20'!$AN$8:$AN$42="Y")+('Aug 20'!$AO$8:$AO$42="Y")))+SUMPRODUCT(('Aug 21'!$F$8:$F$42=$T10)*'Aug 21'!$AI$8:$AI$42*(('Aug 21'!$AM$8:$AM$42="Y")+('Aug 21'!$AN$8:$AN$42="Y")+('Aug 21'!$AO$8:$AO$42="Y")))+SUMPRODUCT(('Aug 22'!$F$8:$F$42=$T10)*'Aug 22'!$AI$8:$AI$42*(('Aug 22'!$AM$8:$AM$42="Y")+('Aug 22'!$AN$8:$AN$42="Y")+('Aug 22'!$AO$8:$AO$42="Y")))+SUMPRODUCT(('Aug 23'!$F$8:$F$42=$T10)*'Aug 23'!$AI$8:$AI$42*(('Aug 23'!$AM$8:$AM$42="Y")+('Aug 23'!$AN$8:$AN$42="Y")+('Aug 23'!$AO$8:$AO$42="Y")))+SUMPRODUCT(('Aug 24'!$F$8:$F$42=$T10)*'Aug 24'!$AI$8:$AI$42*(('Aug 24'!$AM$8:$AM$42="Y")+('Aug 24'!$AN$8:$AN$42="Y")+('Aug 24'!$AO$8:$AO$42="Y")))+SUMPRODUCT(('Aug 25'!$F$8:$F$42=$T10)*'Aug 25'!$AI$8:$AI$42*(('Aug 25'!$AM$8:$AM$42="Y")+('Aug 25'!$AN$8:$AN$42="Y")+('Aug 25'!$AO$8:$AO$42="Y")))+SUMPRODUCT(('Aug 26'!$F$8:$F$42=$T10)*'Aug 26'!$AI$8:$AI$42*(('Aug 26'!$AM$8:$AM$42="Y")+('Aug 26'!$AN$8:$AN$42="Y")+('Aug 26'!$AO$8:$AO$42="Y")))+SUMPRODUCT(('Aug 27'!$F$8:$F$42=$T10)*'Aug 27'!$AI$8:$AI$42*(('Aug 27'!$AM$8:$AM$42="Y")+('Aug 27'!$AN$8:$AN$42="Y")+('Aug 27'!$AO$8:$AO$42="Y")))+SUMPRODUCT(('Aug 28'!$F$8:$F$42=$T10)*'Aug 28'!$AI$8:$AI$42*(('Aug 28'!$AM$8:$AM$42="Y")+('Aug 28'!$AN$8:$AN$42="Y")+('Aug 28'!$AO$8:$AO$42="Y")))+SUMPRODUCT(('Aug 29'!$F$8:$F$42=$T10)*'Aug 29'!$AI$8:$AI$42*(('Aug 29'!$AM$8:$AM$42="Y")+('Aug 29'!$AN$8:$AN$42="Y")+('Aug 29'!$AO$8:$AO$42="Y")))+SUMPRODUCT(('Aug 30'!$F$8:$F$42=$T10)*'Aug 30'!$AI$8:$AI$42*(('Aug 30'!$AM$8:$AM$42="Y")+('Aug 30'!$AN$8:$AN$42="Y")+('Aug 30'!$AO$8:$AO$42="Y")))+SUMPRODUCT(('Aug 31'!$F$8:$F$42=$T10)*'Aug 31'!$AI$8:$AI$42*(('Aug 31'!$AM$8:$AM$42="Y")+('Aug 31'!$AN$8:$AN$42="Y")+('Aug 31'!$AO$8:$AO$42="Y")))</f>
        <v>0</v>
      </c>
      <c r="BD10" s="0" t="n">
        <f aca="false">SUM(U10:AY10)</f>
        <v>0</v>
      </c>
      <c r="BE10" s="0" t="n">
        <f aca="false">SUM(U29:AY29)</f>
        <v>0</v>
      </c>
      <c r="BF10" s="0" t="n">
        <f aca="false">SUM(U48:AY48)</f>
        <v>0</v>
      </c>
    </row>
    <row r="11" customFormat="false" ht="14.25" hidden="false" customHeight="true" outlineLevel="0" collapsed="false">
      <c r="A11" s="44" t="n">
        <v>5</v>
      </c>
      <c r="B11" s="45" t="str">
        <f aca="false">$T8</f>
        <v>MERCEDES CLARK</v>
      </c>
      <c r="C11" s="22" t="n">
        <f aca="false">BD8</f>
        <v>0</v>
      </c>
      <c r="D11" s="25" t="n">
        <f aca="false">BE8</f>
        <v>0</v>
      </c>
      <c r="E11" s="25" t="str">
        <f aca="false">IF(BD8=0,"—",BE8/BD8)</f>
        <v>—</v>
      </c>
      <c r="F11" s="44" t="str">
        <f aca="false">IF(BD8=0,"—",INDEX('Pay Plan'!$B$6:$B$12,BB8))</f>
        <v>—</v>
      </c>
      <c r="G11" s="25" t="n">
        <f aca="false">BF8</f>
        <v>0</v>
      </c>
      <c r="H11" s="25" t="n">
        <f aca="false">LOOKUP(BD8,'Pay Plan'!$B$15:$B$20,'Pay Plan'!$C$15:$C$20)</f>
        <v>0</v>
      </c>
      <c r="I11" s="25" t="n">
        <f aca="false">LOOKUP(BA8,'Pay Plan'!$E$15:$E$19,'Pay Plan'!$F$15:$F$19)</f>
        <v>0</v>
      </c>
      <c r="J11" s="25" t="n">
        <f aca="false">BC8*'Pay Plan'!$I$15</f>
        <v>0</v>
      </c>
      <c r="K11" s="46" t="n">
        <f aca="false">G11+H11+I11+J11</f>
        <v>0</v>
      </c>
      <c r="L11" s="46"/>
      <c r="M11" s="46"/>
      <c r="N11" s="47"/>
      <c r="O11" s="46" t="n">
        <f aca="false">K11-N11</f>
        <v>0</v>
      </c>
      <c r="P11" s="46"/>
      <c r="Q11" s="46"/>
      <c r="R11" s="46"/>
      <c r="T11" s="0" t="str">
        <f aca="false">'Staff &amp; Lists'!A12</f>
        <v>MATT ALFIERI</v>
      </c>
      <c r="U11" s="0" t="n">
        <f aca="false">SUMPRODUCT(('Aug 1'!$F$8:$F$42=$T11)*'Aug 1'!$AJ$8:$AJ$42+('Aug 1'!$G$8:$G$42=$T11)*'Aug 1'!$AK$8:$AK$42)</f>
        <v>0</v>
      </c>
      <c r="V11" s="0" t="n">
        <f aca="false">SUMPRODUCT(('Aug 2'!$F$8:$F$42=$T11)*'Aug 2'!$AJ$8:$AJ$42+('Aug 2'!$G$8:$G$42=$T11)*'Aug 2'!$AK$8:$AK$42)</f>
        <v>0</v>
      </c>
      <c r="W11" s="0" t="n">
        <f aca="false">SUMPRODUCT(('Aug 3'!$F$8:$F$42=$T11)*'Aug 3'!$AJ$8:$AJ$42+('Aug 3'!$G$8:$G$42=$T11)*'Aug 3'!$AK$8:$AK$42)</f>
        <v>0</v>
      </c>
      <c r="X11" s="0" t="n">
        <f aca="false">SUMPRODUCT(('Aug 4'!$F$8:$F$42=$T11)*'Aug 4'!$AJ$8:$AJ$42+('Aug 4'!$G$8:$G$42=$T11)*'Aug 4'!$AK$8:$AK$42)</f>
        <v>0</v>
      </c>
      <c r="Y11" s="0" t="n">
        <f aca="false">SUMPRODUCT(('Aug 5'!$F$8:$F$42=$T11)*'Aug 5'!$AJ$8:$AJ$42+('Aug 5'!$G$8:$G$42=$T11)*'Aug 5'!$AK$8:$AK$42)</f>
        <v>0</v>
      </c>
      <c r="Z11" s="0" t="n">
        <f aca="false">SUMPRODUCT(('Aug 6'!$F$8:$F$42=$T11)*'Aug 6'!$AJ$8:$AJ$42+('Aug 6'!$G$8:$G$42=$T11)*'Aug 6'!$AK$8:$AK$42)</f>
        <v>0</v>
      </c>
      <c r="AA11" s="0" t="n">
        <f aca="false">SUMPRODUCT(('Aug 7'!$F$8:$F$42=$T11)*'Aug 7'!$AJ$8:$AJ$42+('Aug 7'!$G$8:$G$42=$T11)*'Aug 7'!$AK$8:$AK$42)</f>
        <v>0</v>
      </c>
      <c r="AB11" s="0" t="n">
        <f aca="false">SUMPRODUCT(('Aug 8'!$F$8:$F$42=$T11)*'Aug 8'!$AJ$8:$AJ$42+('Aug 8'!$G$8:$G$42=$T11)*'Aug 8'!$AK$8:$AK$42)</f>
        <v>0</v>
      </c>
      <c r="AC11" s="0" t="n">
        <f aca="false">SUMPRODUCT(('Aug 9'!$F$8:$F$42=$T11)*'Aug 9'!$AJ$8:$AJ$42+('Aug 9'!$G$8:$G$42=$T11)*'Aug 9'!$AK$8:$AK$42)</f>
        <v>0</v>
      </c>
      <c r="AD11" s="0" t="n">
        <f aca="false">SUMPRODUCT(('Aug 10'!$F$8:$F$42=$T11)*'Aug 10'!$AJ$8:$AJ$42+('Aug 10'!$G$8:$G$42=$T11)*'Aug 10'!$AK$8:$AK$42)</f>
        <v>0</v>
      </c>
      <c r="AE11" s="0" t="n">
        <f aca="false">SUMPRODUCT(('Aug 11'!$F$8:$F$42=$T11)*'Aug 11'!$AJ$8:$AJ$42+('Aug 11'!$G$8:$G$42=$T11)*'Aug 11'!$AK$8:$AK$42)</f>
        <v>0</v>
      </c>
      <c r="AF11" s="0" t="n">
        <f aca="false">SUMPRODUCT(('Aug 12'!$F$8:$F$42=$T11)*'Aug 12'!$AJ$8:$AJ$42+('Aug 12'!$G$8:$G$42=$T11)*'Aug 12'!$AK$8:$AK$42)</f>
        <v>0</v>
      </c>
      <c r="AG11" s="0" t="n">
        <f aca="false">SUMPRODUCT(('Aug 13'!$F$8:$F$42=$T11)*'Aug 13'!$AJ$8:$AJ$42+('Aug 13'!$G$8:$G$42=$T11)*'Aug 13'!$AK$8:$AK$42)</f>
        <v>0</v>
      </c>
      <c r="AH11" s="0" t="n">
        <f aca="false">SUMPRODUCT(('Aug 14'!$F$8:$F$42=$T11)*'Aug 14'!$AJ$8:$AJ$42+('Aug 14'!$G$8:$G$42=$T11)*'Aug 14'!$AK$8:$AK$42)</f>
        <v>0</v>
      </c>
      <c r="AI11" s="0" t="n">
        <f aca="false">SUMPRODUCT(('Aug 15'!$F$8:$F$42=$T11)*'Aug 15'!$AJ$8:$AJ$42+('Aug 15'!$G$8:$G$42=$T11)*'Aug 15'!$AK$8:$AK$42)</f>
        <v>0</v>
      </c>
      <c r="AJ11" s="0" t="n">
        <f aca="false">SUMPRODUCT(('Aug 16'!$F$8:$F$42=$T11)*'Aug 16'!$AJ$8:$AJ$42+('Aug 16'!$G$8:$G$42=$T11)*'Aug 16'!$AK$8:$AK$42)</f>
        <v>0</v>
      </c>
      <c r="AK11" s="0" t="n">
        <f aca="false">SUMPRODUCT(('Aug 17'!$F$8:$F$42=$T11)*'Aug 17'!$AJ$8:$AJ$42+('Aug 17'!$G$8:$G$42=$T11)*'Aug 17'!$AK$8:$AK$42)</f>
        <v>0</v>
      </c>
      <c r="AL11" s="0" t="n">
        <f aca="false">SUMPRODUCT(('Aug 18'!$F$8:$F$42=$T11)*'Aug 18'!$AJ$8:$AJ$42+('Aug 18'!$G$8:$G$42=$T11)*'Aug 18'!$AK$8:$AK$42)</f>
        <v>0</v>
      </c>
      <c r="AM11" s="0" t="n">
        <f aca="false">SUMPRODUCT(('Aug 19'!$F$8:$F$42=$T11)*'Aug 19'!$AJ$8:$AJ$42+('Aug 19'!$G$8:$G$42=$T11)*'Aug 19'!$AK$8:$AK$42)</f>
        <v>0</v>
      </c>
      <c r="AN11" s="0" t="n">
        <f aca="false">SUMPRODUCT(('Aug 20'!$F$8:$F$42=$T11)*'Aug 20'!$AJ$8:$AJ$42+('Aug 20'!$G$8:$G$42=$T11)*'Aug 20'!$AK$8:$AK$42)</f>
        <v>0</v>
      </c>
      <c r="AO11" s="0" t="n">
        <f aca="false">SUMPRODUCT(('Aug 21'!$F$8:$F$42=$T11)*'Aug 21'!$AJ$8:$AJ$42+('Aug 21'!$G$8:$G$42=$T11)*'Aug 21'!$AK$8:$AK$42)</f>
        <v>0</v>
      </c>
      <c r="AP11" s="0" t="n">
        <f aca="false">SUMPRODUCT(('Aug 22'!$F$8:$F$42=$T11)*'Aug 22'!$AJ$8:$AJ$42+('Aug 22'!$G$8:$G$42=$T11)*'Aug 22'!$AK$8:$AK$42)</f>
        <v>0</v>
      </c>
      <c r="AQ11" s="0" t="n">
        <f aca="false">SUMPRODUCT(('Aug 23'!$F$8:$F$42=$T11)*'Aug 23'!$AJ$8:$AJ$42+('Aug 23'!$G$8:$G$42=$T11)*'Aug 23'!$AK$8:$AK$42)</f>
        <v>0</v>
      </c>
      <c r="AR11" s="0" t="n">
        <f aca="false">SUMPRODUCT(('Aug 24'!$F$8:$F$42=$T11)*'Aug 24'!$AJ$8:$AJ$42+('Aug 24'!$G$8:$G$42=$T11)*'Aug 24'!$AK$8:$AK$42)</f>
        <v>0</v>
      </c>
      <c r="AS11" s="0" t="n">
        <f aca="false">SUMPRODUCT(('Aug 25'!$F$8:$F$42=$T11)*'Aug 25'!$AJ$8:$AJ$42+('Aug 25'!$G$8:$G$42=$T11)*'Aug 25'!$AK$8:$AK$42)</f>
        <v>0</v>
      </c>
      <c r="AT11" s="0" t="n">
        <f aca="false">SUMPRODUCT(('Aug 26'!$F$8:$F$42=$T11)*'Aug 26'!$AJ$8:$AJ$42+('Aug 26'!$G$8:$G$42=$T11)*'Aug 26'!$AK$8:$AK$42)</f>
        <v>0</v>
      </c>
      <c r="AU11" s="0" t="n">
        <f aca="false">SUMPRODUCT(('Aug 27'!$F$8:$F$42=$T11)*'Aug 27'!$AJ$8:$AJ$42+('Aug 27'!$G$8:$G$42=$T11)*'Aug 27'!$AK$8:$AK$42)</f>
        <v>0</v>
      </c>
      <c r="AV11" s="0" t="n">
        <f aca="false">SUMPRODUCT(('Aug 28'!$F$8:$F$42=$T11)*'Aug 28'!$AJ$8:$AJ$42+('Aug 28'!$G$8:$G$42=$T11)*'Aug 28'!$AK$8:$AK$42)</f>
        <v>0</v>
      </c>
      <c r="AW11" s="0" t="n">
        <f aca="false">SUMPRODUCT(('Aug 29'!$F$8:$F$42=$T11)*'Aug 29'!$AJ$8:$AJ$42+('Aug 29'!$G$8:$G$42=$T11)*'Aug 29'!$AK$8:$AK$42)</f>
        <v>0</v>
      </c>
      <c r="AX11" s="0" t="n">
        <f aca="false">SUMPRODUCT(('Aug 30'!$F$8:$F$42=$T11)*'Aug 30'!$AJ$8:$AJ$42+('Aug 30'!$G$8:$G$42=$T11)*'Aug 30'!$AK$8:$AK$42)</f>
        <v>0</v>
      </c>
      <c r="AY11" s="0" t="n">
        <f aca="false">SUMPRODUCT(('Aug 31'!$F$8:$F$42=$T11)*'Aug 31'!$AJ$8:$AJ$42+('Aug 31'!$G$8:$G$42=$T11)*'Aug 31'!$AK$8:$AK$42)</f>
        <v>0</v>
      </c>
      <c r="BA11" s="0" t="n">
        <f aca="false">SUM(U11:AD11)</f>
        <v>0</v>
      </c>
      <c r="BB11" s="0" t="n">
        <f aca="false">MATCH(BD11,'Pay Plan'!$C$6:$C$12,1)</f>
        <v>1</v>
      </c>
      <c r="BC11" s="0" t="n">
        <f aca="false">SUMPRODUCT(('Aug 1'!$F$8:$F$42=$T11)*'Aug 1'!$AI$8:$AI$42*(('Aug 1'!$AM$8:$AM$42="Y")+('Aug 1'!$AN$8:$AN$42="Y")+('Aug 1'!$AO$8:$AO$42="Y")))+SUMPRODUCT(('Aug 2'!$F$8:$F$42=$T11)*'Aug 2'!$AI$8:$AI$42*(('Aug 2'!$AM$8:$AM$42="Y")+('Aug 2'!$AN$8:$AN$42="Y")+('Aug 2'!$AO$8:$AO$42="Y")))+SUMPRODUCT(('Aug 3'!$F$8:$F$42=$T11)*'Aug 3'!$AI$8:$AI$42*(('Aug 3'!$AM$8:$AM$42="Y")+('Aug 3'!$AN$8:$AN$42="Y")+('Aug 3'!$AO$8:$AO$42="Y")))+SUMPRODUCT(('Aug 4'!$F$8:$F$42=$T11)*'Aug 4'!$AI$8:$AI$42*(('Aug 4'!$AM$8:$AM$42="Y")+('Aug 4'!$AN$8:$AN$42="Y")+('Aug 4'!$AO$8:$AO$42="Y")))+SUMPRODUCT(('Aug 5'!$F$8:$F$42=$T11)*'Aug 5'!$AI$8:$AI$42*(('Aug 5'!$AM$8:$AM$42="Y")+('Aug 5'!$AN$8:$AN$42="Y")+('Aug 5'!$AO$8:$AO$42="Y")))+SUMPRODUCT(('Aug 6'!$F$8:$F$42=$T11)*'Aug 6'!$AI$8:$AI$42*(('Aug 6'!$AM$8:$AM$42="Y")+('Aug 6'!$AN$8:$AN$42="Y")+('Aug 6'!$AO$8:$AO$42="Y")))+SUMPRODUCT(('Aug 7'!$F$8:$F$42=$T11)*'Aug 7'!$AI$8:$AI$42*(('Aug 7'!$AM$8:$AM$42="Y")+('Aug 7'!$AN$8:$AN$42="Y")+('Aug 7'!$AO$8:$AO$42="Y")))+SUMPRODUCT(('Aug 8'!$F$8:$F$42=$T11)*'Aug 8'!$AI$8:$AI$42*(('Aug 8'!$AM$8:$AM$42="Y")+('Aug 8'!$AN$8:$AN$42="Y")+('Aug 8'!$AO$8:$AO$42="Y")))+SUMPRODUCT(('Aug 9'!$F$8:$F$42=$T11)*'Aug 9'!$AI$8:$AI$42*(('Aug 9'!$AM$8:$AM$42="Y")+('Aug 9'!$AN$8:$AN$42="Y")+('Aug 9'!$AO$8:$AO$42="Y")))+SUMPRODUCT(('Aug 10'!$F$8:$F$42=$T11)*'Aug 10'!$AI$8:$AI$42*(('Aug 10'!$AM$8:$AM$42="Y")+('Aug 10'!$AN$8:$AN$42="Y")+('Aug 10'!$AO$8:$AO$42="Y")))+SUMPRODUCT(('Aug 11'!$F$8:$F$42=$T11)*'Aug 11'!$AI$8:$AI$42*(('Aug 11'!$AM$8:$AM$42="Y")+('Aug 11'!$AN$8:$AN$42="Y")+('Aug 11'!$AO$8:$AO$42="Y")))+SUMPRODUCT(('Aug 12'!$F$8:$F$42=$T11)*'Aug 12'!$AI$8:$AI$42*(('Aug 12'!$AM$8:$AM$42="Y")+('Aug 12'!$AN$8:$AN$42="Y")+('Aug 12'!$AO$8:$AO$42="Y")))+SUMPRODUCT(('Aug 13'!$F$8:$F$42=$T11)*'Aug 13'!$AI$8:$AI$42*(('Aug 13'!$AM$8:$AM$42="Y")+('Aug 13'!$AN$8:$AN$42="Y")+('Aug 13'!$AO$8:$AO$42="Y")))+SUMPRODUCT(('Aug 14'!$F$8:$F$42=$T11)*'Aug 14'!$AI$8:$AI$42*(('Aug 14'!$AM$8:$AM$42="Y")+('Aug 14'!$AN$8:$AN$42="Y")+('Aug 14'!$AO$8:$AO$42="Y")))+SUMPRODUCT(('Aug 15'!$F$8:$F$42=$T11)*'Aug 15'!$AI$8:$AI$42*(('Aug 15'!$AM$8:$AM$42="Y")+('Aug 15'!$AN$8:$AN$42="Y")+('Aug 15'!$AO$8:$AO$42="Y")))+SUMPRODUCT(('Aug 16'!$F$8:$F$42=$T11)*'Aug 16'!$AI$8:$AI$42*(('Aug 16'!$AM$8:$AM$42="Y")+('Aug 16'!$AN$8:$AN$42="Y")+('Aug 16'!$AO$8:$AO$42="Y")))+SUMPRODUCT(('Aug 17'!$F$8:$F$42=$T11)*'Aug 17'!$AI$8:$AI$42*(('Aug 17'!$AM$8:$AM$42="Y")+('Aug 17'!$AN$8:$AN$42="Y")+('Aug 17'!$AO$8:$AO$42="Y")))+SUMPRODUCT(('Aug 18'!$F$8:$F$42=$T11)*'Aug 18'!$AI$8:$AI$42*(('Aug 18'!$AM$8:$AM$42="Y")+('Aug 18'!$AN$8:$AN$42="Y")+('Aug 18'!$AO$8:$AO$42="Y")))+SUMPRODUCT(('Aug 19'!$F$8:$F$42=$T11)*'Aug 19'!$AI$8:$AI$42*(('Aug 19'!$AM$8:$AM$42="Y")+('Aug 19'!$AN$8:$AN$42="Y")+('Aug 19'!$AO$8:$AO$42="Y")))+SUMPRODUCT(('Aug 20'!$F$8:$F$42=$T11)*'Aug 20'!$AI$8:$AI$42*(('Aug 20'!$AM$8:$AM$42="Y")+('Aug 20'!$AN$8:$AN$42="Y")+('Aug 20'!$AO$8:$AO$42="Y")))+SUMPRODUCT(('Aug 21'!$F$8:$F$42=$T11)*'Aug 21'!$AI$8:$AI$42*(('Aug 21'!$AM$8:$AM$42="Y")+('Aug 21'!$AN$8:$AN$42="Y")+('Aug 21'!$AO$8:$AO$42="Y")))+SUMPRODUCT(('Aug 22'!$F$8:$F$42=$T11)*'Aug 22'!$AI$8:$AI$42*(('Aug 22'!$AM$8:$AM$42="Y")+('Aug 22'!$AN$8:$AN$42="Y")+('Aug 22'!$AO$8:$AO$42="Y")))+SUMPRODUCT(('Aug 23'!$F$8:$F$42=$T11)*'Aug 23'!$AI$8:$AI$42*(('Aug 23'!$AM$8:$AM$42="Y")+('Aug 23'!$AN$8:$AN$42="Y")+('Aug 23'!$AO$8:$AO$42="Y")))+SUMPRODUCT(('Aug 24'!$F$8:$F$42=$T11)*'Aug 24'!$AI$8:$AI$42*(('Aug 24'!$AM$8:$AM$42="Y")+('Aug 24'!$AN$8:$AN$42="Y")+('Aug 24'!$AO$8:$AO$42="Y")))+SUMPRODUCT(('Aug 25'!$F$8:$F$42=$T11)*'Aug 25'!$AI$8:$AI$42*(('Aug 25'!$AM$8:$AM$42="Y")+('Aug 25'!$AN$8:$AN$42="Y")+('Aug 25'!$AO$8:$AO$42="Y")))+SUMPRODUCT(('Aug 26'!$F$8:$F$42=$T11)*'Aug 26'!$AI$8:$AI$42*(('Aug 26'!$AM$8:$AM$42="Y")+('Aug 26'!$AN$8:$AN$42="Y")+('Aug 26'!$AO$8:$AO$42="Y")))+SUMPRODUCT(('Aug 27'!$F$8:$F$42=$T11)*'Aug 27'!$AI$8:$AI$42*(('Aug 27'!$AM$8:$AM$42="Y")+('Aug 27'!$AN$8:$AN$42="Y")+('Aug 27'!$AO$8:$AO$42="Y")))+SUMPRODUCT(('Aug 28'!$F$8:$F$42=$T11)*'Aug 28'!$AI$8:$AI$42*(('Aug 28'!$AM$8:$AM$42="Y")+('Aug 28'!$AN$8:$AN$42="Y")+('Aug 28'!$AO$8:$AO$42="Y")))+SUMPRODUCT(('Aug 29'!$F$8:$F$42=$T11)*'Aug 29'!$AI$8:$AI$42*(('Aug 29'!$AM$8:$AM$42="Y")+('Aug 29'!$AN$8:$AN$42="Y")+('Aug 29'!$AO$8:$AO$42="Y")))+SUMPRODUCT(('Aug 30'!$F$8:$F$42=$T11)*'Aug 30'!$AI$8:$AI$42*(('Aug 30'!$AM$8:$AM$42="Y")+('Aug 30'!$AN$8:$AN$42="Y")+('Aug 30'!$AO$8:$AO$42="Y")))+SUMPRODUCT(('Aug 31'!$F$8:$F$42=$T11)*'Aug 31'!$AI$8:$AI$42*(('Aug 31'!$AM$8:$AM$42="Y")+('Aug 31'!$AN$8:$AN$42="Y")+('Aug 31'!$AO$8:$AO$42="Y")))</f>
        <v>0</v>
      </c>
      <c r="BD11" s="0" t="n">
        <f aca="false">SUM(U11:AY11)</f>
        <v>0</v>
      </c>
      <c r="BE11" s="0" t="n">
        <f aca="false">SUM(U30:AY30)</f>
        <v>0</v>
      </c>
      <c r="BF11" s="0" t="n">
        <f aca="false">SUM(U49:AY49)</f>
        <v>0</v>
      </c>
    </row>
    <row r="12" customFormat="false" ht="14.25" hidden="false" customHeight="true" outlineLevel="0" collapsed="false">
      <c r="A12" s="48" t="n">
        <v>6</v>
      </c>
      <c r="B12" s="49" t="str">
        <f aca="false">$T9</f>
        <v>ZAY JOHNSON</v>
      </c>
      <c r="C12" s="50" t="n">
        <f aca="false">BD9</f>
        <v>0</v>
      </c>
      <c r="D12" s="51" t="n">
        <f aca="false">BE9</f>
        <v>0</v>
      </c>
      <c r="E12" s="51" t="str">
        <f aca="false">IF(BD9=0,"—",BE9/BD9)</f>
        <v>—</v>
      </c>
      <c r="F12" s="48" t="str">
        <f aca="false">IF(BD9=0,"—",INDEX('Pay Plan'!$B$6:$B$12,BB9))</f>
        <v>—</v>
      </c>
      <c r="G12" s="51" t="n">
        <f aca="false">BF9</f>
        <v>0</v>
      </c>
      <c r="H12" s="51" t="n">
        <f aca="false">LOOKUP(BD9,'Pay Plan'!$B$15:$B$20,'Pay Plan'!$C$15:$C$20)</f>
        <v>0</v>
      </c>
      <c r="I12" s="51" t="n">
        <f aca="false">LOOKUP(BA9,'Pay Plan'!$E$15:$E$19,'Pay Plan'!$F$15:$F$19)</f>
        <v>0</v>
      </c>
      <c r="J12" s="51" t="n">
        <f aca="false">BC9*'Pay Plan'!$I$15</f>
        <v>0</v>
      </c>
      <c r="K12" s="52" t="n">
        <f aca="false">G12+H12+I12+J12</f>
        <v>0</v>
      </c>
      <c r="L12" s="52"/>
      <c r="M12" s="52"/>
      <c r="N12" s="47"/>
      <c r="O12" s="52" t="n">
        <f aca="false">K12-N12</f>
        <v>0</v>
      </c>
      <c r="P12" s="52"/>
      <c r="Q12" s="52"/>
      <c r="R12" s="52"/>
      <c r="T12" s="0" t="str">
        <f aca="false">'Staff &amp; Lists'!A13</f>
        <v>ZACH CUPP</v>
      </c>
      <c r="U12" s="0" t="n">
        <f aca="false">SUMPRODUCT(('Aug 1'!$F$8:$F$42=$T12)*'Aug 1'!$AJ$8:$AJ$42+('Aug 1'!$G$8:$G$42=$T12)*'Aug 1'!$AK$8:$AK$42)</f>
        <v>0</v>
      </c>
      <c r="V12" s="0" t="n">
        <f aca="false">SUMPRODUCT(('Aug 2'!$F$8:$F$42=$T12)*'Aug 2'!$AJ$8:$AJ$42+('Aug 2'!$G$8:$G$42=$T12)*'Aug 2'!$AK$8:$AK$42)</f>
        <v>0</v>
      </c>
      <c r="W12" s="0" t="n">
        <f aca="false">SUMPRODUCT(('Aug 3'!$F$8:$F$42=$T12)*'Aug 3'!$AJ$8:$AJ$42+('Aug 3'!$G$8:$G$42=$T12)*'Aug 3'!$AK$8:$AK$42)</f>
        <v>0</v>
      </c>
      <c r="X12" s="0" t="n">
        <f aca="false">SUMPRODUCT(('Aug 4'!$F$8:$F$42=$T12)*'Aug 4'!$AJ$8:$AJ$42+('Aug 4'!$G$8:$G$42=$T12)*'Aug 4'!$AK$8:$AK$42)</f>
        <v>0</v>
      </c>
      <c r="Y12" s="0" t="n">
        <f aca="false">SUMPRODUCT(('Aug 5'!$F$8:$F$42=$T12)*'Aug 5'!$AJ$8:$AJ$42+('Aug 5'!$G$8:$G$42=$T12)*'Aug 5'!$AK$8:$AK$42)</f>
        <v>0</v>
      </c>
      <c r="Z12" s="0" t="n">
        <f aca="false">SUMPRODUCT(('Aug 6'!$F$8:$F$42=$T12)*'Aug 6'!$AJ$8:$AJ$42+('Aug 6'!$G$8:$G$42=$T12)*'Aug 6'!$AK$8:$AK$42)</f>
        <v>0</v>
      </c>
      <c r="AA12" s="0" t="n">
        <f aca="false">SUMPRODUCT(('Aug 7'!$F$8:$F$42=$T12)*'Aug 7'!$AJ$8:$AJ$42+('Aug 7'!$G$8:$G$42=$T12)*'Aug 7'!$AK$8:$AK$42)</f>
        <v>0</v>
      </c>
      <c r="AB12" s="0" t="n">
        <f aca="false">SUMPRODUCT(('Aug 8'!$F$8:$F$42=$T12)*'Aug 8'!$AJ$8:$AJ$42+('Aug 8'!$G$8:$G$42=$T12)*'Aug 8'!$AK$8:$AK$42)</f>
        <v>0</v>
      </c>
      <c r="AC12" s="0" t="n">
        <f aca="false">SUMPRODUCT(('Aug 9'!$F$8:$F$42=$T12)*'Aug 9'!$AJ$8:$AJ$42+('Aug 9'!$G$8:$G$42=$T12)*'Aug 9'!$AK$8:$AK$42)</f>
        <v>0</v>
      </c>
      <c r="AD12" s="0" t="n">
        <f aca="false">SUMPRODUCT(('Aug 10'!$F$8:$F$42=$T12)*'Aug 10'!$AJ$8:$AJ$42+('Aug 10'!$G$8:$G$42=$T12)*'Aug 10'!$AK$8:$AK$42)</f>
        <v>0</v>
      </c>
      <c r="AE12" s="0" t="n">
        <f aca="false">SUMPRODUCT(('Aug 11'!$F$8:$F$42=$T12)*'Aug 11'!$AJ$8:$AJ$42+('Aug 11'!$G$8:$G$42=$T12)*'Aug 11'!$AK$8:$AK$42)</f>
        <v>0</v>
      </c>
      <c r="AF12" s="0" t="n">
        <f aca="false">SUMPRODUCT(('Aug 12'!$F$8:$F$42=$T12)*'Aug 12'!$AJ$8:$AJ$42+('Aug 12'!$G$8:$G$42=$T12)*'Aug 12'!$AK$8:$AK$42)</f>
        <v>0</v>
      </c>
      <c r="AG12" s="0" t="n">
        <f aca="false">SUMPRODUCT(('Aug 13'!$F$8:$F$42=$T12)*'Aug 13'!$AJ$8:$AJ$42+('Aug 13'!$G$8:$G$42=$T12)*'Aug 13'!$AK$8:$AK$42)</f>
        <v>0</v>
      </c>
      <c r="AH12" s="0" t="n">
        <f aca="false">SUMPRODUCT(('Aug 14'!$F$8:$F$42=$T12)*'Aug 14'!$AJ$8:$AJ$42+('Aug 14'!$G$8:$G$42=$T12)*'Aug 14'!$AK$8:$AK$42)</f>
        <v>0</v>
      </c>
      <c r="AI12" s="0" t="n">
        <f aca="false">SUMPRODUCT(('Aug 15'!$F$8:$F$42=$T12)*'Aug 15'!$AJ$8:$AJ$42+('Aug 15'!$G$8:$G$42=$T12)*'Aug 15'!$AK$8:$AK$42)</f>
        <v>0</v>
      </c>
      <c r="AJ12" s="0" t="n">
        <f aca="false">SUMPRODUCT(('Aug 16'!$F$8:$F$42=$T12)*'Aug 16'!$AJ$8:$AJ$42+('Aug 16'!$G$8:$G$42=$T12)*'Aug 16'!$AK$8:$AK$42)</f>
        <v>0</v>
      </c>
      <c r="AK12" s="0" t="n">
        <f aca="false">SUMPRODUCT(('Aug 17'!$F$8:$F$42=$T12)*'Aug 17'!$AJ$8:$AJ$42+('Aug 17'!$G$8:$G$42=$T12)*'Aug 17'!$AK$8:$AK$42)</f>
        <v>0</v>
      </c>
      <c r="AL12" s="0" t="n">
        <f aca="false">SUMPRODUCT(('Aug 18'!$F$8:$F$42=$T12)*'Aug 18'!$AJ$8:$AJ$42+('Aug 18'!$G$8:$G$42=$T12)*'Aug 18'!$AK$8:$AK$42)</f>
        <v>0</v>
      </c>
      <c r="AM12" s="0" t="n">
        <f aca="false">SUMPRODUCT(('Aug 19'!$F$8:$F$42=$T12)*'Aug 19'!$AJ$8:$AJ$42+('Aug 19'!$G$8:$G$42=$T12)*'Aug 19'!$AK$8:$AK$42)</f>
        <v>0</v>
      </c>
      <c r="AN12" s="0" t="n">
        <f aca="false">SUMPRODUCT(('Aug 20'!$F$8:$F$42=$T12)*'Aug 20'!$AJ$8:$AJ$42+('Aug 20'!$G$8:$G$42=$T12)*'Aug 20'!$AK$8:$AK$42)</f>
        <v>0</v>
      </c>
      <c r="AO12" s="0" t="n">
        <f aca="false">SUMPRODUCT(('Aug 21'!$F$8:$F$42=$T12)*'Aug 21'!$AJ$8:$AJ$42+('Aug 21'!$G$8:$G$42=$T12)*'Aug 21'!$AK$8:$AK$42)</f>
        <v>0</v>
      </c>
      <c r="AP12" s="0" t="n">
        <f aca="false">SUMPRODUCT(('Aug 22'!$F$8:$F$42=$T12)*'Aug 22'!$AJ$8:$AJ$42+('Aug 22'!$G$8:$G$42=$T12)*'Aug 22'!$AK$8:$AK$42)</f>
        <v>0</v>
      </c>
      <c r="AQ12" s="0" t="n">
        <f aca="false">SUMPRODUCT(('Aug 23'!$F$8:$F$42=$T12)*'Aug 23'!$AJ$8:$AJ$42+('Aug 23'!$G$8:$G$42=$T12)*'Aug 23'!$AK$8:$AK$42)</f>
        <v>0</v>
      </c>
      <c r="AR12" s="0" t="n">
        <f aca="false">SUMPRODUCT(('Aug 24'!$F$8:$F$42=$T12)*'Aug 24'!$AJ$8:$AJ$42+('Aug 24'!$G$8:$G$42=$T12)*'Aug 24'!$AK$8:$AK$42)</f>
        <v>0</v>
      </c>
      <c r="AS12" s="0" t="n">
        <f aca="false">SUMPRODUCT(('Aug 25'!$F$8:$F$42=$T12)*'Aug 25'!$AJ$8:$AJ$42+('Aug 25'!$G$8:$G$42=$T12)*'Aug 25'!$AK$8:$AK$42)</f>
        <v>0</v>
      </c>
      <c r="AT12" s="0" t="n">
        <f aca="false">SUMPRODUCT(('Aug 26'!$F$8:$F$42=$T12)*'Aug 26'!$AJ$8:$AJ$42+('Aug 26'!$G$8:$G$42=$T12)*'Aug 26'!$AK$8:$AK$42)</f>
        <v>0</v>
      </c>
      <c r="AU12" s="0" t="n">
        <f aca="false">SUMPRODUCT(('Aug 27'!$F$8:$F$42=$T12)*'Aug 27'!$AJ$8:$AJ$42+('Aug 27'!$G$8:$G$42=$T12)*'Aug 27'!$AK$8:$AK$42)</f>
        <v>0</v>
      </c>
      <c r="AV12" s="0" t="n">
        <f aca="false">SUMPRODUCT(('Aug 28'!$F$8:$F$42=$T12)*'Aug 28'!$AJ$8:$AJ$42+('Aug 28'!$G$8:$G$42=$T12)*'Aug 28'!$AK$8:$AK$42)</f>
        <v>0</v>
      </c>
      <c r="AW12" s="0" t="n">
        <f aca="false">SUMPRODUCT(('Aug 29'!$F$8:$F$42=$T12)*'Aug 29'!$AJ$8:$AJ$42+('Aug 29'!$G$8:$G$42=$T12)*'Aug 29'!$AK$8:$AK$42)</f>
        <v>0</v>
      </c>
      <c r="AX12" s="0" t="n">
        <f aca="false">SUMPRODUCT(('Aug 30'!$F$8:$F$42=$T12)*'Aug 30'!$AJ$8:$AJ$42+('Aug 30'!$G$8:$G$42=$T12)*'Aug 30'!$AK$8:$AK$42)</f>
        <v>0</v>
      </c>
      <c r="AY12" s="0" t="n">
        <f aca="false">SUMPRODUCT(('Aug 31'!$F$8:$F$42=$T12)*'Aug 31'!$AJ$8:$AJ$42+('Aug 31'!$G$8:$G$42=$T12)*'Aug 31'!$AK$8:$AK$42)</f>
        <v>0</v>
      </c>
      <c r="BA12" s="0" t="n">
        <f aca="false">SUM(U12:AD12)</f>
        <v>0</v>
      </c>
      <c r="BB12" s="0" t="n">
        <f aca="false">MATCH(BD12,'Pay Plan'!$C$6:$C$12,1)</f>
        <v>1</v>
      </c>
      <c r="BC12" s="0" t="n">
        <f aca="false">SUMPRODUCT(('Aug 1'!$F$8:$F$42=$T12)*'Aug 1'!$AI$8:$AI$42*(('Aug 1'!$AM$8:$AM$42="Y")+('Aug 1'!$AN$8:$AN$42="Y")+('Aug 1'!$AO$8:$AO$42="Y")))+SUMPRODUCT(('Aug 2'!$F$8:$F$42=$T12)*'Aug 2'!$AI$8:$AI$42*(('Aug 2'!$AM$8:$AM$42="Y")+('Aug 2'!$AN$8:$AN$42="Y")+('Aug 2'!$AO$8:$AO$42="Y")))+SUMPRODUCT(('Aug 3'!$F$8:$F$42=$T12)*'Aug 3'!$AI$8:$AI$42*(('Aug 3'!$AM$8:$AM$42="Y")+('Aug 3'!$AN$8:$AN$42="Y")+('Aug 3'!$AO$8:$AO$42="Y")))+SUMPRODUCT(('Aug 4'!$F$8:$F$42=$T12)*'Aug 4'!$AI$8:$AI$42*(('Aug 4'!$AM$8:$AM$42="Y")+('Aug 4'!$AN$8:$AN$42="Y")+('Aug 4'!$AO$8:$AO$42="Y")))+SUMPRODUCT(('Aug 5'!$F$8:$F$42=$T12)*'Aug 5'!$AI$8:$AI$42*(('Aug 5'!$AM$8:$AM$42="Y")+('Aug 5'!$AN$8:$AN$42="Y")+('Aug 5'!$AO$8:$AO$42="Y")))+SUMPRODUCT(('Aug 6'!$F$8:$F$42=$T12)*'Aug 6'!$AI$8:$AI$42*(('Aug 6'!$AM$8:$AM$42="Y")+('Aug 6'!$AN$8:$AN$42="Y")+('Aug 6'!$AO$8:$AO$42="Y")))+SUMPRODUCT(('Aug 7'!$F$8:$F$42=$T12)*'Aug 7'!$AI$8:$AI$42*(('Aug 7'!$AM$8:$AM$42="Y")+('Aug 7'!$AN$8:$AN$42="Y")+('Aug 7'!$AO$8:$AO$42="Y")))+SUMPRODUCT(('Aug 8'!$F$8:$F$42=$T12)*'Aug 8'!$AI$8:$AI$42*(('Aug 8'!$AM$8:$AM$42="Y")+('Aug 8'!$AN$8:$AN$42="Y")+('Aug 8'!$AO$8:$AO$42="Y")))+SUMPRODUCT(('Aug 9'!$F$8:$F$42=$T12)*'Aug 9'!$AI$8:$AI$42*(('Aug 9'!$AM$8:$AM$42="Y")+('Aug 9'!$AN$8:$AN$42="Y")+('Aug 9'!$AO$8:$AO$42="Y")))+SUMPRODUCT(('Aug 10'!$F$8:$F$42=$T12)*'Aug 10'!$AI$8:$AI$42*(('Aug 10'!$AM$8:$AM$42="Y")+('Aug 10'!$AN$8:$AN$42="Y")+('Aug 10'!$AO$8:$AO$42="Y")))+SUMPRODUCT(('Aug 11'!$F$8:$F$42=$T12)*'Aug 11'!$AI$8:$AI$42*(('Aug 11'!$AM$8:$AM$42="Y")+('Aug 11'!$AN$8:$AN$42="Y")+('Aug 11'!$AO$8:$AO$42="Y")))+SUMPRODUCT(('Aug 12'!$F$8:$F$42=$T12)*'Aug 12'!$AI$8:$AI$42*(('Aug 12'!$AM$8:$AM$42="Y")+('Aug 12'!$AN$8:$AN$42="Y")+('Aug 12'!$AO$8:$AO$42="Y")))+SUMPRODUCT(('Aug 13'!$F$8:$F$42=$T12)*'Aug 13'!$AI$8:$AI$42*(('Aug 13'!$AM$8:$AM$42="Y")+('Aug 13'!$AN$8:$AN$42="Y")+('Aug 13'!$AO$8:$AO$42="Y")))+SUMPRODUCT(('Aug 14'!$F$8:$F$42=$T12)*'Aug 14'!$AI$8:$AI$42*(('Aug 14'!$AM$8:$AM$42="Y")+('Aug 14'!$AN$8:$AN$42="Y")+('Aug 14'!$AO$8:$AO$42="Y")))+SUMPRODUCT(('Aug 15'!$F$8:$F$42=$T12)*'Aug 15'!$AI$8:$AI$42*(('Aug 15'!$AM$8:$AM$42="Y")+('Aug 15'!$AN$8:$AN$42="Y")+('Aug 15'!$AO$8:$AO$42="Y")))+SUMPRODUCT(('Aug 16'!$F$8:$F$42=$T12)*'Aug 16'!$AI$8:$AI$42*(('Aug 16'!$AM$8:$AM$42="Y")+('Aug 16'!$AN$8:$AN$42="Y")+('Aug 16'!$AO$8:$AO$42="Y")))+SUMPRODUCT(('Aug 17'!$F$8:$F$42=$T12)*'Aug 17'!$AI$8:$AI$42*(('Aug 17'!$AM$8:$AM$42="Y")+('Aug 17'!$AN$8:$AN$42="Y")+('Aug 17'!$AO$8:$AO$42="Y")))+SUMPRODUCT(('Aug 18'!$F$8:$F$42=$T12)*'Aug 18'!$AI$8:$AI$42*(('Aug 18'!$AM$8:$AM$42="Y")+('Aug 18'!$AN$8:$AN$42="Y")+('Aug 18'!$AO$8:$AO$42="Y")))+SUMPRODUCT(('Aug 19'!$F$8:$F$42=$T12)*'Aug 19'!$AI$8:$AI$42*(('Aug 19'!$AM$8:$AM$42="Y")+('Aug 19'!$AN$8:$AN$42="Y")+('Aug 19'!$AO$8:$AO$42="Y")))+SUMPRODUCT(('Aug 20'!$F$8:$F$42=$T12)*'Aug 20'!$AI$8:$AI$42*(('Aug 20'!$AM$8:$AM$42="Y")+('Aug 20'!$AN$8:$AN$42="Y")+('Aug 20'!$AO$8:$AO$42="Y")))+SUMPRODUCT(('Aug 21'!$F$8:$F$42=$T12)*'Aug 21'!$AI$8:$AI$42*(('Aug 21'!$AM$8:$AM$42="Y")+('Aug 21'!$AN$8:$AN$42="Y")+('Aug 21'!$AO$8:$AO$42="Y")))+SUMPRODUCT(('Aug 22'!$F$8:$F$42=$T12)*'Aug 22'!$AI$8:$AI$42*(('Aug 22'!$AM$8:$AM$42="Y")+('Aug 22'!$AN$8:$AN$42="Y")+('Aug 22'!$AO$8:$AO$42="Y")))+SUMPRODUCT(('Aug 23'!$F$8:$F$42=$T12)*'Aug 23'!$AI$8:$AI$42*(('Aug 23'!$AM$8:$AM$42="Y")+('Aug 23'!$AN$8:$AN$42="Y")+('Aug 23'!$AO$8:$AO$42="Y")))+SUMPRODUCT(('Aug 24'!$F$8:$F$42=$T12)*'Aug 24'!$AI$8:$AI$42*(('Aug 24'!$AM$8:$AM$42="Y")+('Aug 24'!$AN$8:$AN$42="Y")+('Aug 24'!$AO$8:$AO$42="Y")))+SUMPRODUCT(('Aug 25'!$F$8:$F$42=$T12)*'Aug 25'!$AI$8:$AI$42*(('Aug 25'!$AM$8:$AM$42="Y")+('Aug 25'!$AN$8:$AN$42="Y")+('Aug 25'!$AO$8:$AO$42="Y")))+SUMPRODUCT(('Aug 26'!$F$8:$F$42=$T12)*'Aug 26'!$AI$8:$AI$42*(('Aug 26'!$AM$8:$AM$42="Y")+('Aug 26'!$AN$8:$AN$42="Y")+('Aug 26'!$AO$8:$AO$42="Y")))+SUMPRODUCT(('Aug 27'!$F$8:$F$42=$T12)*'Aug 27'!$AI$8:$AI$42*(('Aug 27'!$AM$8:$AM$42="Y")+('Aug 27'!$AN$8:$AN$42="Y")+('Aug 27'!$AO$8:$AO$42="Y")))+SUMPRODUCT(('Aug 28'!$F$8:$F$42=$T12)*'Aug 28'!$AI$8:$AI$42*(('Aug 28'!$AM$8:$AM$42="Y")+('Aug 28'!$AN$8:$AN$42="Y")+('Aug 28'!$AO$8:$AO$42="Y")))+SUMPRODUCT(('Aug 29'!$F$8:$F$42=$T12)*'Aug 29'!$AI$8:$AI$42*(('Aug 29'!$AM$8:$AM$42="Y")+('Aug 29'!$AN$8:$AN$42="Y")+('Aug 29'!$AO$8:$AO$42="Y")))+SUMPRODUCT(('Aug 30'!$F$8:$F$42=$T12)*'Aug 30'!$AI$8:$AI$42*(('Aug 30'!$AM$8:$AM$42="Y")+('Aug 30'!$AN$8:$AN$42="Y")+('Aug 30'!$AO$8:$AO$42="Y")))+SUMPRODUCT(('Aug 31'!$F$8:$F$42=$T12)*'Aug 31'!$AI$8:$AI$42*(('Aug 31'!$AM$8:$AM$42="Y")+('Aug 31'!$AN$8:$AN$42="Y")+('Aug 31'!$AO$8:$AO$42="Y")))</f>
        <v>0</v>
      </c>
      <c r="BD12" s="0" t="n">
        <f aca="false">SUM(U12:AY12)</f>
        <v>0</v>
      </c>
      <c r="BE12" s="0" t="n">
        <f aca="false">SUM(U31:AY31)</f>
        <v>0</v>
      </c>
      <c r="BF12" s="0" t="n">
        <f aca="false">SUM(U50:AY50)</f>
        <v>0</v>
      </c>
    </row>
    <row r="13" customFormat="false" ht="14.25" hidden="false" customHeight="true" outlineLevel="0" collapsed="false">
      <c r="A13" s="44" t="n">
        <v>7</v>
      </c>
      <c r="B13" s="45" t="str">
        <f aca="false">$T10</f>
        <v>JUSTIN ROLLER</v>
      </c>
      <c r="C13" s="22" t="n">
        <f aca="false">BD10</f>
        <v>0</v>
      </c>
      <c r="D13" s="25" t="n">
        <f aca="false">BE10</f>
        <v>0</v>
      </c>
      <c r="E13" s="25" t="str">
        <f aca="false">IF(BD10=0,"—",BE10/BD10)</f>
        <v>—</v>
      </c>
      <c r="F13" s="44" t="str">
        <f aca="false">IF(BD10=0,"—",INDEX('Pay Plan'!$B$6:$B$12,BB10))</f>
        <v>—</v>
      </c>
      <c r="G13" s="25" t="n">
        <f aca="false">BF10</f>
        <v>0</v>
      </c>
      <c r="H13" s="25" t="n">
        <f aca="false">LOOKUP(BD10,'Pay Plan'!$B$15:$B$20,'Pay Plan'!$C$15:$C$20)</f>
        <v>0</v>
      </c>
      <c r="I13" s="25" t="n">
        <f aca="false">LOOKUP(BA10,'Pay Plan'!$E$15:$E$19,'Pay Plan'!$F$15:$F$19)</f>
        <v>0</v>
      </c>
      <c r="J13" s="25" t="n">
        <f aca="false">BC10*'Pay Plan'!$I$15</f>
        <v>0</v>
      </c>
      <c r="K13" s="46" t="n">
        <f aca="false">G13+H13+I13+J13</f>
        <v>0</v>
      </c>
      <c r="L13" s="46"/>
      <c r="M13" s="46"/>
      <c r="N13" s="47"/>
      <c r="O13" s="46" t="n">
        <f aca="false">K13-N13</f>
        <v>0</v>
      </c>
      <c r="P13" s="46"/>
      <c r="Q13" s="46"/>
      <c r="R13" s="46"/>
      <c r="T13" s="0" t="str">
        <f aca="false">'Staff &amp; Lists'!A14</f>
        <v>ANDREW MIEIR</v>
      </c>
      <c r="U13" s="0" t="n">
        <f aca="false">SUMPRODUCT(('Aug 1'!$F$8:$F$42=$T13)*'Aug 1'!$AJ$8:$AJ$42+('Aug 1'!$G$8:$G$42=$T13)*'Aug 1'!$AK$8:$AK$42)</f>
        <v>0</v>
      </c>
      <c r="V13" s="0" t="n">
        <f aca="false">SUMPRODUCT(('Aug 2'!$F$8:$F$42=$T13)*'Aug 2'!$AJ$8:$AJ$42+('Aug 2'!$G$8:$G$42=$T13)*'Aug 2'!$AK$8:$AK$42)</f>
        <v>0</v>
      </c>
      <c r="W13" s="0" t="n">
        <f aca="false">SUMPRODUCT(('Aug 3'!$F$8:$F$42=$T13)*'Aug 3'!$AJ$8:$AJ$42+('Aug 3'!$G$8:$G$42=$T13)*'Aug 3'!$AK$8:$AK$42)</f>
        <v>0</v>
      </c>
      <c r="X13" s="0" t="n">
        <f aca="false">SUMPRODUCT(('Aug 4'!$F$8:$F$42=$T13)*'Aug 4'!$AJ$8:$AJ$42+('Aug 4'!$G$8:$G$42=$T13)*'Aug 4'!$AK$8:$AK$42)</f>
        <v>0</v>
      </c>
      <c r="Y13" s="0" t="n">
        <f aca="false">SUMPRODUCT(('Aug 5'!$F$8:$F$42=$T13)*'Aug 5'!$AJ$8:$AJ$42+('Aug 5'!$G$8:$G$42=$T13)*'Aug 5'!$AK$8:$AK$42)</f>
        <v>0</v>
      </c>
      <c r="Z13" s="0" t="n">
        <f aca="false">SUMPRODUCT(('Aug 6'!$F$8:$F$42=$T13)*'Aug 6'!$AJ$8:$AJ$42+('Aug 6'!$G$8:$G$42=$T13)*'Aug 6'!$AK$8:$AK$42)</f>
        <v>0</v>
      </c>
      <c r="AA13" s="0" t="n">
        <f aca="false">SUMPRODUCT(('Aug 7'!$F$8:$F$42=$T13)*'Aug 7'!$AJ$8:$AJ$42+('Aug 7'!$G$8:$G$42=$T13)*'Aug 7'!$AK$8:$AK$42)</f>
        <v>0</v>
      </c>
      <c r="AB13" s="0" t="n">
        <f aca="false">SUMPRODUCT(('Aug 8'!$F$8:$F$42=$T13)*'Aug 8'!$AJ$8:$AJ$42+('Aug 8'!$G$8:$G$42=$T13)*'Aug 8'!$AK$8:$AK$42)</f>
        <v>0</v>
      </c>
      <c r="AC13" s="0" t="n">
        <f aca="false">SUMPRODUCT(('Aug 9'!$F$8:$F$42=$T13)*'Aug 9'!$AJ$8:$AJ$42+('Aug 9'!$G$8:$G$42=$T13)*'Aug 9'!$AK$8:$AK$42)</f>
        <v>0</v>
      </c>
      <c r="AD13" s="0" t="n">
        <f aca="false">SUMPRODUCT(('Aug 10'!$F$8:$F$42=$T13)*'Aug 10'!$AJ$8:$AJ$42+('Aug 10'!$G$8:$G$42=$T13)*'Aug 10'!$AK$8:$AK$42)</f>
        <v>0</v>
      </c>
      <c r="AE13" s="0" t="n">
        <f aca="false">SUMPRODUCT(('Aug 11'!$F$8:$F$42=$T13)*'Aug 11'!$AJ$8:$AJ$42+('Aug 11'!$G$8:$G$42=$T13)*'Aug 11'!$AK$8:$AK$42)</f>
        <v>0</v>
      </c>
      <c r="AF13" s="0" t="n">
        <f aca="false">SUMPRODUCT(('Aug 12'!$F$8:$F$42=$T13)*'Aug 12'!$AJ$8:$AJ$42+('Aug 12'!$G$8:$G$42=$T13)*'Aug 12'!$AK$8:$AK$42)</f>
        <v>0</v>
      </c>
      <c r="AG13" s="0" t="n">
        <f aca="false">SUMPRODUCT(('Aug 13'!$F$8:$F$42=$T13)*'Aug 13'!$AJ$8:$AJ$42+('Aug 13'!$G$8:$G$42=$T13)*'Aug 13'!$AK$8:$AK$42)</f>
        <v>0</v>
      </c>
      <c r="AH13" s="0" t="n">
        <f aca="false">SUMPRODUCT(('Aug 14'!$F$8:$F$42=$T13)*'Aug 14'!$AJ$8:$AJ$42+('Aug 14'!$G$8:$G$42=$T13)*'Aug 14'!$AK$8:$AK$42)</f>
        <v>0</v>
      </c>
      <c r="AI13" s="0" t="n">
        <f aca="false">SUMPRODUCT(('Aug 15'!$F$8:$F$42=$T13)*'Aug 15'!$AJ$8:$AJ$42+('Aug 15'!$G$8:$G$42=$T13)*'Aug 15'!$AK$8:$AK$42)</f>
        <v>0</v>
      </c>
      <c r="AJ13" s="0" t="n">
        <f aca="false">SUMPRODUCT(('Aug 16'!$F$8:$F$42=$T13)*'Aug 16'!$AJ$8:$AJ$42+('Aug 16'!$G$8:$G$42=$T13)*'Aug 16'!$AK$8:$AK$42)</f>
        <v>0</v>
      </c>
      <c r="AK13" s="0" t="n">
        <f aca="false">SUMPRODUCT(('Aug 17'!$F$8:$F$42=$T13)*'Aug 17'!$AJ$8:$AJ$42+('Aug 17'!$G$8:$G$42=$T13)*'Aug 17'!$AK$8:$AK$42)</f>
        <v>0</v>
      </c>
      <c r="AL13" s="0" t="n">
        <f aca="false">SUMPRODUCT(('Aug 18'!$F$8:$F$42=$T13)*'Aug 18'!$AJ$8:$AJ$42+('Aug 18'!$G$8:$G$42=$T13)*'Aug 18'!$AK$8:$AK$42)</f>
        <v>0</v>
      </c>
      <c r="AM13" s="0" t="n">
        <f aca="false">SUMPRODUCT(('Aug 19'!$F$8:$F$42=$T13)*'Aug 19'!$AJ$8:$AJ$42+('Aug 19'!$G$8:$G$42=$T13)*'Aug 19'!$AK$8:$AK$42)</f>
        <v>0</v>
      </c>
      <c r="AN13" s="0" t="n">
        <f aca="false">SUMPRODUCT(('Aug 20'!$F$8:$F$42=$T13)*'Aug 20'!$AJ$8:$AJ$42+('Aug 20'!$G$8:$G$42=$T13)*'Aug 20'!$AK$8:$AK$42)</f>
        <v>0</v>
      </c>
      <c r="AO13" s="0" t="n">
        <f aca="false">SUMPRODUCT(('Aug 21'!$F$8:$F$42=$T13)*'Aug 21'!$AJ$8:$AJ$42+('Aug 21'!$G$8:$G$42=$T13)*'Aug 21'!$AK$8:$AK$42)</f>
        <v>0</v>
      </c>
      <c r="AP13" s="0" t="n">
        <f aca="false">SUMPRODUCT(('Aug 22'!$F$8:$F$42=$T13)*'Aug 22'!$AJ$8:$AJ$42+('Aug 22'!$G$8:$G$42=$T13)*'Aug 22'!$AK$8:$AK$42)</f>
        <v>0</v>
      </c>
      <c r="AQ13" s="0" t="n">
        <f aca="false">SUMPRODUCT(('Aug 23'!$F$8:$F$42=$T13)*'Aug 23'!$AJ$8:$AJ$42+('Aug 23'!$G$8:$G$42=$T13)*'Aug 23'!$AK$8:$AK$42)</f>
        <v>0</v>
      </c>
      <c r="AR13" s="0" t="n">
        <f aca="false">SUMPRODUCT(('Aug 24'!$F$8:$F$42=$T13)*'Aug 24'!$AJ$8:$AJ$42+('Aug 24'!$G$8:$G$42=$T13)*'Aug 24'!$AK$8:$AK$42)</f>
        <v>0</v>
      </c>
      <c r="AS13" s="0" t="n">
        <f aca="false">SUMPRODUCT(('Aug 25'!$F$8:$F$42=$T13)*'Aug 25'!$AJ$8:$AJ$42+('Aug 25'!$G$8:$G$42=$T13)*'Aug 25'!$AK$8:$AK$42)</f>
        <v>0</v>
      </c>
      <c r="AT13" s="0" t="n">
        <f aca="false">SUMPRODUCT(('Aug 26'!$F$8:$F$42=$T13)*'Aug 26'!$AJ$8:$AJ$42+('Aug 26'!$G$8:$G$42=$T13)*'Aug 26'!$AK$8:$AK$42)</f>
        <v>0</v>
      </c>
      <c r="AU13" s="0" t="n">
        <f aca="false">SUMPRODUCT(('Aug 27'!$F$8:$F$42=$T13)*'Aug 27'!$AJ$8:$AJ$42+('Aug 27'!$G$8:$G$42=$T13)*'Aug 27'!$AK$8:$AK$42)</f>
        <v>0</v>
      </c>
      <c r="AV13" s="0" t="n">
        <f aca="false">SUMPRODUCT(('Aug 28'!$F$8:$F$42=$T13)*'Aug 28'!$AJ$8:$AJ$42+('Aug 28'!$G$8:$G$42=$T13)*'Aug 28'!$AK$8:$AK$42)</f>
        <v>0</v>
      </c>
      <c r="AW13" s="0" t="n">
        <f aca="false">SUMPRODUCT(('Aug 29'!$F$8:$F$42=$T13)*'Aug 29'!$AJ$8:$AJ$42+('Aug 29'!$G$8:$G$42=$T13)*'Aug 29'!$AK$8:$AK$42)</f>
        <v>0</v>
      </c>
      <c r="AX13" s="0" t="n">
        <f aca="false">SUMPRODUCT(('Aug 30'!$F$8:$F$42=$T13)*'Aug 30'!$AJ$8:$AJ$42+('Aug 30'!$G$8:$G$42=$T13)*'Aug 30'!$AK$8:$AK$42)</f>
        <v>0</v>
      </c>
      <c r="AY13" s="0" t="n">
        <f aca="false">SUMPRODUCT(('Aug 31'!$F$8:$F$42=$T13)*'Aug 31'!$AJ$8:$AJ$42+('Aug 31'!$G$8:$G$42=$T13)*'Aug 31'!$AK$8:$AK$42)</f>
        <v>0</v>
      </c>
      <c r="BA13" s="0" t="n">
        <f aca="false">SUM(U13:AD13)</f>
        <v>0</v>
      </c>
      <c r="BB13" s="0" t="n">
        <f aca="false">MATCH(BD13,'Pay Plan'!$C$6:$C$12,1)</f>
        <v>1</v>
      </c>
      <c r="BC13" s="0" t="n">
        <f aca="false">SUMPRODUCT(('Aug 1'!$F$8:$F$42=$T13)*'Aug 1'!$AI$8:$AI$42*(('Aug 1'!$AM$8:$AM$42="Y")+('Aug 1'!$AN$8:$AN$42="Y")+('Aug 1'!$AO$8:$AO$42="Y")))+SUMPRODUCT(('Aug 2'!$F$8:$F$42=$T13)*'Aug 2'!$AI$8:$AI$42*(('Aug 2'!$AM$8:$AM$42="Y")+('Aug 2'!$AN$8:$AN$42="Y")+('Aug 2'!$AO$8:$AO$42="Y")))+SUMPRODUCT(('Aug 3'!$F$8:$F$42=$T13)*'Aug 3'!$AI$8:$AI$42*(('Aug 3'!$AM$8:$AM$42="Y")+('Aug 3'!$AN$8:$AN$42="Y")+('Aug 3'!$AO$8:$AO$42="Y")))+SUMPRODUCT(('Aug 4'!$F$8:$F$42=$T13)*'Aug 4'!$AI$8:$AI$42*(('Aug 4'!$AM$8:$AM$42="Y")+('Aug 4'!$AN$8:$AN$42="Y")+('Aug 4'!$AO$8:$AO$42="Y")))+SUMPRODUCT(('Aug 5'!$F$8:$F$42=$T13)*'Aug 5'!$AI$8:$AI$42*(('Aug 5'!$AM$8:$AM$42="Y")+('Aug 5'!$AN$8:$AN$42="Y")+('Aug 5'!$AO$8:$AO$42="Y")))+SUMPRODUCT(('Aug 6'!$F$8:$F$42=$T13)*'Aug 6'!$AI$8:$AI$42*(('Aug 6'!$AM$8:$AM$42="Y")+('Aug 6'!$AN$8:$AN$42="Y")+('Aug 6'!$AO$8:$AO$42="Y")))+SUMPRODUCT(('Aug 7'!$F$8:$F$42=$T13)*'Aug 7'!$AI$8:$AI$42*(('Aug 7'!$AM$8:$AM$42="Y")+('Aug 7'!$AN$8:$AN$42="Y")+('Aug 7'!$AO$8:$AO$42="Y")))+SUMPRODUCT(('Aug 8'!$F$8:$F$42=$T13)*'Aug 8'!$AI$8:$AI$42*(('Aug 8'!$AM$8:$AM$42="Y")+('Aug 8'!$AN$8:$AN$42="Y")+('Aug 8'!$AO$8:$AO$42="Y")))+SUMPRODUCT(('Aug 9'!$F$8:$F$42=$T13)*'Aug 9'!$AI$8:$AI$42*(('Aug 9'!$AM$8:$AM$42="Y")+('Aug 9'!$AN$8:$AN$42="Y")+('Aug 9'!$AO$8:$AO$42="Y")))+SUMPRODUCT(('Aug 10'!$F$8:$F$42=$T13)*'Aug 10'!$AI$8:$AI$42*(('Aug 10'!$AM$8:$AM$42="Y")+('Aug 10'!$AN$8:$AN$42="Y")+('Aug 10'!$AO$8:$AO$42="Y")))+SUMPRODUCT(('Aug 11'!$F$8:$F$42=$T13)*'Aug 11'!$AI$8:$AI$42*(('Aug 11'!$AM$8:$AM$42="Y")+('Aug 11'!$AN$8:$AN$42="Y")+('Aug 11'!$AO$8:$AO$42="Y")))+SUMPRODUCT(('Aug 12'!$F$8:$F$42=$T13)*'Aug 12'!$AI$8:$AI$42*(('Aug 12'!$AM$8:$AM$42="Y")+('Aug 12'!$AN$8:$AN$42="Y")+('Aug 12'!$AO$8:$AO$42="Y")))+SUMPRODUCT(('Aug 13'!$F$8:$F$42=$T13)*'Aug 13'!$AI$8:$AI$42*(('Aug 13'!$AM$8:$AM$42="Y")+('Aug 13'!$AN$8:$AN$42="Y")+('Aug 13'!$AO$8:$AO$42="Y")))+SUMPRODUCT(('Aug 14'!$F$8:$F$42=$T13)*'Aug 14'!$AI$8:$AI$42*(('Aug 14'!$AM$8:$AM$42="Y")+('Aug 14'!$AN$8:$AN$42="Y")+('Aug 14'!$AO$8:$AO$42="Y")))+SUMPRODUCT(('Aug 15'!$F$8:$F$42=$T13)*'Aug 15'!$AI$8:$AI$42*(('Aug 15'!$AM$8:$AM$42="Y")+('Aug 15'!$AN$8:$AN$42="Y")+('Aug 15'!$AO$8:$AO$42="Y")))+SUMPRODUCT(('Aug 16'!$F$8:$F$42=$T13)*'Aug 16'!$AI$8:$AI$42*(('Aug 16'!$AM$8:$AM$42="Y")+('Aug 16'!$AN$8:$AN$42="Y")+('Aug 16'!$AO$8:$AO$42="Y")))+SUMPRODUCT(('Aug 17'!$F$8:$F$42=$T13)*'Aug 17'!$AI$8:$AI$42*(('Aug 17'!$AM$8:$AM$42="Y")+('Aug 17'!$AN$8:$AN$42="Y")+('Aug 17'!$AO$8:$AO$42="Y")))+SUMPRODUCT(('Aug 18'!$F$8:$F$42=$T13)*'Aug 18'!$AI$8:$AI$42*(('Aug 18'!$AM$8:$AM$42="Y")+('Aug 18'!$AN$8:$AN$42="Y")+('Aug 18'!$AO$8:$AO$42="Y")))+SUMPRODUCT(('Aug 19'!$F$8:$F$42=$T13)*'Aug 19'!$AI$8:$AI$42*(('Aug 19'!$AM$8:$AM$42="Y")+('Aug 19'!$AN$8:$AN$42="Y")+('Aug 19'!$AO$8:$AO$42="Y")))+SUMPRODUCT(('Aug 20'!$F$8:$F$42=$T13)*'Aug 20'!$AI$8:$AI$42*(('Aug 20'!$AM$8:$AM$42="Y")+('Aug 20'!$AN$8:$AN$42="Y")+('Aug 20'!$AO$8:$AO$42="Y")))+SUMPRODUCT(('Aug 21'!$F$8:$F$42=$T13)*'Aug 21'!$AI$8:$AI$42*(('Aug 21'!$AM$8:$AM$42="Y")+('Aug 21'!$AN$8:$AN$42="Y")+('Aug 21'!$AO$8:$AO$42="Y")))+SUMPRODUCT(('Aug 22'!$F$8:$F$42=$T13)*'Aug 22'!$AI$8:$AI$42*(('Aug 22'!$AM$8:$AM$42="Y")+('Aug 22'!$AN$8:$AN$42="Y")+('Aug 22'!$AO$8:$AO$42="Y")))+SUMPRODUCT(('Aug 23'!$F$8:$F$42=$T13)*'Aug 23'!$AI$8:$AI$42*(('Aug 23'!$AM$8:$AM$42="Y")+('Aug 23'!$AN$8:$AN$42="Y")+('Aug 23'!$AO$8:$AO$42="Y")))+SUMPRODUCT(('Aug 24'!$F$8:$F$42=$T13)*'Aug 24'!$AI$8:$AI$42*(('Aug 24'!$AM$8:$AM$42="Y")+('Aug 24'!$AN$8:$AN$42="Y")+('Aug 24'!$AO$8:$AO$42="Y")))+SUMPRODUCT(('Aug 25'!$F$8:$F$42=$T13)*'Aug 25'!$AI$8:$AI$42*(('Aug 25'!$AM$8:$AM$42="Y")+('Aug 25'!$AN$8:$AN$42="Y")+('Aug 25'!$AO$8:$AO$42="Y")))+SUMPRODUCT(('Aug 26'!$F$8:$F$42=$T13)*'Aug 26'!$AI$8:$AI$42*(('Aug 26'!$AM$8:$AM$42="Y")+('Aug 26'!$AN$8:$AN$42="Y")+('Aug 26'!$AO$8:$AO$42="Y")))+SUMPRODUCT(('Aug 27'!$F$8:$F$42=$T13)*'Aug 27'!$AI$8:$AI$42*(('Aug 27'!$AM$8:$AM$42="Y")+('Aug 27'!$AN$8:$AN$42="Y")+('Aug 27'!$AO$8:$AO$42="Y")))+SUMPRODUCT(('Aug 28'!$F$8:$F$42=$T13)*'Aug 28'!$AI$8:$AI$42*(('Aug 28'!$AM$8:$AM$42="Y")+('Aug 28'!$AN$8:$AN$42="Y")+('Aug 28'!$AO$8:$AO$42="Y")))+SUMPRODUCT(('Aug 29'!$F$8:$F$42=$T13)*'Aug 29'!$AI$8:$AI$42*(('Aug 29'!$AM$8:$AM$42="Y")+('Aug 29'!$AN$8:$AN$42="Y")+('Aug 29'!$AO$8:$AO$42="Y")))+SUMPRODUCT(('Aug 30'!$F$8:$F$42=$T13)*'Aug 30'!$AI$8:$AI$42*(('Aug 30'!$AM$8:$AM$42="Y")+('Aug 30'!$AN$8:$AN$42="Y")+('Aug 30'!$AO$8:$AO$42="Y")))+SUMPRODUCT(('Aug 31'!$F$8:$F$42=$T13)*'Aug 31'!$AI$8:$AI$42*(('Aug 31'!$AM$8:$AM$42="Y")+('Aug 31'!$AN$8:$AN$42="Y")+('Aug 31'!$AO$8:$AO$42="Y")))</f>
        <v>0</v>
      </c>
      <c r="BD13" s="0" t="n">
        <f aca="false">SUM(U13:AY13)</f>
        <v>0</v>
      </c>
      <c r="BE13" s="0" t="n">
        <f aca="false">SUM(U32:AY32)</f>
        <v>0</v>
      </c>
      <c r="BF13" s="0" t="n">
        <f aca="false">SUM(U51:AY51)</f>
        <v>0</v>
      </c>
    </row>
    <row r="14" customFormat="false" ht="14.25" hidden="false" customHeight="true" outlineLevel="0" collapsed="false">
      <c r="A14" s="48" t="n">
        <v>8</v>
      </c>
      <c r="B14" s="49" t="str">
        <f aca="false">$T11</f>
        <v>MATT ALFIERI</v>
      </c>
      <c r="C14" s="50" t="n">
        <f aca="false">BD11</f>
        <v>0</v>
      </c>
      <c r="D14" s="51" t="n">
        <f aca="false">BE11</f>
        <v>0</v>
      </c>
      <c r="E14" s="51" t="str">
        <f aca="false">IF(BD11=0,"—",BE11/BD11)</f>
        <v>—</v>
      </c>
      <c r="F14" s="48" t="str">
        <f aca="false">IF(BD11=0,"—",INDEX('Pay Plan'!$B$6:$B$12,BB11))</f>
        <v>—</v>
      </c>
      <c r="G14" s="51" t="n">
        <f aca="false">BF11</f>
        <v>0</v>
      </c>
      <c r="H14" s="51" t="n">
        <f aca="false">LOOKUP(BD11,'Pay Plan'!$B$15:$B$20,'Pay Plan'!$C$15:$C$20)</f>
        <v>0</v>
      </c>
      <c r="I14" s="51" t="n">
        <f aca="false">LOOKUP(BA11,'Pay Plan'!$E$15:$E$19,'Pay Plan'!$F$15:$F$19)</f>
        <v>0</v>
      </c>
      <c r="J14" s="51" t="n">
        <f aca="false">BC11*'Pay Plan'!$I$15</f>
        <v>0</v>
      </c>
      <c r="K14" s="52" t="n">
        <f aca="false">G14+H14+I14+J14</f>
        <v>0</v>
      </c>
      <c r="L14" s="52"/>
      <c r="M14" s="52"/>
      <c r="N14" s="47"/>
      <c r="O14" s="52" t="n">
        <f aca="false">K14-N14</f>
        <v>0</v>
      </c>
      <c r="P14" s="52"/>
      <c r="Q14" s="52"/>
      <c r="R14" s="52"/>
      <c r="T14" s="0" t="str">
        <f aca="false">'Staff &amp; Lists'!A15</f>
        <v>RAFAEL CAMPOS</v>
      </c>
      <c r="U14" s="0" t="n">
        <f aca="false">SUMPRODUCT(('Aug 1'!$F$8:$F$42=$T14)*'Aug 1'!$AJ$8:$AJ$42+('Aug 1'!$G$8:$G$42=$T14)*'Aug 1'!$AK$8:$AK$42)</f>
        <v>0</v>
      </c>
      <c r="V14" s="0" t="n">
        <f aca="false">SUMPRODUCT(('Aug 2'!$F$8:$F$42=$T14)*'Aug 2'!$AJ$8:$AJ$42+('Aug 2'!$G$8:$G$42=$T14)*'Aug 2'!$AK$8:$AK$42)</f>
        <v>0</v>
      </c>
      <c r="W14" s="0" t="n">
        <f aca="false">SUMPRODUCT(('Aug 3'!$F$8:$F$42=$T14)*'Aug 3'!$AJ$8:$AJ$42+('Aug 3'!$G$8:$G$42=$T14)*'Aug 3'!$AK$8:$AK$42)</f>
        <v>0</v>
      </c>
      <c r="X14" s="0" t="n">
        <f aca="false">SUMPRODUCT(('Aug 4'!$F$8:$F$42=$T14)*'Aug 4'!$AJ$8:$AJ$42+('Aug 4'!$G$8:$G$42=$T14)*'Aug 4'!$AK$8:$AK$42)</f>
        <v>0</v>
      </c>
      <c r="Y14" s="0" t="n">
        <f aca="false">SUMPRODUCT(('Aug 5'!$F$8:$F$42=$T14)*'Aug 5'!$AJ$8:$AJ$42+('Aug 5'!$G$8:$G$42=$T14)*'Aug 5'!$AK$8:$AK$42)</f>
        <v>0</v>
      </c>
      <c r="Z14" s="0" t="n">
        <f aca="false">SUMPRODUCT(('Aug 6'!$F$8:$F$42=$T14)*'Aug 6'!$AJ$8:$AJ$42+('Aug 6'!$G$8:$G$42=$T14)*'Aug 6'!$AK$8:$AK$42)</f>
        <v>0</v>
      </c>
      <c r="AA14" s="0" t="n">
        <f aca="false">SUMPRODUCT(('Aug 7'!$F$8:$F$42=$T14)*'Aug 7'!$AJ$8:$AJ$42+('Aug 7'!$G$8:$G$42=$T14)*'Aug 7'!$AK$8:$AK$42)</f>
        <v>0</v>
      </c>
      <c r="AB14" s="0" t="n">
        <f aca="false">SUMPRODUCT(('Aug 8'!$F$8:$F$42=$T14)*'Aug 8'!$AJ$8:$AJ$42+('Aug 8'!$G$8:$G$42=$T14)*'Aug 8'!$AK$8:$AK$42)</f>
        <v>0</v>
      </c>
      <c r="AC14" s="0" t="n">
        <f aca="false">SUMPRODUCT(('Aug 9'!$F$8:$F$42=$T14)*'Aug 9'!$AJ$8:$AJ$42+('Aug 9'!$G$8:$G$42=$T14)*'Aug 9'!$AK$8:$AK$42)</f>
        <v>0</v>
      </c>
      <c r="AD14" s="0" t="n">
        <f aca="false">SUMPRODUCT(('Aug 10'!$F$8:$F$42=$T14)*'Aug 10'!$AJ$8:$AJ$42+('Aug 10'!$G$8:$G$42=$T14)*'Aug 10'!$AK$8:$AK$42)</f>
        <v>0</v>
      </c>
      <c r="AE14" s="0" t="n">
        <f aca="false">SUMPRODUCT(('Aug 11'!$F$8:$F$42=$T14)*'Aug 11'!$AJ$8:$AJ$42+('Aug 11'!$G$8:$G$42=$T14)*'Aug 11'!$AK$8:$AK$42)</f>
        <v>0</v>
      </c>
      <c r="AF14" s="0" t="n">
        <f aca="false">SUMPRODUCT(('Aug 12'!$F$8:$F$42=$T14)*'Aug 12'!$AJ$8:$AJ$42+('Aug 12'!$G$8:$G$42=$T14)*'Aug 12'!$AK$8:$AK$42)</f>
        <v>0</v>
      </c>
      <c r="AG14" s="0" t="n">
        <f aca="false">SUMPRODUCT(('Aug 13'!$F$8:$F$42=$T14)*'Aug 13'!$AJ$8:$AJ$42+('Aug 13'!$G$8:$G$42=$T14)*'Aug 13'!$AK$8:$AK$42)</f>
        <v>0</v>
      </c>
      <c r="AH14" s="0" t="n">
        <f aca="false">SUMPRODUCT(('Aug 14'!$F$8:$F$42=$T14)*'Aug 14'!$AJ$8:$AJ$42+('Aug 14'!$G$8:$G$42=$T14)*'Aug 14'!$AK$8:$AK$42)</f>
        <v>0</v>
      </c>
      <c r="AI14" s="0" t="n">
        <f aca="false">SUMPRODUCT(('Aug 15'!$F$8:$F$42=$T14)*'Aug 15'!$AJ$8:$AJ$42+('Aug 15'!$G$8:$G$42=$T14)*'Aug 15'!$AK$8:$AK$42)</f>
        <v>0</v>
      </c>
      <c r="AJ14" s="0" t="n">
        <f aca="false">SUMPRODUCT(('Aug 16'!$F$8:$F$42=$T14)*'Aug 16'!$AJ$8:$AJ$42+('Aug 16'!$G$8:$G$42=$T14)*'Aug 16'!$AK$8:$AK$42)</f>
        <v>0</v>
      </c>
      <c r="AK14" s="0" t="n">
        <f aca="false">SUMPRODUCT(('Aug 17'!$F$8:$F$42=$T14)*'Aug 17'!$AJ$8:$AJ$42+('Aug 17'!$G$8:$G$42=$T14)*'Aug 17'!$AK$8:$AK$42)</f>
        <v>0</v>
      </c>
      <c r="AL14" s="0" t="n">
        <f aca="false">SUMPRODUCT(('Aug 18'!$F$8:$F$42=$T14)*'Aug 18'!$AJ$8:$AJ$42+('Aug 18'!$G$8:$G$42=$T14)*'Aug 18'!$AK$8:$AK$42)</f>
        <v>0</v>
      </c>
      <c r="AM14" s="0" t="n">
        <f aca="false">SUMPRODUCT(('Aug 19'!$F$8:$F$42=$T14)*'Aug 19'!$AJ$8:$AJ$42+('Aug 19'!$G$8:$G$42=$T14)*'Aug 19'!$AK$8:$AK$42)</f>
        <v>0</v>
      </c>
      <c r="AN14" s="0" t="n">
        <f aca="false">SUMPRODUCT(('Aug 20'!$F$8:$F$42=$T14)*'Aug 20'!$AJ$8:$AJ$42+('Aug 20'!$G$8:$G$42=$T14)*'Aug 20'!$AK$8:$AK$42)</f>
        <v>0</v>
      </c>
      <c r="AO14" s="0" t="n">
        <f aca="false">SUMPRODUCT(('Aug 21'!$F$8:$F$42=$T14)*'Aug 21'!$AJ$8:$AJ$42+('Aug 21'!$G$8:$G$42=$T14)*'Aug 21'!$AK$8:$AK$42)</f>
        <v>0</v>
      </c>
      <c r="AP14" s="0" t="n">
        <f aca="false">SUMPRODUCT(('Aug 22'!$F$8:$F$42=$T14)*'Aug 22'!$AJ$8:$AJ$42+('Aug 22'!$G$8:$G$42=$T14)*'Aug 22'!$AK$8:$AK$42)</f>
        <v>0</v>
      </c>
      <c r="AQ14" s="0" t="n">
        <f aca="false">SUMPRODUCT(('Aug 23'!$F$8:$F$42=$T14)*'Aug 23'!$AJ$8:$AJ$42+('Aug 23'!$G$8:$G$42=$T14)*'Aug 23'!$AK$8:$AK$42)</f>
        <v>0</v>
      </c>
      <c r="AR14" s="0" t="n">
        <f aca="false">SUMPRODUCT(('Aug 24'!$F$8:$F$42=$T14)*'Aug 24'!$AJ$8:$AJ$42+('Aug 24'!$G$8:$G$42=$T14)*'Aug 24'!$AK$8:$AK$42)</f>
        <v>0</v>
      </c>
      <c r="AS14" s="0" t="n">
        <f aca="false">SUMPRODUCT(('Aug 25'!$F$8:$F$42=$T14)*'Aug 25'!$AJ$8:$AJ$42+('Aug 25'!$G$8:$G$42=$T14)*'Aug 25'!$AK$8:$AK$42)</f>
        <v>0</v>
      </c>
      <c r="AT14" s="0" t="n">
        <f aca="false">SUMPRODUCT(('Aug 26'!$F$8:$F$42=$T14)*'Aug 26'!$AJ$8:$AJ$42+('Aug 26'!$G$8:$G$42=$T14)*'Aug 26'!$AK$8:$AK$42)</f>
        <v>0</v>
      </c>
      <c r="AU14" s="0" t="n">
        <f aca="false">SUMPRODUCT(('Aug 27'!$F$8:$F$42=$T14)*'Aug 27'!$AJ$8:$AJ$42+('Aug 27'!$G$8:$G$42=$T14)*'Aug 27'!$AK$8:$AK$42)</f>
        <v>0</v>
      </c>
      <c r="AV14" s="0" t="n">
        <f aca="false">SUMPRODUCT(('Aug 28'!$F$8:$F$42=$T14)*'Aug 28'!$AJ$8:$AJ$42+('Aug 28'!$G$8:$G$42=$T14)*'Aug 28'!$AK$8:$AK$42)</f>
        <v>0</v>
      </c>
      <c r="AW14" s="0" t="n">
        <f aca="false">SUMPRODUCT(('Aug 29'!$F$8:$F$42=$T14)*'Aug 29'!$AJ$8:$AJ$42+('Aug 29'!$G$8:$G$42=$T14)*'Aug 29'!$AK$8:$AK$42)</f>
        <v>0</v>
      </c>
      <c r="AX14" s="0" t="n">
        <f aca="false">SUMPRODUCT(('Aug 30'!$F$8:$F$42=$T14)*'Aug 30'!$AJ$8:$AJ$42+('Aug 30'!$G$8:$G$42=$T14)*'Aug 30'!$AK$8:$AK$42)</f>
        <v>0</v>
      </c>
      <c r="AY14" s="0" t="n">
        <f aca="false">SUMPRODUCT(('Aug 31'!$F$8:$F$42=$T14)*'Aug 31'!$AJ$8:$AJ$42+('Aug 31'!$G$8:$G$42=$T14)*'Aug 31'!$AK$8:$AK$42)</f>
        <v>0</v>
      </c>
      <c r="BA14" s="0" t="n">
        <f aca="false">SUM(U14:AD14)</f>
        <v>0</v>
      </c>
      <c r="BB14" s="0" t="n">
        <f aca="false">MATCH(BD14,'Pay Plan'!$C$6:$C$12,1)</f>
        <v>1</v>
      </c>
      <c r="BC14" s="0" t="n">
        <f aca="false">SUMPRODUCT(('Aug 1'!$F$8:$F$42=$T14)*'Aug 1'!$AI$8:$AI$42*(('Aug 1'!$AM$8:$AM$42="Y")+('Aug 1'!$AN$8:$AN$42="Y")+('Aug 1'!$AO$8:$AO$42="Y")))+SUMPRODUCT(('Aug 2'!$F$8:$F$42=$T14)*'Aug 2'!$AI$8:$AI$42*(('Aug 2'!$AM$8:$AM$42="Y")+('Aug 2'!$AN$8:$AN$42="Y")+('Aug 2'!$AO$8:$AO$42="Y")))+SUMPRODUCT(('Aug 3'!$F$8:$F$42=$T14)*'Aug 3'!$AI$8:$AI$42*(('Aug 3'!$AM$8:$AM$42="Y")+('Aug 3'!$AN$8:$AN$42="Y")+('Aug 3'!$AO$8:$AO$42="Y")))+SUMPRODUCT(('Aug 4'!$F$8:$F$42=$T14)*'Aug 4'!$AI$8:$AI$42*(('Aug 4'!$AM$8:$AM$42="Y")+('Aug 4'!$AN$8:$AN$42="Y")+('Aug 4'!$AO$8:$AO$42="Y")))+SUMPRODUCT(('Aug 5'!$F$8:$F$42=$T14)*'Aug 5'!$AI$8:$AI$42*(('Aug 5'!$AM$8:$AM$42="Y")+('Aug 5'!$AN$8:$AN$42="Y")+('Aug 5'!$AO$8:$AO$42="Y")))+SUMPRODUCT(('Aug 6'!$F$8:$F$42=$T14)*'Aug 6'!$AI$8:$AI$42*(('Aug 6'!$AM$8:$AM$42="Y")+('Aug 6'!$AN$8:$AN$42="Y")+('Aug 6'!$AO$8:$AO$42="Y")))+SUMPRODUCT(('Aug 7'!$F$8:$F$42=$T14)*'Aug 7'!$AI$8:$AI$42*(('Aug 7'!$AM$8:$AM$42="Y")+('Aug 7'!$AN$8:$AN$42="Y")+('Aug 7'!$AO$8:$AO$42="Y")))+SUMPRODUCT(('Aug 8'!$F$8:$F$42=$T14)*'Aug 8'!$AI$8:$AI$42*(('Aug 8'!$AM$8:$AM$42="Y")+('Aug 8'!$AN$8:$AN$42="Y")+('Aug 8'!$AO$8:$AO$42="Y")))+SUMPRODUCT(('Aug 9'!$F$8:$F$42=$T14)*'Aug 9'!$AI$8:$AI$42*(('Aug 9'!$AM$8:$AM$42="Y")+('Aug 9'!$AN$8:$AN$42="Y")+('Aug 9'!$AO$8:$AO$42="Y")))+SUMPRODUCT(('Aug 10'!$F$8:$F$42=$T14)*'Aug 10'!$AI$8:$AI$42*(('Aug 10'!$AM$8:$AM$42="Y")+('Aug 10'!$AN$8:$AN$42="Y")+('Aug 10'!$AO$8:$AO$42="Y")))+SUMPRODUCT(('Aug 11'!$F$8:$F$42=$T14)*'Aug 11'!$AI$8:$AI$42*(('Aug 11'!$AM$8:$AM$42="Y")+('Aug 11'!$AN$8:$AN$42="Y")+('Aug 11'!$AO$8:$AO$42="Y")))+SUMPRODUCT(('Aug 12'!$F$8:$F$42=$T14)*'Aug 12'!$AI$8:$AI$42*(('Aug 12'!$AM$8:$AM$42="Y")+('Aug 12'!$AN$8:$AN$42="Y")+('Aug 12'!$AO$8:$AO$42="Y")))+SUMPRODUCT(('Aug 13'!$F$8:$F$42=$T14)*'Aug 13'!$AI$8:$AI$42*(('Aug 13'!$AM$8:$AM$42="Y")+('Aug 13'!$AN$8:$AN$42="Y")+('Aug 13'!$AO$8:$AO$42="Y")))+SUMPRODUCT(('Aug 14'!$F$8:$F$42=$T14)*'Aug 14'!$AI$8:$AI$42*(('Aug 14'!$AM$8:$AM$42="Y")+('Aug 14'!$AN$8:$AN$42="Y")+('Aug 14'!$AO$8:$AO$42="Y")))+SUMPRODUCT(('Aug 15'!$F$8:$F$42=$T14)*'Aug 15'!$AI$8:$AI$42*(('Aug 15'!$AM$8:$AM$42="Y")+('Aug 15'!$AN$8:$AN$42="Y")+('Aug 15'!$AO$8:$AO$42="Y")))+SUMPRODUCT(('Aug 16'!$F$8:$F$42=$T14)*'Aug 16'!$AI$8:$AI$42*(('Aug 16'!$AM$8:$AM$42="Y")+('Aug 16'!$AN$8:$AN$42="Y")+('Aug 16'!$AO$8:$AO$42="Y")))+SUMPRODUCT(('Aug 17'!$F$8:$F$42=$T14)*'Aug 17'!$AI$8:$AI$42*(('Aug 17'!$AM$8:$AM$42="Y")+('Aug 17'!$AN$8:$AN$42="Y")+('Aug 17'!$AO$8:$AO$42="Y")))+SUMPRODUCT(('Aug 18'!$F$8:$F$42=$T14)*'Aug 18'!$AI$8:$AI$42*(('Aug 18'!$AM$8:$AM$42="Y")+('Aug 18'!$AN$8:$AN$42="Y")+('Aug 18'!$AO$8:$AO$42="Y")))+SUMPRODUCT(('Aug 19'!$F$8:$F$42=$T14)*'Aug 19'!$AI$8:$AI$42*(('Aug 19'!$AM$8:$AM$42="Y")+('Aug 19'!$AN$8:$AN$42="Y")+('Aug 19'!$AO$8:$AO$42="Y")))+SUMPRODUCT(('Aug 20'!$F$8:$F$42=$T14)*'Aug 20'!$AI$8:$AI$42*(('Aug 20'!$AM$8:$AM$42="Y")+('Aug 20'!$AN$8:$AN$42="Y")+('Aug 20'!$AO$8:$AO$42="Y")))+SUMPRODUCT(('Aug 21'!$F$8:$F$42=$T14)*'Aug 21'!$AI$8:$AI$42*(('Aug 21'!$AM$8:$AM$42="Y")+('Aug 21'!$AN$8:$AN$42="Y")+('Aug 21'!$AO$8:$AO$42="Y")))+SUMPRODUCT(('Aug 22'!$F$8:$F$42=$T14)*'Aug 22'!$AI$8:$AI$42*(('Aug 22'!$AM$8:$AM$42="Y")+('Aug 22'!$AN$8:$AN$42="Y")+('Aug 22'!$AO$8:$AO$42="Y")))+SUMPRODUCT(('Aug 23'!$F$8:$F$42=$T14)*'Aug 23'!$AI$8:$AI$42*(('Aug 23'!$AM$8:$AM$42="Y")+('Aug 23'!$AN$8:$AN$42="Y")+('Aug 23'!$AO$8:$AO$42="Y")))+SUMPRODUCT(('Aug 24'!$F$8:$F$42=$T14)*'Aug 24'!$AI$8:$AI$42*(('Aug 24'!$AM$8:$AM$42="Y")+('Aug 24'!$AN$8:$AN$42="Y")+('Aug 24'!$AO$8:$AO$42="Y")))+SUMPRODUCT(('Aug 25'!$F$8:$F$42=$T14)*'Aug 25'!$AI$8:$AI$42*(('Aug 25'!$AM$8:$AM$42="Y")+('Aug 25'!$AN$8:$AN$42="Y")+('Aug 25'!$AO$8:$AO$42="Y")))+SUMPRODUCT(('Aug 26'!$F$8:$F$42=$T14)*'Aug 26'!$AI$8:$AI$42*(('Aug 26'!$AM$8:$AM$42="Y")+('Aug 26'!$AN$8:$AN$42="Y")+('Aug 26'!$AO$8:$AO$42="Y")))+SUMPRODUCT(('Aug 27'!$F$8:$F$42=$T14)*'Aug 27'!$AI$8:$AI$42*(('Aug 27'!$AM$8:$AM$42="Y")+('Aug 27'!$AN$8:$AN$42="Y")+('Aug 27'!$AO$8:$AO$42="Y")))+SUMPRODUCT(('Aug 28'!$F$8:$F$42=$T14)*'Aug 28'!$AI$8:$AI$42*(('Aug 28'!$AM$8:$AM$42="Y")+('Aug 28'!$AN$8:$AN$42="Y")+('Aug 28'!$AO$8:$AO$42="Y")))+SUMPRODUCT(('Aug 29'!$F$8:$F$42=$T14)*'Aug 29'!$AI$8:$AI$42*(('Aug 29'!$AM$8:$AM$42="Y")+('Aug 29'!$AN$8:$AN$42="Y")+('Aug 29'!$AO$8:$AO$42="Y")))+SUMPRODUCT(('Aug 30'!$F$8:$F$42=$T14)*'Aug 30'!$AI$8:$AI$42*(('Aug 30'!$AM$8:$AM$42="Y")+('Aug 30'!$AN$8:$AN$42="Y")+('Aug 30'!$AO$8:$AO$42="Y")))+SUMPRODUCT(('Aug 31'!$F$8:$F$42=$T14)*'Aug 31'!$AI$8:$AI$42*(('Aug 31'!$AM$8:$AM$42="Y")+('Aug 31'!$AN$8:$AN$42="Y")+('Aug 31'!$AO$8:$AO$42="Y")))</f>
        <v>0</v>
      </c>
      <c r="BD14" s="0" t="n">
        <f aca="false">SUM(U14:AY14)</f>
        <v>0</v>
      </c>
      <c r="BE14" s="0" t="n">
        <f aca="false">SUM(U33:AY33)</f>
        <v>0</v>
      </c>
      <c r="BF14" s="0" t="n">
        <f aca="false">SUM(U52:AY52)</f>
        <v>0</v>
      </c>
    </row>
    <row r="15" customFormat="false" ht="14.25" hidden="false" customHeight="true" outlineLevel="0" collapsed="false">
      <c r="A15" s="44" t="n">
        <v>9</v>
      </c>
      <c r="B15" s="45" t="str">
        <f aca="false">$T12</f>
        <v>ZACH CUPP</v>
      </c>
      <c r="C15" s="22" t="n">
        <f aca="false">BD12</f>
        <v>0</v>
      </c>
      <c r="D15" s="25" t="n">
        <f aca="false">BE12</f>
        <v>0</v>
      </c>
      <c r="E15" s="25" t="str">
        <f aca="false">IF(BD12=0,"—",BE12/BD12)</f>
        <v>—</v>
      </c>
      <c r="F15" s="44" t="str">
        <f aca="false">IF(BD12=0,"—",INDEX('Pay Plan'!$B$6:$B$12,BB12))</f>
        <v>—</v>
      </c>
      <c r="G15" s="25" t="n">
        <f aca="false">BF12</f>
        <v>0</v>
      </c>
      <c r="H15" s="25" t="n">
        <f aca="false">LOOKUP(BD12,'Pay Plan'!$B$15:$B$20,'Pay Plan'!$C$15:$C$20)</f>
        <v>0</v>
      </c>
      <c r="I15" s="25" t="n">
        <f aca="false">LOOKUP(BA12,'Pay Plan'!$E$15:$E$19,'Pay Plan'!$F$15:$F$19)</f>
        <v>0</v>
      </c>
      <c r="J15" s="25" t="n">
        <f aca="false">BC12*'Pay Plan'!$I$15</f>
        <v>0</v>
      </c>
      <c r="K15" s="46" t="n">
        <f aca="false">G15+H15+I15+J15</f>
        <v>0</v>
      </c>
      <c r="L15" s="46"/>
      <c r="M15" s="46"/>
      <c r="N15" s="47"/>
      <c r="O15" s="46" t="n">
        <f aca="false">K15-N15</f>
        <v>0</v>
      </c>
      <c r="P15" s="46"/>
      <c r="Q15" s="46"/>
      <c r="R15" s="46"/>
      <c r="T15" s="0" t="str">
        <f aca="false">'Staff &amp; Lists'!A16</f>
        <v>JACOB LICHTENSTRAHL</v>
      </c>
      <c r="U15" s="0" t="n">
        <f aca="false">SUMPRODUCT(('Aug 1'!$F$8:$F$42=$T15)*'Aug 1'!$AJ$8:$AJ$42+('Aug 1'!$G$8:$G$42=$T15)*'Aug 1'!$AK$8:$AK$42)</f>
        <v>0</v>
      </c>
      <c r="V15" s="0" t="n">
        <f aca="false">SUMPRODUCT(('Aug 2'!$F$8:$F$42=$T15)*'Aug 2'!$AJ$8:$AJ$42+('Aug 2'!$G$8:$G$42=$T15)*'Aug 2'!$AK$8:$AK$42)</f>
        <v>0</v>
      </c>
      <c r="W15" s="0" t="n">
        <f aca="false">SUMPRODUCT(('Aug 3'!$F$8:$F$42=$T15)*'Aug 3'!$AJ$8:$AJ$42+('Aug 3'!$G$8:$G$42=$T15)*'Aug 3'!$AK$8:$AK$42)</f>
        <v>0</v>
      </c>
      <c r="X15" s="0" t="n">
        <f aca="false">SUMPRODUCT(('Aug 4'!$F$8:$F$42=$T15)*'Aug 4'!$AJ$8:$AJ$42+('Aug 4'!$G$8:$G$42=$T15)*'Aug 4'!$AK$8:$AK$42)</f>
        <v>0</v>
      </c>
      <c r="Y15" s="0" t="n">
        <f aca="false">SUMPRODUCT(('Aug 5'!$F$8:$F$42=$T15)*'Aug 5'!$AJ$8:$AJ$42+('Aug 5'!$G$8:$G$42=$T15)*'Aug 5'!$AK$8:$AK$42)</f>
        <v>0</v>
      </c>
      <c r="Z15" s="0" t="n">
        <f aca="false">SUMPRODUCT(('Aug 6'!$F$8:$F$42=$T15)*'Aug 6'!$AJ$8:$AJ$42+('Aug 6'!$G$8:$G$42=$T15)*'Aug 6'!$AK$8:$AK$42)</f>
        <v>0</v>
      </c>
      <c r="AA15" s="0" t="n">
        <f aca="false">SUMPRODUCT(('Aug 7'!$F$8:$F$42=$T15)*'Aug 7'!$AJ$8:$AJ$42+('Aug 7'!$G$8:$G$42=$T15)*'Aug 7'!$AK$8:$AK$42)</f>
        <v>0</v>
      </c>
      <c r="AB15" s="0" t="n">
        <f aca="false">SUMPRODUCT(('Aug 8'!$F$8:$F$42=$T15)*'Aug 8'!$AJ$8:$AJ$42+('Aug 8'!$G$8:$G$42=$T15)*'Aug 8'!$AK$8:$AK$42)</f>
        <v>0</v>
      </c>
      <c r="AC15" s="0" t="n">
        <f aca="false">SUMPRODUCT(('Aug 9'!$F$8:$F$42=$T15)*'Aug 9'!$AJ$8:$AJ$42+('Aug 9'!$G$8:$G$42=$T15)*'Aug 9'!$AK$8:$AK$42)</f>
        <v>0</v>
      </c>
      <c r="AD15" s="0" t="n">
        <f aca="false">SUMPRODUCT(('Aug 10'!$F$8:$F$42=$T15)*'Aug 10'!$AJ$8:$AJ$42+('Aug 10'!$G$8:$G$42=$T15)*'Aug 10'!$AK$8:$AK$42)</f>
        <v>0</v>
      </c>
      <c r="AE15" s="0" t="n">
        <f aca="false">SUMPRODUCT(('Aug 11'!$F$8:$F$42=$T15)*'Aug 11'!$AJ$8:$AJ$42+('Aug 11'!$G$8:$G$42=$T15)*'Aug 11'!$AK$8:$AK$42)</f>
        <v>0</v>
      </c>
      <c r="AF15" s="0" t="n">
        <f aca="false">SUMPRODUCT(('Aug 12'!$F$8:$F$42=$T15)*'Aug 12'!$AJ$8:$AJ$42+('Aug 12'!$G$8:$G$42=$T15)*'Aug 12'!$AK$8:$AK$42)</f>
        <v>0</v>
      </c>
      <c r="AG15" s="0" t="n">
        <f aca="false">SUMPRODUCT(('Aug 13'!$F$8:$F$42=$T15)*'Aug 13'!$AJ$8:$AJ$42+('Aug 13'!$G$8:$G$42=$T15)*'Aug 13'!$AK$8:$AK$42)</f>
        <v>0</v>
      </c>
      <c r="AH15" s="0" t="n">
        <f aca="false">SUMPRODUCT(('Aug 14'!$F$8:$F$42=$T15)*'Aug 14'!$AJ$8:$AJ$42+('Aug 14'!$G$8:$G$42=$T15)*'Aug 14'!$AK$8:$AK$42)</f>
        <v>0</v>
      </c>
      <c r="AI15" s="0" t="n">
        <f aca="false">SUMPRODUCT(('Aug 15'!$F$8:$F$42=$T15)*'Aug 15'!$AJ$8:$AJ$42+('Aug 15'!$G$8:$G$42=$T15)*'Aug 15'!$AK$8:$AK$42)</f>
        <v>0</v>
      </c>
      <c r="AJ15" s="0" t="n">
        <f aca="false">SUMPRODUCT(('Aug 16'!$F$8:$F$42=$T15)*'Aug 16'!$AJ$8:$AJ$42+('Aug 16'!$G$8:$G$42=$T15)*'Aug 16'!$AK$8:$AK$42)</f>
        <v>0</v>
      </c>
      <c r="AK15" s="0" t="n">
        <f aca="false">SUMPRODUCT(('Aug 17'!$F$8:$F$42=$T15)*'Aug 17'!$AJ$8:$AJ$42+('Aug 17'!$G$8:$G$42=$T15)*'Aug 17'!$AK$8:$AK$42)</f>
        <v>0</v>
      </c>
      <c r="AL15" s="0" t="n">
        <f aca="false">SUMPRODUCT(('Aug 18'!$F$8:$F$42=$T15)*'Aug 18'!$AJ$8:$AJ$42+('Aug 18'!$G$8:$G$42=$T15)*'Aug 18'!$AK$8:$AK$42)</f>
        <v>0</v>
      </c>
      <c r="AM15" s="0" t="n">
        <f aca="false">SUMPRODUCT(('Aug 19'!$F$8:$F$42=$T15)*'Aug 19'!$AJ$8:$AJ$42+('Aug 19'!$G$8:$G$42=$T15)*'Aug 19'!$AK$8:$AK$42)</f>
        <v>0</v>
      </c>
      <c r="AN15" s="0" t="n">
        <f aca="false">SUMPRODUCT(('Aug 20'!$F$8:$F$42=$T15)*'Aug 20'!$AJ$8:$AJ$42+('Aug 20'!$G$8:$G$42=$T15)*'Aug 20'!$AK$8:$AK$42)</f>
        <v>0</v>
      </c>
      <c r="AO15" s="0" t="n">
        <f aca="false">SUMPRODUCT(('Aug 21'!$F$8:$F$42=$T15)*'Aug 21'!$AJ$8:$AJ$42+('Aug 21'!$G$8:$G$42=$T15)*'Aug 21'!$AK$8:$AK$42)</f>
        <v>0</v>
      </c>
      <c r="AP15" s="0" t="n">
        <f aca="false">SUMPRODUCT(('Aug 22'!$F$8:$F$42=$T15)*'Aug 22'!$AJ$8:$AJ$42+('Aug 22'!$G$8:$G$42=$T15)*'Aug 22'!$AK$8:$AK$42)</f>
        <v>0</v>
      </c>
      <c r="AQ15" s="0" t="n">
        <f aca="false">SUMPRODUCT(('Aug 23'!$F$8:$F$42=$T15)*'Aug 23'!$AJ$8:$AJ$42+('Aug 23'!$G$8:$G$42=$T15)*'Aug 23'!$AK$8:$AK$42)</f>
        <v>0</v>
      </c>
      <c r="AR15" s="0" t="n">
        <f aca="false">SUMPRODUCT(('Aug 24'!$F$8:$F$42=$T15)*'Aug 24'!$AJ$8:$AJ$42+('Aug 24'!$G$8:$G$42=$T15)*'Aug 24'!$AK$8:$AK$42)</f>
        <v>0</v>
      </c>
      <c r="AS15" s="0" t="n">
        <f aca="false">SUMPRODUCT(('Aug 25'!$F$8:$F$42=$T15)*'Aug 25'!$AJ$8:$AJ$42+('Aug 25'!$G$8:$G$42=$T15)*'Aug 25'!$AK$8:$AK$42)</f>
        <v>0</v>
      </c>
      <c r="AT15" s="0" t="n">
        <f aca="false">SUMPRODUCT(('Aug 26'!$F$8:$F$42=$T15)*'Aug 26'!$AJ$8:$AJ$42+('Aug 26'!$G$8:$G$42=$T15)*'Aug 26'!$AK$8:$AK$42)</f>
        <v>0</v>
      </c>
      <c r="AU15" s="0" t="n">
        <f aca="false">SUMPRODUCT(('Aug 27'!$F$8:$F$42=$T15)*'Aug 27'!$AJ$8:$AJ$42+('Aug 27'!$G$8:$G$42=$T15)*'Aug 27'!$AK$8:$AK$42)</f>
        <v>0</v>
      </c>
      <c r="AV15" s="0" t="n">
        <f aca="false">SUMPRODUCT(('Aug 28'!$F$8:$F$42=$T15)*'Aug 28'!$AJ$8:$AJ$42+('Aug 28'!$G$8:$G$42=$T15)*'Aug 28'!$AK$8:$AK$42)</f>
        <v>0</v>
      </c>
      <c r="AW15" s="0" t="n">
        <f aca="false">SUMPRODUCT(('Aug 29'!$F$8:$F$42=$T15)*'Aug 29'!$AJ$8:$AJ$42+('Aug 29'!$G$8:$G$42=$T15)*'Aug 29'!$AK$8:$AK$42)</f>
        <v>0</v>
      </c>
      <c r="AX15" s="0" t="n">
        <f aca="false">SUMPRODUCT(('Aug 30'!$F$8:$F$42=$T15)*'Aug 30'!$AJ$8:$AJ$42+('Aug 30'!$G$8:$G$42=$T15)*'Aug 30'!$AK$8:$AK$42)</f>
        <v>0</v>
      </c>
      <c r="AY15" s="0" t="n">
        <f aca="false">SUMPRODUCT(('Aug 31'!$F$8:$F$42=$T15)*'Aug 31'!$AJ$8:$AJ$42+('Aug 31'!$G$8:$G$42=$T15)*'Aug 31'!$AK$8:$AK$42)</f>
        <v>0</v>
      </c>
      <c r="BA15" s="0" t="n">
        <f aca="false">SUM(U15:AD15)</f>
        <v>0</v>
      </c>
      <c r="BB15" s="0" t="n">
        <f aca="false">MATCH(BD15,'Pay Plan'!$C$6:$C$12,1)</f>
        <v>1</v>
      </c>
      <c r="BC15" s="0" t="n">
        <f aca="false">SUMPRODUCT(('Aug 1'!$F$8:$F$42=$T15)*'Aug 1'!$AI$8:$AI$42*(('Aug 1'!$AM$8:$AM$42="Y")+('Aug 1'!$AN$8:$AN$42="Y")+('Aug 1'!$AO$8:$AO$42="Y")))+SUMPRODUCT(('Aug 2'!$F$8:$F$42=$T15)*'Aug 2'!$AI$8:$AI$42*(('Aug 2'!$AM$8:$AM$42="Y")+('Aug 2'!$AN$8:$AN$42="Y")+('Aug 2'!$AO$8:$AO$42="Y")))+SUMPRODUCT(('Aug 3'!$F$8:$F$42=$T15)*'Aug 3'!$AI$8:$AI$42*(('Aug 3'!$AM$8:$AM$42="Y")+('Aug 3'!$AN$8:$AN$42="Y")+('Aug 3'!$AO$8:$AO$42="Y")))+SUMPRODUCT(('Aug 4'!$F$8:$F$42=$T15)*'Aug 4'!$AI$8:$AI$42*(('Aug 4'!$AM$8:$AM$42="Y")+('Aug 4'!$AN$8:$AN$42="Y")+('Aug 4'!$AO$8:$AO$42="Y")))+SUMPRODUCT(('Aug 5'!$F$8:$F$42=$T15)*'Aug 5'!$AI$8:$AI$42*(('Aug 5'!$AM$8:$AM$42="Y")+('Aug 5'!$AN$8:$AN$42="Y")+('Aug 5'!$AO$8:$AO$42="Y")))+SUMPRODUCT(('Aug 6'!$F$8:$F$42=$T15)*'Aug 6'!$AI$8:$AI$42*(('Aug 6'!$AM$8:$AM$42="Y")+('Aug 6'!$AN$8:$AN$42="Y")+('Aug 6'!$AO$8:$AO$42="Y")))+SUMPRODUCT(('Aug 7'!$F$8:$F$42=$T15)*'Aug 7'!$AI$8:$AI$42*(('Aug 7'!$AM$8:$AM$42="Y")+('Aug 7'!$AN$8:$AN$42="Y")+('Aug 7'!$AO$8:$AO$42="Y")))+SUMPRODUCT(('Aug 8'!$F$8:$F$42=$T15)*'Aug 8'!$AI$8:$AI$42*(('Aug 8'!$AM$8:$AM$42="Y")+('Aug 8'!$AN$8:$AN$42="Y")+('Aug 8'!$AO$8:$AO$42="Y")))+SUMPRODUCT(('Aug 9'!$F$8:$F$42=$T15)*'Aug 9'!$AI$8:$AI$42*(('Aug 9'!$AM$8:$AM$42="Y")+('Aug 9'!$AN$8:$AN$42="Y")+('Aug 9'!$AO$8:$AO$42="Y")))+SUMPRODUCT(('Aug 10'!$F$8:$F$42=$T15)*'Aug 10'!$AI$8:$AI$42*(('Aug 10'!$AM$8:$AM$42="Y")+('Aug 10'!$AN$8:$AN$42="Y")+('Aug 10'!$AO$8:$AO$42="Y")))+SUMPRODUCT(('Aug 11'!$F$8:$F$42=$T15)*'Aug 11'!$AI$8:$AI$42*(('Aug 11'!$AM$8:$AM$42="Y")+('Aug 11'!$AN$8:$AN$42="Y")+('Aug 11'!$AO$8:$AO$42="Y")))+SUMPRODUCT(('Aug 12'!$F$8:$F$42=$T15)*'Aug 12'!$AI$8:$AI$42*(('Aug 12'!$AM$8:$AM$42="Y")+('Aug 12'!$AN$8:$AN$42="Y")+('Aug 12'!$AO$8:$AO$42="Y")))+SUMPRODUCT(('Aug 13'!$F$8:$F$42=$T15)*'Aug 13'!$AI$8:$AI$42*(('Aug 13'!$AM$8:$AM$42="Y")+('Aug 13'!$AN$8:$AN$42="Y")+('Aug 13'!$AO$8:$AO$42="Y")))+SUMPRODUCT(('Aug 14'!$F$8:$F$42=$T15)*'Aug 14'!$AI$8:$AI$42*(('Aug 14'!$AM$8:$AM$42="Y")+('Aug 14'!$AN$8:$AN$42="Y")+('Aug 14'!$AO$8:$AO$42="Y")))+SUMPRODUCT(('Aug 15'!$F$8:$F$42=$T15)*'Aug 15'!$AI$8:$AI$42*(('Aug 15'!$AM$8:$AM$42="Y")+('Aug 15'!$AN$8:$AN$42="Y")+('Aug 15'!$AO$8:$AO$42="Y")))+SUMPRODUCT(('Aug 16'!$F$8:$F$42=$T15)*'Aug 16'!$AI$8:$AI$42*(('Aug 16'!$AM$8:$AM$42="Y")+('Aug 16'!$AN$8:$AN$42="Y")+('Aug 16'!$AO$8:$AO$42="Y")))+SUMPRODUCT(('Aug 17'!$F$8:$F$42=$T15)*'Aug 17'!$AI$8:$AI$42*(('Aug 17'!$AM$8:$AM$42="Y")+('Aug 17'!$AN$8:$AN$42="Y")+('Aug 17'!$AO$8:$AO$42="Y")))+SUMPRODUCT(('Aug 18'!$F$8:$F$42=$T15)*'Aug 18'!$AI$8:$AI$42*(('Aug 18'!$AM$8:$AM$42="Y")+('Aug 18'!$AN$8:$AN$42="Y")+('Aug 18'!$AO$8:$AO$42="Y")))+SUMPRODUCT(('Aug 19'!$F$8:$F$42=$T15)*'Aug 19'!$AI$8:$AI$42*(('Aug 19'!$AM$8:$AM$42="Y")+('Aug 19'!$AN$8:$AN$42="Y")+('Aug 19'!$AO$8:$AO$42="Y")))+SUMPRODUCT(('Aug 20'!$F$8:$F$42=$T15)*'Aug 20'!$AI$8:$AI$42*(('Aug 20'!$AM$8:$AM$42="Y")+('Aug 20'!$AN$8:$AN$42="Y")+('Aug 20'!$AO$8:$AO$42="Y")))+SUMPRODUCT(('Aug 21'!$F$8:$F$42=$T15)*'Aug 21'!$AI$8:$AI$42*(('Aug 21'!$AM$8:$AM$42="Y")+('Aug 21'!$AN$8:$AN$42="Y")+('Aug 21'!$AO$8:$AO$42="Y")))+SUMPRODUCT(('Aug 22'!$F$8:$F$42=$T15)*'Aug 22'!$AI$8:$AI$42*(('Aug 22'!$AM$8:$AM$42="Y")+('Aug 22'!$AN$8:$AN$42="Y")+('Aug 22'!$AO$8:$AO$42="Y")))+SUMPRODUCT(('Aug 23'!$F$8:$F$42=$T15)*'Aug 23'!$AI$8:$AI$42*(('Aug 23'!$AM$8:$AM$42="Y")+('Aug 23'!$AN$8:$AN$42="Y")+('Aug 23'!$AO$8:$AO$42="Y")))+SUMPRODUCT(('Aug 24'!$F$8:$F$42=$T15)*'Aug 24'!$AI$8:$AI$42*(('Aug 24'!$AM$8:$AM$42="Y")+('Aug 24'!$AN$8:$AN$42="Y")+('Aug 24'!$AO$8:$AO$42="Y")))+SUMPRODUCT(('Aug 25'!$F$8:$F$42=$T15)*'Aug 25'!$AI$8:$AI$42*(('Aug 25'!$AM$8:$AM$42="Y")+('Aug 25'!$AN$8:$AN$42="Y")+('Aug 25'!$AO$8:$AO$42="Y")))+SUMPRODUCT(('Aug 26'!$F$8:$F$42=$T15)*'Aug 26'!$AI$8:$AI$42*(('Aug 26'!$AM$8:$AM$42="Y")+('Aug 26'!$AN$8:$AN$42="Y")+('Aug 26'!$AO$8:$AO$42="Y")))+SUMPRODUCT(('Aug 27'!$F$8:$F$42=$T15)*'Aug 27'!$AI$8:$AI$42*(('Aug 27'!$AM$8:$AM$42="Y")+('Aug 27'!$AN$8:$AN$42="Y")+('Aug 27'!$AO$8:$AO$42="Y")))+SUMPRODUCT(('Aug 28'!$F$8:$F$42=$T15)*'Aug 28'!$AI$8:$AI$42*(('Aug 28'!$AM$8:$AM$42="Y")+('Aug 28'!$AN$8:$AN$42="Y")+('Aug 28'!$AO$8:$AO$42="Y")))+SUMPRODUCT(('Aug 29'!$F$8:$F$42=$T15)*'Aug 29'!$AI$8:$AI$42*(('Aug 29'!$AM$8:$AM$42="Y")+('Aug 29'!$AN$8:$AN$42="Y")+('Aug 29'!$AO$8:$AO$42="Y")))+SUMPRODUCT(('Aug 30'!$F$8:$F$42=$T15)*'Aug 30'!$AI$8:$AI$42*(('Aug 30'!$AM$8:$AM$42="Y")+('Aug 30'!$AN$8:$AN$42="Y")+('Aug 30'!$AO$8:$AO$42="Y")))+SUMPRODUCT(('Aug 31'!$F$8:$F$42=$T15)*'Aug 31'!$AI$8:$AI$42*(('Aug 31'!$AM$8:$AM$42="Y")+('Aug 31'!$AN$8:$AN$42="Y")+('Aug 31'!$AO$8:$AO$42="Y")))</f>
        <v>0</v>
      </c>
      <c r="BD15" s="0" t="n">
        <f aca="false">SUM(U15:AY15)</f>
        <v>0</v>
      </c>
      <c r="BE15" s="0" t="n">
        <f aca="false">SUM(U34:AY34)</f>
        <v>0</v>
      </c>
      <c r="BF15" s="0" t="n">
        <f aca="false">SUM(U53:AY53)</f>
        <v>0</v>
      </c>
    </row>
    <row r="16" customFormat="false" ht="14.25" hidden="false" customHeight="true" outlineLevel="0" collapsed="false">
      <c r="A16" s="48" t="n">
        <v>10</v>
      </c>
      <c r="B16" s="49" t="str">
        <f aca="false">$T13</f>
        <v>ANDREW MIEIR</v>
      </c>
      <c r="C16" s="50" t="n">
        <f aca="false">BD13</f>
        <v>0</v>
      </c>
      <c r="D16" s="51" t="n">
        <f aca="false">BE13</f>
        <v>0</v>
      </c>
      <c r="E16" s="51" t="str">
        <f aca="false">IF(BD13=0,"—",BE13/BD13)</f>
        <v>—</v>
      </c>
      <c r="F16" s="48" t="str">
        <f aca="false">IF(BD13=0,"—",INDEX('Pay Plan'!$B$6:$B$12,BB13))</f>
        <v>—</v>
      </c>
      <c r="G16" s="51" t="n">
        <f aca="false">BF13</f>
        <v>0</v>
      </c>
      <c r="H16" s="51" t="n">
        <f aca="false">LOOKUP(BD13,'Pay Plan'!$B$15:$B$20,'Pay Plan'!$C$15:$C$20)</f>
        <v>0</v>
      </c>
      <c r="I16" s="51" t="n">
        <f aca="false">LOOKUP(BA13,'Pay Plan'!$E$15:$E$19,'Pay Plan'!$F$15:$F$19)</f>
        <v>0</v>
      </c>
      <c r="J16" s="51" t="n">
        <f aca="false">BC13*'Pay Plan'!$I$15</f>
        <v>0</v>
      </c>
      <c r="K16" s="52" t="n">
        <f aca="false">G16+H16+I16+J16</f>
        <v>0</v>
      </c>
      <c r="L16" s="52"/>
      <c r="M16" s="52"/>
      <c r="N16" s="47"/>
      <c r="O16" s="52" t="n">
        <f aca="false">K16-N16</f>
        <v>0</v>
      </c>
      <c r="P16" s="52"/>
      <c r="Q16" s="52"/>
      <c r="R16" s="52"/>
      <c r="T16" s="0" t="str">
        <f aca="false">'Staff &amp; Lists'!A17</f>
        <v>BRAYDON JOHNSON</v>
      </c>
      <c r="U16" s="0" t="n">
        <f aca="false">SUMPRODUCT(('Aug 1'!$F$8:$F$42=$T16)*'Aug 1'!$AJ$8:$AJ$42+('Aug 1'!$G$8:$G$42=$T16)*'Aug 1'!$AK$8:$AK$42)</f>
        <v>0</v>
      </c>
      <c r="V16" s="0" t="n">
        <f aca="false">SUMPRODUCT(('Aug 2'!$F$8:$F$42=$T16)*'Aug 2'!$AJ$8:$AJ$42+('Aug 2'!$G$8:$G$42=$T16)*'Aug 2'!$AK$8:$AK$42)</f>
        <v>0</v>
      </c>
      <c r="W16" s="0" t="n">
        <f aca="false">SUMPRODUCT(('Aug 3'!$F$8:$F$42=$T16)*'Aug 3'!$AJ$8:$AJ$42+('Aug 3'!$G$8:$G$42=$T16)*'Aug 3'!$AK$8:$AK$42)</f>
        <v>0</v>
      </c>
      <c r="X16" s="0" t="n">
        <f aca="false">SUMPRODUCT(('Aug 4'!$F$8:$F$42=$T16)*'Aug 4'!$AJ$8:$AJ$42+('Aug 4'!$G$8:$G$42=$T16)*'Aug 4'!$AK$8:$AK$42)</f>
        <v>0</v>
      </c>
      <c r="Y16" s="0" t="n">
        <f aca="false">SUMPRODUCT(('Aug 5'!$F$8:$F$42=$T16)*'Aug 5'!$AJ$8:$AJ$42+('Aug 5'!$G$8:$G$42=$T16)*'Aug 5'!$AK$8:$AK$42)</f>
        <v>0</v>
      </c>
      <c r="Z16" s="0" t="n">
        <f aca="false">SUMPRODUCT(('Aug 6'!$F$8:$F$42=$T16)*'Aug 6'!$AJ$8:$AJ$42+('Aug 6'!$G$8:$G$42=$T16)*'Aug 6'!$AK$8:$AK$42)</f>
        <v>0</v>
      </c>
      <c r="AA16" s="0" t="n">
        <f aca="false">SUMPRODUCT(('Aug 7'!$F$8:$F$42=$T16)*'Aug 7'!$AJ$8:$AJ$42+('Aug 7'!$G$8:$G$42=$T16)*'Aug 7'!$AK$8:$AK$42)</f>
        <v>0</v>
      </c>
      <c r="AB16" s="0" t="n">
        <f aca="false">SUMPRODUCT(('Aug 8'!$F$8:$F$42=$T16)*'Aug 8'!$AJ$8:$AJ$42+('Aug 8'!$G$8:$G$42=$T16)*'Aug 8'!$AK$8:$AK$42)</f>
        <v>0</v>
      </c>
      <c r="AC16" s="0" t="n">
        <f aca="false">SUMPRODUCT(('Aug 9'!$F$8:$F$42=$T16)*'Aug 9'!$AJ$8:$AJ$42+('Aug 9'!$G$8:$G$42=$T16)*'Aug 9'!$AK$8:$AK$42)</f>
        <v>0</v>
      </c>
      <c r="AD16" s="0" t="n">
        <f aca="false">SUMPRODUCT(('Aug 10'!$F$8:$F$42=$T16)*'Aug 10'!$AJ$8:$AJ$42+('Aug 10'!$G$8:$G$42=$T16)*'Aug 10'!$AK$8:$AK$42)</f>
        <v>0</v>
      </c>
      <c r="AE16" s="0" t="n">
        <f aca="false">SUMPRODUCT(('Aug 11'!$F$8:$F$42=$T16)*'Aug 11'!$AJ$8:$AJ$42+('Aug 11'!$G$8:$G$42=$T16)*'Aug 11'!$AK$8:$AK$42)</f>
        <v>0</v>
      </c>
      <c r="AF16" s="0" t="n">
        <f aca="false">SUMPRODUCT(('Aug 12'!$F$8:$F$42=$T16)*'Aug 12'!$AJ$8:$AJ$42+('Aug 12'!$G$8:$G$42=$T16)*'Aug 12'!$AK$8:$AK$42)</f>
        <v>0</v>
      </c>
      <c r="AG16" s="0" t="n">
        <f aca="false">SUMPRODUCT(('Aug 13'!$F$8:$F$42=$T16)*'Aug 13'!$AJ$8:$AJ$42+('Aug 13'!$G$8:$G$42=$T16)*'Aug 13'!$AK$8:$AK$42)</f>
        <v>0</v>
      </c>
      <c r="AH16" s="0" t="n">
        <f aca="false">SUMPRODUCT(('Aug 14'!$F$8:$F$42=$T16)*'Aug 14'!$AJ$8:$AJ$42+('Aug 14'!$G$8:$G$42=$T16)*'Aug 14'!$AK$8:$AK$42)</f>
        <v>0</v>
      </c>
      <c r="AI16" s="0" t="n">
        <f aca="false">SUMPRODUCT(('Aug 15'!$F$8:$F$42=$T16)*'Aug 15'!$AJ$8:$AJ$42+('Aug 15'!$G$8:$G$42=$T16)*'Aug 15'!$AK$8:$AK$42)</f>
        <v>0</v>
      </c>
      <c r="AJ16" s="0" t="n">
        <f aca="false">SUMPRODUCT(('Aug 16'!$F$8:$F$42=$T16)*'Aug 16'!$AJ$8:$AJ$42+('Aug 16'!$G$8:$G$42=$T16)*'Aug 16'!$AK$8:$AK$42)</f>
        <v>0</v>
      </c>
      <c r="AK16" s="0" t="n">
        <f aca="false">SUMPRODUCT(('Aug 17'!$F$8:$F$42=$T16)*'Aug 17'!$AJ$8:$AJ$42+('Aug 17'!$G$8:$G$42=$T16)*'Aug 17'!$AK$8:$AK$42)</f>
        <v>0</v>
      </c>
      <c r="AL16" s="0" t="n">
        <f aca="false">SUMPRODUCT(('Aug 18'!$F$8:$F$42=$T16)*'Aug 18'!$AJ$8:$AJ$42+('Aug 18'!$G$8:$G$42=$T16)*'Aug 18'!$AK$8:$AK$42)</f>
        <v>0</v>
      </c>
      <c r="AM16" s="0" t="n">
        <f aca="false">SUMPRODUCT(('Aug 19'!$F$8:$F$42=$T16)*'Aug 19'!$AJ$8:$AJ$42+('Aug 19'!$G$8:$G$42=$T16)*'Aug 19'!$AK$8:$AK$42)</f>
        <v>0</v>
      </c>
      <c r="AN16" s="0" t="n">
        <f aca="false">SUMPRODUCT(('Aug 20'!$F$8:$F$42=$T16)*'Aug 20'!$AJ$8:$AJ$42+('Aug 20'!$G$8:$G$42=$T16)*'Aug 20'!$AK$8:$AK$42)</f>
        <v>0</v>
      </c>
      <c r="AO16" s="0" t="n">
        <f aca="false">SUMPRODUCT(('Aug 21'!$F$8:$F$42=$T16)*'Aug 21'!$AJ$8:$AJ$42+('Aug 21'!$G$8:$G$42=$T16)*'Aug 21'!$AK$8:$AK$42)</f>
        <v>0</v>
      </c>
      <c r="AP16" s="0" t="n">
        <f aca="false">SUMPRODUCT(('Aug 22'!$F$8:$F$42=$T16)*'Aug 22'!$AJ$8:$AJ$42+('Aug 22'!$G$8:$G$42=$T16)*'Aug 22'!$AK$8:$AK$42)</f>
        <v>0</v>
      </c>
      <c r="AQ16" s="0" t="n">
        <f aca="false">SUMPRODUCT(('Aug 23'!$F$8:$F$42=$T16)*'Aug 23'!$AJ$8:$AJ$42+('Aug 23'!$G$8:$G$42=$T16)*'Aug 23'!$AK$8:$AK$42)</f>
        <v>0</v>
      </c>
      <c r="AR16" s="0" t="n">
        <f aca="false">SUMPRODUCT(('Aug 24'!$F$8:$F$42=$T16)*'Aug 24'!$AJ$8:$AJ$42+('Aug 24'!$G$8:$G$42=$T16)*'Aug 24'!$AK$8:$AK$42)</f>
        <v>0</v>
      </c>
      <c r="AS16" s="0" t="n">
        <f aca="false">SUMPRODUCT(('Aug 25'!$F$8:$F$42=$T16)*'Aug 25'!$AJ$8:$AJ$42+('Aug 25'!$G$8:$G$42=$T16)*'Aug 25'!$AK$8:$AK$42)</f>
        <v>0</v>
      </c>
      <c r="AT16" s="0" t="n">
        <f aca="false">SUMPRODUCT(('Aug 26'!$F$8:$F$42=$T16)*'Aug 26'!$AJ$8:$AJ$42+('Aug 26'!$G$8:$G$42=$T16)*'Aug 26'!$AK$8:$AK$42)</f>
        <v>0</v>
      </c>
      <c r="AU16" s="0" t="n">
        <f aca="false">SUMPRODUCT(('Aug 27'!$F$8:$F$42=$T16)*'Aug 27'!$AJ$8:$AJ$42+('Aug 27'!$G$8:$G$42=$T16)*'Aug 27'!$AK$8:$AK$42)</f>
        <v>0</v>
      </c>
      <c r="AV16" s="0" t="n">
        <f aca="false">SUMPRODUCT(('Aug 28'!$F$8:$F$42=$T16)*'Aug 28'!$AJ$8:$AJ$42+('Aug 28'!$G$8:$G$42=$T16)*'Aug 28'!$AK$8:$AK$42)</f>
        <v>0</v>
      </c>
      <c r="AW16" s="0" t="n">
        <f aca="false">SUMPRODUCT(('Aug 29'!$F$8:$F$42=$T16)*'Aug 29'!$AJ$8:$AJ$42+('Aug 29'!$G$8:$G$42=$T16)*'Aug 29'!$AK$8:$AK$42)</f>
        <v>0</v>
      </c>
      <c r="AX16" s="0" t="n">
        <f aca="false">SUMPRODUCT(('Aug 30'!$F$8:$F$42=$T16)*'Aug 30'!$AJ$8:$AJ$42+('Aug 30'!$G$8:$G$42=$T16)*'Aug 30'!$AK$8:$AK$42)</f>
        <v>0</v>
      </c>
      <c r="AY16" s="0" t="n">
        <f aca="false">SUMPRODUCT(('Aug 31'!$F$8:$F$42=$T16)*'Aug 31'!$AJ$8:$AJ$42+('Aug 31'!$G$8:$G$42=$T16)*'Aug 31'!$AK$8:$AK$42)</f>
        <v>0</v>
      </c>
      <c r="BA16" s="0" t="n">
        <f aca="false">SUM(U16:AD16)</f>
        <v>0</v>
      </c>
      <c r="BB16" s="0" t="n">
        <f aca="false">MATCH(BD16,'Pay Plan'!$C$6:$C$12,1)</f>
        <v>1</v>
      </c>
      <c r="BC16" s="0" t="n">
        <f aca="false">SUMPRODUCT(('Aug 1'!$F$8:$F$42=$T16)*'Aug 1'!$AI$8:$AI$42*(('Aug 1'!$AM$8:$AM$42="Y")+('Aug 1'!$AN$8:$AN$42="Y")+('Aug 1'!$AO$8:$AO$42="Y")))+SUMPRODUCT(('Aug 2'!$F$8:$F$42=$T16)*'Aug 2'!$AI$8:$AI$42*(('Aug 2'!$AM$8:$AM$42="Y")+('Aug 2'!$AN$8:$AN$42="Y")+('Aug 2'!$AO$8:$AO$42="Y")))+SUMPRODUCT(('Aug 3'!$F$8:$F$42=$T16)*'Aug 3'!$AI$8:$AI$42*(('Aug 3'!$AM$8:$AM$42="Y")+('Aug 3'!$AN$8:$AN$42="Y")+('Aug 3'!$AO$8:$AO$42="Y")))+SUMPRODUCT(('Aug 4'!$F$8:$F$42=$T16)*'Aug 4'!$AI$8:$AI$42*(('Aug 4'!$AM$8:$AM$42="Y")+('Aug 4'!$AN$8:$AN$42="Y")+('Aug 4'!$AO$8:$AO$42="Y")))+SUMPRODUCT(('Aug 5'!$F$8:$F$42=$T16)*'Aug 5'!$AI$8:$AI$42*(('Aug 5'!$AM$8:$AM$42="Y")+('Aug 5'!$AN$8:$AN$42="Y")+('Aug 5'!$AO$8:$AO$42="Y")))+SUMPRODUCT(('Aug 6'!$F$8:$F$42=$T16)*'Aug 6'!$AI$8:$AI$42*(('Aug 6'!$AM$8:$AM$42="Y")+('Aug 6'!$AN$8:$AN$42="Y")+('Aug 6'!$AO$8:$AO$42="Y")))+SUMPRODUCT(('Aug 7'!$F$8:$F$42=$T16)*'Aug 7'!$AI$8:$AI$42*(('Aug 7'!$AM$8:$AM$42="Y")+('Aug 7'!$AN$8:$AN$42="Y")+('Aug 7'!$AO$8:$AO$42="Y")))+SUMPRODUCT(('Aug 8'!$F$8:$F$42=$T16)*'Aug 8'!$AI$8:$AI$42*(('Aug 8'!$AM$8:$AM$42="Y")+('Aug 8'!$AN$8:$AN$42="Y")+('Aug 8'!$AO$8:$AO$42="Y")))+SUMPRODUCT(('Aug 9'!$F$8:$F$42=$T16)*'Aug 9'!$AI$8:$AI$42*(('Aug 9'!$AM$8:$AM$42="Y")+('Aug 9'!$AN$8:$AN$42="Y")+('Aug 9'!$AO$8:$AO$42="Y")))+SUMPRODUCT(('Aug 10'!$F$8:$F$42=$T16)*'Aug 10'!$AI$8:$AI$42*(('Aug 10'!$AM$8:$AM$42="Y")+('Aug 10'!$AN$8:$AN$42="Y")+('Aug 10'!$AO$8:$AO$42="Y")))+SUMPRODUCT(('Aug 11'!$F$8:$F$42=$T16)*'Aug 11'!$AI$8:$AI$42*(('Aug 11'!$AM$8:$AM$42="Y")+('Aug 11'!$AN$8:$AN$42="Y")+('Aug 11'!$AO$8:$AO$42="Y")))+SUMPRODUCT(('Aug 12'!$F$8:$F$42=$T16)*'Aug 12'!$AI$8:$AI$42*(('Aug 12'!$AM$8:$AM$42="Y")+('Aug 12'!$AN$8:$AN$42="Y")+('Aug 12'!$AO$8:$AO$42="Y")))+SUMPRODUCT(('Aug 13'!$F$8:$F$42=$T16)*'Aug 13'!$AI$8:$AI$42*(('Aug 13'!$AM$8:$AM$42="Y")+('Aug 13'!$AN$8:$AN$42="Y")+('Aug 13'!$AO$8:$AO$42="Y")))+SUMPRODUCT(('Aug 14'!$F$8:$F$42=$T16)*'Aug 14'!$AI$8:$AI$42*(('Aug 14'!$AM$8:$AM$42="Y")+('Aug 14'!$AN$8:$AN$42="Y")+('Aug 14'!$AO$8:$AO$42="Y")))+SUMPRODUCT(('Aug 15'!$F$8:$F$42=$T16)*'Aug 15'!$AI$8:$AI$42*(('Aug 15'!$AM$8:$AM$42="Y")+('Aug 15'!$AN$8:$AN$42="Y")+('Aug 15'!$AO$8:$AO$42="Y")))+SUMPRODUCT(('Aug 16'!$F$8:$F$42=$T16)*'Aug 16'!$AI$8:$AI$42*(('Aug 16'!$AM$8:$AM$42="Y")+('Aug 16'!$AN$8:$AN$42="Y")+('Aug 16'!$AO$8:$AO$42="Y")))+SUMPRODUCT(('Aug 17'!$F$8:$F$42=$T16)*'Aug 17'!$AI$8:$AI$42*(('Aug 17'!$AM$8:$AM$42="Y")+('Aug 17'!$AN$8:$AN$42="Y")+('Aug 17'!$AO$8:$AO$42="Y")))+SUMPRODUCT(('Aug 18'!$F$8:$F$42=$T16)*'Aug 18'!$AI$8:$AI$42*(('Aug 18'!$AM$8:$AM$42="Y")+('Aug 18'!$AN$8:$AN$42="Y")+('Aug 18'!$AO$8:$AO$42="Y")))+SUMPRODUCT(('Aug 19'!$F$8:$F$42=$T16)*'Aug 19'!$AI$8:$AI$42*(('Aug 19'!$AM$8:$AM$42="Y")+('Aug 19'!$AN$8:$AN$42="Y")+('Aug 19'!$AO$8:$AO$42="Y")))+SUMPRODUCT(('Aug 20'!$F$8:$F$42=$T16)*'Aug 20'!$AI$8:$AI$42*(('Aug 20'!$AM$8:$AM$42="Y")+('Aug 20'!$AN$8:$AN$42="Y")+('Aug 20'!$AO$8:$AO$42="Y")))+SUMPRODUCT(('Aug 21'!$F$8:$F$42=$T16)*'Aug 21'!$AI$8:$AI$42*(('Aug 21'!$AM$8:$AM$42="Y")+('Aug 21'!$AN$8:$AN$42="Y")+('Aug 21'!$AO$8:$AO$42="Y")))+SUMPRODUCT(('Aug 22'!$F$8:$F$42=$T16)*'Aug 22'!$AI$8:$AI$42*(('Aug 22'!$AM$8:$AM$42="Y")+('Aug 22'!$AN$8:$AN$42="Y")+('Aug 22'!$AO$8:$AO$42="Y")))+SUMPRODUCT(('Aug 23'!$F$8:$F$42=$T16)*'Aug 23'!$AI$8:$AI$42*(('Aug 23'!$AM$8:$AM$42="Y")+('Aug 23'!$AN$8:$AN$42="Y")+('Aug 23'!$AO$8:$AO$42="Y")))+SUMPRODUCT(('Aug 24'!$F$8:$F$42=$T16)*'Aug 24'!$AI$8:$AI$42*(('Aug 24'!$AM$8:$AM$42="Y")+('Aug 24'!$AN$8:$AN$42="Y")+('Aug 24'!$AO$8:$AO$42="Y")))+SUMPRODUCT(('Aug 25'!$F$8:$F$42=$T16)*'Aug 25'!$AI$8:$AI$42*(('Aug 25'!$AM$8:$AM$42="Y")+('Aug 25'!$AN$8:$AN$42="Y")+('Aug 25'!$AO$8:$AO$42="Y")))+SUMPRODUCT(('Aug 26'!$F$8:$F$42=$T16)*'Aug 26'!$AI$8:$AI$42*(('Aug 26'!$AM$8:$AM$42="Y")+('Aug 26'!$AN$8:$AN$42="Y")+('Aug 26'!$AO$8:$AO$42="Y")))+SUMPRODUCT(('Aug 27'!$F$8:$F$42=$T16)*'Aug 27'!$AI$8:$AI$42*(('Aug 27'!$AM$8:$AM$42="Y")+('Aug 27'!$AN$8:$AN$42="Y")+('Aug 27'!$AO$8:$AO$42="Y")))+SUMPRODUCT(('Aug 28'!$F$8:$F$42=$T16)*'Aug 28'!$AI$8:$AI$42*(('Aug 28'!$AM$8:$AM$42="Y")+('Aug 28'!$AN$8:$AN$42="Y")+('Aug 28'!$AO$8:$AO$42="Y")))+SUMPRODUCT(('Aug 29'!$F$8:$F$42=$T16)*'Aug 29'!$AI$8:$AI$42*(('Aug 29'!$AM$8:$AM$42="Y")+('Aug 29'!$AN$8:$AN$42="Y")+('Aug 29'!$AO$8:$AO$42="Y")))+SUMPRODUCT(('Aug 30'!$F$8:$F$42=$T16)*'Aug 30'!$AI$8:$AI$42*(('Aug 30'!$AM$8:$AM$42="Y")+('Aug 30'!$AN$8:$AN$42="Y")+('Aug 30'!$AO$8:$AO$42="Y")))+SUMPRODUCT(('Aug 31'!$F$8:$F$42=$T16)*'Aug 31'!$AI$8:$AI$42*(('Aug 31'!$AM$8:$AM$42="Y")+('Aug 31'!$AN$8:$AN$42="Y")+('Aug 31'!$AO$8:$AO$42="Y")))</f>
        <v>0</v>
      </c>
      <c r="BD16" s="0" t="n">
        <f aca="false">SUM(U16:AY16)</f>
        <v>0</v>
      </c>
      <c r="BE16" s="0" t="n">
        <f aca="false">SUM(U35:AY35)</f>
        <v>0</v>
      </c>
      <c r="BF16" s="0" t="n">
        <f aca="false">SUM(U54:AY54)</f>
        <v>0</v>
      </c>
    </row>
    <row r="17" customFormat="false" ht="14.25" hidden="false" customHeight="true" outlineLevel="0" collapsed="false">
      <c r="A17" s="44" t="n">
        <v>11</v>
      </c>
      <c r="B17" s="45" t="str">
        <f aca="false">$T14</f>
        <v>RAFAEL CAMPOS</v>
      </c>
      <c r="C17" s="22" t="n">
        <f aca="false">BD14</f>
        <v>0</v>
      </c>
      <c r="D17" s="25" t="n">
        <f aca="false">BE14</f>
        <v>0</v>
      </c>
      <c r="E17" s="25" t="str">
        <f aca="false">IF(BD14=0,"—",BE14/BD14)</f>
        <v>—</v>
      </c>
      <c r="F17" s="44" t="str">
        <f aca="false">IF(BD14=0,"—",INDEX('Pay Plan'!$B$6:$B$12,BB14))</f>
        <v>—</v>
      </c>
      <c r="G17" s="25" t="n">
        <f aca="false">BF14</f>
        <v>0</v>
      </c>
      <c r="H17" s="25" t="n">
        <f aca="false">LOOKUP(BD14,'Pay Plan'!$B$15:$B$20,'Pay Plan'!$C$15:$C$20)</f>
        <v>0</v>
      </c>
      <c r="I17" s="25" t="n">
        <f aca="false">LOOKUP(BA14,'Pay Plan'!$E$15:$E$19,'Pay Plan'!$F$15:$F$19)</f>
        <v>0</v>
      </c>
      <c r="J17" s="25" t="n">
        <f aca="false">BC14*'Pay Plan'!$I$15</f>
        <v>0</v>
      </c>
      <c r="K17" s="46" t="n">
        <f aca="false">G17+H17+I17+J17</f>
        <v>0</v>
      </c>
      <c r="L17" s="46"/>
      <c r="M17" s="46"/>
      <c r="N17" s="47"/>
      <c r="O17" s="46" t="n">
        <f aca="false">K17-N17</f>
        <v>0</v>
      </c>
      <c r="P17" s="46"/>
      <c r="Q17" s="46"/>
      <c r="R17" s="46"/>
      <c r="T17" s="0" t="str">
        <f aca="false">'Staff &amp; Lists'!A18</f>
        <v>CHRIS HORNE</v>
      </c>
      <c r="U17" s="0" t="n">
        <f aca="false">SUMPRODUCT(('Aug 1'!$F$8:$F$42=$T17)*'Aug 1'!$AJ$8:$AJ$42+('Aug 1'!$G$8:$G$42=$T17)*'Aug 1'!$AK$8:$AK$42)</f>
        <v>0</v>
      </c>
      <c r="V17" s="0" t="n">
        <f aca="false">SUMPRODUCT(('Aug 2'!$F$8:$F$42=$T17)*'Aug 2'!$AJ$8:$AJ$42+('Aug 2'!$G$8:$G$42=$T17)*'Aug 2'!$AK$8:$AK$42)</f>
        <v>0</v>
      </c>
      <c r="W17" s="0" t="n">
        <f aca="false">SUMPRODUCT(('Aug 3'!$F$8:$F$42=$T17)*'Aug 3'!$AJ$8:$AJ$42+('Aug 3'!$G$8:$G$42=$T17)*'Aug 3'!$AK$8:$AK$42)</f>
        <v>0</v>
      </c>
      <c r="X17" s="0" t="n">
        <f aca="false">SUMPRODUCT(('Aug 4'!$F$8:$F$42=$T17)*'Aug 4'!$AJ$8:$AJ$42+('Aug 4'!$G$8:$G$42=$T17)*'Aug 4'!$AK$8:$AK$42)</f>
        <v>0</v>
      </c>
      <c r="Y17" s="0" t="n">
        <f aca="false">SUMPRODUCT(('Aug 5'!$F$8:$F$42=$T17)*'Aug 5'!$AJ$8:$AJ$42+('Aug 5'!$G$8:$G$42=$T17)*'Aug 5'!$AK$8:$AK$42)</f>
        <v>0</v>
      </c>
      <c r="Z17" s="0" t="n">
        <f aca="false">SUMPRODUCT(('Aug 6'!$F$8:$F$42=$T17)*'Aug 6'!$AJ$8:$AJ$42+('Aug 6'!$G$8:$G$42=$T17)*'Aug 6'!$AK$8:$AK$42)</f>
        <v>0</v>
      </c>
      <c r="AA17" s="0" t="n">
        <f aca="false">SUMPRODUCT(('Aug 7'!$F$8:$F$42=$T17)*'Aug 7'!$AJ$8:$AJ$42+('Aug 7'!$G$8:$G$42=$T17)*'Aug 7'!$AK$8:$AK$42)</f>
        <v>0</v>
      </c>
      <c r="AB17" s="0" t="n">
        <f aca="false">SUMPRODUCT(('Aug 8'!$F$8:$F$42=$T17)*'Aug 8'!$AJ$8:$AJ$42+('Aug 8'!$G$8:$G$42=$T17)*'Aug 8'!$AK$8:$AK$42)</f>
        <v>0</v>
      </c>
      <c r="AC17" s="0" t="n">
        <f aca="false">SUMPRODUCT(('Aug 9'!$F$8:$F$42=$T17)*'Aug 9'!$AJ$8:$AJ$42+('Aug 9'!$G$8:$G$42=$T17)*'Aug 9'!$AK$8:$AK$42)</f>
        <v>0</v>
      </c>
      <c r="AD17" s="0" t="n">
        <f aca="false">SUMPRODUCT(('Aug 10'!$F$8:$F$42=$T17)*'Aug 10'!$AJ$8:$AJ$42+('Aug 10'!$G$8:$G$42=$T17)*'Aug 10'!$AK$8:$AK$42)</f>
        <v>0</v>
      </c>
      <c r="AE17" s="0" t="n">
        <f aca="false">SUMPRODUCT(('Aug 11'!$F$8:$F$42=$T17)*'Aug 11'!$AJ$8:$AJ$42+('Aug 11'!$G$8:$G$42=$T17)*'Aug 11'!$AK$8:$AK$42)</f>
        <v>0</v>
      </c>
      <c r="AF17" s="0" t="n">
        <f aca="false">SUMPRODUCT(('Aug 12'!$F$8:$F$42=$T17)*'Aug 12'!$AJ$8:$AJ$42+('Aug 12'!$G$8:$G$42=$T17)*'Aug 12'!$AK$8:$AK$42)</f>
        <v>0</v>
      </c>
      <c r="AG17" s="0" t="n">
        <f aca="false">SUMPRODUCT(('Aug 13'!$F$8:$F$42=$T17)*'Aug 13'!$AJ$8:$AJ$42+('Aug 13'!$G$8:$G$42=$T17)*'Aug 13'!$AK$8:$AK$42)</f>
        <v>0</v>
      </c>
      <c r="AH17" s="0" t="n">
        <f aca="false">SUMPRODUCT(('Aug 14'!$F$8:$F$42=$T17)*'Aug 14'!$AJ$8:$AJ$42+('Aug 14'!$G$8:$G$42=$T17)*'Aug 14'!$AK$8:$AK$42)</f>
        <v>0</v>
      </c>
      <c r="AI17" s="0" t="n">
        <f aca="false">SUMPRODUCT(('Aug 15'!$F$8:$F$42=$T17)*'Aug 15'!$AJ$8:$AJ$42+('Aug 15'!$G$8:$G$42=$T17)*'Aug 15'!$AK$8:$AK$42)</f>
        <v>0</v>
      </c>
      <c r="AJ17" s="0" t="n">
        <f aca="false">SUMPRODUCT(('Aug 16'!$F$8:$F$42=$T17)*'Aug 16'!$AJ$8:$AJ$42+('Aug 16'!$G$8:$G$42=$T17)*'Aug 16'!$AK$8:$AK$42)</f>
        <v>0</v>
      </c>
      <c r="AK17" s="0" t="n">
        <f aca="false">SUMPRODUCT(('Aug 17'!$F$8:$F$42=$T17)*'Aug 17'!$AJ$8:$AJ$42+('Aug 17'!$G$8:$G$42=$T17)*'Aug 17'!$AK$8:$AK$42)</f>
        <v>0</v>
      </c>
      <c r="AL17" s="0" t="n">
        <f aca="false">SUMPRODUCT(('Aug 18'!$F$8:$F$42=$T17)*'Aug 18'!$AJ$8:$AJ$42+('Aug 18'!$G$8:$G$42=$T17)*'Aug 18'!$AK$8:$AK$42)</f>
        <v>0</v>
      </c>
      <c r="AM17" s="0" t="n">
        <f aca="false">SUMPRODUCT(('Aug 19'!$F$8:$F$42=$T17)*'Aug 19'!$AJ$8:$AJ$42+('Aug 19'!$G$8:$G$42=$T17)*'Aug 19'!$AK$8:$AK$42)</f>
        <v>0</v>
      </c>
      <c r="AN17" s="0" t="n">
        <f aca="false">SUMPRODUCT(('Aug 20'!$F$8:$F$42=$T17)*'Aug 20'!$AJ$8:$AJ$42+('Aug 20'!$G$8:$G$42=$T17)*'Aug 20'!$AK$8:$AK$42)</f>
        <v>0</v>
      </c>
      <c r="AO17" s="0" t="n">
        <f aca="false">SUMPRODUCT(('Aug 21'!$F$8:$F$42=$T17)*'Aug 21'!$AJ$8:$AJ$42+('Aug 21'!$G$8:$G$42=$T17)*'Aug 21'!$AK$8:$AK$42)</f>
        <v>0</v>
      </c>
      <c r="AP17" s="0" t="n">
        <f aca="false">SUMPRODUCT(('Aug 22'!$F$8:$F$42=$T17)*'Aug 22'!$AJ$8:$AJ$42+('Aug 22'!$G$8:$G$42=$T17)*'Aug 22'!$AK$8:$AK$42)</f>
        <v>0</v>
      </c>
      <c r="AQ17" s="0" t="n">
        <f aca="false">SUMPRODUCT(('Aug 23'!$F$8:$F$42=$T17)*'Aug 23'!$AJ$8:$AJ$42+('Aug 23'!$G$8:$G$42=$T17)*'Aug 23'!$AK$8:$AK$42)</f>
        <v>0</v>
      </c>
      <c r="AR17" s="0" t="n">
        <f aca="false">SUMPRODUCT(('Aug 24'!$F$8:$F$42=$T17)*'Aug 24'!$AJ$8:$AJ$42+('Aug 24'!$G$8:$G$42=$T17)*'Aug 24'!$AK$8:$AK$42)</f>
        <v>0</v>
      </c>
      <c r="AS17" s="0" t="n">
        <f aca="false">SUMPRODUCT(('Aug 25'!$F$8:$F$42=$T17)*'Aug 25'!$AJ$8:$AJ$42+('Aug 25'!$G$8:$G$42=$T17)*'Aug 25'!$AK$8:$AK$42)</f>
        <v>0</v>
      </c>
      <c r="AT17" s="0" t="n">
        <f aca="false">SUMPRODUCT(('Aug 26'!$F$8:$F$42=$T17)*'Aug 26'!$AJ$8:$AJ$42+('Aug 26'!$G$8:$G$42=$T17)*'Aug 26'!$AK$8:$AK$42)</f>
        <v>0</v>
      </c>
      <c r="AU17" s="0" t="n">
        <f aca="false">SUMPRODUCT(('Aug 27'!$F$8:$F$42=$T17)*'Aug 27'!$AJ$8:$AJ$42+('Aug 27'!$G$8:$G$42=$T17)*'Aug 27'!$AK$8:$AK$42)</f>
        <v>0</v>
      </c>
      <c r="AV17" s="0" t="n">
        <f aca="false">SUMPRODUCT(('Aug 28'!$F$8:$F$42=$T17)*'Aug 28'!$AJ$8:$AJ$42+('Aug 28'!$G$8:$G$42=$T17)*'Aug 28'!$AK$8:$AK$42)</f>
        <v>0</v>
      </c>
      <c r="AW17" s="0" t="n">
        <f aca="false">SUMPRODUCT(('Aug 29'!$F$8:$F$42=$T17)*'Aug 29'!$AJ$8:$AJ$42+('Aug 29'!$G$8:$G$42=$T17)*'Aug 29'!$AK$8:$AK$42)</f>
        <v>0</v>
      </c>
      <c r="AX17" s="0" t="n">
        <f aca="false">SUMPRODUCT(('Aug 30'!$F$8:$F$42=$T17)*'Aug 30'!$AJ$8:$AJ$42+('Aug 30'!$G$8:$G$42=$T17)*'Aug 30'!$AK$8:$AK$42)</f>
        <v>0</v>
      </c>
      <c r="AY17" s="0" t="n">
        <f aca="false">SUMPRODUCT(('Aug 31'!$F$8:$F$42=$T17)*'Aug 31'!$AJ$8:$AJ$42+('Aug 31'!$G$8:$G$42=$T17)*'Aug 31'!$AK$8:$AK$42)</f>
        <v>0</v>
      </c>
      <c r="BA17" s="0" t="n">
        <f aca="false">SUM(U17:AD17)</f>
        <v>0</v>
      </c>
      <c r="BB17" s="0" t="n">
        <f aca="false">MATCH(BD17,'Pay Plan'!$C$6:$C$12,1)</f>
        <v>1</v>
      </c>
      <c r="BC17" s="0" t="n">
        <f aca="false">SUMPRODUCT(('Aug 1'!$F$8:$F$42=$T17)*'Aug 1'!$AI$8:$AI$42*(('Aug 1'!$AM$8:$AM$42="Y")+('Aug 1'!$AN$8:$AN$42="Y")+('Aug 1'!$AO$8:$AO$42="Y")))+SUMPRODUCT(('Aug 2'!$F$8:$F$42=$T17)*'Aug 2'!$AI$8:$AI$42*(('Aug 2'!$AM$8:$AM$42="Y")+('Aug 2'!$AN$8:$AN$42="Y")+('Aug 2'!$AO$8:$AO$42="Y")))+SUMPRODUCT(('Aug 3'!$F$8:$F$42=$T17)*'Aug 3'!$AI$8:$AI$42*(('Aug 3'!$AM$8:$AM$42="Y")+('Aug 3'!$AN$8:$AN$42="Y")+('Aug 3'!$AO$8:$AO$42="Y")))+SUMPRODUCT(('Aug 4'!$F$8:$F$42=$T17)*'Aug 4'!$AI$8:$AI$42*(('Aug 4'!$AM$8:$AM$42="Y")+('Aug 4'!$AN$8:$AN$42="Y")+('Aug 4'!$AO$8:$AO$42="Y")))+SUMPRODUCT(('Aug 5'!$F$8:$F$42=$T17)*'Aug 5'!$AI$8:$AI$42*(('Aug 5'!$AM$8:$AM$42="Y")+('Aug 5'!$AN$8:$AN$42="Y")+('Aug 5'!$AO$8:$AO$42="Y")))+SUMPRODUCT(('Aug 6'!$F$8:$F$42=$T17)*'Aug 6'!$AI$8:$AI$42*(('Aug 6'!$AM$8:$AM$42="Y")+('Aug 6'!$AN$8:$AN$42="Y")+('Aug 6'!$AO$8:$AO$42="Y")))+SUMPRODUCT(('Aug 7'!$F$8:$F$42=$T17)*'Aug 7'!$AI$8:$AI$42*(('Aug 7'!$AM$8:$AM$42="Y")+('Aug 7'!$AN$8:$AN$42="Y")+('Aug 7'!$AO$8:$AO$42="Y")))+SUMPRODUCT(('Aug 8'!$F$8:$F$42=$T17)*'Aug 8'!$AI$8:$AI$42*(('Aug 8'!$AM$8:$AM$42="Y")+('Aug 8'!$AN$8:$AN$42="Y")+('Aug 8'!$AO$8:$AO$42="Y")))+SUMPRODUCT(('Aug 9'!$F$8:$F$42=$T17)*'Aug 9'!$AI$8:$AI$42*(('Aug 9'!$AM$8:$AM$42="Y")+('Aug 9'!$AN$8:$AN$42="Y")+('Aug 9'!$AO$8:$AO$42="Y")))+SUMPRODUCT(('Aug 10'!$F$8:$F$42=$T17)*'Aug 10'!$AI$8:$AI$42*(('Aug 10'!$AM$8:$AM$42="Y")+('Aug 10'!$AN$8:$AN$42="Y")+('Aug 10'!$AO$8:$AO$42="Y")))+SUMPRODUCT(('Aug 11'!$F$8:$F$42=$T17)*'Aug 11'!$AI$8:$AI$42*(('Aug 11'!$AM$8:$AM$42="Y")+('Aug 11'!$AN$8:$AN$42="Y")+('Aug 11'!$AO$8:$AO$42="Y")))+SUMPRODUCT(('Aug 12'!$F$8:$F$42=$T17)*'Aug 12'!$AI$8:$AI$42*(('Aug 12'!$AM$8:$AM$42="Y")+('Aug 12'!$AN$8:$AN$42="Y")+('Aug 12'!$AO$8:$AO$42="Y")))+SUMPRODUCT(('Aug 13'!$F$8:$F$42=$T17)*'Aug 13'!$AI$8:$AI$42*(('Aug 13'!$AM$8:$AM$42="Y")+('Aug 13'!$AN$8:$AN$42="Y")+('Aug 13'!$AO$8:$AO$42="Y")))+SUMPRODUCT(('Aug 14'!$F$8:$F$42=$T17)*'Aug 14'!$AI$8:$AI$42*(('Aug 14'!$AM$8:$AM$42="Y")+('Aug 14'!$AN$8:$AN$42="Y")+('Aug 14'!$AO$8:$AO$42="Y")))+SUMPRODUCT(('Aug 15'!$F$8:$F$42=$T17)*'Aug 15'!$AI$8:$AI$42*(('Aug 15'!$AM$8:$AM$42="Y")+('Aug 15'!$AN$8:$AN$42="Y")+('Aug 15'!$AO$8:$AO$42="Y")))+SUMPRODUCT(('Aug 16'!$F$8:$F$42=$T17)*'Aug 16'!$AI$8:$AI$42*(('Aug 16'!$AM$8:$AM$42="Y")+('Aug 16'!$AN$8:$AN$42="Y")+('Aug 16'!$AO$8:$AO$42="Y")))+SUMPRODUCT(('Aug 17'!$F$8:$F$42=$T17)*'Aug 17'!$AI$8:$AI$42*(('Aug 17'!$AM$8:$AM$42="Y")+('Aug 17'!$AN$8:$AN$42="Y")+('Aug 17'!$AO$8:$AO$42="Y")))+SUMPRODUCT(('Aug 18'!$F$8:$F$42=$T17)*'Aug 18'!$AI$8:$AI$42*(('Aug 18'!$AM$8:$AM$42="Y")+('Aug 18'!$AN$8:$AN$42="Y")+('Aug 18'!$AO$8:$AO$42="Y")))+SUMPRODUCT(('Aug 19'!$F$8:$F$42=$T17)*'Aug 19'!$AI$8:$AI$42*(('Aug 19'!$AM$8:$AM$42="Y")+('Aug 19'!$AN$8:$AN$42="Y")+('Aug 19'!$AO$8:$AO$42="Y")))+SUMPRODUCT(('Aug 20'!$F$8:$F$42=$T17)*'Aug 20'!$AI$8:$AI$42*(('Aug 20'!$AM$8:$AM$42="Y")+('Aug 20'!$AN$8:$AN$42="Y")+('Aug 20'!$AO$8:$AO$42="Y")))+SUMPRODUCT(('Aug 21'!$F$8:$F$42=$T17)*'Aug 21'!$AI$8:$AI$42*(('Aug 21'!$AM$8:$AM$42="Y")+('Aug 21'!$AN$8:$AN$42="Y")+('Aug 21'!$AO$8:$AO$42="Y")))+SUMPRODUCT(('Aug 22'!$F$8:$F$42=$T17)*'Aug 22'!$AI$8:$AI$42*(('Aug 22'!$AM$8:$AM$42="Y")+('Aug 22'!$AN$8:$AN$42="Y")+('Aug 22'!$AO$8:$AO$42="Y")))+SUMPRODUCT(('Aug 23'!$F$8:$F$42=$T17)*'Aug 23'!$AI$8:$AI$42*(('Aug 23'!$AM$8:$AM$42="Y")+('Aug 23'!$AN$8:$AN$42="Y")+('Aug 23'!$AO$8:$AO$42="Y")))+SUMPRODUCT(('Aug 24'!$F$8:$F$42=$T17)*'Aug 24'!$AI$8:$AI$42*(('Aug 24'!$AM$8:$AM$42="Y")+('Aug 24'!$AN$8:$AN$42="Y")+('Aug 24'!$AO$8:$AO$42="Y")))+SUMPRODUCT(('Aug 25'!$F$8:$F$42=$T17)*'Aug 25'!$AI$8:$AI$42*(('Aug 25'!$AM$8:$AM$42="Y")+('Aug 25'!$AN$8:$AN$42="Y")+('Aug 25'!$AO$8:$AO$42="Y")))+SUMPRODUCT(('Aug 26'!$F$8:$F$42=$T17)*'Aug 26'!$AI$8:$AI$42*(('Aug 26'!$AM$8:$AM$42="Y")+('Aug 26'!$AN$8:$AN$42="Y")+('Aug 26'!$AO$8:$AO$42="Y")))+SUMPRODUCT(('Aug 27'!$F$8:$F$42=$T17)*'Aug 27'!$AI$8:$AI$42*(('Aug 27'!$AM$8:$AM$42="Y")+('Aug 27'!$AN$8:$AN$42="Y")+('Aug 27'!$AO$8:$AO$42="Y")))+SUMPRODUCT(('Aug 28'!$F$8:$F$42=$T17)*'Aug 28'!$AI$8:$AI$42*(('Aug 28'!$AM$8:$AM$42="Y")+('Aug 28'!$AN$8:$AN$42="Y")+('Aug 28'!$AO$8:$AO$42="Y")))+SUMPRODUCT(('Aug 29'!$F$8:$F$42=$T17)*'Aug 29'!$AI$8:$AI$42*(('Aug 29'!$AM$8:$AM$42="Y")+('Aug 29'!$AN$8:$AN$42="Y")+('Aug 29'!$AO$8:$AO$42="Y")))+SUMPRODUCT(('Aug 30'!$F$8:$F$42=$T17)*'Aug 30'!$AI$8:$AI$42*(('Aug 30'!$AM$8:$AM$42="Y")+('Aug 30'!$AN$8:$AN$42="Y")+('Aug 30'!$AO$8:$AO$42="Y")))+SUMPRODUCT(('Aug 31'!$F$8:$F$42=$T17)*'Aug 31'!$AI$8:$AI$42*(('Aug 31'!$AM$8:$AM$42="Y")+('Aug 31'!$AN$8:$AN$42="Y")+('Aug 31'!$AO$8:$AO$42="Y")))</f>
        <v>0</v>
      </c>
      <c r="BD17" s="0" t="n">
        <f aca="false">SUM(U17:AY17)</f>
        <v>0</v>
      </c>
      <c r="BE17" s="0" t="n">
        <f aca="false">SUM(U36:AY36)</f>
        <v>0</v>
      </c>
      <c r="BF17" s="0" t="n">
        <f aca="false">SUM(U55:AY55)</f>
        <v>0</v>
      </c>
    </row>
    <row r="18" customFormat="false" ht="14.25" hidden="false" customHeight="true" outlineLevel="0" collapsed="false">
      <c r="A18" s="48" t="n">
        <v>12</v>
      </c>
      <c r="B18" s="49" t="str">
        <f aca="false">$T15</f>
        <v>JACOB LICHTENSTRAHL</v>
      </c>
      <c r="C18" s="50" t="n">
        <f aca="false">BD15</f>
        <v>0</v>
      </c>
      <c r="D18" s="51" t="n">
        <f aca="false">BE15</f>
        <v>0</v>
      </c>
      <c r="E18" s="51" t="str">
        <f aca="false">IF(BD15=0,"—",BE15/BD15)</f>
        <v>—</v>
      </c>
      <c r="F18" s="48" t="str">
        <f aca="false">IF(BD15=0,"—",INDEX('Pay Plan'!$B$6:$B$12,BB15))</f>
        <v>—</v>
      </c>
      <c r="G18" s="51" t="n">
        <f aca="false">BF15</f>
        <v>0</v>
      </c>
      <c r="H18" s="51" t="n">
        <f aca="false">LOOKUP(BD15,'Pay Plan'!$B$15:$B$20,'Pay Plan'!$C$15:$C$20)</f>
        <v>0</v>
      </c>
      <c r="I18" s="51" t="n">
        <f aca="false">LOOKUP(BA15,'Pay Plan'!$E$15:$E$19,'Pay Plan'!$F$15:$F$19)</f>
        <v>0</v>
      </c>
      <c r="J18" s="51" t="n">
        <f aca="false">BC15*'Pay Plan'!$I$15</f>
        <v>0</v>
      </c>
      <c r="K18" s="52" t="n">
        <f aca="false">G18+H18+I18+J18</f>
        <v>0</v>
      </c>
      <c r="L18" s="52"/>
      <c r="M18" s="52"/>
      <c r="N18" s="47"/>
      <c r="O18" s="52" t="n">
        <f aca="false">K18-N18</f>
        <v>0</v>
      </c>
      <c r="P18" s="52"/>
      <c r="Q18" s="52"/>
      <c r="R18" s="52"/>
      <c r="T18" s="0" t="str">
        <f aca="false">'Staff &amp; Lists'!A19</f>
        <v>TIM CAMPBELL</v>
      </c>
      <c r="U18" s="0" t="n">
        <f aca="false">SUMPRODUCT(('Aug 1'!$F$8:$F$42=$T18)*'Aug 1'!$AJ$8:$AJ$42+('Aug 1'!$G$8:$G$42=$T18)*'Aug 1'!$AK$8:$AK$42)</f>
        <v>0</v>
      </c>
      <c r="V18" s="0" t="n">
        <f aca="false">SUMPRODUCT(('Aug 2'!$F$8:$F$42=$T18)*'Aug 2'!$AJ$8:$AJ$42+('Aug 2'!$G$8:$G$42=$T18)*'Aug 2'!$AK$8:$AK$42)</f>
        <v>0</v>
      </c>
      <c r="W18" s="0" t="n">
        <f aca="false">SUMPRODUCT(('Aug 3'!$F$8:$F$42=$T18)*'Aug 3'!$AJ$8:$AJ$42+('Aug 3'!$G$8:$G$42=$T18)*'Aug 3'!$AK$8:$AK$42)</f>
        <v>0</v>
      </c>
      <c r="X18" s="0" t="n">
        <f aca="false">SUMPRODUCT(('Aug 4'!$F$8:$F$42=$T18)*'Aug 4'!$AJ$8:$AJ$42+('Aug 4'!$G$8:$G$42=$T18)*'Aug 4'!$AK$8:$AK$42)</f>
        <v>0</v>
      </c>
      <c r="Y18" s="0" t="n">
        <f aca="false">SUMPRODUCT(('Aug 5'!$F$8:$F$42=$T18)*'Aug 5'!$AJ$8:$AJ$42+('Aug 5'!$G$8:$G$42=$T18)*'Aug 5'!$AK$8:$AK$42)</f>
        <v>0</v>
      </c>
      <c r="Z18" s="0" t="n">
        <f aca="false">SUMPRODUCT(('Aug 6'!$F$8:$F$42=$T18)*'Aug 6'!$AJ$8:$AJ$42+('Aug 6'!$G$8:$G$42=$T18)*'Aug 6'!$AK$8:$AK$42)</f>
        <v>0</v>
      </c>
      <c r="AA18" s="0" t="n">
        <f aca="false">SUMPRODUCT(('Aug 7'!$F$8:$F$42=$T18)*'Aug 7'!$AJ$8:$AJ$42+('Aug 7'!$G$8:$G$42=$T18)*'Aug 7'!$AK$8:$AK$42)</f>
        <v>0</v>
      </c>
      <c r="AB18" s="0" t="n">
        <f aca="false">SUMPRODUCT(('Aug 8'!$F$8:$F$42=$T18)*'Aug 8'!$AJ$8:$AJ$42+('Aug 8'!$G$8:$G$42=$T18)*'Aug 8'!$AK$8:$AK$42)</f>
        <v>0</v>
      </c>
      <c r="AC18" s="0" t="n">
        <f aca="false">SUMPRODUCT(('Aug 9'!$F$8:$F$42=$T18)*'Aug 9'!$AJ$8:$AJ$42+('Aug 9'!$G$8:$G$42=$T18)*'Aug 9'!$AK$8:$AK$42)</f>
        <v>0</v>
      </c>
      <c r="AD18" s="0" t="n">
        <f aca="false">SUMPRODUCT(('Aug 10'!$F$8:$F$42=$T18)*'Aug 10'!$AJ$8:$AJ$42+('Aug 10'!$G$8:$G$42=$T18)*'Aug 10'!$AK$8:$AK$42)</f>
        <v>0</v>
      </c>
      <c r="AE18" s="0" t="n">
        <f aca="false">SUMPRODUCT(('Aug 11'!$F$8:$F$42=$T18)*'Aug 11'!$AJ$8:$AJ$42+('Aug 11'!$G$8:$G$42=$T18)*'Aug 11'!$AK$8:$AK$42)</f>
        <v>0</v>
      </c>
      <c r="AF18" s="0" t="n">
        <f aca="false">SUMPRODUCT(('Aug 12'!$F$8:$F$42=$T18)*'Aug 12'!$AJ$8:$AJ$42+('Aug 12'!$G$8:$G$42=$T18)*'Aug 12'!$AK$8:$AK$42)</f>
        <v>0</v>
      </c>
      <c r="AG18" s="0" t="n">
        <f aca="false">SUMPRODUCT(('Aug 13'!$F$8:$F$42=$T18)*'Aug 13'!$AJ$8:$AJ$42+('Aug 13'!$G$8:$G$42=$T18)*'Aug 13'!$AK$8:$AK$42)</f>
        <v>0</v>
      </c>
      <c r="AH18" s="0" t="n">
        <f aca="false">SUMPRODUCT(('Aug 14'!$F$8:$F$42=$T18)*'Aug 14'!$AJ$8:$AJ$42+('Aug 14'!$G$8:$G$42=$T18)*'Aug 14'!$AK$8:$AK$42)</f>
        <v>0</v>
      </c>
      <c r="AI18" s="0" t="n">
        <f aca="false">SUMPRODUCT(('Aug 15'!$F$8:$F$42=$T18)*'Aug 15'!$AJ$8:$AJ$42+('Aug 15'!$G$8:$G$42=$T18)*'Aug 15'!$AK$8:$AK$42)</f>
        <v>0</v>
      </c>
      <c r="AJ18" s="0" t="n">
        <f aca="false">SUMPRODUCT(('Aug 16'!$F$8:$F$42=$T18)*'Aug 16'!$AJ$8:$AJ$42+('Aug 16'!$G$8:$G$42=$T18)*'Aug 16'!$AK$8:$AK$42)</f>
        <v>0</v>
      </c>
      <c r="AK18" s="0" t="n">
        <f aca="false">SUMPRODUCT(('Aug 17'!$F$8:$F$42=$T18)*'Aug 17'!$AJ$8:$AJ$42+('Aug 17'!$G$8:$G$42=$T18)*'Aug 17'!$AK$8:$AK$42)</f>
        <v>0</v>
      </c>
      <c r="AL18" s="0" t="n">
        <f aca="false">SUMPRODUCT(('Aug 18'!$F$8:$F$42=$T18)*'Aug 18'!$AJ$8:$AJ$42+('Aug 18'!$G$8:$G$42=$T18)*'Aug 18'!$AK$8:$AK$42)</f>
        <v>0</v>
      </c>
      <c r="AM18" s="0" t="n">
        <f aca="false">SUMPRODUCT(('Aug 19'!$F$8:$F$42=$T18)*'Aug 19'!$AJ$8:$AJ$42+('Aug 19'!$G$8:$G$42=$T18)*'Aug 19'!$AK$8:$AK$42)</f>
        <v>0</v>
      </c>
      <c r="AN18" s="0" t="n">
        <f aca="false">SUMPRODUCT(('Aug 20'!$F$8:$F$42=$T18)*'Aug 20'!$AJ$8:$AJ$42+('Aug 20'!$G$8:$G$42=$T18)*'Aug 20'!$AK$8:$AK$42)</f>
        <v>0</v>
      </c>
      <c r="AO18" s="0" t="n">
        <f aca="false">SUMPRODUCT(('Aug 21'!$F$8:$F$42=$T18)*'Aug 21'!$AJ$8:$AJ$42+('Aug 21'!$G$8:$G$42=$T18)*'Aug 21'!$AK$8:$AK$42)</f>
        <v>0</v>
      </c>
      <c r="AP18" s="0" t="n">
        <f aca="false">SUMPRODUCT(('Aug 22'!$F$8:$F$42=$T18)*'Aug 22'!$AJ$8:$AJ$42+('Aug 22'!$G$8:$G$42=$T18)*'Aug 22'!$AK$8:$AK$42)</f>
        <v>0</v>
      </c>
      <c r="AQ18" s="0" t="n">
        <f aca="false">SUMPRODUCT(('Aug 23'!$F$8:$F$42=$T18)*'Aug 23'!$AJ$8:$AJ$42+('Aug 23'!$G$8:$G$42=$T18)*'Aug 23'!$AK$8:$AK$42)</f>
        <v>0</v>
      </c>
      <c r="AR18" s="0" t="n">
        <f aca="false">SUMPRODUCT(('Aug 24'!$F$8:$F$42=$T18)*'Aug 24'!$AJ$8:$AJ$42+('Aug 24'!$G$8:$G$42=$T18)*'Aug 24'!$AK$8:$AK$42)</f>
        <v>0</v>
      </c>
      <c r="AS18" s="0" t="n">
        <f aca="false">SUMPRODUCT(('Aug 25'!$F$8:$F$42=$T18)*'Aug 25'!$AJ$8:$AJ$42+('Aug 25'!$G$8:$G$42=$T18)*'Aug 25'!$AK$8:$AK$42)</f>
        <v>0</v>
      </c>
      <c r="AT18" s="0" t="n">
        <f aca="false">SUMPRODUCT(('Aug 26'!$F$8:$F$42=$T18)*'Aug 26'!$AJ$8:$AJ$42+('Aug 26'!$G$8:$G$42=$T18)*'Aug 26'!$AK$8:$AK$42)</f>
        <v>0</v>
      </c>
      <c r="AU18" s="0" t="n">
        <f aca="false">SUMPRODUCT(('Aug 27'!$F$8:$F$42=$T18)*'Aug 27'!$AJ$8:$AJ$42+('Aug 27'!$G$8:$G$42=$T18)*'Aug 27'!$AK$8:$AK$42)</f>
        <v>0</v>
      </c>
      <c r="AV18" s="0" t="n">
        <f aca="false">SUMPRODUCT(('Aug 28'!$F$8:$F$42=$T18)*'Aug 28'!$AJ$8:$AJ$42+('Aug 28'!$G$8:$G$42=$T18)*'Aug 28'!$AK$8:$AK$42)</f>
        <v>0</v>
      </c>
      <c r="AW18" s="0" t="n">
        <f aca="false">SUMPRODUCT(('Aug 29'!$F$8:$F$42=$T18)*'Aug 29'!$AJ$8:$AJ$42+('Aug 29'!$G$8:$G$42=$T18)*'Aug 29'!$AK$8:$AK$42)</f>
        <v>0</v>
      </c>
      <c r="AX18" s="0" t="n">
        <f aca="false">SUMPRODUCT(('Aug 30'!$F$8:$F$42=$T18)*'Aug 30'!$AJ$8:$AJ$42+('Aug 30'!$G$8:$G$42=$T18)*'Aug 30'!$AK$8:$AK$42)</f>
        <v>0</v>
      </c>
      <c r="AY18" s="0" t="n">
        <f aca="false">SUMPRODUCT(('Aug 31'!$F$8:$F$42=$T18)*'Aug 31'!$AJ$8:$AJ$42+('Aug 31'!$G$8:$G$42=$T18)*'Aug 31'!$AK$8:$AK$42)</f>
        <v>0</v>
      </c>
      <c r="BA18" s="0" t="n">
        <f aca="false">SUM(U18:AD18)</f>
        <v>0</v>
      </c>
      <c r="BB18" s="0" t="n">
        <f aca="false">MATCH(BD18,'Pay Plan'!$C$6:$C$12,1)</f>
        <v>1</v>
      </c>
      <c r="BC18" s="0" t="n">
        <f aca="false">SUMPRODUCT(('Aug 1'!$F$8:$F$42=$T18)*'Aug 1'!$AI$8:$AI$42*(('Aug 1'!$AM$8:$AM$42="Y")+('Aug 1'!$AN$8:$AN$42="Y")+('Aug 1'!$AO$8:$AO$42="Y")))+SUMPRODUCT(('Aug 2'!$F$8:$F$42=$T18)*'Aug 2'!$AI$8:$AI$42*(('Aug 2'!$AM$8:$AM$42="Y")+('Aug 2'!$AN$8:$AN$42="Y")+('Aug 2'!$AO$8:$AO$42="Y")))+SUMPRODUCT(('Aug 3'!$F$8:$F$42=$T18)*'Aug 3'!$AI$8:$AI$42*(('Aug 3'!$AM$8:$AM$42="Y")+('Aug 3'!$AN$8:$AN$42="Y")+('Aug 3'!$AO$8:$AO$42="Y")))+SUMPRODUCT(('Aug 4'!$F$8:$F$42=$T18)*'Aug 4'!$AI$8:$AI$42*(('Aug 4'!$AM$8:$AM$42="Y")+('Aug 4'!$AN$8:$AN$42="Y")+('Aug 4'!$AO$8:$AO$42="Y")))+SUMPRODUCT(('Aug 5'!$F$8:$F$42=$T18)*'Aug 5'!$AI$8:$AI$42*(('Aug 5'!$AM$8:$AM$42="Y")+('Aug 5'!$AN$8:$AN$42="Y")+('Aug 5'!$AO$8:$AO$42="Y")))+SUMPRODUCT(('Aug 6'!$F$8:$F$42=$T18)*'Aug 6'!$AI$8:$AI$42*(('Aug 6'!$AM$8:$AM$42="Y")+('Aug 6'!$AN$8:$AN$42="Y")+('Aug 6'!$AO$8:$AO$42="Y")))+SUMPRODUCT(('Aug 7'!$F$8:$F$42=$T18)*'Aug 7'!$AI$8:$AI$42*(('Aug 7'!$AM$8:$AM$42="Y")+('Aug 7'!$AN$8:$AN$42="Y")+('Aug 7'!$AO$8:$AO$42="Y")))+SUMPRODUCT(('Aug 8'!$F$8:$F$42=$T18)*'Aug 8'!$AI$8:$AI$42*(('Aug 8'!$AM$8:$AM$42="Y")+('Aug 8'!$AN$8:$AN$42="Y")+('Aug 8'!$AO$8:$AO$42="Y")))+SUMPRODUCT(('Aug 9'!$F$8:$F$42=$T18)*'Aug 9'!$AI$8:$AI$42*(('Aug 9'!$AM$8:$AM$42="Y")+('Aug 9'!$AN$8:$AN$42="Y")+('Aug 9'!$AO$8:$AO$42="Y")))+SUMPRODUCT(('Aug 10'!$F$8:$F$42=$T18)*'Aug 10'!$AI$8:$AI$42*(('Aug 10'!$AM$8:$AM$42="Y")+('Aug 10'!$AN$8:$AN$42="Y")+('Aug 10'!$AO$8:$AO$42="Y")))+SUMPRODUCT(('Aug 11'!$F$8:$F$42=$T18)*'Aug 11'!$AI$8:$AI$42*(('Aug 11'!$AM$8:$AM$42="Y")+('Aug 11'!$AN$8:$AN$42="Y")+('Aug 11'!$AO$8:$AO$42="Y")))+SUMPRODUCT(('Aug 12'!$F$8:$F$42=$T18)*'Aug 12'!$AI$8:$AI$42*(('Aug 12'!$AM$8:$AM$42="Y")+('Aug 12'!$AN$8:$AN$42="Y")+('Aug 12'!$AO$8:$AO$42="Y")))+SUMPRODUCT(('Aug 13'!$F$8:$F$42=$T18)*'Aug 13'!$AI$8:$AI$42*(('Aug 13'!$AM$8:$AM$42="Y")+('Aug 13'!$AN$8:$AN$42="Y")+('Aug 13'!$AO$8:$AO$42="Y")))+SUMPRODUCT(('Aug 14'!$F$8:$F$42=$T18)*'Aug 14'!$AI$8:$AI$42*(('Aug 14'!$AM$8:$AM$42="Y")+('Aug 14'!$AN$8:$AN$42="Y")+('Aug 14'!$AO$8:$AO$42="Y")))+SUMPRODUCT(('Aug 15'!$F$8:$F$42=$T18)*'Aug 15'!$AI$8:$AI$42*(('Aug 15'!$AM$8:$AM$42="Y")+('Aug 15'!$AN$8:$AN$42="Y")+('Aug 15'!$AO$8:$AO$42="Y")))+SUMPRODUCT(('Aug 16'!$F$8:$F$42=$T18)*'Aug 16'!$AI$8:$AI$42*(('Aug 16'!$AM$8:$AM$42="Y")+('Aug 16'!$AN$8:$AN$42="Y")+('Aug 16'!$AO$8:$AO$42="Y")))+SUMPRODUCT(('Aug 17'!$F$8:$F$42=$T18)*'Aug 17'!$AI$8:$AI$42*(('Aug 17'!$AM$8:$AM$42="Y")+('Aug 17'!$AN$8:$AN$42="Y")+('Aug 17'!$AO$8:$AO$42="Y")))+SUMPRODUCT(('Aug 18'!$F$8:$F$42=$T18)*'Aug 18'!$AI$8:$AI$42*(('Aug 18'!$AM$8:$AM$42="Y")+('Aug 18'!$AN$8:$AN$42="Y")+('Aug 18'!$AO$8:$AO$42="Y")))+SUMPRODUCT(('Aug 19'!$F$8:$F$42=$T18)*'Aug 19'!$AI$8:$AI$42*(('Aug 19'!$AM$8:$AM$42="Y")+('Aug 19'!$AN$8:$AN$42="Y")+('Aug 19'!$AO$8:$AO$42="Y")))+SUMPRODUCT(('Aug 20'!$F$8:$F$42=$T18)*'Aug 20'!$AI$8:$AI$42*(('Aug 20'!$AM$8:$AM$42="Y")+('Aug 20'!$AN$8:$AN$42="Y")+('Aug 20'!$AO$8:$AO$42="Y")))+SUMPRODUCT(('Aug 21'!$F$8:$F$42=$T18)*'Aug 21'!$AI$8:$AI$42*(('Aug 21'!$AM$8:$AM$42="Y")+('Aug 21'!$AN$8:$AN$42="Y")+('Aug 21'!$AO$8:$AO$42="Y")))+SUMPRODUCT(('Aug 22'!$F$8:$F$42=$T18)*'Aug 22'!$AI$8:$AI$42*(('Aug 22'!$AM$8:$AM$42="Y")+('Aug 22'!$AN$8:$AN$42="Y")+('Aug 22'!$AO$8:$AO$42="Y")))+SUMPRODUCT(('Aug 23'!$F$8:$F$42=$T18)*'Aug 23'!$AI$8:$AI$42*(('Aug 23'!$AM$8:$AM$42="Y")+('Aug 23'!$AN$8:$AN$42="Y")+('Aug 23'!$AO$8:$AO$42="Y")))+SUMPRODUCT(('Aug 24'!$F$8:$F$42=$T18)*'Aug 24'!$AI$8:$AI$42*(('Aug 24'!$AM$8:$AM$42="Y")+('Aug 24'!$AN$8:$AN$42="Y")+('Aug 24'!$AO$8:$AO$42="Y")))+SUMPRODUCT(('Aug 25'!$F$8:$F$42=$T18)*'Aug 25'!$AI$8:$AI$42*(('Aug 25'!$AM$8:$AM$42="Y")+('Aug 25'!$AN$8:$AN$42="Y")+('Aug 25'!$AO$8:$AO$42="Y")))+SUMPRODUCT(('Aug 26'!$F$8:$F$42=$T18)*'Aug 26'!$AI$8:$AI$42*(('Aug 26'!$AM$8:$AM$42="Y")+('Aug 26'!$AN$8:$AN$42="Y")+('Aug 26'!$AO$8:$AO$42="Y")))+SUMPRODUCT(('Aug 27'!$F$8:$F$42=$T18)*'Aug 27'!$AI$8:$AI$42*(('Aug 27'!$AM$8:$AM$42="Y")+('Aug 27'!$AN$8:$AN$42="Y")+('Aug 27'!$AO$8:$AO$42="Y")))+SUMPRODUCT(('Aug 28'!$F$8:$F$42=$T18)*'Aug 28'!$AI$8:$AI$42*(('Aug 28'!$AM$8:$AM$42="Y")+('Aug 28'!$AN$8:$AN$42="Y")+('Aug 28'!$AO$8:$AO$42="Y")))+SUMPRODUCT(('Aug 29'!$F$8:$F$42=$T18)*'Aug 29'!$AI$8:$AI$42*(('Aug 29'!$AM$8:$AM$42="Y")+('Aug 29'!$AN$8:$AN$42="Y")+('Aug 29'!$AO$8:$AO$42="Y")))+SUMPRODUCT(('Aug 30'!$F$8:$F$42=$T18)*'Aug 30'!$AI$8:$AI$42*(('Aug 30'!$AM$8:$AM$42="Y")+('Aug 30'!$AN$8:$AN$42="Y")+('Aug 30'!$AO$8:$AO$42="Y")))+SUMPRODUCT(('Aug 31'!$F$8:$F$42=$T18)*'Aug 31'!$AI$8:$AI$42*(('Aug 31'!$AM$8:$AM$42="Y")+('Aug 31'!$AN$8:$AN$42="Y")+('Aug 31'!$AO$8:$AO$42="Y")))</f>
        <v>0</v>
      </c>
      <c r="BD18" s="0" t="n">
        <f aca="false">SUM(U18:AY18)</f>
        <v>0</v>
      </c>
      <c r="BE18" s="0" t="n">
        <f aca="false">SUM(U37:AY37)</f>
        <v>0</v>
      </c>
      <c r="BF18" s="0" t="n">
        <f aca="false">SUM(U56:AY56)</f>
        <v>0</v>
      </c>
    </row>
    <row r="19" customFormat="false" ht="14.25" hidden="false" customHeight="true" outlineLevel="0" collapsed="false">
      <c r="A19" s="44" t="n">
        <v>13</v>
      </c>
      <c r="B19" s="45" t="str">
        <f aca="false">$T16</f>
        <v>BRAYDON JOHNSON</v>
      </c>
      <c r="C19" s="22" t="n">
        <f aca="false">BD16</f>
        <v>0</v>
      </c>
      <c r="D19" s="25" t="n">
        <f aca="false">BE16</f>
        <v>0</v>
      </c>
      <c r="E19" s="25" t="str">
        <f aca="false">IF(BD16=0,"—",BE16/BD16)</f>
        <v>—</v>
      </c>
      <c r="F19" s="44" t="str">
        <f aca="false">IF(BD16=0,"—",INDEX('Pay Plan'!$B$6:$B$12,BB16))</f>
        <v>—</v>
      </c>
      <c r="G19" s="25" t="n">
        <f aca="false">BF16</f>
        <v>0</v>
      </c>
      <c r="H19" s="25" t="n">
        <f aca="false">LOOKUP(BD16,'Pay Plan'!$B$15:$B$20,'Pay Plan'!$C$15:$C$20)</f>
        <v>0</v>
      </c>
      <c r="I19" s="25" t="n">
        <f aca="false">LOOKUP(BA16,'Pay Plan'!$E$15:$E$19,'Pay Plan'!$F$15:$F$19)</f>
        <v>0</v>
      </c>
      <c r="J19" s="25" t="n">
        <f aca="false">BC16*'Pay Plan'!$I$15</f>
        <v>0</v>
      </c>
      <c r="K19" s="46" t="n">
        <f aca="false">G19+H19+I19+J19</f>
        <v>0</v>
      </c>
      <c r="L19" s="46"/>
      <c r="M19" s="46"/>
      <c r="N19" s="47"/>
      <c r="O19" s="46" t="n">
        <f aca="false">K19-N19</f>
        <v>0</v>
      </c>
      <c r="P19" s="46"/>
      <c r="Q19" s="46"/>
      <c r="R19" s="46"/>
      <c r="T19" s="0" t="str">
        <f aca="false">'Staff &amp; Lists'!A20</f>
        <v>BILL RISKO</v>
      </c>
      <c r="U19" s="0" t="n">
        <f aca="false">SUMPRODUCT(('Aug 1'!$F$8:$F$42=$T19)*'Aug 1'!$AJ$8:$AJ$42+('Aug 1'!$G$8:$G$42=$T19)*'Aug 1'!$AK$8:$AK$42)</f>
        <v>0</v>
      </c>
      <c r="V19" s="0" t="n">
        <f aca="false">SUMPRODUCT(('Aug 2'!$F$8:$F$42=$T19)*'Aug 2'!$AJ$8:$AJ$42+('Aug 2'!$G$8:$G$42=$T19)*'Aug 2'!$AK$8:$AK$42)</f>
        <v>0</v>
      </c>
      <c r="W19" s="0" t="n">
        <f aca="false">SUMPRODUCT(('Aug 3'!$F$8:$F$42=$T19)*'Aug 3'!$AJ$8:$AJ$42+('Aug 3'!$G$8:$G$42=$T19)*'Aug 3'!$AK$8:$AK$42)</f>
        <v>0</v>
      </c>
      <c r="X19" s="0" t="n">
        <f aca="false">SUMPRODUCT(('Aug 4'!$F$8:$F$42=$T19)*'Aug 4'!$AJ$8:$AJ$42+('Aug 4'!$G$8:$G$42=$T19)*'Aug 4'!$AK$8:$AK$42)</f>
        <v>0</v>
      </c>
      <c r="Y19" s="0" t="n">
        <f aca="false">SUMPRODUCT(('Aug 5'!$F$8:$F$42=$T19)*'Aug 5'!$AJ$8:$AJ$42+('Aug 5'!$G$8:$G$42=$T19)*'Aug 5'!$AK$8:$AK$42)</f>
        <v>0</v>
      </c>
      <c r="Z19" s="0" t="n">
        <f aca="false">SUMPRODUCT(('Aug 6'!$F$8:$F$42=$T19)*'Aug 6'!$AJ$8:$AJ$42+('Aug 6'!$G$8:$G$42=$T19)*'Aug 6'!$AK$8:$AK$42)</f>
        <v>0</v>
      </c>
      <c r="AA19" s="0" t="n">
        <f aca="false">SUMPRODUCT(('Aug 7'!$F$8:$F$42=$T19)*'Aug 7'!$AJ$8:$AJ$42+('Aug 7'!$G$8:$G$42=$T19)*'Aug 7'!$AK$8:$AK$42)</f>
        <v>0</v>
      </c>
      <c r="AB19" s="0" t="n">
        <f aca="false">SUMPRODUCT(('Aug 8'!$F$8:$F$42=$T19)*'Aug 8'!$AJ$8:$AJ$42+('Aug 8'!$G$8:$G$42=$T19)*'Aug 8'!$AK$8:$AK$42)</f>
        <v>0</v>
      </c>
      <c r="AC19" s="0" t="n">
        <f aca="false">SUMPRODUCT(('Aug 9'!$F$8:$F$42=$T19)*'Aug 9'!$AJ$8:$AJ$42+('Aug 9'!$G$8:$G$42=$T19)*'Aug 9'!$AK$8:$AK$42)</f>
        <v>0</v>
      </c>
      <c r="AD19" s="0" t="n">
        <f aca="false">SUMPRODUCT(('Aug 10'!$F$8:$F$42=$T19)*'Aug 10'!$AJ$8:$AJ$42+('Aug 10'!$G$8:$G$42=$T19)*'Aug 10'!$AK$8:$AK$42)</f>
        <v>0</v>
      </c>
      <c r="AE19" s="0" t="n">
        <f aca="false">SUMPRODUCT(('Aug 11'!$F$8:$F$42=$T19)*'Aug 11'!$AJ$8:$AJ$42+('Aug 11'!$G$8:$G$42=$T19)*'Aug 11'!$AK$8:$AK$42)</f>
        <v>0</v>
      </c>
      <c r="AF19" s="0" t="n">
        <f aca="false">SUMPRODUCT(('Aug 12'!$F$8:$F$42=$T19)*'Aug 12'!$AJ$8:$AJ$42+('Aug 12'!$G$8:$G$42=$T19)*'Aug 12'!$AK$8:$AK$42)</f>
        <v>0</v>
      </c>
      <c r="AG19" s="0" t="n">
        <f aca="false">SUMPRODUCT(('Aug 13'!$F$8:$F$42=$T19)*'Aug 13'!$AJ$8:$AJ$42+('Aug 13'!$G$8:$G$42=$T19)*'Aug 13'!$AK$8:$AK$42)</f>
        <v>0</v>
      </c>
      <c r="AH19" s="0" t="n">
        <f aca="false">SUMPRODUCT(('Aug 14'!$F$8:$F$42=$T19)*'Aug 14'!$AJ$8:$AJ$42+('Aug 14'!$G$8:$G$42=$T19)*'Aug 14'!$AK$8:$AK$42)</f>
        <v>0</v>
      </c>
      <c r="AI19" s="0" t="n">
        <f aca="false">SUMPRODUCT(('Aug 15'!$F$8:$F$42=$T19)*'Aug 15'!$AJ$8:$AJ$42+('Aug 15'!$G$8:$G$42=$T19)*'Aug 15'!$AK$8:$AK$42)</f>
        <v>0</v>
      </c>
      <c r="AJ19" s="0" t="n">
        <f aca="false">SUMPRODUCT(('Aug 16'!$F$8:$F$42=$T19)*'Aug 16'!$AJ$8:$AJ$42+('Aug 16'!$G$8:$G$42=$T19)*'Aug 16'!$AK$8:$AK$42)</f>
        <v>0</v>
      </c>
      <c r="AK19" s="0" t="n">
        <f aca="false">SUMPRODUCT(('Aug 17'!$F$8:$F$42=$T19)*'Aug 17'!$AJ$8:$AJ$42+('Aug 17'!$G$8:$G$42=$T19)*'Aug 17'!$AK$8:$AK$42)</f>
        <v>0</v>
      </c>
      <c r="AL19" s="0" t="n">
        <f aca="false">SUMPRODUCT(('Aug 18'!$F$8:$F$42=$T19)*'Aug 18'!$AJ$8:$AJ$42+('Aug 18'!$G$8:$G$42=$T19)*'Aug 18'!$AK$8:$AK$42)</f>
        <v>0</v>
      </c>
      <c r="AM19" s="0" t="n">
        <f aca="false">SUMPRODUCT(('Aug 19'!$F$8:$F$42=$T19)*'Aug 19'!$AJ$8:$AJ$42+('Aug 19'!$G$8:$G$42=$T19)*'Aug 19'!$AK$8:$AK$42)</f>
        <v>0</v>
      </c>
      <c r="AN19" s="0" t="n">
        <f aca="false">SUMPRODUCT(('Aug 20'!$F$8:$F$42=$T19)*'Aug 20'!$AJ$8:$AJ$42+('Aug 20'!$G$8:$G$42=$T19)*'Aug 20'!$AK$8:$AK$42)</f>
        <v>0</v>
      </c>
      <c r="AO19" s="0" t="n">
        <f aca="false">SUMPRODUCT(('Aug 21'!$F$8:$F$42=$T19)*'Aug 21'!$AJ$8:$AJ$42+('Aug 21'!$G$8:$G$42=$T19)*'Aug 21'!$AK$8:$AK$42)</f>
        <v>0</v>
      </c>
      <c r="AP19" s="0" t="n">
        <f aca="false">SUMPRODUCT(('Aug 22'!$F$8:$F$42=$T19)*'Aug 22'!$AJ$8:$AJ$42+('Aug 22'!$G$8:$G$42=$T19)*'Aug 22'!$AK$8:$AK$42)</f>
        <v>0</v>
      </c>
      <c r="AQ19" s="0" t="n">
        <f aca="false">SUMPRODUCT(('Aug 23'!$F$8:$F$42=$T19)*'Aug 23'!$AJ$8:$AJ$42+('Aug 23'!$G$8:$G$42=$T19)*'Aug 23'!$AK$8:$AK$42)</f>
        <v>0</v>
      </c>
      <c r="AR19" s="0" t="n">
        <f aca="false">SUMPRODUCT(('Aug 24'!$F$8:$F$42=$T19)*'Aug 24'!$AJ$8:$AJ$42+('Aug 24'!$G$8:$G$42=$T19)*'Aug 24'!$AK$8:$AK$42)</f>
        <v>0</v>
      </c>
      <c r="AS19" s="0" t="n">
        <f aca="false">SUMPRODUCT(('Aug 25'!$F$8:$F$42=$T19)*'Aug 25'!$AJ$8:$AJ$42+('Aug 25'!$G$8:$G$42=$T19)*'Aug 25'!$AK$8:$AK$42)</f>
        <v>0</v>
      </c>
      <c r="AT19" s="0" t="n">
        <f aca="false">SUMPRODUCT(('Aug 26'!$F$8:$F$42=$T19)*'Aug 26'!$AJ$8:$AJ$42+('Aug 26'!$G$8:$G$42=$T19)*'Aug 26'!$AK$8:$AK$42)</f>
        <v>0</v>
      </c>
      <c r="AU19" s="0" t="n">
        <f aca="false">SUMPRODUCT(('Aug 27'!$F$8:$F$42=$T19)*'Aug 27'!$AJ$8:$AJ$42+('Aug 27'!$G$8:$G$42=$T19)*'Aug 27'!$AK$8:$AK$42)</f>
        <v>0</v>
      </c>
      <c r="AV19" s="0" t="n">
        <f aca="false">SUMPRODUCT(('Aug 28'!$F$8:$F$42=$T19)*'Aug 28'!$AJ$8:$AJ$42+('Aug 28'!$G$8:$G$42=$T19)*'Aug 28'!$AK$8:$AK$42)</f>
        <v>0</v>
      </c>
      <c r="AW19" s="0" t="n">
        <f aca="false">SUMPRODUCT(('Aug 29'!$F$8:$F$42=$T19)*'Aug 29'!$AJ$8:$AJ$42+('Aug 29'!$G$8:$G$42=$T19)*'Aug 29'!$AK$8:$AK$42)</f>
        <v>0</v>
      </c>
      <c r="AX19" s="0" t="n">
        <f aca="false">SUMPRODUCT(('Aug 30'!$F$8:$F$42=$T19)*'Aug 30'!$AJ$8:$AJ$42+('Aug 30'!$G$8:$G$42=$T19)*'Aug 30'!$AK$8:$AK$42)</f>
        <v>0</v>
      </c>
      <c r="AY19" s="0" t="n">
        <f aca="false">SUMPRODUCT(('Aug 31'!$F$8:$F$42=$T19)*'Aug 31'!$AJ$8:$AJ$42+('Aug 31'!$G$8:$G$42=$T19)*'Aug 31'!$AK$8:$AK$42)</f>
        <v>0</v>
      </c>
      <c r="BA19" s="0" t="n">
        <f aca="false">SUM(U19:AD19)</f>
        <v>0</v>
      </c>
      <c r="BB19" s="0" t="n">
        <f aca="false">MATCH(BD19,'Pay Plan'!$C$6:$C$12,1)</f>
        <v>1</v>
      </c>
      <c r="BC19" s="0" t="n">
        <f aca="false">SUMPRODUCT(('Aug 1'!$F$8:$F$42=$T19)*'Aug 1'!$AI$8:$AI$42*(('Aug 1'!$AM$8:$AM$42="Y")+('Aug 1'!$AN$8:$AN$42="Y")+('Aug 1'!$AO$8:$AO$42="Y")))+SUMPRODUCT(('Aug 2'!$F$8:$F$42=$T19)*'Aug 2'!$AI$8:$AI$42*(('Aug 2'!$AM$8:$AM$42="Y")+('Aug 2'!$AN$8:$AN$42="Y")+('Aug 2'!$AO$8:$AO$42="Y")))+SUMPRODUCT(('Aug 3'!$F$8:$F$42=$T19)*'Aug 3'!$AI$8:$AI$42*(('Aug 3'!$AM$8:$AM$42="Y")+('Aug 3'!$AN$8:$AN$42="Y")+('Aug 3'!$AO$8:$AO$42="Y")))+SUMPRODUCT(('Aug 4'!$F$8:$F$42=$T19)*'Aug 4'!$AI$8:$AI$42*(('Aug 4'!$AM$8:$AM$42="Y")+('Aug 4'!$AN$8:$AN$42="Y")+('Aug 4'!$AO$8:$AO$42="Y")))+SUMPRODUCT(('Aug 5'!$F$8:$F$42=$T19)*'Aug 5'!$AI$8:$AI$42*(('Aug 5'!$AM$8:$AM$42="Y")+('Aug 5'!$AN$8:$AN$42="Y")+('Aug 5'!$AO$8:$AO$42="Y")))+SUMPRODUCT(('Aug 6'!$F$8:$F$42=$T19)*'Aug 6'!$AI$8:$AI$42*(('Aug 6'!$AM$8:$AM$42="Y")+('Aug 6'!$AN$8:$AN$42="Y")+('Aug 6'!$AO$8:$AO$42="Y")))+SUMPRODUCT(('Aug 7'!$F$8:$F$42=$T19)*'Aug 7'!$AI$8:$AI$42*(('Aug 7'!$AM$8:$AM$42="Y")+('Aug 7'!$AN$8:$AN$42="Y")+('Aug 7'!$AO$8:$AO$42="Y")))+SUMPRODUCT(('Aug 8'!$F$8:$F$42=$T19)*'Aug 8'!$AI$8:$AI$42*(('Aug 8'!$AM$8:$AM$42="Y")+('Aug 8'!$AN$8:$AN$42="Y")+('Aug 8'!$AO$8:$AO$42="Y")))+SUMPRODUCT(('Aug 9'!$F$8:$F$42=$T19)*'Aug 9'!$AI$8:$AI$42*(('Aug 9'!$AM$8:$AM$42="Y")+('Aug 9'!$AN$8:$AN$42="Y")+('Aug 9'!$AO$8:$AO$42="Y")))+SUMPRODUCT(('Aug 10'!$F$8:$F$42=$T19)*'Aug 10'!$AI$8:$AI$42*(('Aug 10'!$AM$8:$AM$42="Y")+('Aug 10'!$AN$8:$AN$42="Y")+('Aug 10'!$AO$8:$AO$42="Y")))+SUMPRODUCT(('Aug 11'!$F$8:$F$42=$T19)*'Aug 11'!$AI$8:$AI$42*(('Aug 11'!$AM$8:$AM$42="Y")+('Aug 11'!$AN$8:$AN$42="Y")+('Aug 11'!$AO$8:$AO$42="Y")))+SUMPRODUCT(('Aug 12'!$F$8:$F$42=$T19)*'Aug 12'!$AI$8:$AI$42*(('Aug 12'!$AM$8:$AM$42="Y")+('Aug 12'!$AN$8:$AN$42="Y")+('Aug 12'!$AO$8:$AO$42="Y")))+SUMPRODUCT(('Aug 13'!$F$8:$F$42=$T19)*'Aug 13'!$AI$8:$AI$42*(('Aug 13'!$AM$8:$AM$42="Y")+('Aug 13'!$AN$8:$AN$42="Y")+('Aug 13'!$AO$8:$AO$42="Y")))+SUMPRODUCT(('Aug 14'!$F$8:$F$42=$T19)*'Aug 14'!$AI$8:$AI$42*(('Aug 14'!$AM$8:$AM$42="Y")+('Aug 14'!$AN$8:$AN$42="Y")+('Aug 14'!$AO$8:$AO$42="Y")))+SUMPRODUCT(('Aug 15'!$F$8:$F$42=$T19)*'Aug 15'!$AI$8:$AI$42*(('Aug 15'!$AM$8:$AM$42="Y")+('Aug 15'!$AN$8:$AN$42="Y")+('Aug 15'!$AO$8:$AO$42="Y")))+SUMPRODUCT(('Aug 16'!$F$8:$F$42=$T19)*'Aug 16'!$AI$8:$AI$42*(('Aug 16'!$AM$8:$AM$42="Y")+('Aug 16'!$AN$8:$AN$42="Y")+('Aug 16'!$AO$8:$AO$42="Y")))+SUMPRODUCT(('Aug 17'!$F$8:$F$42=$T19)*'Aug 17'!$AI$8:$AI$42*(('Aug 17'!$AM$8:$AM$42="Y")+('Aug 17'!$AN$8:$AN$42="Y")+('Aug 17'!$AO$8:$AO$42="Y")))+SUMPRODUCT(('Aug 18'!$F$8:$F$42=$T19)*'Aug 18'!$AI$8:$AI$42*(('Aug 18'!$AM$8:$AM$42="Y")+('Aug 18'!$AN$8:$AN$42="Y")+('Aug 18'!$AO$8:$AO$42="Y")))+SUMPRODUCT(('Aug 19'!$F$8:$F$42=$T19)*'Aug 19'!$AI$8:$AI$42*(('Aug 19'!$AM$8:$AM$42="Y")+('Aug 19'!$AN$8:$AN$42="Y")+('Aug 19'!$AO$8:$AO$42="Y")))+SUMPRODUCT(('Aug 20'!$F$8:$F$42=$T19)*'Aug 20'!$AI$8:$AI$42*(('Aug 20'!$AM$8:$AM$42="Y")+('Aug 20'!$AN$8:$AN$42="Y")+('Aug 20'!$AO$8:$AO$42="Y")))+SUMPRODUCT(('Aug 21'!$F$8:$F$42=$T19)*'Aug 21'!$AI$8:$AI$42*(('Aug 21'!$AM$8:$AM$42="Y")+('Aug 21'!$AN$8:$AN$42="Y")+('Aug 21'!$AO$8:$AO$42="Y")))+SUMPRODUCT(('Aug 22'!$F$8:$F$42=$T19)*'Aug 22'!$AI$8:$AI$42*(('Aug 22'!$AM$8:$AM$42="Y")+('Aug 22'!$AN$8:$AN$42="Y")+('Aug 22'!$AO$8:$AO$42="Y")))+SUMPRODUCT(('Aug 23'!$F$8:$F$42=$T19)*'Aug 23'!$AI$8:$AI$42*(('Aug 23'!$AM$8:$AM$42="Y")+('Aug 23'!$AN$8:$AN$42="Y")+('Aug 23'!$AO$8:$AO$42="Y")))+SUMPRODUCT(('Aug 24'!$F$8:$F$42=$T19)*'Aug 24'!$AI$8:$AI$42*(('Aug 24'!$AM$8:$AM$42="Y")+('Aug 24'!$AN$8:$AN$42="Y")+('Aug 24'!$AO$8:$AO$42="Y")))+SUMPRODUCT(('Aug 25'!$F$8:$F$42=$T19)*'Aug 25'!$AI$8:$AI$42*(('Aug 25'!$AM$8:$AM$42="Y")+('Aug 25'!$AN$8:$AN$42="Y")+('Aug 25'!$AO$8:$AO$42="Y")))+SUMPRODUCT(('Aug 26'!$F$8:$F$42=$T19)*'Aug 26'!$AI$8:$AI$42*(('Aug 26'!$AM$8:$AM$42="Y")+('Aug 26'!$AN$8:$AN$42="Y")+('Aug 26'!$AO$8:$AO$42="Y")))+SUMPRODUCT(('Aug 27'!$F$8:$F$42=$T19)*'Aug 27'!$AI$8:$AI$42*(('Aug 27'!$AM$8:$AM$42="Y")+('Aug 27'!$AN$8:$AN$42="Y")+('Aug 27'!$AO$8:$AO$42="Y")))+SUMPRODUCT(('Aug 28'!$F$8:$F$42=$T19)*'Aug 28'!$AI$8:$AI$42*(('Aug 28'!$AM$8:$AM$42="Y")+('Aug 28'!$AN$8:$AN$42="Y")+('Aug 28'!$AO$8:$AO$42="Y")))+SUMPRODUCT(('Aug 29'!$F$8:$F$42=$T19)*'Aug 29'!$AI$8:$AI$42*(('Aug 29'!$AM$8:$AM$42="Y")+('Aug 29'!$AN$8:$AN$42="Y")+('Aug 29'!$AO$8:$AO$42="Y")))+SUMPRODUCT(('Aug 30'!$F$8:$F$42=$T19)*'Aug 30'!$AI$8:$AI$42*(('Aug 30'!$AM$8:$AM$42="Y")+('Aug 30'!$AN$8:$AN$42="Y")+('Aug 30'!$AO$8:$AO$42="Y")))+SUMPRODUCT(('Aug 31'!$F$8:$F$42=$T19)*'Aug 31'!$AI$8:$AI$42*(('Aug 31'!$AM$8:$AM$42="Y")+('Aug 31'!$AN$8:$AN$42="Y")+('Aug 31'!$AO$8:$AO$42="Y")))</f>
        <v>0</v>
      </c>
      <c r="BD19" s="0" t="n">
        <f aca="false">SUM(U19:AY19)</f>
        <v>0</v>
      </c>
      <c r="BE19" s="0" t="n">
        <f aca="false">SUM(U38:AY38)</f>
        <v>0</v>
      </c>
      <c r="BF19" s="0" t="n">
        <f aca="false">SUM(U57:AY57)</f>
        <v>0</v>
      </c>
    </row>
    <row r="20" customFormat="false" ht="14.25" hidden="false" customHeight="true" outlineLevel="0" collapsed="false">
      <c r="A20" s="48" t="n">
        <v>14</v>
      </c>
      <c r="B20" s="49" t="str">
        <f aca="false">$T17</f>
        <v>CHRIS HORNE</v>
      </c>
      <c r="C20" s="50" t="n">
        <f aca="false">BD17</f>
        <v>0</v>
      </c>
      <c r="D20" s="51" t="n">
        <f aca="false">BE17</f>
        <v>0</v>
      </c>
      <c r="E20" s="51" t="str">
        <f aca="false">IF(BD17=0,"—",BE17/BD17)</f>
        <v>—</v>
      </c>
      <c r="F20" s="48" t="str">
        <f aca="false">IF(BD17=0,"—",INDEX('Pay Plan'!$B$6:$B$12,BB17))</f>
        <v>—</v>
      </c>
      <c r="G20" s="51" t="n">
        <f aca="false">BF17</f>
        <v>0</v>
      </c>
      <c r="H20" s="51" t="n">
        <f aca="false">LOOKUP(BD17,'Pay Plan'!$B$15:$B$20,'Pay Plan'!$C$15:$C$20)</f>
        <v>0</v>
      </c>
      <c r="I20" s="51" t="n">
        <f aca="false">LOOKUP(BA17,'Pay Plan'!$E$15:$E$19,'Pay Plan'!$F$15:$F$19)</f>
        <v>0</v>
      </c>
      <c r="J20" s="51" t="n">
        <f aca="false">BC17*'Pay Plan'!$I$15</f>
        <v>0</v>
      </c>
      <c r="K20" s="52" t="n">
        <f aca="false">G20+H20+I20+J20</f>
        <v>0</v>
      </c>
      <c r="L20" s="52"/>
      <c r="M20" s="52"/>
      <c r="N20" s="47"/>
      <c r="O20" s="52" t="n">
        <f aca="false">K20-N20</f>
        <v>0</v>
      </c>
      <c r="P20" s="52"/>
      <c r="Q20" s="52"/>
      <c r="R20" s="52"/>
    </row>
    <row r="21" customFormat="false" ht="14.25" hidden="false" customHeight="true" outlineLevel="0" collapsed="false">
      <c r="A21" s="44" t="n">
        <v>15</v>
      </c>
      <c r="B21" s="45" t="str">
        <f aca="false">$T18</f>
        <v>TIM CAMPBELL</v>
      </c>
      <c r="C21" s="22" t="n">
        <f aca="false">BD18</f>
        <v>0</v>
      </c>
      <c r="D21" s="25" t="n">
        <f aca="false">BE18</f>
        <v>0</v>
      </c>
      <c r="E21" s="25" t="str">
        <f aca="false">IF(BD18=0,"—",BE18/BD18)</f>
        <v>—</v>
      </c>
      <c r="F21" s="44" t="str">
        <f aca="false">IF(BD18=0,"—",INDEX('Pay Plan'!$B$6:$B$12,BB18))</f>
        <v>—</v>
      </c>
      <c r="G21" s="25" t="n">
        <f aca="false">BF18</f>
        <v>0</v>
      </c>
      <c r="H21" s="25" t="n">
        <f aca="false">LOOKUP(BD18,'Pay Plan'!$B$15:$B$20,'Pay Plan'!$C$15:$C$20)</f>
        <v>0</v>
      </c>
      <c r="I21" s="25" t="n">
        <f aca="false">LOOKUP(BA18,'Pay Plan'!$E$15:$E$19,'Pay Plan'!$F$15:$F$19)</f>
        <v>0</v>
      </c>
      <c r="J21" s="25" t="n">
        <f aca="false">BC18*'Pay Plan'!$I$15</f>
        <v>0</v>
      </c>
      <c r="K21" s="46" t="n">
        <f aca="false">G21+H21+I21+J21</f>
        <v>0</v>
      </c>
      <c r="L21" s="46"/>
      <c r="M21" s="46"/>
      <c r="N21" s="47"/>
      <c r="O21" s="46" t="n">
        <f aca="false">K21-N21</f>
        <v>0</v>
      </c>
      <c r="P21" s="46"/>
      <c r="Q21" s="46"/>
      <c r="R21" s="46"/>
    </row>
    <row r="22" customFormat="false" ht="14.25" hidden="false" customHeight="true" outlineLevel="0" collapsed="false">
      <c r="A22" s="48" t="n">
        <v>16</v>
      </c>
      <c r="B22" s="49" t="str">
        <f aca="false">$T19</f>
        <v>BILL RISKO</v>
      </c>
      <c r="C22" s="50" t="n">
        <f aca="false">BD19</f>
        <v>0</v>
      </c>
      <c r="D22" s="51" t="n">
        <f aca="false">BE19</f>
        <v>0</v>
      </c>
      <c r="E22" s="51" t="str">
        <f aca="false">IF(BD19=0,"—",BE19/BD19)</f>
        <v>—</v>
      </c>
      <c r="F22" s="48" t="str">
        <f aca="false">IF(BD19=0,"—",INDEX('Pay Plan'!$B$6:$B$12,BB19))</f>
        <v>—</v>
      </c>
      <c r="G22" s="51" t="n">
        <f aca="false">BF19</f>
        <v>0</v>
      </c>
      <c r="H22" s="51" t="n">
        <f aca="false">LOOKUP(BD19,'Pay Plan'!$B$15:$B$20,'Pay Plan'!$C$15:$C$20)</f>
        <v>0</v>
      </c>
      <c r="I22" s="51" t="n">
        <f aca="false">LOOKUP(BA19,'Pay Plan'!$E$15:$E$19,'Pay Plan'!$F$15:$F$19)</f>
        <v>0</v>
      </c>
      <c r="J22" s="51" t="n">
        <f aca="false">BC19*'Pay Plan'!$I$15</f>
        <v>0</v>
      </c>
      <c r="K22" s="52" t="n">
        <f aca="false">G22+H22+I22+J22</f>
        <v>0</v>
      </c>
      <c r="L22" s="52"/>
      <c r="M22" s="52"/>
      <c r="N22" s="47"/>
      <c r="O22" s="52" t="n">
        <f aca="false">K22-N22</f>
        <v>0</v>
      </c>
      <c r="P22" s="52"/>
      <c r="Q22" s="52"/>
      <c r="R22" s="52"/>
    </row>
    <row r="23" customFormat="false" ht="15.75" hidden="false" customHeight="true" outlineLevel="0" collapsed="false">
      <c r="A23" s="53"/>
      <c r="B23" s="54" t="s">
        <v>91</v>
      </c>
      <c r="C23" s="55" t="n">
        <f aca="false">SUM(C7:C22)</f>
        <v>0</v>
      </c>
      <c r="D23" s="56" t="n">
        <f aca="false">SUM(D7:D22)</f>
        <v>0</v>
      </c>
      <c r="E23" s="53"/>
      <c r="F23" s="53"/>
      <c r="G23" s="56" t="n">
        <f aca="false">SUM(G7:G22)</f>
        <v>0</v>
      </c>
      <c r="H23" s="56" t="n">
        <f aca="false">SUM(H7:H22)</f>
        <v>0</v>
      </c>
      <c r="I23" s="56" t="n">
        <f aca="false">SUM(I7:I22)</f>
        <v>0</v>
      </c>
      <c r="J23" s="56" t="n">
        <f aca="false">SUM(J7:J22)</f>
        <v>0</v>
      </c>
      <c r="K23" s="57" t="n">
        <f aca="false">SUM(K7:K22)</f>
        <v>0</v>
      </c>
      <c r="L23" s="57"/>
      <c r="M23" s="57"/>
      <c r="N23" s="56" t="n">
        <f aca="false">SUM(N7:N22)</f>
        <v>0</v>
      </c>
      <c r="O23" s="57" t="n">
        <f aca="false">SUM(O7:O22)</f>
        <v>0</v>
      </c>
      <c r="P23" s="57"/>
      <c r="Q23" s="57"/>
      <c r="R23" s="57"/>
      <c r="U23" s="0" t="n">
        <f aca="false">SUMPRODUCT((('Aug 1'!$F$8:$F$42=$T4)*'Aug 1'!$AJ$8:$AJ$42+('Aug 1'!$G$8:$G$42=$T4)*'Aug 1'!$AK$8:$AK$42)*('Aug 1'!$Q$8:$Q$42+'Aug 1'!$R$8:$R$42))</f>
        <v>0</v>
      </c>
      <c r="V23" s="0" t="n">
        <f aca="false">SUMPRODUCT((('Aug 2'!$F$8:$F$42=$T4)*'Aug 2'!$AJ$8:$AJ$42+('Aug 2'!$G$8:$G$42=$T4)*'Aug 2'!$AK$8:$AK$42)*('Aug 2'!$Q$8:$Q$42+'Aug 2'!$R$8:$R$42))</f>
        <v>0</v>
      </c>
      <c r="W23" s="0" t="n">
        <f aca="false">SUMPRODUCT((('Aug 3'!$F$8:$F$42=$T4)*'Aug 3'!$AJ$8:$AJ$42+('Aug 3'!$G$8:$G$42=$T4)*'Aug 3'!$AK$8:$AK$42)*('Aug 3'!$Q$8:$Q$42+'Aug 3'!$R$8:$R$42))</f>
        <v>0</v>
      </c>
      <c r="X23" s="0" t="n">
        <f aca="false">SUMPRODUCT((('Aug 4'!$F$8:$F$42=$T4)*'Aug 4'!$AJ$8:$AJ$42+('Aug 4'!$G$8:$G$42=$T4)*'Aug 4'!$AK$8:$AK$42)*('Aug 4'!$Q$8:$Q$42+'Aug 4'!$R$8:$R$42))</f>
        <v>0</v>
      </c>
      <c r="Y23" s="0" t="n">
        <f aca="false">SUMPRODUCT((('Aug 5'!$F$8:$F$42=$T4)*'Aug 5'!$AJ$8:$AJ$42+('Aug 5'!$G$8:$G$42=$T4)*'Aug 5'!$AK$8:$AK$42)*('Aug 5'!$Q$8:$Q$42+'Aug 5'!$R$8:$R$42))</f>
        <v>0</v>
      </c>
      <c r="Z23" s="0" t="n">
        <f aca="false">SUMPRODUCT((('Aug 6'!$F$8:$F$42=$T4)*'Aug 6'!$AJ$8:$AJ$42+('Aug 6'!$G$8:$G$42=$T4)*'Aug 6'!$AK$8:$AK$42)*('Aug 6'!$Q$8:$Q$42+'Aug 6'!$R$8:$R$42))</f>
        <v>0</v>
      </c>
      <c r="AA23" s="0" t="n">
        <f aca="false">SUMPRODUCT((('Aug 7'!$F$8:$F$42=$T4)*'Aug 7'!$AJ$8:$AJ$42+('Aug 7'!$G$8:$G$42=$T4)*'Aug 7'!$AK$8:$AK$42)*('Aug 7'!$Q$8:$Q$42+'Aug 7'!$R$8:$R$42))</f>
        <v>0</v>
      </c>
      <c r="AB23" s="0" t="n">
        <f aca="false">SUMPRODUCT((('Aug 8'!$F$8:$F$42=$T4)*'Aug 8'!$AJ$8:$AJ$42+('Aug 8'!$G$8:$G$42=$T4)*'Aug 8'!$AK$8:$AK$42)*('Aug 8'!$Q$8:$Q$42+'Aug 8'!$R$8:$R$42))</f>
        <v>0</v>
      </c>
      <c r="AC23" s="0" t="n">
        <f aca="false">SUMPRODUCT((('Aug 9'!$F$8:$F$42=$T4)*'Aug 9'!$AJ$8:$AJ$42+('Aug 9'!$G$8:$G$42=$T4)*'Aug 9'!$AK$8:$AK$42)*('Aug 9'!$Q$8:$Q$42+'Aug 9'!$R$8:$R$42))</f>
        <v>0</v>
      </c>
      <c r="AD23" s="0" t="n">
        <f aca="false">SUMPRODUCT((('Aug 10'!$F$8:$F$42=$T4)*'Aug 10'!$AJ$8:$AJ$42+('Aug 10'!$G$8:$G$42=$T4)*'Aug 10'!$AK$8:$AK$42)*('Aug 10'!$Q$8:$Q$42+'Aug 10'!$R$8:$R$42))</f>
        <v>0</v>
      </c>
      <c r="AE23" s="0" t="n">
        <f aca="false">SUMPRODUCT((('Aug 11'!$F$8:$F$42=$T4)*'Aug 11'!$AJ$8:$AJ$42+('Aug 11'!$G$8:$G$42=$T4)*'Aug 11'!$AK$8:$AK$42)*('Aug 11'!$Q$8:$Q$42+'Aug 11'!$R$8:$R$42))</f>
        <v>0</v>
      </c>
      <c r="AF23" s="0" t="n">
        <f aca="false">SUMPRODUCT((('Aug 12'!$F$8:$F$42=$T4)*'Aug 12'!$AJ$8:$AJ$42+('Aug 12'!$G$8:$G$42=$T4)*'Aug 12'!$AK$8:$AK$42)*('Aug 12'!$Q$8:$Q$42+'Aug 12'!$R$8:$R$42))</f>
        <v>0</v>
      </c>
      <c r="AG23" s="0" t="n">
        <f aca="false">SUMPRODUCT((('Aug 13'!$F$8:$F$42=$T4)*'Aug 13'!$AJ$8:$AJ$42+('Aug 13'!$G$8:$G$42=$T4)*'Aug 13'!$AK$8:$AK$42)*('Aug 13'!$Q$8:$Q$42+'Aug 13'!$R$8:$R$42))</f>
        <v>0</v>
      </c>
      <c r="AH23" s="0" t="n">
        <f aca="false">SUMPRODUCT((('Aug 14'!$F$8:$F$42=$T4)*'Aug 14'!$AJ$8:$AJ$42+('Aug 14'!$G$8:$G$42=$T4)*'Aug 14'!$AK$8:$AK$42)*('Aug 14'!$Q$8:$Q$42+'Aug 14'!$R$8:$R$42))</f>
        <v>0</v>
      </c>
      <c r="AI23" s="0" t="n">
        <f aca="false">SUMPRODUCT((('Aug 15'!$F$8:$F$42=$T4)*'Aug 15'!$AJ$8:$AJ$42+('Aug 15'!$G$8:$G$42=$T4)*'Aug 15'!$AK$8:$AK$42)*('Aug 15'!$Q$8:$Q$42+'Aug 15'!$R$8:$R$42))</f>
        <v>0</v>
      </c>
      <c r="AJ23" s="0" t="n">
        <f aca="false">SUMPRODUCT((('Aug 16'!$F$8:$F$42=$T4)*'Aug 16'!$AJ$8:$AJ$42+('Aug 16'!$G$8:$G$42=$T4)*'Aug 16'!$AK$8:$AK$42)*('Aug 16'!$Q$8:$Q$42+'Aug 16'!$R$8:$R$42))</f>
        <v>0</v>
      </c>
      <c r="AK23" s="0" t="n">
        <f aca="false">SUMPRODUCT((('Aug 17'!$F$8:$F$42=$T4)*'Aug 17'!$AJ$8:$AJ$42+('Aug 17'!$G$8:$G$42=$T4)*'Aug 17'!$AK$8:$AK$42)*('Aug 17'!$Q$8:$Q$42+'Aug 17'!$R$8:$R$42))</f>
        <v>0</v>
      </c>
      <c r="AL23" s="0" t="n">
        <f aca="false">SUMPRODUCT((('Aug 18'!$F$8:$F$42=$T4)*'Aug 18'!$AJ$8:$AJ$42+('Aug 18'!$G$8:$G$42=$T4)*'Aug 18'!$AK$8:$AK$42)*('Aug 18'!$Q$8:$Q$42+'Aug 18'!$R$8:$R$42))</f>
        <v>0</v>
      </c>
      <c r="AM23" s="0" t="n">
        <f aca="false">SUMPRODUCT((('Aug 19'!$F$8:$F$42=$T4)*'Aug 19'!$AJ$8:$AJ$42+('Aug 19'!$G$8:$G$42=$T4)*'Aug 19'!$AK$8:$AK$42)*('Aug 19'!$Q$8:$Q$42+'Aug 19'!$R$8:$R$42))</f>
        <v>0</v>
      </c>
      <c r="AN23" s="0" t="n">
        <f aca="false">SUMPRODUCT((('Aug 20'!$F$8:$F$42=$T4)*'Aug 20'!$AJ$8:$AJ$42+('Aug 20'!$G$8:$G$42=$T4)*'Aug 20'!$AK$8:$AK$42)*('Aug 20'!$Q$8:$Q$42+'Aug 20'!$R$8:$R$42))</f>
        <v>0</v>
      </c>
      <c r="AO23" s="0" t="n">
        <f aca="false">SUMPRODUCT((('Aug 21'!$F$8:$F$42=$T4)*'Aug 21'!$AJ$8:$AJ$42+('Aug 21'!$G$8:$G$42=$T4)*'Aug 21'!$AK$8:$AK$42)*('Aug 21'!$Q$8:$Q$42+'Aug 21'!$R$8:$R$42))</f>
        <v>0</v>
      </c>
      <c r="AP23" s="0" t="n">
        <f aca="false">SUMPRODUCT((('Aug 22'!$F$8:$F$42=$T4)*'Aug 22'!$AJ$8:$AJ$42+('Aug 22'!$G$8:$G$42=$T4)*'Aug 22'!$AK$8:$AK$42)*('Aug 22'!$Q$8:$Q$42+'Aug 22'!$R$8:$R$42))</f>
        <v>0</v>
      </c>
      <c r="AQ23" s="0" t="n">
        <f aca="false">SUMPRODUCT((('Aug 23'!$F$8:$F$42=$T4)*'Aug 23'!$AJ$8:$AJ$42+('Aug 23'!$G$8:$G$42=$T4)*'Aug 23'!$AK$8:$AK$42)*('Aug 23'!$Q$8:$Q$42+'Aug 23'!$R$8:$R$42))</f>
        <v>0</v>
      </c>
      <c r="AR23" s="0" t="n">
        <f aca="false">SUMPRODUCT((('Aug 24'!$F$8:$F$42=$T4)*'Aug 24'!$AJ$8:$AJ$42+('Aug 24'!$G$8:$G$42=$T4)*'Aug 24'!$AK$8:$AK$42)*('Aug 24'!$Q$8:$Q$42+'Aug 24'!$R$8:$R$42))</f>
        <v>0</v>
      </c>
      <c r="AS23" s="0" t="n">
        <f aca="false">SUMPRODUCT((('Aug 25'!$F$8:$F$42=$T4)*'Aug 25'!$AJ$8:$AJ$42+('Aug 25'!$G$8:$G$42=$T4)*'Aug 25'!$AK$8:$AK$42)*('Aug 25'!$Q$8:$Q$42+'Aug 25'!$R$8:$R$42))</f>
        <v>0</v>
      </c>
      <c r="AT23" s="0" t="n">
        <f aca="false">SUMPRODUCT((('Aug 26'!$F$8:$F$42=$T4)*'Aug 26'!$AJ$8:$AJ$42+('Aug 26'!$G$8:$G$42=$T4)*'Aug 26'!$AK$8:$AK$42)*('Aug 26'!$Q$8:$Q$42+'Aug 26'!$R$8:$R$42))</f>
        <v>0</v>
      </c>
      <c r="AU23" s="0" t="n">
        <f aca="false">SUMPRODUCT((('Aug 27'!$F$8:$F$42=$T4)*'Aug 27'!$AJ$8:$AJ$42+('Aug 27'!$G$8:$G$42=$T4)*'Aug 27'!$AK$8:$AK$42)*('Aug 27'!$Q$8:$Q$42+'Aug 27'!$R$8:$R$42))</f>
        <v>0</v>
      </c>
      <c r="AV23" s="0" t="n">
        <f aca="false">SUMPRODUCT((('Aug 28'!$F$8:$F$42=$T4)*'Aug 28'!$AJ$8:$AJ$42+('Aug 28'!$G$8:$G$42=$T4)*'Aug 28'!$AK$8:$AK$42)*('Aug 28'!$Q$8:$Q$42+'Aug 28'!$R$8:$R$42))</f>
        <v>0</v>
      </c>
      <c r="AW23" s="0" t="n">
        <f aca="false">SUMPRODUCT((('Aug 29'!$F$8:$F$42=$T4)*'Aug 29'!$AJ$8:$AJ$42+('Aug 29'!$G$8:$G$42=$T4)*'Aug 29'!$AK$8:$AK$42)*('Aug 29'!$Q$8:$Q$42+'Aug 29'!$R$8:$R$42))</f>
        <v>0</v>
      </c>
      <c r="AX23" s="0" t="n">
        <f aca="false">SUMPRODUCT((('Aug 30'!$F$8:$F$42=$T4)*'Aug 30'!$AJ$8:$AJ$42+('Aug 30'!$G$8:$G$42=$T4)*'Aug 30'!$AK$8:$AK$42)*('Aug 30'!$Q$8:$Q$42+'Aug 30'!$R$8:$R$42))</f>
        <v>0</v>
      </c>
      <c r="AY23" s="0" t="n">
        <f aca="false">SUMPRODUCT((('Aug 31'!$F$8:$F$42=$T4)*'Aug 31'!$AJ$8:$AJ$42+('Aug 31'!$G$8:$G$42=$T4)*'Aug 31'!$AK$8:$AK$42)*('Aug 31'!$Q$8:$Q$42+'Aug 31'!$R$8:$R$42))</f>
        <v>0</v>
      </c>
    </row>
    <row r="24" customFormat="false" ht="15" hidden="false" customHeight="false" outlineLevel="0" collapsed="false">
      <c r="U24" s="0" t="n">
        <f aca="false">SUMPRODUCT((('Aug 1'!$F$8:$F$42=$T5)*'Aug 1'!$AJ$8:$AJ$42+('Aug 1'!$G$8:$G$42=$T5)*'Aug 1'!$AK$8:$AK$42)*('Aug 1'!$Q$8:$Q$42+'Aug 1'!$R$8:$R$42))</f>
        <v>0</v>
      </c>
      <c r="V24" s="0" t="n">
        <f aca="false">SUMPRODUCT((('Aug 2'!$F$8:$F$42=$T5)*'Aug 2'!$AJ$8:$AJ$42+('Aug 2'!$G$8:$G$42=$T5)*'Aug 2'!$AK$8:$AK$42)*('Aug 2'!$Q$8:$Q$42+'Aug 2'!$R$8:$R$42))</f>
        <v>0</v>
      </c>
      <c r="W24" s="0" t="n">
        <f aca="false">SUMPRODUCT((('Aug 3'!$F$8:$F$42=$T5)*'Aug 3'!$AJ$8:$AJ$42+('Aug 3'!$G$8:$G$42=$T5)*'Aug 3'!$AK$8:$AK$42)*('Aug 3'!$Q$8:$Q$42+'Aug 3'!$R$8:$R$42))</f>
        <v>0</v>
      </c>
      <c r="X24" s="0" t="n">
        <f aca="false">SUMPRODUCT((('Aug 4'!$F$8:$F$42=$T5)*'Aug 4'!$AJ$8:$AJ$42+('Aug 4'!$G$8:$G$42=$T5)*'Aug 4'!$AK$8:$AK$42)*('Aug 4'!$Q$8:$Q$42+'Aug 4'!$R$8:$R$42))</f>
        <v>0</v>
      </c>
      <c r="Y24" s="0" t="n">
        <f aca="false">SUMPRODUCT((('Aug 5'!$F$8:$F$42=$T5)*'Aug 5'!$AJ$8:$AJ$42+('Aug 5'!$G$8:$G$42=$T5)*'Aug 5'!$AK$8:$AK$42)*('Aug 5'!$Q$8:$Q$42+'Aug 5'!$R$8:$R$42))</f>
        <v>0</v>
      </c>
      <c r="Z24" s="0" t="n">
        <f aca="false">SUMPRODUCT((('Aug 6'!$F$8:$F$42=$T5)*'Aug 6'!$AJ$8:$AJ$42+('Aug 6'!$G$8:$G$42=$T5)*'Aug 6'!$AK$8:$AK$42)*('Aug 6'!$Q$8:$Q$42+'Aug 6'!$R$8:$R$42))</f>
        <v>0</v>
      </c>
      <c r="AA24" s="0" t="n">
        <f aca="false">SUMPRODUCT((('Aug 7'!$F$8:$F$42=$T5)*'Aug 7'!$AJ$8:$AJ$42+('Aug 7'!$G$8:$G$42=$T5)*'Aug 7'!$AK$8:$AK$42)*('Aug 7'!$Q$8:$Q$42+'Aug 7'!$R$8:$R$42))</f>
        <v>0</v>
      </c>
      <c r="AB24" s="0" t="n">
        <f aca="false">SUMPRODUCT((('Aug 8'!$F$8:$F$42=$T5)*'Aug 8'!$AJ$8:$AJ$42+('Aug 8'!$G$8:$G$42=$T5)*'Aug 8'!$AK$8:$AK$42)*('Aug 8'!$Q$8:$Q$42+'Aug 8'!$R$8:$R$42))</f>
        <v>0</v>
      </c>
      <c r="AC24" s="0" t="n">
        <f aca="false">SUMPRODUCT((('Aug 9'!$F$8:$F$42=$T5)*'Aug 9'!$AJ$8:$AJ$42+('Aug 9'!$G$8:$G$42=$T5)*'Aug 9'!$AK$8:$AK$42)*('Aug 9'!$Q$8:$Q$42+'Aug 9'!$R$8:$R$42))</f>
        <v>0</v>
      </c>
      <c r="AD24" s="0" t="n">
        <f aca="false">SUMPRODUCT((('Aug 10'!$F$8:$F$42=$T5)*'Aug 10'!$AJ$8:$AJ$42+('Aug 10'!$G$8:$G$42=$T5)*'Aug 10'!$AK$8:$AK$42)*('Aug 10'!$Q$8:$Q$42+'Aug 10'!$R$8:$R$42))</f>
        <v>0</v>
      </c>
      <c r="AE24" s="0" t="n">
        <f aca="false">SUMPRODUCT((('Aug 11'!$F$8:$F$42=$T5)*'Aug 11'!$AJ$8:$AJ$42+('Aug 11'!$G$8:$G$42=$T5)*'Aug 11'!$AK$8:$AK$42)*('Aug 11'!$Q$8:$Q$42+'Aug 11'!$R$8:$R$42))</f>
        <v>0</v>
      </c>
      <c r="AF24" s="0" t="n">
        <f aca="false">SUMPRODUCT((('Aug 12'!$F$8:$F$42=$T5)*'Aug 12'!$AJ$8:$AJ$42+('Aug 12'!$G$8:$G$42=$T5)*'Aug 12'!$AK$8:$AK$42)*('Aug 12'!$Q$8:$Q$42+'Aug 12'!$R$8:$R$42))</f>
        <v>0</v>
      </c>
      <c r="AG24" s="0" t="n">
        <f aca="false">SUMPRODUCT((('Aug 13'!$F$8:$F$42=$T5)*'Aug 13'!$AJ$8:$AJ$42+('Aug 13'!$G$8:$G$42=$T5)*'Aug 13'!$AK$8:$AK$42)*('Aug 13'!$Q$8:$Q$42+'Aug 13'!$R$8:$R$42))</f>
        <v>0</v>
      </c>
      <c r="AH24" s="0" t="n">
        <f aca="false">SUMPRODUCT((('Aug 14'!$F$8:$F$42=$T5)*'Aug 14'!$AJ$8:$AJ$42+('Aug 14'!$G$8:$G$42=$T5)*'Aug 14'!$AK$8:$AK$42)*('Aug 14'!$Q$8:$Q$42+'Aug 14'!$R$8:$R$42))</f>
        <v>0</v>
      </c>
      <c r="AI24" s="0" t="n">
        <f aca="false">SUMPRODUCT((('Aug 15'!$F$8:$F$42=$T5)*'Aug 15'!$AJ$8:$AJ$42+('Aug 15'!$G$8:$G$42=$T5)*'Aug 15'!$AK$8:$AK$42)*('Aug 15'!$Q$8:$Q$42+'Aug 15'!$R$8:$R$42))</f>
        <v>0</v>
      </c>
      <c r="AJ24" s="0" t="n">
        <f aca="false">SUMPRODUCT((('Aug 16'!$F$8:$F$42=$T5)*'Aug 16'!$AJ$8:$AJ$42+('Aug 16'!$G$8:$G$42=$T5)*'Aug 16'!$AK$8:$AK$42)*('Aug 16'!$Q$8:$Q$42+'Aug 16'!$R$8:$R$42))</f>
        <v>0</v>
      </c>
      <c r="AK24" s="0" t="n">
        <f aca="false">SUMPRODUCT((('Aug 17'!$F$8:$F$42=$T5)*'Aug 17'!$AJ$8:$AJ$42+('Aug 17'!$G$8:$G$42=$T5)*'Aug 17'!$AK$8:$AK$42)*('Aug 17'!$Q$8:$Q$42+'Aug 17'!$R$8:$R$42))</f>
        <v>0</v>
      </c>
      <c r="AL24" s="0" t="n">
        <f aca="false">SUMPRODUCT((('Aug 18'!$F$8:$F$42=$T5)*'Aug 18'!$AJ$8:$AJ$42+('Aug 18'!$G$8:$G$42=$T5)*'Aug 18'!$AK$8:$AK$42)*('Aug 18'!$Q$8:$Q$42+'Aug 18'!$R$8:$R$42))</f>
        <v>0</v>
      </c>
      <c r="AM24" s="0" t="n">
        <f aca="false">SUMPRODUCT((('Aug 19'!$F$8:$F$42=$T5)*'Aug 19'!$AJ$8:$AJ$42+('Aug 19'!$G$8:$G$42=$T5)*'Aug 19'!$AK$8:$AK$42)*('Aug 19'!$Q$8:$Q$42+'Aug 19'!$R$8:$R$42))</f>
        <v>0</v>
      </c>
      <c r="AN24" s="0" t="n">
        <f aca="false">SUMPRODUCT((('Aug 20'!$F$8:$F$42=$T5)*'Aug 20'!$AJ$8:$AJ$42+('Aug 20'!$G$8:$G$42=$T5)*'Aug 20'!$AK$8:$AK$42)*('Aug 20'!$Q$8:$Q$42+'Aug 20'!$R$8:$R$42))</f>
        <v>0</v>
      </c>
      <c r="AO24" s="0" t="n">
        <f aca="false">SUMPRODUCT((('Aug 21'!$F$8:$F$42=$T5)*'Aug 21'!$AJ$8:$AJ$42+('Aug 21'!$G$8:$G$42=$T5)*'Aug 21'!$AK$8:$AK$42)*('Aug 21'!$Q$8:$Q$42+'Aug 21'!$R$8:$R$42))</f>
        <v>0</v>
      </c>
      <c r="AP24" s="0" t="n">
        <f aca="false">SUMPRODUCT((('Aug 22'!$F$8:$F$42=$T5)*'Aug 22'!$AJ$8:$AJ$42+('Aug 22'!$G$8:$G$42=$T5)*'Aug 22'!$AK$8:$AK$42)*('Aug 22'!$Q$8:$Q$42+'Aug 22'!$R$8:$R$42))</f>
        <v>0</v>
      </c>
      <c r="AQ24" s="0" t="n">
        <f aca="false">SUMPRODUCT((('Aug 23'!$F$8:$F$42=$T5)*'Aug 23'!$AJ$8:$AJ$42+('Aug 23'!$G$8:$G$42=$T5)*'Aug 23'!$AK$8:$AK$42)*('Aug 23'!$Q$8:$Q$42+'Aug 23'!$R$8:$R$42))</f>
        <v>0</v>
      </c>
      <c r="AR24" s="0" t="n">
        <f aca="false">SUMPRODUCT((('Aug 24'!$F$8:$F$42=$T5)*'Aug 24'!$AJ$8:$AJ$42+('Aug 24'!$G$8:$G$42=$T5)*'Aug 24'!$AK$8:$AK$42)*('Aug 24'!$Q$8:$Q$42+'Aug 24'!$R$8:$R$42))</f>
        <v>0</v>
      </c>
      <c r="AS24" s="0" t="n">
        <f aca="false">SUMPRODUCT((('Aug 25'!$F$8:$F$42=$T5)*'Aug 25'!$AJ$8:$AJ$42+('Aug 25'!$G$8:$G$42=$T5)*'Aug 25'!$AK$8:$AK$42)*('Aug 25'!$Q$8:$Q$42+'Aug 25'!$R$8:$R$42))</f>
        <v>0</v>
      </c>
      <c r="AT24" s="0" t="n">
        <f aca="false">SUMPRODUCT((('Aug 26'!$F$8:$F$42=$T5)*'Aug 26'!$AJ$8:$AJ$42+('Aug 26'!$G$8:$G$42=$T5)*'Aug 26'!$AK$8:$AK$42)*('Aug 26'!$Q$8:$Q$42+'Aug 26'!$R$8:$R$42))</f>
        <v>0</v>
      </c>
      <c r="AU24" s="0" t="n">
        <f aca="false">SUMPRODUCT((('Aug 27'!$F$8:$F$42=$T5)*'Aug 27'!$AJ$8:$AJ$42+('Aug 27'!$G$8:$G$42=$T5)*'Aug 27'!$AK$8:$AK$42)*('Aug 27'!$Q$8:$Q$42+'Aug 27'!$R$8:$R$42))</f>
        <v>0</v>
      </c>
      <c r="AV24" s="0" t="n">
        <f aca="false">SUMPRODUCT((('Aug 28'!$F$8:$F$42=$T5)*'Aug 28'!$AJ$8:$AJ$42+('Aug 28'!$G$8:$G$42=$T5)*'Aug 28'!$AK$8:$AK$42)*('Aug 28'!$Q$8:$Q$42+'Aug 28'!$R$8:$R$42))</f>
        <v>0</v>
      </c>
      <c r="AW24" s="0" t="n">
        <f aca="false">SUMPRODUCT((('Aug 29'!$F$8:$F$42=$T5)*'Aug 29'!$AJ$8:$AJ$42+('Aug 29'!$G$8:$G$42=$T5)*'Aug 29'!$AK$8:$AK$42)*('Aug 29'!$Q$8:$Q$42+'Aug 29'!$R$8:$R$42))</f>
        <v>0</v>
      </c>
      <c r="AX24" s="0" t="n">
        <f aca="false">SUMPRODUCT((('Aug 30'!$F$8:$F$42=$T5)*'Aug 30'!$AJ$8:$AJ$42+('Aug 30'!$G$8:$G$42=$T5)*'Aug 30'!$AK$8:$AK$42)*('Aug 30'!$Q$8:$Q$42+'Aug 30'!$R$8:$R$42))</f>
        <v>0</v>
      </c>
      <c r="AY24" s="0" t="n">
        <f aca="false">SUMPRODUCT((('Aug 31'!$F$8:$F$42=$T5)*'Aug 31'!$AJ$8:$AJ$42+('Aug 31'!$G$8:$G$42=$T5)*'Aug 31'!$AK$8:$AK$42)*('Aug 31'!$Q$8:$Q$42+'Aug 31'!$R$8:$R$42))</f>
        <v>0</v>
      </c>
    </row>
    <row r="25" customFormat="false" ht="15" hidden="false" customHeight="false" outlineLevel="0" collapsed="false">
      <c r="A25" s="19" t="s">
        <v>92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U25" s="0" t="n">
        <f aca="false">SUMPRODUCT((('Aug 1'!$F$8:$F$42=$T6)*'Aug 1'!$AJ$8:$AJ$42+('Aug 1'!$G$8:$G$42=$T6)*'Aug 1'!$AK$8:$AK$42)*('Aug 1'!$Q$8:$Q$42+'Aug 1'!$R$8:$R$42))</f>
        <v>0</v>
      </c>
      <c r="V25" s="0" t="n">
        <f aca="false">SUMPRODUCT((('Aug 2'!$F$8:$F$42=$T6)*'Aug 2'!$AJ$8:$AJ$42+('Aug 2'!$G$8:$G$42=$T6)*'Aug 2'!$AK$8:$AK$42)*('Aug 2'!$Q$8:$Q$42+'Aug 2'!$R$8:$R$42))</f>
        <v>0</v>
      </c>
      <c r="W25" s="0" t="n">
        <f aca="false">SUMPRODUCT((('Aug 3'!$F$8:$F$42=$T6)*'Aug 3'!$AJ$8:$AJ$42+('Aug 3'!$G$8:$G$42=$T6)*'Aug 3'!$AK$8:$AK$42)*('Aug 3'!$Q$8:$Q$42+'Aug 3'!$R$8:$R$42))</f>
        <v>0</v>
      </c>
      <c r="X25" s="0" t="n">
        <f aca="false">SUMPRODUCT((('Aug 4'!$F$8:$F$42=$T6)*'Aug 4'!$AJ$8:$AJ$42+('Aug 4'!$G$8:$G$42=$T6)*'Aug 4'!$AK$8:$AK$42)*('Aug 4'!$Q$8:$Q$42+'Aug 4'!$R$8:$R$42))</f>
        <v>0</v>
      </c>
      <c r="Y25" s="0" t="n">
        <f aca="false">SUMPRODUCT((('Aug 5'!$F$8:$F$42=$T6)*'Aug 5'!$AJ$8:$AJ$42+('Aug 5'!$G$8:$G$42=$T6)*'Aug 5'!$AK$8:$AK$42)*('Aug 5'!$Q$8:$Q$42+'Aug 5'!$R$8:$R$42))</f>
        <v>0</v>
      </c>
      <c r="Z25" s="0" t="n">
        <f aca="false">SUMPRODUCT((('Aug 6'!$F$8:$F$42=$T6)*'Aug 6'!$AJ$8:$AJ$42+('Aug 6'!$G$8:$G$42=$T6)*'Aug 6'!$AK$8:$AK$42)*('Aug 6'!$Q$8:$Q$42+'Aug 6'!$R$8:$R$42))</f>
        <v>0</v>
      </c>
      <c r="AA25" s="0" t="n">
        <f aca="false">SUMPRODUCT((('Aug 7'!$F$8:$F$42=$T6)*'Aug 7'!$AJ$8:$AJ$42+('Aug 7'!$G$8:$G$42=$T6)*'Aug 7'!$AK$8:$AK$42)*('Aug 7'!$Q$8:$Q$42+'Aug 7'!$R$8:$R$42))</f>
        <v>0</v>
      </c>
      <c r="AB25" s="0" t="n">
        <f aca="false">SUMPRODUCT((('Aug 8'!$F$8:$F$42=$T6)*'Aug 8'!$AJ$8:$AJ$42+('Aug 8'!$G$8:$G$42=$T6)*'Aug 8'!$AK$8:$AK$42)*('Aug 8'!$Q$8:$Q$42+'Aug 8'!$R$8:$R$42))</f>
        <v>0</v>
      </c>
      <c r="AC25" s="0" t="n">
        <f aca="false">SUMPRODUCT((('Aug 9'!$F$8:$F$42=$T6)*'Aug 9'!$AJ$8:$AJ$42+('Aug 9'!$G$8:$G$42=$T6)*'Aug 9'!$AK$8:$AK$42)*('Aug 9'!$Q$8:$Q$42+'Aug 9'!$R$8:$R$42))</f>
        <v>0</v>
      </c>
      <c r="AD25" s="0" t="n">
        <f aca="false">SUMPRODUCT((('Aug 10'!$F$8:$F$42=$T6)*'Aug 10'!$AJ$8:$AJ$42+('Aug 10'!$G$8:$G$42=$T6)*'Aug 10'!$AK$8:$AK$42)*('Aug 10'!$Q$8:$Q$42+'Aug 10'!$R$8:$R$42))</f>
        <v>0</v>
      </c>
      <c r="AE25" s="0" t="n">
        <f aca="false">SUMPRODUCT((('Aug 11'!$F$8:$F$42=$T6)*'Aug 11'!$AJ$8:$AJ$42+('Aug 11'!$G$8:$G$42=$T6)*'Aug 11'!$AK$8:$AK$42)*('Aug 11'!$Q$8:$Q$42+'Aug 11'!$R$8:$R$42))</f>
        <v>0</v>
      </c>
      <c r="AF25" s="0" t="n">
        <f aca="false">SUMPRODUCT((('Aug 12'!$F$8:$F$42=$T6)*'Aug 12'!$AJ$8:$AJ$42+('Aug 12'!$G$8:$G$42=$T6)*'Aug 12'!$AK$8:$AK$42)*('Aug 12'!$Q$8:$Q$42+'Aug 12'!$R$8:$R$42))</f>
        <v>0</v>
      </c>
      <c r="AG25" s="0" t="n">
        <f aca="false">SUMPRODUCT((('Aug 13'!$F$8:$F$42=$T6)*'Aug 13'!$AJ$8:$AJ$42+('Aug 13'!$G$8:$G$42=$T6)*'Aug 13'!$AK$8:$AK$42)*('Aug 13'!$Q$8:$Q$42+'Aug 13'!$R$8:$R$42))</f>
        <v>0</v>
      </c>
      <c r="AH25" s="0" t="n">
        <f aca="false">SUMPRODUCT((('Aug 14'!$F$8:$F$42=$T6)*'Aug 14'!$AJ$8:$AJ$42+('Aug 14'!$G$8:$G$42=$T6)*'Aug 14'!$AK$8:$AK$42)*('Aug 14'!$Q$8:$Q$42+'Aug 14'!$R$8:$R$42))</f>
        <v>0</v>
      </c>
      <c r="AI25" s="0" t="n">
        <f aca="false">SUMPRODUCT((('Aug 15'!$F$8:$F$42=$T6)*'Aug 15'!$AJ$8:$AJ$42+('Aug 15'!$G$8:$G$42=$T6)*'Aug 15'!$AK$8:$AK$42)*('Aug 15'!$Q$8:$Q$42+'Aug 15'!$R$8:$R$42))</f>
        <v>0</v>
      </c>
      <c r="AJ25" s="0" t="n">
        <f aca="false">SUMPRODUCT((('Aug 16'!$F$8:$F$42=$T6)*'Aug 16'!$AJ$8:$AJ$42+('Aug 16'!$G$8:$G$42=$T6)*'Aug 16'!$AK$8:$AK$42)*('Aug 16'!$Q$8:$Q$42+'Aug 16'!$R$8:$R$42))</f>
        <v>0</v>
      </c>
      <c r="AK25" s="0" t="n">
        <f aca="false">SUMPRODUCT((('Aug 17'!$F$8:$F$42=$T6)*'Aug 17'!$AJ$8:$AJ$42+('Aug 17'!$G$8:$G$42=$T6)*'Aug 17'!$AK$8:$AK$42)*('Aug 17'!$Q$8:$Q$42+'Aug 17'!$R$8:$R$42))</f>
        <v>0</v>
      </c>
      <c r="AL25" s="0" t="n">
        <f aca="false">SUMPRODUCT((('Aug 18'!$F$8:$F$42=$T6)*'Aug 18'!$AJ$8:$AJ$42+('Aug 18'!$G$8:$G$42=$T6)*'Aug 18'!$AK$8:$AK$42)*('Aug 18'!$Q$8:$Q$42+'Aug 18'!$R$8:$R$42))</f>
        <v>0</v>
      </c>
      <c r="AM25" s="0" t="n">
        <f aca="false">SUMPRODUCT((('Aug 19'!$F$8:$F$42=$T6)*'Aug 19'!$AJ$8:$AJ$42+('Aug 19'!$G$8:$G$42=$T6)*'Aug 19'!$AK$8:$AK$42)*('Aug 19'!$Q$8:$Q$42+'Aug 19'!$R$8:$R$42))</f>
        <v>0</v>
      </c>
      <c r="AN25" s="0" t="n">
        <f aca="false">SUMPRODUCT((('Aug 20'!$F$8:$F$42=$T6)*'Aug 20'!$AJ$8:$AJ$42+('Aug 20'!$G$8:$G$42=$T6)*'Aug 20'!$AK$8:$AK$42)*('Aug 20'!$Q$8:$Q$42+'Aug 20'!$R$8:$R$42))</f>
        <v>0</v>
      </c>
      <c r="AO25" s="0" t="n">
        <f aca="false">SUMPRODUCT((('Aug 21'!$F$8:$F$42=$T6)*'Aug 21'!$AJ$8:$AJ$42+('Aug 21'!$G$8:$G$42=$T6)*'Aug 21'!$AK$8:$AK$42)*('Aug 21'!$Q$8:$Q$42+'Aug 21'!$R$8:$R$42))</f>
        <v>0</v>
      </c>
      <c r="AP25" s="0" t="n">
        <f aca="false">SUMPRODUCT((('Aug 22'!$F$8:$F$42=$T6)*'Aug 22'!$AJ$8:$AJ$42+('Aug 22'!$G$8:$G$42=$T6)*'Aug 22'!$AK$8:$AK$42)*('Aug 22'!$Q$8:$Q$42+'Aug 22'!$R$8:$R$42))</f>
        <v>0</v>
      </c>
      <c r="AQ25" s="0" t="n">
        <f aca="false">SUMPRODUCT((('Aug 23'!$F$8:$F$42=$T6)*'Aug 23'!$AJ$8:$AJ$42+('Aug 23'!$G$8:$G$42=$T6)*'Aug 23'!$AK$8:$AK$42)*('Aug 23'!$Q$8:$Q$42+'Aug 23'!$R$8:$R$42))</f>
        <v>0</v>
      </c>
      <c r="AR25" s="0" t="n">
        <f aca="false">SUMPRODUCT((('Aug 24'!$F$8:$F$42=$T6)*'Aug 24'!$AJ$8:$AJ$42+('Aug 24'!$G$8:$G$42=$T6)*'Aug 24'!$AK$8:$AK$42)*('Aug 24'!$Q$8:$Q$42+'Aug 24'!$R$8:$R$42))</f>
        <v>0</v>
      </c>
      <c r="AS25" s="0" t="n">
        <f aca="false">SUMPRODUCT((('Aug 25'!$F$8:$F$42=$T6)*'Aug 25'!$AJ$8:$AJ$42+('Aug 25'!$G$8:$G$42=$T6)*'Aug 25'!$AK$8:$AK$42)*('Aug 25'!$Q$8:$Q$42+'Aug 25'!$R$8:$R$42))</f>
        <v>0</v>
      </c>
      <c r="AT25" s="0" t="n">
        <f aca="false">SUMPRODUCT((('Aug 26'!$F$8:$F$42=$T6)*'Aug 26'!$AJ$8:$AJ$42+('Aug 26'!$G$8:$G$42=$T6)*'Aug 26'!$AK$8:$AK$42)*('Aug 26'!$Q$8:$Q$42+'Aug 26'!$R$8:$R$42))</f>
        <v>0</v>
      </c>
      <c r="AU25" s="0" t="n">
        <f aca="false">SUMPRODUCT((('Aug 27'!$F$8:$F$42=$T6)*'Aug 27'!$AJ$8:$AJ$42+('Aug 27'!$G$8:$G$42=$T6)*'Aug 27'!$AK$8:$AK$42)*('Aug 27'!$Q$8:$Q$42+'Aug 27'!$R$8:$R$42))</f>
        <v>0</v>
      </c>
      <c r="AV25" s="0" t="n">
        <f aca="false">SUMPRODUCT((('Aug 28'!$F$8:$F$42=$T6)*'Aug 28'!$AJ$8:$AJ$42+('Aug 28'!$G$8:$G$42=$T6)*'Aug 28'!$AK$8:$AK$42)*('Aug 28'!$Q$8:$Q$42+'Aug 28'!$R$8:$R$42))</f>
        <v>0</v>
      </c>
      <c r="AW25" s="0" t="n">
        <f aca="false">SUMPRODUCT((('Aug 29'!$F$8:$F$42=$T6)*'Aug 29'!$AJ$8:$AJ$42+('Aug 29'!$G$8:$G$42=$T6)*'Aug 29'!$AK$8:$AK$42)*('Aug 29'!$Q$8:$Q$42+'Aug 29'!$R$8:$R$42))</f>
        <v>0</v>
      </c>
      <c r="AX25" s="0" t="n">
        <f aca="false">SUMPRODUCT((('Aug 30'!$F$8:$F$42=$T6)*'Aug 30'!$AJ$8:$AJ$42+('Aug 30'!$G$8:$G$42=$T6)*'Aug 30'!$AK$8:$AK$42)*('Aug 30'!$Q$8:$Q$42+'Aug 30'!$R$8:$R$42))</f>
        <v>0</v>
      </c>
      <c r="AY25" s="0" t="n">
        <f aca="false">SUMPRODUCT((('Aug 31'!$F$8:$F$42=$T6)*'Aug 31'!$AJ$8:$AJ$42+('Aug 31'!$G$8:$G$42=$T6)*'Aug 31'!$AK$8:$AK$42)*('Aug 31'!$Q$8:$Q$42+'Aug 31'!$R$8:$R$42))</f>
        <v>0</v>
      </c>
    </row>
    <row r="26" customFormat="false" ht="15" hidden="false" customHeight="false" outlineLevel="0" collapsed="false">
      <c r="A26" s="58" t="s">
        <v>93</v>
      </c>
      <c r="B26" s="58"/>
      <c r="C26" s="58"/>
      <c r="D26" s="58"/>
      <c r="E26" s="58"/>
      <c r="F26" s="58"/>
      <c r="G26" s="58"/>
      <c r="H26" s="58"/>
      <c r="I26" s="58" t="str">
        <f aca="false">IF(ABS(C23-BH4)&lt;=0.001,"✓ tie  "&amp;TEXT(C23,"0.0")&amp;" = "&amp;TEXT(BH4,"0"),"⚠ "&amp;TEXT(C23-BH4,"+0.0;-0.0")&amp;" orphan (delivered, no roster SP)")</f>
        <v>✓ tie  0.0 = 0</v>
      </c>
      <c r="J26" s="58"/>
      <c r="K26" s="58"/>
      <c r="L26" s="58"/>
      <c r="M26" s="58"/>
      <c r="N26" s="58"/>
      <c r="O26" s="58"/>
      <c r="P26" s="58"/>
      <c r="Q26" s="58"/>
      <c r="R26" s="58"/>
      <c r="U26" s="0" t="n">
        <f aca="false">SUMPRODUCT((('Aug 1'!$F$8:$F$42=$T7)*'Aug 1'!$AJ$8:$AJ$42+('Aug 1'!$G$8:$G$42=$T7)*'Aug 1'!$AK$8:$AK$42)*('Aug 1'!$Q$8:$Q$42+'Aug 1'!$R$8:$R$42))</f>
        <v>0</v>
      </c>
      <c r="V26" s="0" t="n">
        <f aca="false">SUMPRODUCT((('Aug 2'!$F$8:$F$42=$T7)*'Aug 2'!$AJ$8:$AJ$42+('Aug 2'!$G$8:$G$42=$T7)*'Aug 2'!$AK$8:$AK$42)*('Aug 2'!$Q$8:$Q$42+'Aug 2'!$R$8:$R$42))</f>
        <v>0</v>
      </c>
      <c r="W26" s="0" t="n">
        <f aca="false">SUMPRODUCT((('Aug 3'!$F$8:$F$42=$T7)*'Aug 3'!$AJ$8:$AJ$42+('Aug 3'!$G$8:$G$42=$T7)*'Aug 3'!$AK$8:$AK$42)*('Aug 3'!$Q$8:$Q$42+'Aug 3'!$R$8:$R$42))</f>
        <v>0</v>
      </c>
      <c r="X26" s="0" t="n">
        <f aca="false">SUMPRODUCT((('Aug 4'!$F$8:$F$42=$T7)*'Aug 4'!$AJ$8:$AJ$42+('Aug 4'!$G$8:$G$42=$T7)*'Aug 4'!$AK$8:$AK$42)*('Aug 4'!$Q$8:$Q$42+'Aug 4'!$R$8:$R$42))</f>
        <v>0</v>
      </c>
      <c r="Y26" s="0" t="n">
        <f aca="false">SUMPRODUCT((('Aug 5'!$F$8:$F$42=$T7)*'Aug 5'!$AJ$8:$AJ$42+('Aug 5'!$G$8:$G$42=$T7)*'Aug 5'!$AK$8:$AK$42)*('Aug 5'!$Q$8:$Q$42+'Aug 5'!$R$8:$R$42))</f>
        <v>0</v>
      </c>
      <c r="Z26" s="0" t="n">
        <f aca="false">SUMPRODUCT((('Aug 6'!$F$8:$F$42=$T7)*'Aug 6'!$AJ$8:$AJ$42+('Aug 6'!$G$8:$G$42=$T7)*'Aug 6'!$AK$8:$AK$42)*('Aug 6'!$Q$8:$Q$42+'Aug 6'!$R$8:$R$42))</f>
        <v>0</v>
      </c>
      <c r="AA26" s="0" t="n">
        <f aca="false">SUMPRODUCT((('Aug 7'!$F$8:$F$42=$T7)*'Aug 7'!$AJ$8:$AJ$42+('Aug 7'!$G$8:$G$42=$T7)*'Aug 7'!$AK$8:$AK$42)*('Aug 7'!$Q$8:$Q$42+'Aug 7'!$R$8:$R$42))</f>
        <v>0</v>
      </c>
      <c r="AB26" s="0" t="n">
        <f aca="false">SUMPRODUCT((('Aug 8'!$F$8:$F$42=$T7)*'Aug 8'!$AJ$8:$AJ$42+('Aug 8'!$G$8:$G$42=$T7)*'Aug 8'!$AK$8:$AK$42)*('Aug 8'!$Q$8:$Q$42+'Aug 8'!$R$8:$R$42))</f>
        <v>0</v>
      </c>
      <c r="AC26" s="0" t="n">
        <f aca="false">SUMPRODUCT((('Aug 9'!$F$8:$F$42=$T7)*'Aug 9'!$AJ$8:$AJ$42+('Aug 9'!$G$8:$G$42=$T7)*'Aug 9'!$AK$8:$AK$42)*('Aug 9'!$Q$8:$Q$42+'Aug 9'!$R$8:$R$42))</f>
        <v>0</v>
      </c>
      <c r="AD26" s="0" t="n">
        <f aca="false">SUMPRODUCT((('Aug 10'!$F$8:$F$42=$T7)*'Aug 10'!$AJ$8:$AJ$42+('Aug 10'!$G$8:$G$42=$T7)*'Aug 10'!$AK$8:$AK$42)*('Aug 10'!$Q$8:$Q$42+'Aug 10'!$R$8:$R$42))</f>
        <v>0</v>
      </c>
      <c r="AE26" s="0" t="n">
        <f aca="false">SUMPRODUCT((('Aug 11'!$F$8:$F$42=$T7)*'Aug 11'!$AJ$8:$AJ$42+('Aug 11'!$G$8:$G$42=$T7)*'Aug 11'!$AK$8:$AK$42)*('Aug 11'!$Q$8:$Q$42+'Aug 11'!$R$8:$R$42))</f>
        <v>0</v>
      </c>
      <c r="AF26" s="0" t="n">
        <f aca="false">SUMPRODUCT((('Aug 12'!$F$8:$F$42=$T7)*'Aug 12'!$AJ$8:$AJ$42+('Aug 12'!$G$8:$G$42=$T7)*'Aug 12'!$AK$8:$AK$42)*('Aug 12'!$Q$8:$Q$42+'Aug 12'!$R$8:$R$42))</f>
        <v>0</v>
      </c>
      <c r="AG26" s="0" t="n">
        <f aca="false">SUMPRODUCT((('Aug 13'!$F$8:$F$42=$T7)*'Aug 13'!$AJ$8:$AJ$42+('Aug 13'!$G$8:$G$42=$T7)*'Aug 13'!$AK$8:$AK$42)*('Aug 13'!$Q$8:$Q$42+'Aug 13'!$R$8:$R$42))</f>
        <v>0</v>
      </c>
      <c r="AH26" s="0" t="n">
        <f aca="false">SUMPRODUCT((('Aug 14'!$F$8:$F$42=$T7)*'Aug 14'!$AJ$8:$AJ$42+('Aug 14'!$G$8:$G$42=$T7)*'Aug 14'!$AK$8:$AK$42)*('Aug 14'!$Q$8:$Q$42+'Aug 14'!$R$8:$R$42))</f>
        <v>0</v>
      </c>
      <c r="AI26" s="0" t="n">
        <f aca="false">SUMPRODUCT((('Aug 15'!$F$8:$F$42=$T7)*'Aug 15'!$AJ$8:$AJ$42+('Aug 15'!$G$8:$G$42=$T7)*'Aug 15'!$AK$8:$AK$42)*('Aug 15'!$Q$8:$Q$42+'Aug 15'!$R$8:$R$42))</f>
        <v>0</v>
      </c>
      <c r="AJ26" s="0" t="n">
        <f aca="false">SUMPRODUCT((('Aug 16'!$F$8:$F$42=$T7)*'Aug 16'!$AJ$8:$AJ$42+('Aug 16'!$G$8:$G$42=$T7)*'Aug 16'!$AK$8:$AK$42)*('Aug 16'!$Q$8:$Q$42+'Aug 16'!$R$8:$R$42))</f>
        <v>0</v>
      </c>
      <c r="AK26" s="0" t="n">
        <f aca="false">SUMPRODUCT((('Aug 17'!$F$8:$F$42=$T7)*'Aug 17'!$AJ$8:$AJ$42+('Aug 17'!$G$8:$G$42=$T7)*'Aug 17'!$AK$8:$AK$42)*('Aug 17'!$Q$8:$Q$42+'Aug 17'!$R$8:$R$42))</f>
        <v>0</v>
      </c>
      <c r="AL26" s="0" t="n">
        <f aca="false">SUMPRODUCT((('Aug 18'!$F$8:$F$42=$T7)*'Aug 18'!$AJ$8:$AJ$42+('Aug 18'!$G$8:$G$42=$T7)*'Aug 18'!$AK$8:$AK$42)*('Aug 18'!$Q$8:$Q$42+'Aug 18'!$R$8:$R$42))</f>
        <v>0</v>
      </c>
      <c r="AM26" s="0" t="n">
        <f aca="false">SUMPRODUCT((('Aug 19'!$F$8:$F$42=$T7)*'Aug 19'!$AJ$8:$AJ$42+('Aug 19'!$G$8:$G$42=$T7)*'Aug 19'!$AK$8:$AK$42)*('Aug 19'!$Q$8:$Q$42+'Aug 19'!$R$8:$R$42))</f>
        <v>0</v>
      </c>
      <c r="AN26" s="0" t="n">
        <f aca="false">SUMPRODUCT((('Aug 20'!$F$8:$F$42=$T7)*'Aug 20'!$AJ$8:$AJ$42+('Aug 20'!$G$8:$G$42=$T7)*'Aug 20'!$AK$8:$AK$42)*('Aug 20'!$Q$8:$Q$42+'Aug 20'!$R$8:$R$42))</f>
        <v>0</v>
      </c>
      <c r="AO26" s="0" t="n">
        <f aca="false">SUMPRODUCT((('Aug 21'!$F$8:$F$42=$T7)*'Aug 21'!$AJ$8:$AJ$42+('Aug 21'!$G$8:$G$42=$T7)*'Aug 21'!$AK$8:$AK$42)*('Aug 21'!$Q$8:$Q$42+'Aug 21'!$R$8:$R$42))</f>
        <v>0</v>
      </c>
      <c r="AP26" s="0" t="n">
        <f aca="false">SUMPRODUCT((('Aug 22'!$F$8:$F$42=$T7)*'Aug 22'!$AJ$8:$AJ$42+('Aug 22'!$G$8:$G$42=$T7)*'Aug 22'!$AK$8:$AK$42)*('Aug 22'!$Q$8:$Q$42+'Aug 22'!$R$8:$R$42))</f>
        <v>0</v>
      </c>
      <c r="AQ26" s="0" t="n">
        <f aca="false">SUMPRODUCT((('Aug 23'!$F$8:$F$42=$T7)*'Aug 23'!$AJ$8:$AJ$42+('Aug 23'!$G$8:$G$42=$T7)*'Aug 23'!$AK$8:$AK$42)*('Aug 23'!$Q$8:$Q$42+'Aug 23'!$R$8:$R$42))</f>
        <v>0</v>
      </c>
      <c r="AR26" s="0" t="n">
        <f aca="false">SUMPRODUCT((('Aug 24'!$F$8:$F$42=$T7)*'Aug 24'!$AJ$8:$AJ$42+('Aug 24'!$G$8:$G$42=$T7)*'Aug 24'!$AK$8:$AK$42)*('Aug 24'!$Q$8:$Q$42+'Aug 24'!$R$8:$R$42))</f>
        <v>0</v>
      </c>
      <c r="AS26" s="0" t="n">
        <f aca="false">SUMPRODUCT((('Aug 25'!$F$8:$F$42=$T7)*'Aug 25'!$AJ$8:$AJ$42+('Aug 25'!$G$8:$G$42=$T7)*'Aug 25'!$AK$8:$AK$42)*('Aug 25'!$Q$8:$Q$42+'Aug 25'!$R$8:$R$42))</f>
        <v>0</v>
      </c>
      <c r="AT26" s="0" t="n">
        <f aca="false">SUMPRODUCT((('Aug 26'!$F$8:$F$42=$T7)*'Aug 26'!$AJ$8:$AJ$42+('Aug 26'!$G$8:$G$42=$T7)*'Aug 26'!$AK$8:$AK$42)*('Aug 26'!$Q$8:$Q$42+'Aug 26'!$R$8:$R$42))</f>
        <v>0</v>
      </c>
      <c r="AU26" s="0" t="n">
        <f aca="false">SUMPRODUCT((('Aug 27'!$F$8:$F$42=$T7)*'Aug 27'!$AJ$8:$AJ$42+('Aug 27'!$G$8:$G$42=$T7)*'Aug 27'!$AK$8:$AK$42)*('Aug 27'!$Q$8:$Q$42+'Aug 27'!$R$8:$R$42))</f>
        <v>0</v>
      </c>
      <c r="AV26" s="0" t="n">
        <f aca="false">SUMPRODUCT((('Aug 28'!$F$8:$F$42=$T7)*'Aug 28'!$AJ$8:$AJ$42+('Aug 28'!$G$8:$G$42=$T7)*'Aug 28'!$AK$8:$AK$42)*('Aug 28'!$Q$8:$Q$42+'Aug 28'!$R$8:$R$42))</f>
        <v>0</v>
      </c>
      <c r="AW26" s="0" t="n">
        <f aca="false">SUMPRODUCT((('Aug 29'!$F$8:$F$42=$T7)*'Aug 29'!$AJ$8:$AJ$42+('Aug 29'!$G$8:$G$42=$T7)*'Aug 29'!$AK$8:$AK$42)*('Aug 29'!$Q$8:$Q$42+'Aug 29'!$R$8:$R$42))</f>
        <v>0</v>
      </c>
      <c r="AX26" s="0" t="n">
        <f aca="false">SUMPRODUCT((('Aug 30'!$F$8:$F$42=$T7)*'Aug 30'!$AJ$8:$AJ$42+('Aug 30'!$G$8:$G$42=$T7)*'Aug 30'!$AK$8:$AK$42)*('Aug 30'!$Q$8:$Q$42+'Aug 30'!$R$8:$R$42))</f>
        <v>0</v>
      </c>
      <c r="AY26" s="0" t="n">
        <f aca="false">SUMPRODUCT((('Aug 31'!$F$8:$F$42=$T7)*'Aug 31'!$AJ$8:$AJ$42+('Aug 31'!$G$8:$G$42=$T7)*'Aug 31'!$AK$8:$AK$42)*('Aug 31'!$Q$8:$Q$42+'Aug 31'!$R$8:$R$42))</f>
        <v>0</v>
      </c>
    </row>
    <row r="27" customFormat="false" ht="15" hidden="false" customHeight="false" outlineLevel="0" collapsed="false">
      <c r="A27" s="58" t="s">
        <v>94</v>
      </c>
      <c r="B27" s="58"/>
      <c r="C27" s="58"/>
      <c r="D27" s="58"/>
      <c r="E27" s="58"/>
      <c r="F27" s="58"/>
      <c r="G27" s="58"/>
      <c r="H27" s="58"/>
      <c r="I27" s="58" t="str">
        <f aca="false">IF(ABS(K23-(G23+H23+I23+J23))&lt;=2,"✓ foots","⚠ off by "&amp;TEXT(K23-(G23+H23+I23+J23),"$#,##0"))</f>
        <v>✓ foots</v>
      </c>
      <c r="J27" s="58"/>
      <c r="K27" s="58"/>
      <c r="L27" s="58"/>
      <c r="M27" s="58"/>
      <c r="N27" s="58"/>
      <c r="O27" s="58"/>
      <c r="P27" s="58"/>
      <c r="Q27" s="58"/>
      <c r="R27" s="58"/>
      <c r="U27" s="0" t="n">
        <f aca="false">SUMPRODUCT((('Aug 1'!$F$8:$F$42=$T8)*'Aug 1'!$AJ$8:$AJ$42+('Aug 1'!$G$8:$G$42=$T8)*'Aug 1'!$AK$8:$AK$42)*('Aug 1'!$Q$8:$Q$42+'Aug 1'!$R$8:$R$42))</f>
        <v>0</v>
      </c>
      <c r="V27" s="0" t="n">
        <f aca="false">SUMPRODUCT((('Aug 2'!$F$8:$F$42=$T8)*'Aug 2'!$AJ$8:$AJ$42+('Aug 2'!$G$8:$G$42=$T8)*'Aug 2'!$AK$8:$AK$42)*('Aug 2'!$Q$8:$Q$42+'Aug 2'!$R$8:$R$42))</f>
        <v>0</v>
      </c>
      <c r="W27" s="0" t="n">
        <f aca="false">SUMPRODUCT((('Aug 3'!$F$8:$F$42=$T8)*'Aug 3'!$AJ$8:$AJ$42+('Aug 3'!$G$8:$G$42=$T8)*'Aug 3'!$AK$8:$AK$42)*('Aug 3'!$Q$8:$Q$42+'Aug 3'!$R$8:$R$42))</f>
        <v>0</v>
      </c>
      <c r="X27" s="0" t="n">
        <f aca="false">SUMPRODUCT((('Aug 4'!$F$8:$F$42=$T8)*'Aug 4'!$AJ$8:$AJ$42+('Aug 4'!$G$8:$G$42=$T8)*'Aug 4'!$AK$8:$AK$42)*('Aug 4'!$Q$8:$Q$42+'Aug 4'!$R$8:$R$42))</f>
        <v>0</v>
      </c>
      <c r="Y27" s="0" t="n">
        <f aca="false">SUMPRODUCT((('Aug 5'!$F$8:$F$42=$T8)*'Aug 5'!$AJ$8:$AJ$42+('Aug 5'!$G$8:$G$42=$T8)*'Aug 5'!$AK$8:$AK$42)*('Aug 5'!$Q$8:$Q$42+'Aug 5'!$R$8:$R$42))</f>
        <v>0</v>
      </c>
      <c r="Z27" s="0" t="n">
        <f aca="false">SUMPRODUCT((('Aug 6'!$F$8:$F$42=$T8)*'Aug 6'!$AJ$8:$AJ$42+('Aug 6'!$G$8:$G$42=$T8)*'Aug 6'!$AK$8:$AK$42)*('Aug 6'!$Q$8:$Q$42+'Aug 6'!$R$8:$R$42))</f>
        <v>0</v>
      </c>
      <c r="AA27" s="0" t="n">
        <f aca="false">SUMPRODUCT((('Aug 7'!$F$8:$F$42=$T8)*'Aug 7'!$AJ$8:$AJ$42+('Aug 7'!$G$8:$G$42=$T8)*'Aug 7'!$AK$8:$AK$42)*('Aug 7'!$Q$8:$Q$42+'Aug 7'!$R$8:$R$42))</f>
        <v>0</v>
      </c>
      <c r="AB27" s="0" t="n">
        <f aca="false">SUMPRODUCT((('Aug 8'!$F$8:$F$42=$T8)*'Aug 8'!$AJ$8:$AJ$42+('Aug 8'!$G$8:$G$42=$T8)*'Aug 8'!$AK$8:$AK$42)*('Aug 8'!$Q$8:$Q$42+'Aug 8'!$R$8:$R$42))</f>
        <v>0</v>
      </c>
      <c r="AC27" s="0" t="n">
        <f aca="false">SUMPRODUCT((('Aug 9'!$F$8:$F$42=$T8)*'Aug 9'!$AJ$8:$AJ$42+('Aug 9'!$G$8:$G$42=$T8)*'Aug 9'!$AK$8:$AK$42)*('Aug 9'!$Q$8:$Q$42+'Aug 9'!$R$8:$R$42))</f>
        <v>0</v>
      </c>
      <c r="AD27" s="0" t="n">
        <f aca="false">SUMPRODUCT((('Aug 10'!$F$8:$F$42=$T8)*'Aug 10'!$AJ$8:$AJ$42+('Aug 10'!$G$8:$G$42=$T8)*'Aug 10'!$AK$8:$AK$42)*('Aug 10'!$Q$8:$Q$42+'Aug 10'!$R$8:$R$42))</f>
        <v>0</v>
      </c>
      <c r="AE27" s="0" t="n">
        <f aca="false">SUMPRODUCT((('Aug 11'!$F$8:$F$42=$T8)*'Aug 11'!$AJ$8:$AJ$42+('Aug 11'!$G$8:$G$42=$T8)*'Aug 11'!$AK$8:$AK$42)*('Aug 11'!$Q$8:$Q$42+'Aug 11'!$R$8:$R$42))</f>
        <v>0</v>
      </c>
      <c r="AF27" s="0" t="n">
        <f aca="false">SUMPRODUCT((('Aug 12'!$F$8:$F$42=$T8)*'Aug 12'!$AJ$8:$AJ$42+('Aug 12'!$G$8:$G$42=$T8)*'Aug 12'!$AK$8:$AK$42)*('Aug 12'!$Q$8:$Q$42+'Aug 12'!$R$8:$R$42))</f>
        <v>0</v>
      </c>
      <c r="AG27" s="0" t="n">
        <f aca="false">SUMPRODUCT((('Aug 13'!$F$8:$F$42=$T8)*'Aug 13'!$AJ$8:$AJ$42+('Aug 13'!$G$8:$G$42=$T8)*'Aug 13'!$AK$8:$AK$42)*('Aug 13'!$Q$8:$Q$42+'Aug 13'!$R$8:$R$42))</f>
        <v>0</v>
      </c>
      <c r="AH27" s="0" t="n">
        <f aca="false">SUMPRODUCT((('Aug 14'!$F$8:$F$42=$T8)*'Aug 14'!$AJ$8:$AJ$42+('Aug 14'!$G$8:$G$42=$T8)*'Aug 14'!$AK$8:$AK$42)*('Aug 14'!$Q$8:$Q$42+'Aug 14'!$R$8:$R$42))</f>
        <v>0</v>
      </c>
      <c r="AI27" s="0" t="n">
        <f aca="false">SUMPRODUCT((('Aug 15'!$F$8:$F$42=$T8)*'Aug 15'!$AJ$8:$AJ$42+('Aug 15'!$G$8:$G$42=$T8)*'Aug 15'!$AK$8:$AK$42)*('Aug 15'!$Q$8:$Q$42+'Aug 15'!$R$8:$R$42))</f>
        <v>0</v>
      </c>
      <c r="AJ27" s="0" t="n">
        <f aca="false">SUMPRODUCT((('Aug 16'!$F$8:$F$42=$T8)*'Aug 16'!$AJ$8:$AJ$42+('Aug 16'!$G$8:$G$42=$T8)*'Aug 16'!$AK$8:$AK$42)*('Aug 16'!$Q$8:$Q$42+'Aug 16'!$R$8:$R$42))</f>
        <v>0</v>
      </c>
      <c r="AK27" s="0" t="n">
        <f aca="false">SUMPRODUCT((('Aug 17'!$F$8:$F$42=$T8)*'Aug 17'!$AJ$8:$AJ$42+('Aug 17'!$G$8:$G$42=$T8)*'Aug 17'!$AK$8:$AK$42)*('Aug 17'!$Q$8:$Q$42+'Aug 17'!$R$8:$R$42))</f>
        <v>0</v>
      </c>
      <c r="AL27" s="0" t="n">
        <f aca="false">SUMPRODUCT((('Aug 18'!$F$8:$F$42=$T8)*'Aug 18'!$AJ$8:$AJ$42+('Aug 18'!$G$8:$G$42=$T8)*'Aug 18'!$AK$8:$AK$42)*('Aug 18'!$Q$8:$Q$42+'Aug 18'!$R$8:$R$42))</f>
        <v>0</v>
      </c>
      <c r="AM27" s="0" t="n">
        <f aca="false">SUMPRODUCT((('Aug 19'!$F$8:$F$42=$T8)*'Aug 19'!$AJ$8:$AJ$42+('Aug 19'!$G$8:$G$42=$T8)*'Aug 19'!$AK$8:$AK$42)*('Aug 19'!$Q$8:$Q$42+'Aug 19'!$R$8:$R$42))</f>
        <v>0</v>
      </c>
      <c r="AN27" s="0" t="n">
        <f aca="false">SUMPRODUCT((('Aug 20'!$F$8:$F$42=$T8)*'Aug 20'!$AJ$8:$AJ$42+('Aug 20'!$G$8:$G$42=$T8)*'Aug 20'!$AK$8:$AK$42)*('Aug 20'!$Q$8:$Q$42+'Aug 20'!$R$8:$R$42))</f>
        <v>0</v>
      </c>
      <c r="AO27" s="0" t="n">
        <f aca="false">SUMPRODUCT((('Aug 21'!$F$8:$F$42=$T8)*'Aug 21'!$AJ$8:$AJ$42+('Aug 21'!$G$8:$G$42=$T8)*'Aug 21'!$AK$8:$AK$42)*('Aug 21'!$Q$8:$Q$42+'Aug 21'!$R$8:$R$42))</f>
        <v>0</v>
      </c>
      <c r="AP27" s="0" t="n">
        <f aca="false">SUMPRODUCT((('Aug 22'!$F$8:$F$42=$T8)*'Aug 22'!$AJ$8:$AJ$42+('Aug 22'!$G$8:$G$42=$T8)*'Aug 22'!$AK$8:$AK$42)*('Aug 22'!$Q$8:$Q$42+'Aug 22'!$R$8:$R$42))</f>
        <v>0</v>
      </c>
      <c r="AQ27" s="0" t="n">
        <f aca="false">SUMPRODUCT((('Aug 23'!$F$8:$F$42=$T8)*'Aug 23'!$AJ$8:$AJ$42+('Aug 23'!$G$8:$G$42=$T8)*'Aug 23'!$AK$8:$AK$42)*('Aug 23'!$Q$8:$Q$42+'Aug 23'!$R$8:$R$42))</f>
        <v>0</v>
      </c>
      <c r="AR27" s="0" t="n">
        <f aca="false">SUMPRODUCT((('Aug 24'!$F$8:$F$42=$T8)*'Aug 24'!$AJ$8:$AJ$42+('Aug 24'!$G$8:$G$42=$T8)*'Aug 24'!$AK$8:$AK$42)*('Aug 24'!$Q$8:$Q$42+'Aug 24'!$R$8:$R$42))</f>
        <v>0</v>
      </c>
      <c r="AS27" s="0" t="n">
        <f aca="false">SUMPRODUCT((('Aug 25'!$F$8:$F$42=$T8)*'Aug 25'!$AJ$8:$AJ$42+('Aug 25'!$G$8:$G$42=$T8)*'Aug 25'!$AK$8:$AK$42)*('Aug 25'!$Q$8:$Q$42+'Aug 25'!$R$8:$R$42))</f>
        <v>0</v>
      </c>
      <c r="AT27" s="0" t="n">
        <f aca="false">SUMPRODUCT((('Aug 26'!$F$8:$F$42=$T8)*'Aug 26'!$AJ$8:$AJ$42+('Aug 26'!$G$8:$G$42=$T8)*'Aug 26'!$AK$8:$AK$42)*('Aug 26'!$Q$8:$Q$42+'Aug 26'!$R$8:$R$42))</f>
        <v>0</v>
      </c>
      <c r="AU27" s="0" t="n">
        <f aca="false">SUMPRODUCT((('Aug 27'!$F$8:$F$42=$T8)*'Aug 27'!$AJ$8:$AJ$42+('Aug 27'!$G$8:$G$42=$T8)*'Aug 27'!$AK$8:$AK$42)*('Aug 27'!$Q$8:$Q$42+'Aug 27'!$R$8:$R$42))</f>
        <v>0</v>
      </c>
      <c r="AV27" s="0" t="n">
        <f aca="false">SUMPRODUCT((('Aug 28'!$F$8:$F$42=$T8)*'Aug 28'!$AJ$8:$AJ$42+('Aug 28'!$G$8:$G$42=$T8)*'Aug 28'!$AK$8:$AK$42)*('Aug 28'!$Q$8:$Q$42+'Aug 28'!$R$8:$R$42))</f>
        <v>0</v>
      </c>
      <c r="AW27" s="0" t="n">
        <f aca="false">SUMPRODUCT((('Aug 29'!$F$8:$F$42=$T8)*'Aug 29'!$AJ$8:$AJ$42+('Aug 29'!$G$8:$G$42=$T8)*'Aug 29'!$AK$8:$AK$42)*('Aug 29'!$Q$8:$Q$42+'Aug 29'!$R$8:$R$42))</f>
        <v>0</v>
      </c>
      <c r="AX27" s="0" t="n">
        <f aca="false">SUMPRODUCT((('Aug 30'!$F$8:$F$42=$T8)*'Aug 30'!$AJ$8:$AJ$42+('Aug 30'!$G$8:$G$42=$T8)*'Aug 30'!$AK$8:$AK$42)*('Aug 30'!$Q$8:$Q$42+'Aug 30'!$R$8:$R$42))</f>
        <v>0</v>
      </c>
      <c r="AY27" s="0" t="n">
        <f aca="false">SUMPRODUCT((('Aug 31'!$F$8:$F$42=$T8)*'Aug 31'!$AJ$8:$AJ$42+('Aug 31'!$G$8:$G$42=$T8)*'Aug 31'!$AK$8:$AK$42)*('Aug 31'!$Q$8:$Q$42+'Aug 31'!$R$8:$R$42))</f>
        <v>0</v>
      </c>
    </row>
    <row r="28" customFormat="false" ht="15" hidden="false" customHeight="false" outlineLevel="0" collapsed="false">
      <c r="A28" s="58" t="s">
        <v>95</v>
      </c>
      <c r="B28" s="58"/>
      <c r="C28" s="58"/>
      <c r="D28" s="58"/>
      <c r="E28" s="58"/>
      <c r="F28" s="58"/>
      <c r="G28" s="58"/>
      <c r="H28" s="58"/>
      <c r="I28" s="58" t="str">
        <f aca="false">IF(ABS(O23-(K23-N23))&lt;=2,"✓ foots","⚠ off by "&amp;TEXT(O23-(K23-N23),"$#,##0"))</f>
        <v>✓ foots</v>
      </c>
      <c r="J28" s="58"/>
      <c r="K28" s="58"/>
      <c r="L28" s="58"/>
      <c r="M28" s="58"/>
      <c r="N28" s="58"/>
      <c r="O28" s="58"/>
      <c r="P28" s="58"/>
      <c r="Q28" s="58"/>
      <c r="R28" s="58"/>
      <c r="U28" s="0" t="n">
        <f aca="false">SUMPRODUCT((('Aug 1'!$F$8:$F$42=$T9)*'Aug 1'!$AJ$8:$AJ$42+('Aug 1'!$G$8:$G$42=$T9)*'Aug 1'!$AK$8:$AK$42)*('Aug 1'!$Q$8:$Q$42+'Aug 1'!$R$8:$R$42))</f>
        <v>0</v>
      </c>
      <c r="V28" s="0" t="n">
        <f aca="false">SUMPRODUCT((('Aug 2'!$F$8:$F$42=$T9)*'Aug 2'!$AJ$8:$AJ$42+('Aug 2'!$G$8:$G$42=$T9)*'Aug 2'!$AK$8:$AK$42)*('Aug 2'!$Q$8:$Q$42+'Aug 2'!$R$8:$R$42))</f>
        <v>0</v>
      </c>
      <c r="W28" s="0" t="n">
        <f aca="false">SUMPRODUCT((('Aug 3'!$F$8:$F$42=$T9)*'Aug 3'!$AJ$8:$AJ$42+('Aug 3'!$G$8:$G$42=$T9)*'Aug 3'!$AK$8:$AK$42)*('Aug 3'!$Q$8:$Q$42+'Aug 3'!$R$8:$R$42))</f>
        <v>0</v>
      </c>
      <c r="X28" s="0" t="n">
        <f aca="false">SUMPRODUCT((('Aug 4'!$F$8:$F$42=$T9)*'Aug 4'!$AJ$8:$AJ$42+('Aug 4'!$G$8:$G$42=$T9)*'Aug 4'!$AK$8:$AK$42)*('Aug 4'!$Q$8:$Q$42+'Aug 4'!$R$8:$R$42))</f>
        <v>0</v>
      </c>
      <c r="Y28" s="0" t="n">
        <f aca="false">SUMPRODUCT((('Aug 5'!$F$8:$F$42=$T9)*'Aug 5'!$AJ$8:$AJ$42+('Aug 5'!$G$8:$G$42=$T9)*'Aug 5'!$AK$8:$AK$42)*('Aug 5'!$Q$8:$Q$42+'Aug 5'!$R$8:$R$42))</f>
        <v>0</v>
      </c>
      <c r="Z28" s="0" t="n">
        <f aca="false">SUMPRODUCT((('Aug 6'!$F$8:$F$42=$T9)*'Aug 6'!$AJ$8:$AJ$42+('Aug 6'!$G$8:$G$42=$T9)*'Aug 6'!$AK$8:$AK$42)*('Aug 6'!$Q$8:$Q$42+'Aug 6'!$R$8:$R$42))</f>
        <v>0</v>
      </c>
      <c r="AA28" s="0" t="n">
        <f aca="false">SUMPRODUCT((('Aug 7'!$F$8:$F$42=$T9)*'Aug 7'!$AJ$8:$AJ$42+('Aug 7'!$G$8:$G$42=$T9)*'Aug 7'!$AK$8:$AK$42)*('Aug 7'!$Q$8:$Q$42+'Aug 7'!$R$8:$R$42))</f>
        <v>0</v>
      </c>
      <c r="AB28" s="0" t="n">
        <f aca="false">SUMPRODUCT((('Aug 8'!$F$8:$F$42=$T9)*'Aug 8'!$AJ$8:$AJ$42+('Aug 8'!$G$8:$G$42=$T9)*'Aug 8'!$AK$8:$AK$42)*('Aug 8'!$Q$8:$Q$42+'Aug 8'!$R$8:$R$42))</f>
        <v>0</v>
      </c>
      <c r="AC28" s="0" t="n">
        <f aca="false">SUMPRODUCT((('Aug 9'!$F$8:$F$42=$T9)*'Aug 9'!$AJ$8:$AJ$42+('Aug 9'!$G$8:$G$42=$T9)*'Aug 9'!$AK$8:$AK$42)*('Aug 9'!$Q$8:$Q$42+'Aug 9'!$R$8:$R$42))</f>
        <v>0</v>
      </c>
      <c r="AD28" s="0" t="n">
        <f aca="false">SUMPRODUCT((('Aug 10'!$F$8:$F$42=$T9)*'Aug 10'!$AJ$8:$AJ$42+('Aug 10'!$G$8:$G$42=$T9)*'Aug 10'!$AK$8:$AK$42)*('Aug 10'!$Q$8:$Q$42+'Aug 10'!$R$8:$R$42))</f>
        <v>0</v>
      </c>
      <c r="AE28" s="0" t="n">
        <f aca="false">SUMPRODUCT((('Aug 11'!$F$8:$F$42=$T9)*'Aug 11'!$AJ$8:$AJ$42+('Aug 11'!$G$8:$G$42=$T9)*'Aug 11'!$AK$8:$AK$42)*('Aug 11'!$Q$8:$Q$42+'Aug 11'!$R$8:$R$42))</f>
        <v>0</v>
      </c>
      <c r="AF28" s="0" t="n">
        <f aca="false">SUMPRODUCT((('Aug 12'!$F$8:$F$42=$T9)*'Aug 12'!$AJ$8:$AJ$42+('Aug 12'!$G$8:$G$42=$T9)*'Aug 12'!$AK$8:$AK$42)*('Aug 12'!$Q$8:$Q$42+'Aug 12'!$R$8:$R$42))</f>
        <v>0</v>
      </c>
      <c r="AG28" s="0" t="n">
        <f aca="false">SUMPRODUCT((('Aug 13'!$F$8:$F$42=$T9)*'Aug 13'!$AJ$8:$AJ$42+('Aug 13'!$G$8:$G$42=$T9)*'Aug 13'!$AK$8:$AK$42)*('Aug 13'!$Q$8:$Q$42+'Aug 13'!$R$8:$R$42))</f>
        <v>0</v>
      </c>
      <c r="AH28" s="0" t="n">
        <f aca="false">SUMPRODUCT((('Aug 14'!$F$8:$F$42=$T9)*'Aug 14'!$AJ$8:$AJ$42+('Aug 14'!$G$8:$G$42=$T9)*'Aug 14'!$AK$8:$AK$42)*('Aug 14'!$Q$8:$Q$42+'Aug 14'!$R$8:$R$42))</f>
        <v>0</v>
      </c>
      <c r="AI28" s="0" t="n">
        <f aca="false">SUMPRODUCT((('Aug 15'!$F$8:$F$42=$T9)*'Aug 15'!$AJ$8:$AJ$42+('Aug 15'!$G$8:$G$42=$T9)*'Aug 15'!$AK$8:$AK$42)*('Aug 15'!$Q$8:$Q$42+'Aug 15'!$R$8:$R$42))</f>
        <v>0</v>
      </c>
      <c r="AJ28" s="0" t="n">
        <f aca="false">SUMPRODUCT((('Aug 16'!$F$8:$F$42=$T9)*'Aug 16'!$AJ$8:$AJ$42+('Aug 16'!$G$8:$G$42=$T9)*'Aug 16'!$AK$8:$AK$42)*('Aug 16'!$Q$8:$Q$42+'Aug 16'!$R$8:$R$42))</f>
        <v>0</v>
      </c>
      <c r="AK28" s="0" t="n">
        <f aca="false">SUMPRODUCT((('Aug 17'!$F$8:$F$42=$T9)*'Aug 17'!$AJ$8:$AJ$42+('Aug 17'!$G$8:$G$42=$T9)*'Aug 17'!$AK$8:$AK$42)*('Aug 17'!$Q$8:$Q$42+'Aug 17'!$R$8:$R$42))</f>
        <v>0</v>
      </c>
      <c r="AL28" s="0" t="n">
        <f aca="false">SUMPRODUCT((('Aug 18'!$F$8:$F$42=$T9)*'Aug 18'!$AJ$8:$AJ$42+('Aug 18'!$G$8:$G$42=$T9)*'Aug 18'!$AK$8:$AK$42)*('Aug 18'!$Q$8:$Q$42+'Aug 18'!$R$8:$R$42))</f>
        <v>0</v>
      </c>
      <c r="AM28" s="0" t="n">
        <f aca="false">SUMPRODUCT((('Aug 19'!$F$8:$F$42=$T9)*'Aug 19'!$AJ$8:$AJ$42+('Aug 19'!$G$8:$G$42=$T9)*'Aug 19'!$AK$8:$AK$42)*('Aug 19'!$Q$8:$Q$42+'Aug 19'!$R$8:$R$42))</f>
        <v>0</v>
      </c>
      <c r="AN28" s="0" t="n">
        <f aca="false">SUMPRODUCT((('Aug 20'!$F$8:$F$42=$T9)*'Aug 20'!$AJ$8:$AJ$42+('Aug 20'!$G$8:$G$42=$T9)*'Aug 20'!$AK$8:$AK$42)*('Aug 20'!$Q$8:$Q$42+'Aug 20'!$R$8:$R$42))</f>
        <v>0</v>
      </c>
      <c r="AO28" s="0" t="n">
        <f aca="false">SUMPRODUCT((('Aug 21'!$F$8:$F$42=$T9)*'Aug 21'!$AJ$8:$AJ$42+('Aug 21'!$G$8:$G$42=$T9)*'Aug 21'!$AK$8:$AK$42)*('Aug 21'!$Q$8:$Q$42+'Aug 21'!$R$8:$R$42))</f>
        <v>0</v>
      </c>
      <c r="AP28" s="0" t="n">
        <f aca="false">SUMPRODUCT((('Aug 22'!$F$8:$F$42=$T9)*'Aug 22'!$AJ$8:$AJ$42+('Aug 22'!$G$8:$G$42=$T9)*'Aug 22'!$AK$8:$AK$42)*('Aug 22'!$Q$8:$Q$42+'Aug 22'!$R$8:$R$42))</f>
        <v>0</v>
      </c>
      <c r="AQ28" s="0" t="n">
        <f aca="false">SUMPRODUCT((('Aug 23'!$F$8:$F$42=$T9)*'Aug 23'!$AJ$8:$AJ$42+('Aug 23'!$G$8:$G$42=$T9)*'Aug 23'!$AK$8:$AK$42)*('Aug 23'!$Q$8:$Q$42+'Aug 23'!$R$8:$R$42))</f>
        <v>0</v>
      </c>
      <c r="AR28" s="0" t="n">
        <f aca="false">SUMPRODUCT((('Aug 24'!$F$8:$F$42=$T9)*'Aug 24'!$AJ$8:$AJ$42+('Aug 24'!$G$8:$G$42=$T9)*'Aug 24'!$AK$8:$AK$42)*('Aug 24'!$Q$8:$Q$42+'Aug 24'!$R$8:$R$42))</f>
        <v>0</v>
      </c>
      <c r="AS28" s="0" t="n">
        <f aca="false">SUMPRODUCT((('Aug 25'!$F$8:$F$42=$T9)*'Aug 25'!$AJ$8:$AJ$42+('Aug 25'!$G$8:$G$42=$T9)*'Aug 25'!$AK$8:$AK$42)*('Aug 25'!$Q$8:$Q$42+'Aug 25'!$R$8:$R$42))</f>
        <v>0</v>
      </c>
      <c r="AT28" s="0" t="n">
        <f aca="false">SUMPRODUCT((('Aug 26'!$F$8:$F$42=$T9)*'Aug 26'!$AJ$8:$AJ$42+('Aug 26'!$G$8:$G$42=$T9)*'Aug 26'!$AK$8:$AK$42)*('Aug 26'!$Q$8:$Q$42+'Aug 26'!$R$8:$R$42))</f>
        <v>0</v>
      </c>
      <c r="AU28" s="0" t="n">
        <f aca="false">SUMPRODUCT((('Aug 27'!$F$8:$F$42=$T9)*'Aug 27'!$AJ$8:$AJ$42+('Aug 27'!$G$8:$G$42=$T9)*'Aug 27'!$AK$8:$AK$42)*('Aug 27'!$Q$8:$Q$42+'Aug 27'!$R$8:$R$42))</f>
        <v>0</v>
      </c>
      <c r="AV28" s="0" t="n">
        <f aca="false">SUMPRODUCT((('Aug 28'!$F$8:$F$42=$T9)*'Aug 28'!$AJ$8:$AJ$42+('Aug 28'!$G$8:$G$42=$T9)*'Aug 28'!$AK$8:$AK$42)*('Aug 28'!$Q$8:$Q$42+'Aug 28'!$R$8:$R$42))</f>
        <v>0</v>
      </c>
      <c r="AW28" s="0" t="n">
        <f aca="false">SUMPRODUCT((('Aug 29'!$F$8:$F$42=$T9)*'Aug 29'!$AJ$8:$AJ$42+('Aug 29'!$G$8:$G$42=$T9)*'Aug 29'!$AK$8:$AK$42)*('Aug 29'!$Q$8:$Q$42+'Aug 29'!$R$8:$R$42))</f>
        <v>0</v>
      </c>
      <c r="AX28" s="0" t="n">
        <f aca="false">SUMPRODUCT((('Aug 30'!$F$8:$F$42=$T9)*'Aug 30'!$AJ$8:$AJ$42+('Aug 30'!$G$8:$G$42=$T9)*'Aug 30'!$AK$8:$AK$42)*('Aug 30'!$Q$8:$Q$42+'Aug 30'!$R$8:$R$42))</f>
        <v>0</v>
      </c>
      <c r="AY28" s="0" t="n">
        <f aca="false">SUMPRODUCT((('Aug 31'!$F$8:$F$42=$T9)*'Aug 31'!$AJ$8:$AJ$42+('Aug 31'!$G$8:$G$42=$T9)*'Aug 31'!$AK$8:$AK$42)*('Aug 31'!$Q$8:$Q$42+'Aug 31'!$R$8:$R$42))</f>
        <v>0</v>
      </c>
    </row>
    <row r="29" customFormat="false" ht="15" hidden="false" customHeight="false" outlineLevel="0" collapsed="false">
      <c r="A29" s="58" t="s">
        <v>96</v>
      </c>
      <c r="B29" s="58"/>
      <c r="C29" s="58"/>
      <c r="D29" s="58"/>
      <c r="E29" s="58"/>
      <c r="F29" s="58"/>
      <c r="G29" s="58"/>
      <c r="H29" s="58"/>
      <c r="I29" s="58" t="str">
        <f aca="false">IF(ABS(J23-BH5*'Pay Plan'!$I$15)&lt;=2,"✓ tie  "&amp;TEXT(BH5,"0")&amp;" prod × "&amp;TEXT('Pay Plan'!$I$15,"$0"),"⚠ "&amp;TEXT(J23-BH5*'Pay Plan'!$I$15,"$#,##0"))</f>
        <v>✓ tie  0 prod × $25</v>
      </c>
      <c r="J29" s="58"/>
      <c r="K29" s="58"/>
      <c r="L29" s="58"/>
      <c r="M29" s="58"/>
      <c r="N29" s="58"/>
      <c r="O29" s="58"/>
      <c r="P29" s="58"/>
      <c r="Q29" s="58"/>
      <c r="R29" s="58"/>
      <c r="U29" s="0" t="n">
        <f aca="false">SUMPRODUCT((('Aug 1'!$F$8:$F$42=$T10)*'Aug 1'!$AJ$8:$AJ$42+('Aug 1'!$G$8:$G$42=$T10)*'Aug 1'!$AK$8:$AK$42)*('Aug 1'!$Q$8:$Q$42+'Aug 1'!$R$8:$R$42))</f>
        <v>0</v>
      </c>
      <c r="V29" s="0" t="n">
        <f aca="false">SUMPRODUCT((('Aug 2'!$F$8:$F$42=$T10)*'Aug 2'!$AJ$8:$AJ$42+('Aug 2'!$G$8:$G$42=$T10)*'Aug 2'!$AK$8:$AK$42)*('Aug 2'!$Q$8:$Q$42+'Aug 2'!$R$8:$R$42))</f>
        <v>0</v>
      </c>
      <c r="W29" s="0" t="n">
        <f aca="false">SUMPRODUCT((('Aug 3'!$F$8:$F$42=$T10)*'Aug 3'!$AJ$8:$AJ$42+('Aug 3'!$G$8:$G$42=$T10)*'Aug 3'!$AK$8:$AK$42)*('Aug 3'!$Q$8:$Q$42+'Aug 3'!$R$8:$R$42))</f>
        <v>0</v>
      </c>
      <c r="X29" s="0" t="n">
        <f aca="false">SUMPRODUCT((('Aug 4'!$F$8:$F$42=$T10)*'Aug 4'!$AJ$8:$AJ$42+('Aug 4'!$G$8:$G$42=$T10)*'Aug 4'!$AK$8:$AK$42)*('Aug 4'!$Q$8:$Q$42+'Aug 4'!$R$8:$R$42))</f>
        <v>0</v>
      </c>
      <c r="Y29" s="0" t="n">
        <f aca="false">SUMPRODUCT((('Aug 5'!$F$8:$F$42=$T10)*'Aug 5'!$AJ$8:$AJ$42+('Aug 5'!$G$8:$G$42=$T10)*'Aug 5'!$AK$8:$AK$42)*('Aug 5'!$Q$8:$Q$42+'Aug 5'!$R$8:$R$42))</f>
        <v>0</v>
      </c>
      <c r="Z29" s="0" t="n">
        <f aca="false">SUMPRODUCT((('Aug 6'!$F$8:$F$42=$T10)*'Aug 6'!$AJ$8:$AJ$42+('Aug 6'!$G$8:$G$42=$T10)*'Aug 6'!$AK$8:$AK$42)*('Aug 6'!$Q$8:$Q$42+'Aug 6'!$R$8:$R$42))</f>
        <v>0</v>
      </c>
      <c r="AA29" s="0" t="n">
        <f aca="false">SUMPRODUCT((('Aug 7'!$F$8:$F$42=$T10)*'Aug 7'!$AJ$8:$AJ$42+('Aug 7'!$G$8:$G$42=$T10)*'Aug 7'!$AK$8:$AK$42)*('Aug 7'!$Q$8:$Q$42+'Aug 7'!$R$8:$R$42))</f>
        <v>0</v>
      </c>
      <c r="AB29" s="0" t="n">
        <f aca="false">SUMPRODUCT((('Aug 8'!$F$8:$F$42=$T10)*'Aug 8'!$AJ$8:$AJ$42+('Aug 8'!$G$8:$G$42=$T10)*'Aug 8'!$AK$8:$AK$42)*('Aug 8'!$Q$8:$Q$42+'Aug 8'!$R$8:$R$42))</f>
        <v>0</v>
      </c>
      <c r="AC29" s="0" t="n">
        <f aca="false">SUMPRODUCT((('Aug 9'!$F$8:$F$42=$T10)*'Aug 9'!$AJ$8:$AJ$42+('Aug 9'!$G$8:$G$42=$T10)*'Aug 9'!$AK$8:$AK$42)*('Aug 9'!$Q$8:$Q$42+'Aug 9'!$R$8:$R$42))</f>
        <v>0</v>
      </c>
      <c r="AD29" s="0" t="n">
        <f aca="false">SUMPRODUCT((('Aug 10'!$F$8:$F$42=$T10)*'Aug 10'!$AJ$8:$AJ$42+('Aug 10'!$G$8:$G$42=$T10)*'Aug 10'!$AK$8:$AK$42)*('Aug 10'!$Q$8:$Q$42+'Aug 10'!$R$8:$R$42))</f>
        <v>0</v>
      </c>
      <c r="AE29" s="0" t="n">
        <f aca="false">SUMPRODUCT((('Aug 11'!$F$8:$F$42=$T10)*'Aug 11'!$AJ$8:$AJ$42+('Aug 11'!$G$8:$G$42=$T10)*'Aug 11'!$AK$8:$AK$42)*('Aug 11'!$Q$8:$Q$42+'Aug 11'!$R$8:$R$42))</f>
        <v>0</v>
      </c>
      <c r="AF29" s="0" t="n">
        <f aca="false">SUMPRODUCT((('Aug 12'!$F$8:$F$42=$T10)*'Aug 12'!$AJ$8:$AJ$42+('Aug 12'!$G$8:$G$42=$T10)*'Aug 12'!$AK$8:$AK$42)*('Aug 12'!$Q$8:$Q$42+'Aug 12'!$R$8:$R$42))</f>
        <v>0</v>
      </c>
      <c r="AG29" s="0" t="n">
        <f aca="false">SUMPRODUCT((('Aug 13'!$F$8:$F$42=$T10)*'Aug 13'!$AJ$8:$AJ$42+('Aug 13'!$G$8:$G$42=$T10)*'Aug 13'!$AK$8:$AK$42)*('Aug 13'!$Q$8:$Q$42+'Aug 13'!$R$8:$R$42))</f>
        <v>0</v>
      </c>
      <c r="AH29" s="0" t="n">
        <f aca="false">SUMPRODUCT((('Aug 14'!$F$8:$F$42=$T10)*'Aug 14'!$AJ$8:$AJ$42+('Aug 14'!$G$8:$G$42=$T10)*'Aug 14'!$AK$8:$AK$42)*('Aug 14'!$Q$8:$Q$42+'Aug 14'!$R$8:$R$42))</f>
        <v>0</v>
      </c>
      <c r="AI29" s="0" t="n">
        <f aca="false">SUMPRODUCT((('Aug 15'!$F$8:$F$42=$T10)*'Aug 15'!$AJ$8:$AJ$42+('Aug 15'!$G$8:$G$42=$T10)*'Aug 15'!$AK$8:$AK$42)*('Aug 15'!$Q$8:$Q$42+'Aug 15'!$R$8:$R$42))</f>
        <v>0</v>
      </c>
      <c r="AJ29" s="0" t="n">
        <f aca="false">SUMPRODUCT((('Aug 16'!$F$8:$F$42=$T10)*'Aug 16'!$AJ$8:$AJ$42+('Aug 16'!$G$8:$G$42=$T10)*'Aug 16'!$AK$8:$AK$42)*('Aug 16'!$Q$8:$Q$42+'Aug 16'!$R$8:$R$42))</f>
        <v>0</v>
      </c>
      <c r="AK29" s="0" t="n">
        <f aca="false">SUMPRODUCT((('Aug 17'!$F$8:$F$42=$T10)*'Aug 17'!$AJ$8:$AJ$42+('Aug 17'!$G$8:$G$42=$T10)*'Aug 17'!$AK$8:$AK$42)*('Aug 17'!$Q$8:$Q$42+'Aug 17'!$R$8:$R$42))</f>
        <v>0</v>
      </c>
      <c r="AL29" s="0" t="n">
        <f aca="false">SUMPRODUCT((('Aug 18'!$F$8:$F$42=$T10)*'Aug 18'!$AJ$8:$AJ$42+('Aug 18'!$G$8:$G$42=$T10)*'Aug 18'!$AK$8:$AK$42)*('Aug 18'!$Q$8:$Q$42+'Aug 18'!$R$8:$R$42))</f>
        <v>0</v>
      </c>
      <c r="AM29" s="0" t="n">
        <f aca="false">SUMPRODUCT((('Aug 19'!$F$8:$F$42=$T10)*'Aug 19'!$AJ$8:$AJ$42+('Aug 19'!$G$8:$G$42=$T10)*'Aug 19'!$AK$8:$AK$42)*('Aug 19'!$Q$8:$Q$42+'Aug 19'!$R$8:$R$42))</f>
        <v>0</v>
      </c>
      <c r="AN29" s="0" t="n">
        <f aca="false">SUMPRODUCT((('Aug 20'!$F$8:$F$42=$T10)*'Aug 20'!$AJ$8:$AJ$42+('Aug 20'!$G$8:$G$42=$T10)*'Aug 20'!$AK$8:$AK$42)*('Aug 20'!$Q$8:$Q$42+'Aug 20'!$R$8:$R$42))</f>
        <v>0</v>
      </c>
      <c r="AO29" s="0" t="n">
        <f aca="false">SUMPRODUCT((('Aug 21'!$F$8:$F$42=$T10)*'Aug 21'!$AJ$8:$AJ$42+('Aug 21'!$G$8:$G$42=$T10)*'Aug 21'!$AK$8:$AK$42)*('Aug 21'!$Q$8:$Q$42+'Aug 21'!$R$8:$R$42))</f>
        <v>0</v>
      </c>
      <c r="AP29" s="0" t="n">
        <f aca="false">SUMPRODUCT((('Aug 22'!$F$8:$F$42=$T10)*'Aug 22'!$AJ$8:$AJ$42+('Aug 22'!$G$8:$G$42=$T10)*'Aug 22'!$AK$8:$AK$42)*('Aug 22'!$Q$8:$Q$42+'Aug 22'!$R$8:$R$42))</f>
        <v>0</v>
      </c>
      <c r="AQ29" s="0" t="n">
        <f aca="false">SUMPRODUCT((('Aug 23'!$F$8:$F$42=$T10)*'Aug 23'!$AJ$8:$AJ$42+('Aug 23'!$G$8:$G$42=$T10)*'Aug 23'!$AK$8:$AK$42)*('Aug 23'!$Q$8:$Q$42+'Aug 23'!$R$8:$R$42))</f>
        <v>0</v>
      </c>
      <c r="AR29" s="0" t="n">
        <f aca="false">SUMPRODUCT((('Aug 24'!$F$8:$F$42=$T10)*'Aug 24'!$AJ$8:$AJ$42+('Aug 24'!$G$8:$G$42=$T10)*'Aug 24'!$AK$8:$AK$42)*('Aug 24'!$Q$8:$Q$42+'Aug 24'!$R$8:$R$42))</f>
        <v>0</v>
      </c>
      <c r="AS29" s="0" t="n">
        <f aca="false">SUMPRODUCT((('Aug 25'!$F$8:$F$42=$T10)*'Aug 25'!$AJ$8:$AJ$42+('Aug 25'!$G$8:$G$42=$T10)*'Aug 25'!$AK$8:$AK$42)*('Aug 25'!$Q$8:$Q$42+'Aug 25'!$R$8:$R$42))</f>
        <v>0</v>
      </c>
      <c r="AT29" s="0" t="n">
        <f aca="false">SUMPRODUCT((('Aug 26'!$F$8:$F$42=$T10)*'Aug 26'!$AJ$8:$AJ$42+('Aug 26'!$G$8:$G$42=$T10)*'Aug 26'!$AK$8:$AK$42)*('Aug 26'!$Q$8:$Q$42+'Aug 26'!$R$8:$R$42))</f>
        <v>0</v>
      </c>
      <c r="AU29" s="0" t="n">
        <f aca="false">SUMPRODUCT((('Aug 27'!$F$8:$F$42=$T10)*'Aug 27'!$AJ$8:$AJ$42+('Aug 27'!$G$8:$G$42=$T10)*'Aug 27'!$AK$8:$AK$42)*('Aug 27'!$Q$8:$Q$42+'Aug 27'!$R$8:$R$42))</f>
        <v>0</v>
      </c>
      <c r="AV29" s="0" t="n">
        <f aca="false">SUMPRODUCT((('Aug 28'!$F$8:$F$42=$T10)*'Aug 28'!$AJ$8:$AJ$42+('Aug 28'!$G$8:$G$42=$T10)*'Aug 28'!$AK$8:$AK$42)*('Aug 28'!$Q$8:$Q$42+'Aug 28'!$R$8:$R$42))</f>
        <v>0</v>
      </c>
      <c r="AW29" s="0" t="n">
        <f aca="false">SUMPRODUCT((('Aug 29'!$F$8:$F$42=$T10)*'Aug 29'!$AJ$8:$AJ$42+('Aug 29'!$G$8:$G$42=$T10)*'Aug 29'!$AK$8:$AK$42)*('Aug 29'!$Q$8:$Q$42+'Aug 29'!$R$8:$R$42))</f>
        <v>0</v>
      </c>
      <c r="AX29" s="0" t="n">
        <f aca="false">SUMPRODUCT((('Aug 30'!$F$8:$F$42=$T10)*'Aug 30'!$AJ$8:$AJ$42+('Aug 30'!$G$8:$G$42=$T10)*'Aug 30'!$AK$8:$AK$42)*('Aug 30'!$Q$8:$Q$42+'Aug 30'!$R$8:$R$42))</f>
        <v>0</v>
      </c>
      <c r="AY29" s="0" t="n">
        <f aca="false">SUMPRODUCT((('Aug 31'!$F$8:$F$42=$T10)*'Aug 31'!$AJ$8:$AJ$42+('Aug 31'!$G$8:$G$42=$T10)*'Aug 31'!$AK$8:$AK$42)*('Aug 31'!$Q$8:$Q$42+'Aug 31'!$R$8:$R$42))</f>
        <v>0</v>
      </c>
    </row>
    <row r="30" customFormat="false" ht="15" hidden="false" customHeight="false" outlineLevel="0" collapsed="false">
      <c r="A30" s="58" t="s">
        <v>97</v>
      </c>
      <c r="B30" s="58"/>
      <c r="C30" s="58"/>
      <c r="D30" s="58"/>
      <c r="E30" s="58"/>
      <c r="F30" s="58"/>
      <c r="G30" s="58"/>
      <c r="H30" s="58"/>
      <c r="I30" s="58" t="str">
        <f aca="false">IF(AND(BH6&gt;=0,BH7&gt;=0),"✓ clean","⚠ negative value present")</f>
        <v>✓ clean</v>
      </c>
      <c r="J30" s="58"/>
      <c r="K30" s="58"/>
      <c r="L30" s="58"/>
      <c r="M30" s="58"/>
      <c r="N30" s="58"/>
      <c r="O30" s="58"/>
      <c r="P30" s="58"/>
      <c r="Q30" s="58"/>
      <c r="R30" s="58"/>
      <c r="U30" s="0" t="n">
        <f aca="false">SUMPRODUCT((('Aug 1'!$F$8:$F$42=$T11)*'Aug 1'!$AJ$8:$AJ$42+('Aug 1'!$G$8:$G$42=$T11)*'Aug 1'!$AK$8:$AK$42)*('Aug 1'!$Q$8:$Q$42+'Aug 1'!$R$8:$R$42))</f>
        <v>0</v>
      </c>
      <c r="V30" s="0" t="n">
        <f aca="false">SUMPRODUCT((('Aug 2'!$F$8:$F$42=$T11)*'Aug 2'!$AJ$8:$AJ$42+('Aug 2'!$G$8:$G$42=$T11)*'Aug 2'!$AK$8:$AK$42)*('Aug 2'!$Q$8:$Q$42+'Aug 2'!$R$8:$R$42))</f>
        <v>0</v>
      </c>
      <c r="W30" s="0" t="n">
        <f aca="false">SUMPRODUCT((('Aug 3'!$F$8:$F$42=$T11)*'Aug 3'!$AJ$8:$AJ$42+('Aug 3'!$G$8:$G$42=$T11)*'Aug 3'!$AK$8:$AK$42)*('Aug 3'!$Q$8:$Q$42+'Aug 3'!$R$8:$R$42))</f>
        <v>0</v>
      </c>
      <c r="X30" s="0" t="n">
        <f aca="false">SUMPRODUCT((('Aug 4'!$F$8:$F$42=$T11)*'Aug 4'!$AJ$8:$AJ$42+('Aug 4'!$G$8:$G$42=$T11)*'Aug 4'!$AK$8:$AK$42)*('Aug 4'!$Q$8:$Q$42+'Aug 4'!$R$8:$R$42))</f>
        <v>0</v>
      </c>
      <c r="Y30" s="0" t="n">
        <f aca="false">SUMPRODUCT((('Aug 5'!$F$8:$F$42=$T11)*'Aug 5'!$AJ$8:$AJ$42+('Aug 5'!$G$8:$G$42=$T11)*'Aug 5'!$AK$8:$AK$42)*('Aug 5'!$Q$8:$Q$42+'Aug 5'!$R$8:$R$42))</f>
        <v>0</v>
      </c>
      <c r="Z30" s="0" t="n">
        <f aca="false">SUMPRODUCT((('Aug 6'!$F$8:$F$42=$T11)*'Aug 6'!$AJ$8:$AJ$42+('Aug 6'!$G$8:$G$42=$T11)*'Aug 6'!$AK$8:$AK$42)*('Aug 6'!$Q$8:$Q$42+'Aug 6'!$R$8:$R$42))</f>
        <v>0</v>
      </c>
      <c r="AA30" s="0" t="n">
        <f aca="false">SUMPRODUCT((('Aug 7'!$F$8:$F$42=$T11)*'Aug 7'!$AJ$8:$AJ$42+('Aug 7'!$G$8:$G$42=$T11)*'Aug 7'!$AK$8:$AK$42)*('Aug 7'!$Q$8:$Q$42+'Aug 7'!$R$8:$R$42))</f>
        <v>0</v>
      </c>
      <c r="AB30" s="0" t="n">
        <f aca="false">SUMPRODUCT((('Aug 8'!$F$8:$F$42=$T11)*'Aug 8'!$AJ$8:$AJ$42+('Aug 8'!$G$8:$G$42=$T11)*'Aug 8'!$AK$8:$AK$42)*('Aug 8'!$Q$8:$Q$42+'Aug 8'!$R$8:$R$42))</f>
        <v>0</v>
      </c>
      <c r="AC30" s="0" t="n">
        <f aca="false">SUMPRODUCT((('Aug 9'!$F$8:$F$42=$T11)*'Aug 9'!$AJ$8:$AJ$42+('Aug 9'!$G$8:$G$42=$T11)*'Aug 9'!$AK$8:$AK$42)*('Aug 9'!$Q$8:$Q$42+'Aug 9'!$R$8:$R$42))</f>
        <v>0</v>
      </c>
      <c r="AD30" s="0" t="n">
        <f aca="false">SUMPRODUCT((('Aug 10'!$F$8:$F$42=$T11)*'Aug 10'!$AJ$8:$AJ$42+('Aug 10'!$G$8:$G$42=$T11)*'Aug 10'!$AK$8:$AK$42)*('Aug 10'!$Q$8:$Q$42+'Aug 10'!$R$8:$R$42))</f>
        <v>0</v>
      </c>
      <c r="AE30" s="0" t="n">
        <f aca="false">SUMPRODUCT((('Aug 11'!$F$8:$F$42=$T11)*'Aug 11'!$AJ$8:$AJ$42+('Aug 11'!$G$8:$G$42=$T11)*'Aug 11'!$AK$8:$AK$42)*('Aug 11'!$Q$8:$Q$42+'Aug 11'!$R$8:$R$42))</f>
        <v>0</v>
      </c>
      <c r="AF30" s="0" t="n">
        <f aca="false">SUMPRODUCT((('Aug 12'!$F$8:$F$42=$T11)*'Aug 12'!$AJ$8:$AJ$42+('Aug 12'!$G$8:$G$42=$T11)*'Aug 12'!$AK$8:$AK$42)*('Aug 12'!$Q$8:$Q$42+'Aug 12'!$R$8:$R$42))</f>
        <v>0</v>
      </c>
      <c r="AG30" s="0" t="n">
        <f aca="false">SUMPRODUCT((('Aug 13'!$F$8:$F$42=$T11)*'Aug 13'!$AJ$8:$AJ$42+('Aug 13'!$G$8:$G$42=$T11)*'Aug 13'!$AK$8:$AK$42)*('Aug 13'!$Q$8:$Q$42+'Aug 13'!$R$8:$R$42))</f>
        <v>0</v>
      </c>
      <c r="AH30" s="0" t="n">
        <f aca="false">SUMPRODUCT((('Aug 14'!$F$8:$F$42=$T11)*'Aug 14'!$AJ$8:$AJ$42+('Aug 14'!$G$8:$G$42=$T11)*'Aug 14'!$AK$8:$AK$42)*('Aug 14'!$Q$8:$Q$42+'Aug 14'!$R$8:$R$42))</f>
        <v>0</v>
      </c>
      <c r="AI30" s="0" t="n">
        <f aca="false">SUMPRODUCT((('Aug 15'!$F$8:$F$42=$T11)*'Aug 15'!$AJ$8:$AJ$42+('Aug 15'!$G$8:$G$42=$T11)*'Aug 15'!$AK$8:$AK$42)*('Aug 15'!$Q$8:$Q$42+'Aug 15'!$R$8:$R$42))</f>
        <v>0</v>
      </c>
      <c r="AJ30" s="0" t="n">
        <f aca="false">SUMPRODUCT((('Aug 16'!$F$8:$F$42=$T11)*'Aug 16'!$AJ$8:$AJ$42+('Aug 16'!$G$8:$G$42=$T11)*'Aug 16'!$AK$8:$AK$42)*('Aug 16'!$Q$8:$Q$42+'Aug 16'!$R$8:$R$42))</f>
        <v>0</v>
      </c>
      <c r="AK30" s="0" t="n">
        <f aca="false">SUMPRODUCT((('Aug 17'!$F$8:$F$42=$T11)*'Aug 17'!$AJ$8:$AJ$42+('Aug 17'!$G$8:$G$42=$T11)*'Aug 17'!$AK$8:$AK$42)*('Aug 17'!$Q$8:$Q$42+'Aug 17'!$R$8:$R$42))</f>
        <v>0</v>
      </c>
      <c r="AL30" s="0" t="n">
        <f aca="false">SUMPRODUCT((('Aug 18'!$F$8:$F$42=$T11)*'Aug 18'!$AJ$8:$AJ$42+('Aug 18'!$G$8:$G$42=$T11)*'Aug 18'!$AK$8:$AK$42)*('Aug 18'!$Q$8:$Q$42+'Aug 18'!$R$8:$R$42))</f>
        <v>0</v>
      </c>
      <c r="AM30" s="0" t="n">
        <f aca="false">SUMPRODUCT((('Aug 19'!$F$8:$F$42=$T11)*'Aug 19'!$AJ$8:$AJ$42+('Aug 19'!$G$8:$G$42=$T11)*'Aug 19'!$AK$8:$AK$42)*('Aug 19'!$Q$8:$Q$42+'Aug 19'!$R$8:$R$42))</f>
        <v>0</v>
      </c>
      <c r="AN30" s="0" t="n">
        <f aca="false">SUMPRODUCT((('Aug 20'!$F$8:$F$42=$T11)*'Aug 20'!$AJ$8:$AJ$42+('Aug 20'!$G$8:$G$42=$T11)*'Aug 20'!$AK$8:$AK$42)*('Aug 20'!$Q$8:$Q$42+'Aug 20'!$R$8:$R$42))</f>
        <v>0</v>
      </c>
      <c r="AO30" s="0" t="n">
        <f aca="false">SUMPRODUCT((('Aug 21'!$F$8:$F$42=$T11)*'Aug 21'!$AJ$8:$AJ$42+('Aug 21'!$G$8:$G$42=$T11)*'Aug 21'!$AK$8:$AK$42)*('Aug 21'!$Q$8:$Q$42+'Aug 21'!$R$8:$R$42))</f>
        <v>0</v>
      </c>
      <c r="AP30" s="0" t="n">
        <f aca="false">SUMPRODUCT((('Aug 22'!$F$8:$F$42=$T11)*'Aug 22'!$AJ$8:$AJ$42+('Aug 22'!$G$8:$G$42=$T11)*'Aug 22'!$AK$8:$AK$42)*('Aug 22'!$Q$8:$Q$42+'Aug 22'!$R$8:$R$42))</f>
        <v>0</v>
      </c>
      <c r="AQ30" s="0" t="n">
        <f aca="false">SUMPRODUCT((('Aug 23'!$F$8:$F$42=$T11)*'Aug 23'!$AJ$8:$AJ$42+('Aug 23'!$G$8:$G$42=$T11)*'Aug 23'!$AK$8:$AK$42)*('Aug 23'!$Q$8:$Q$42+'Aug 23'!$R$8:$R$42))</f>
        <v>0</v>
      </c>
      <c r="AR30" s="0" t="n">
        <f aca="false">SUMPRODUCT((('Aug 24'!$F$8:$F$42=$T11)*'Aug 24'!$AJ$8:$AJ$42+('Aug 24'!$G$8:$G$42=$T11)*'Aug 24'!$AK$8:$AK$42)*('Aug 24'!$Q$8:$Q$42+'Aug 24'!$R$8:$R$42))</f>
        <v>0</v>
      </c>
      <c r="AS30" s="0" t="n">
        <f aca="false">SUMPRODUCT((('Aug 25'!$F$8:$F$42=$T11)*'Aug 25'!$AJ$8:$AJ$42+('Aug 25'!$G$8:$G$42=$T11)*'Aug 25'!$AK$8:$AK$42)*('Aug 25'!$Q$8:$Q$42+'Aug 25'!$R$8:$R$42))</f>
        <v>0</v>
      </c>
      <c r="AT30" s="0" t="n">
        <f aca="false">SUMPRODUCT((('Aug 26'!$F$8:$F$42=$T11)*'Aug 26'!$AJ$8:$AJ$42+('Aug 26'!$G$8:$G$42=$T11)*'Aug 26'!$AK$8:$AK$42)*('Aug 26'!$Q$8:$Q$42+'Aug 26'!$R$8:$R$42))</f>
        <v>0</v>
      </c>
      <c r="AU30" s="0" t="n">
        <f aca="false">SUMPRODUCT((('Aug 27'!$F$8:$F$42=$T11)*'Aug 27'!$AJ$8:$AJ$42+('Aug 27'!$G$8:$G$42=$T11)*'Aug 27'!$AK$8:$AK$42)*('Aug 27'!$Q$8:$Q$42+'Aug 27'!$R$8:$R$42))</f>
        <v>0</v>
      </c>
      <c r="AV30" s="0" t="n">
        <f aca="false">SUMPRODUCT((('Aug 28'!$F$8:$F$42=$T11)*'Aug 28'!$AJ$8:$AJ$42+('Aug 28'!$G$8:$G$42=$T11)*'Aug 28'!$AK$8:$AK$42)*('Aug 28'!$Q$8:$Q$42+'Aug 28'!$R$8:$R$42))</f>
        <v>0</v>
      </c>
      <c r="AW30" s="0" t="n">
        <f aca="false">SUMPRODUCT((('Aug 29'!$F$8:$F$42=$T11)*'Aug 29'!$AJ$8:$AJ$42+('Aug 29'!$G$8:$G$42=$T11)*'Aug 29'!$AK$8:$AK$42)*('Aug 29'!$Q$8:$Q$42+'Aug 29'!$R$8:$R$42))</f>
        <v>0</v>
      </c>
      <c r="AX30" s="0" t="n">
        <f aca="false">SUMPRODUCT((('Aug 30'!$F$8:$F$42=$T11)*'Aug 30'!$AJ$8:$AJ$42+('Aug 30'!$G$8:$G$42=$T11)*'Aug 30'!$AK$8:$AK$42)*('Aug 30'!$Q$8:$Q$42+'Aug 30'!$R$8:$R$42))</f>
        <v>0</v>
      </c>
      <c r="AY30" s="0" t="n">
        <f aca="false">SUMPRODUCT((('Aug 31'!$F$8:$F$42=$T11)*'Aug 31'!$AJ$8:$AJ$42+('Aug 31'!$G$8:$G$42=$T11)*'Aug 31'!$AK$8:$AK$42)*('Aug 31'!$Q$8:$Q$42+'Aug 31'!$R$8:$R$42))</f>
        <v>0</v>
      </c>
    </row>
    <row r="31" customFormat="false" ht="15" hidden="false" customHeight="false" outlineLevel="0" collapsed="false">
      <c r="A31" s="58" t="s">
        <v>98</v>
      </c>
      <c r="B31" s="58"/>
      <c r="C31" s="58"/>
      <c r="D31" s="58"/>
      <c r="E31" s="58"/>
      <c r="F31" s="58"/>
      <c r="G31" s="58"/>
      <c r="H31" s="58"/>
      <c r="I31" s="58" t="str">
        <f aca="false">IF(BH8=0,"✓ all tiers resolved","⚠ "&amp;TEXT(BH8,"0")&amp;" SP without tier")</f>
        <v>✓ all tiers resolved</v>
      </c>
      <c r="J31" s="58"/>
      <c r="K31" s="58"/>
      <c r="L31" s="58"/>
      <c r="M31" s="58"/>
      <c r="N31" s="58"/>
      <c r="O31" s="58"/>
      <c r="P31" s="58"/>
      <c r="Q31" s="58"/>
      <c r="R31" s="58"/>
      <c r="U31" s="0" t="n">
        <f aca="false">SUMPRODUCT((('Aug 1'!$F$8:$F$42=$T12)*'Aug 1'!$AJ$8:$AJ$42+('Aug 1'!$G$8:$G$42=$T12)*'Aug 1'!$AK$8:$AK$42)*('Aug 1'!$Q$8:$Q$42+'Aug 1'!$R$8:$R$42))</f>
        <v>0</v>
      </c>
      <c r="V31" s="0" t="n">
        <f aca="false">SUMPRODUCT((('Aug 2'!$F$8:$F$42=$T12)*'Aug 2'!$AJ$8:$AJ$42+('Aug 2'!$G$8:$G$42=$T12)*'Aug 2'!$AK$8:$AK$42)*('Aug 2'!$Q$8:$Q$42+'Aug 2'!$R$8:$R$42))</f>
        <v>0</v>
      </c>
      <c r="W31" s="0" t="n">
        <f aca="false">SUMPRODUCT((('Aug 3'!$F$8:$F$42=$T12)*'Aug 3'!$AJ$8:$AJ$42+('Aug 3'!$G$8:$G$42=$T12)*'Aug 3'!$AK$8:$AK$42)*('Aug 3'!$Q$8:$Q$42+'Aug 3'!$R$8:$R$42))</f>
        <v>0</v>
      </c>
      <c r="X31" s="0" t="n">
        <f aca="false">SUMPRODUCT((('Aug 4'!$F$8:$F$42=$T12)*'Aug 4'!$AJ$8:$AJ$42+('Aug 4'!$G$8:$G$42=$T12)*'Aug 4'!$AK$8:$AK$42)*('Aug 4'!$Q$8:$Q$42+'Aug 4'!$R$8:$R$42))</f>
        <v>0</v>
      </c>
      <c r="Y31" s="0" t="n">
        <f aca="false">SUMPRODUCT((('Aug 5'!$F$8:$F$42=$T12)*'Aug 5'!$AJ$8:$AJ$42+('Aug 5'!$G$8:$G$42=$T12)*'Aug 5'!$AK$8:$AK$42)*('Aug 5'!$Q$8:$Q$42+'Aug 5'!$R$8:$R$42))</f>
        <v>0</v>
      </c>
      <c r="Z31" s="0" t="n">
        <f aca="false">SUMPRODUCT((('Aug 6'!$F$8:$F$42=$T12)*'Aug 6'!$AJ$8:$AJ$42+('Aug 6'!$G$8:$G$42=$T12)*'Aug 6'!$AK$8:$AK$42)*('Aug 6'!$Q$8:$Q$42+'Aug 6'!$R$8:$R$42))</f>
        <v>0</v>
      </c>
      <c r="AA31" s="0" t="n">
        <f aca="false">SUMPRODUCT((('Aug 7'!$F$8:$F$42=$T12)*'Aug 7'!$AJ$8:$AJ$42+('Aug 7'!$G$8:$G$42=$T12)*'Aug 7'!$AK$8:$AK$42)*('Aug 7'!$Q$8:$Q$42+'Aug 7'!$R$8:$R$42))</f>
        <v>0</v>
      </c>
      <c r="AB31" s="0" t="n">
        <f aca="false">SUMPRODUCT((('Aug 8'!$F$8:$F$42=$T12)*'Aug 8'!$AJ$8:$AJ$42+('Aug 8'!$G$8:$G$42=$T12)*'Aug 8'!$AK$8:$AK$42)*('Aug 8'!$Q$8:$Q$42+'Aug 8'!$R$8:$R$42))</f>
        <v>0</v>
      </c>
      <c r="AC31" s="0" t="n">
        <f aca="false">SUMPRODUCT((('Aug 9'!$F$8:$F$42=$T12)*'Aug 9'!$AJ$8:$AJ$42+('Aug 9'!$G$8:$G$42=$T12)*'Aug 9'!$AK$8:$AK$42)*('Aug 9'!$Q$8:$Q$42+'Aug 9'!$R$8:$R$42))</f>
        <v>0</v>
      </c>
      <c r="AD31" s="0" t="n">
        <f aca="false">SUMPRODUCT((('Aug 10'!$F$8:$F$42=$T12)*'Aug 10'!$AJ$8:$AJ$42+('Aug 10'!$G$8:$G$42=$T12)*'Aug 10'!$AK$8:$AK$42)*('Aug 10'!$Q$8:$Q$42+'Aug 10'!$R$8:$R$42))</f>
        <v>0</v>
      </c>
      <c r="AE31" s="0" t="n">
        <f aca="false">SUMPRODUCT((('Aug 11'!$F$8:$F$42=$T12)*'Aug 11'!$AJ$8:$AJ$42+('Aug 11'!$G$8:$G$42=$T12)*'Aug 11'!$AK$8:$AK$42)*('Aug 11'!$Q$8:$Q$42+'Aug 11'!$R$8:$R$42))</f>
        <v>0</v>
      </c>
      <c r="AF31" s="0" t="n">
        <f aca="false">SUMPRODUCT((('Aug 12'!$F$8:$F$42=$T12)*'Aug 12'!$AJ$8:$AJ$42+('Aug 12'!$G$8:$G$42=$T12)*'Aug 12'!$AK$8:$AK$42)*('Aug 12'!$Q$8:$Q$42+'Aug 12'!$R$8:$R$42))</f>
        <v>0</v>
      </c>
      <c r="AG31" s="0" t="n">
        <f aca="false">SUMPRODUCT((('Aug 13'!$F$8:$F$42=$T12)*'Aug 13'!$AJ$8:$AJ$42+('Aug 13'!$G$8:$G$42=$T12)*'Aug 13'!$AK$8:$AK$42)*('Aug 13'!$Q$8:$Q$42+'Aug 13'!$R$8:$R$42))</f>
        <v>0</v>
      </c>
      <c r="AH31" s="0" t="n">
        <f aca="false">SUMPRODUCT((('Aug 14'!$F$8:$F$42=$T12)*'Aug 14'!$AJ$8:$AJ$42+('Aug 14'!$G$8:$G$42=$T12)*'Aug 14'!$AK$8:$AK$42)*('Aug 14'!$Q$8:$Q$42+'Aug 14'!$R$8:$R$42))</f>
        <v>0</v>
      </c>
      <c r="AI31" s="0" t="n">
        <f aca="false">SUMPRODUCT((('Aug 15'!$F$8:$F$42=$T12)*'Aug 15'!$AJ$8:$AJ$42+('Aug 15'!$G$8:$G$42=$T12)*'Aug 15'!$AK$8:$AK$42)*('Aug 15'!$Q$8:$Q$42+'Aug 15'!$R$8:$R$42))</f>
        <v>0</v>
      </c>
      <c r="AJ31" s="0" t="n">
        <f aca="false">SUMPRODUCT((('Aug 16'!$F$8:$F$42=$T12)*'Aug 16'!$AJ$8:$AJ$42+('Aug 16'!$G$8:$G$42=$T12)*'Aug 16'!$AK$8:$AK$42)*('Aug 16'!$Q$8:$Q$42+'Aug 16'!$R$8:$R$42))</f>
        <v>0</v>
      </c>
      <c r="AK31" s="0" t="n">
        <f aca="false">SUMPRODUCT((('Aug 17'!$F$8:$F$42=$T12)*'Aug 17'!$AJ$8:$AJ$42+('Aug 17'!$G$8:$G$42=$T12)*'Aug 17'!$AK$8:$AK$42)*('Aug 17'!$Q$8:$Q$42+'Aug 17'!$R$8:$R$42))</f>
        <v>0</v>
      </c>
      <c r="AL31" s="0" t="n">
        <f aca="false">SUMPRODUCT((('Aug 18'!$F$8:$F$42=$T12)*'Aug 18'!$AJ$8:$AJ$42+('Aug 18'!$G$8:$G$42=$T12)*'Aug 18'!$AK$8:$AK$42)*('Aug 18'!$Q$8:$Q$42+'Aug 18'!$R$8:$R$42))</f>
        <v>0</v>
      </c>
      <c r="AM31" s="0" t="n">
        <f aca="false">SUMPRODUCT((('Aug 19'!$F$8:$F$42=$T12)*'Aug 19'!$AJ$8:$AJ$42+('Aug 19'!$G$8:$G$42=$T12)*'Aug 19'!$AK$8:$AK$42)*('Aug 19'!$Q$8:$Q$42+'Aug 19'!$R$8:$R$42))</f>
        <v>0</v>
      </c>
      <c r="AN31" s="0" t="n">
        <f aca="false">SUMPRODUCT((('Aug 20'!$F$8:$F$42=$T12)*'Aug 20'!$AJ$8:$AJ$42+('Aug 20'!$G$8:$G$42=$T12)*'Aug 20'!$AK$8:$AK$42)*('Aug 20'!$Q$8:$Q$42+'Aug 20'!$R$8:$R$42))</f>
        <v>0</v>
      </c>
      <c r="AO31" s="0" t="n">
        <f aca="false">SUMPRODUCT((('Aug 21'!$F$8:$F$42=$T12)*'Aug 21'!$AJ$8:$AJ$42+('Aug 21'!$G$8:$G$42=$T12)*'Aug 21'!$AK$8:$AK$42)*('Aug 21'!$Q$8:$Q$42+'Aug 21'!$R$8:$R$42))</f>
        <v>0</v>
      </c>
      <c r="AP31" s="0" t="n">
        <f aca="false">SUMPRODUCT((('Aug 22'!$F$8:$F$42=$T12)*'Aug 22'!$AJ$8:$AJ$42+('Aug 22'!$G$8:$G$42=$T12)*'Aug 22'!$AK$8:$AK$42)*('Aug 22'!$Q$8:$Q$42+'Aug 22'!$R$8:$R$42))</f>
        <v>0</v>
      </c>
      <c r="AQ31" s="0" t="n">
        <f aca="false">SUMPRODUCT((('Aug 23'!$F$8:$F$42=$T12)*'Aug 23'!$AJ$8:$AJ$42+('Aug 23'!$G$8:$G$42=$T12)*'Aug 23'!$AK$8:$AK$42)*('Aug 23'!$Q$8:$Q$42+'Aug 23'!$R$8:$R$42))</f>
        <v>0</v>
      </c>
      <c r="AR31" s="0" t="n">
        <f aca="false">SUMPRODUCT((('Aug 24'!$F$8:$F$42=$T12)*'Aug 24'!$AJ$8:$AJ$42+('Aug 24'!$G$8:$G$42=$T12)*'Aug 24'!$AK$8:$AK$42)*('Aug 24'!$Q$8:$Q$42+'Aug 24'!$R$8:$R$42))</f>
        <v>0</v>
      </c>
      <c r="AS31" s="0" t="n">
        <f aca="false">SUMPRODUCT((('Aug 25'!$F$8:$F$42=$T12)*'Aug 25'!$AJ$8:$AJ$42+('Aug 25'!$G$8:$G$42=$T12)*'Aug 25'!$AK$8:$AK$42)*('Aug 25'!$Q$8:$Q$42+'Aug 25'!$R$8:$R$42))</f>
        <v>0</v>
      </c>
      <c r="AT31" s="0" t="n">
        <f aca="false">SUMPRODUCT((('Aug 26'!$F$8:$F$42=$T12)*'Aug 26'!$AJ$8:$AJ$42+('Aug 26'!$G$8:$G$42=$T12)*'Aug 26'!$AK$8:$AK$42)*('Aug 26'!$Q$8:$Q$42+'Aug 26'!$R$8:$R$42))</f>
        <v>0</v>
      </c>
      <c r="AU31" s="0" t="n">
        <f aca="false">SUMPRODUCT((('Aug 27'!$F$8:$F$42=$T12)*'Aug 27'!$AJ$8:$AJ$42+('Aug 27'!$G$8:$G$42=$T12)*'Aug 27'!$AK$8:$AK$42)*('Aug 27'!$Q$8:$Q$42+'Aug 27'!$R$8:$R$42))</f>
        <v>0</v>
      </c>
      <c r="AV31" s="0" t="n">
        <f aca="false">SUMPRODUCT((('Aug 28'!$F$8:$F$42=$T12)*'Aug 28'!$AJ$8:$AJ$42+('Aug 28'!$G$8:$G$42=$T12)*'Aug 28'!$AK$8:$AK$42)*('Aug 28'!$Q$8:$Q$42+'Aug 28'!$R$8:$R$42))</f>
        <v>0</v>
      </c>
      <c r="AW31" s="0" t="n">
        <f aca="false">SUMPRODUCT((('Aug 29'!$F$8:$F$42=$T12)*'Aug 29'!$AJ$8:$AJ$42+('Aug 29'!$G$8:$G$42=$T12)*'Aug 29'!$AK$8:$AK$42)*('Aug 29'!$Q$8:$Q$42+'Aug 29'!$R$8:$R$42))</f>
        <v>0</v>
      </c>
      <c r="AX31" s="0" t="n">
        <f aca="false">SUMPRODUCT((('Aug 30'!$F$8:$F$42=$T12)*'Aug 30'!$AJ$8:$AJ$42+('Aug 30'!$G$8:$G$42=$T12)*'Aug 30'!$AK$8:$AK$42)*('Aug 30'!$Q$8:$Q$42+'Aug 30'!$R$8:$R$42))</f>
        <v>0</v>
      </c>
      <c r="AY31" s="0" t="n">
        <f aca="false">SUMPRODUCT((('Aug 31'!$F$8:$F$42=$T12)*'Aug 31'!$AJ$8:$AJ$42+('Aug 31'!$G$8:$G$42=$T12)*'Aug 31'!$AK$8:$AK$42)*('Aug 31'!$Q$8:$Q$42+'Aug 31'!$R$8:$R$42))</f>
        <v>0</v>
      </c>
    </row>
    <row r="32" customFormat="false" ht="15" hidden="false" customHeight="false" outlineLevel="0" collapsed="false">
      <c r="U32" s="0" t="n">
        <f aca="false">SUMPRODUCT((('Aug 1'!$F$8:$F$42=$T13)*'Aug 1'!$AJ$8:$AJ$42+('Aug 1'!$G$8:$G$42=$T13)*'Aug 1'!$AK$8:$AK$42)*('Aug 1'!$Q$8:$Q$42+'Aug 1'!$R$8:$R$42))</f>
        <v>0</v>
      </c>
      <c r="V32" s="0" t="n">
        <f aca="false">SUMPRODUCT((('Aug 2'!$F$8:$F$42=$T13)*'Aug 2'!$AJ$8:$AJ$42+('Aug 2'!$G$8:$G$42=$T13)*'Aug 2'!$AK$8:$AK$42)*('Aug 2'!$Q$8:$Q$42+'Aug 2'!$R$8:$R$42))</f>
        <v>0</v>
      </c>
      <c r="W32" s="0" t="n">
        <f aca="false">SUMPRODUCT((('Aug 3'!$F$8:$F$42=$T13)*'Aug 3'!$AJ$8:$AJ$42+('Aug 3'!$G$8:$G$42=$T13)*'Aug 3'!$AK$8:$AK$42)*('Aug 3'!$Q$8:$Q$42+'Aug 3'!$R$8:$R$42))</f>
        <v>0</v>
      </c>
      <c r="X32" s="0" t="n">
        <f aca="false">SUMPRODUCT((('Aug 4'!$F$8:$F$42=$T13)*'Aug 4'!$AJ$8:$AJ$42+('Aug 4'!$G$8:$G$42=$T13)*'Aug 4'!$AK$8:$AK$42)*('Aug 4'!$Q$8:$Q$42+'Aug 4'!$R$8:$R$42))</f>
        <v>0</v>
      </c>
      <c r="Y32" s="0" t="n">
        <f aca="false">SUMPRODUCT((('Aug 5'!$F$8:$F$42=$T13)*'Aug 5'!$AJ$8:$AJ$42+('Aug 5'!$G$8:$G$42=$T13)*'Aug 5'!$AK$8:$AK$42)*('Aug 5'!$Q$8:$Q$42+'Aug 5'!$R$8:$R$42))</f>
        <v>0</v>
      </c>
      <c r="Z32" s="0" t="n">
        <f aca="false">SUMPRODUCT((('Aug 6'!$F$8:$F$42=$T13)*'Aug 6'!$AJ$8:$AJ$42+('Aug 6'!$G$8:$G$42=$T13)*'Aug 6'!$AK$8:$AK$42)*('Aug 6'!$Q$8:$Q$42+'Aug 6'!$R$8:$R$42))</f>
        <v>0</v>
      </c>
      <c r="AA32" s="0" t="n">
        <f aca="false">SUMPRODUCT((('Aug 7'!$F$8:$F$42=$T13)*'Aug 7'!$AJ$8:$AJ$42+('Aug 7'!$G$8:$G$42=$T13)*'Aug 7'!$AK$8:$AK$42)*('Aug 7'!$Q$8:$Q$42+'Aug 7'!$R$8:$R$42))</f>
        <v>0</v>
      </c>
      <c r="AB32" s="0" t="n">
        <f aca="false">SUMPRODUCT((('Aug 8'!$F$8:$F$42=$T13)*'Aug 8'!$AJ$8:$AJ$42+('Aug 8'!$G$8:$G$42=$T13)*'Aug 8'!$AK$8:$AK$42)*('Aug 8'!$Q$8:$Q$42+'Aug 8'!$R$8:$R$42))</f>
        <v>0</v>
      </c>
      <c r="AC32" s="0" t="n">
        <f aca="false">SUMPRODUCT((('Aug 9'!$F$8:$F$42=$T13)*'Aug 9'!$AJ$8:$AJ$42+('Aug 9'!$G$8:$G$42=$T13)*'Aug 9'!$AK$8:$AK$42)*('Aug 9'!$Q$8:$Q$42+'Aug 9'!$R$8:$R$42))</f>
        <v>0</v>
      </c>
      <c r="AD32" s="0" t="n">
        <f aca="false">SUMPRODUCT((('Aug 10'!$F$8:$F$42=$T13)*'Aug 10'!$AJ$8:$AJ$42+('Aug 10'!$G$8:$G$42=$T13)*'Aug 10'!$AK$8:$AK$42)*('Aug 10'!$Q$8:$Q$42+'Aug 10'!$R$8:$R$42))</f>
        <v>0</v>
      </c>
      <c r="AE32" s="0" t="n">
        <f aca="false">SUMPRODUCT((('Aug 11'!$F$8:$F$42=$T13)*'Aug 11'!$AJ$8:$AJ$42+('Aug 11'!$G$8:$G$42=$T13)*'Aug 11'!$AK$8:$AK$42)*('Aug 11'!$Q$8:$Q$42+'Aug 11'!$R$8:$R$42))</f>
        <v>0</v>
      </c>
      <c r="AF32" s="0" t="n">
        <f aca="false">SUMPRODUCT((('Aug 12'!$F$8:$F$42=$T13)*'Aug 12'!$AJ$8:$AJ$42+('Aug 12'!$G$8:$G$42=$T13)*'Aug 12'!$AK$8:$AK$42)*('Aug 12'!$Q$8:$Q$42+'Aug 12'!$R$8:$R$42))</f>
        <v>0</v>
      </c>
      <c r="AG32" s="0" t="n">
        <f aca="false">SUMPRODUCT((('Aug 13'!$F$8:$F$42=$T13)*'Aug 13'!$AJ$8:$AJ$42+('Aug 13'!$G$8:$G$42=$T13)*'Aug 13'!$AK$8:$AK$42)*('Aug 13'!$Q$8:$Q$42+'Aug 13'!$R$8:$R$42))</f>
        <v>0</v>
      </c>
      <c r="AH32" s="0" t="n">
        <f aca="false">SUMPRODUCT((('Aug 14'!$F$8:$F$42=$T13)*'Aug 14'!$AJ$8:$AJ$42+('Aug 14'!$G$8:$G$42=$T13)*'Aug 14'!$AK$8:$AK$42)*('Aug 14'!$Q$8:$Q$42+'Aug 14'!$R$8:$R$42))</f>
        <v>0</v>
      </c>
      <c r="AI32" s="0" t="n">
        <f aca="false">SUMPRODUCT((('Aug 15'!$F$8:$F$42=$T13)*'Aug 15'!$AJ$8:$AJ$42+('Aug 15'!$G$8:$G$42=$T13)*'Aug 15'!$AK$8:$AK$42)*('Aug 15'!$Q$8:$Q$42+'Aug 15'!$R$8:$R$42))</f>
        <v>0</v>
      </c>
      <c r="AJ32" s="0" t="n">
        <f aca="false">SUMPRODUCT((('Aug 16'!$F$8:$F$42=$T13)*'Aug 16'!$AJ$8:$AJ$42+('Aug 16'!$G$8:$G$42=$T13)*'Aug 16'!$AK$8:$AK$42)*('Aug 16'!$Q$8:$Q$42+'Aug 16'!$R$8:$R$42))</f>
        <v>0</v>
      </c>
      <c r="AK32" s="0" t="n">
        <f aca="false">SUMPRODUCT((('Aug 17'!$F$8:$F$42=$T13)*'Aug 17'!$AJ$8:$AJ$42+('Aug 17'!$G$8:$G$42=$T13)*'Aug 17'!$AK$8:$AK$42)*('Aug 17'!$Q$8:$Q$42+'Aug 17'!$R$8:$R$42))</f>
        <v>0</v>
      </c>
      <c r="AL32" s="0" t="n">
        <f aca="false">SUMPRODUCT((('Aug 18'!$F$8:$F$42=$T13)*'Aug 18'!$AJ$8:$AJ$42+('Aug 18'!$G$8:$G$42=$T13)*'Aug 18'!$AK$8:$AK$42)*('Aug 18'!$Q$8:$Q$42+'Aug 18'!$R$8:$R$42))</f>
        <v>0</v>
      </c>
      <c r="AM32" s="0" t="n">
        <f aca="false">SUMPRODUCT((('Aug 19'!$F$8:$F$42=$T13)*'Aug 19'!$AJ$8:$AJ$42+('Aug 19'!$G$8:$G$42=$T13)*'Aug 19'!$AK$8:$AK$42)*('Aug 19'!$Q$8:$Q$42+'Aug 19'!$R$8:$R$42))</f>
        <v>0</v>
      </c>
      <c r="AN32" s="0" t="n">
        <f aca="false">SUMPRODUCT((('Aug 20'!$F$8:$F$42=$T13)*'Aug 20'!$AJ$8:$AJ$42+('Aug 20'!$G$8:$G$42=$T13)*'Aug 20'!$AK$8:$AK$42)*('Aug 20'!$Q$8:$Q$42+'Aug 20'!$R$8:$R$42))</f>
        <v>0</v>
      </c>
      <c r="AO32" s="0" t="n">
        <f aca="false">SUMPRODUCT((('Aug 21'!$F$8:$F$42=$T13)*'Aug 21'!$AJ$8:$AJ$42+('Aug 21'!$G$8:$G$42=$T13)*'Aug 21'!$AK$8:$AK$42)*('Aug 21'!$Q$8:$Q$42+'Aug 21'!$R$8:$R$42))</f>
        <v>0</v>
      </c>
      <c r="AP32" s="0" t="n">
        <f aca="false">SUMPRODUCT((('Aug 22'!$F$8:$F$42=$T13)*'Aug 22'!$AJ$8:$AJ$42+('Aug 22'!$G$8:$G$42=$T13)*'Aug 22'!$AK$8:$AK$42)*('Aug 22'!$Q$8:$Q$42+'Aug 22'!$R$8:$R$42))</f>
        <v>0</v>
      </c>
      <c r="AQ32" s="0" t="n">
        <f aca="false">SUMPRODUCT((('Aug 23'!$F$8:$F$42=$T13)*'Aug 23'!$AJ$8:$AJ$42+('Aug 23'!$G$8:$G$42=$T13)*'Aug 23'!$AK$8:$AK$42)*('Aug 23'!$Q$8:$Q$42+'Aug 23'!$R$8:$R$42))</f>
        <v>0</v>
      </c>
      <c r="AR32" s="0" t="n">
        <f aca="false">SUMPRODUCT((('Aug 24'!$F$8:$F$42=$T13)*'Aug 24'!$AJ$8:$AJ$42+('Aug 24'!$G$8:$G$42=$T13)*'Aug 24'!$AK$8:$AK$42)*('Aug 24'!$Q$8:$Q$42+'Aug 24'!$R$8:$R$42))</f>
        <v>0</v>
      </c>
      <c r="AS32" s="0" t="n">
        <f aca="false">SUMPRODUCT((('Aug 25'!$F$8:$F$42=$T13)*'Aug 25'!$AJ$8:$AJ$42+('Aug 25'!$G$8:$G$42=$T13)*'Aug 25'!$AK$8:$AK$42)*('Aug 25'!$Q$8:$Q$42+'Aug 25'!$R$8:$R$42))</f>
        <v>0</v>
      </c>
      <c r="AT32" s="0" t="n">
        <f aca="false">SUMPRODUCT((('Aug 26'!$F$8:$F$42=$T13)*'Aug 26'!$AJ$8:$AJ$42+('Aug 26'!$G$8:$G$42=$T13)*'Aug 26'!$AK$8:$AK$42)*('Aug 26'!$Q$8:$Q$42+'Aug 26'!$R$8:$R$42))</f>
        <v>0</v>
      </c>
      <c r="AU32" s="0" t="n">
        <f aca="false">SUMPRODUCT((('Aug 27'!$F$8:$F$42=$T13)*'Aug 27'!$AJ$8:$AJ$42+('Aug 27'!$G$8:$G$42=$T13)*'Aug 27'!$AK$8:$AK$42)*('Aug 27'!$Q$8:$Q$42+'Aug 27'!$R$8:$R$42))</f>
        <v>0</v>
      </c>
      <c r="AV32" s="0" t="n">
        <f aca="false">SUMPRODUCT((('Aug 28'!$F$8:$F$42=$T13)*'Aug 28'!$AJ$8:$AJ$42+('Aug 28'!$G$8:$G$42=$T13)*'Aug 28'!$AK$8:$AK$42)*('Aug 28'!$Q$8:$Q$42+'Aug 28'!$R$8:$R$42))</f>
        <v>0</v>
      </c>
      <c r="AW32" s="0" t="n">
        <f aca="false">SUMPRODUCT((('Aug 29'!$F$8:$F$42=$T13)*'Aug 29'!$AJ$8:$AJ$42+('Aug 29'!$G$8:$G$42=$T13)*'Aug 29'!$AK$8:$AK$42)*('Aug 29'!$Q$8:$Q$42+'Aug 29'!$R$8:$R$42))</f>
        <v>0</v>
      </c>
      <c r="AX32" s="0" t="n">
        <f aca="false">SUMPRODUCT((('Aug 30'!$F$8:$F$42=$T13)*'Aug 30'!$AJ$8:$AJ$42+('Aug 30'!$G$8:$G$42=$T13)*'Aug 30'!$AK$8:$AK$42)*('Aug 30'!$Q$8:$Q$42+'Aug 30'!$R$8:$R$42))</f>
        <v>0</v>
      </c>
      <c r="AY32" s="0" t="n">
        <f aca="false">SUMPRODUCT((('Aug 31'!$F$8:$F$42=$T13)*'Aug 31'!$AJ$8:$AJ$42+('Aug 31'!$G$8:$G$42=$T13)*'Aug 31'!$AK$8:$AK$42)*('Aug 31'!$Q$8:$Q$42+'Aug 31'!$R$8:$R$42))</f>
        <v>0</v>
      </c>
    </row>
    <row r="33" customFormat="false" ht="15" hidden="false" customHeight="false" outlineLevel="0" collapsed="false">
      <c r="U33" s="0" t="n">
        <f aca="false">SUMPRODUCT((('Aug 1'!$F$8:$F$42=$T14)*'Aug 1'!$AJ$8:$AJ$42+('Aug 1'!$G$8:$G$42=$T14)*'Aug 1'!$AK$8:$AK$42)*('Aug 1'!$Q$8:$Q$42+'Aug 1'!$R$8:$R$42))</f>
        <v>0</v>
      </c>
      <c r="V33" s="0" t="n">
        <f aca="false">SUMPRODUCT((('Aug 2'!$F$8:$F$42=$T14)*'Aug 2'!$AJ$8:$AJ$42+('Aug 2'!$G$8:$G$42=$T14)*'Aug 2'!$AK$8:$AK$42)*('Aug 2'!$Q$8:$Q$42+'Aug 2'!$R$8:$R$42))</f>
        <v>0</v>
      </c>
      <c r="W33" s="0" t="n">
        <f aca="false">SUMPRODUCT((('Aug 3'!$F$8:$F$42=$T14)*'Aug 3'!$AJ$8:$AJ$42+('Aug 3'!$G$8:$G$42=$T14)*'Aug 3'!$AK$8:$AK$42)*('Aug 3'!$Q$8:$Q$42+'Aug 3'!$R$8:$R$42))</f>
        <v>0</v>
      </c>
      <c r="X33" s="0" t="n">
        <f aca="false">SUMPRODUCT((('Aug 4'!$F$8:$F$42=$T14)*'Aug 4'!$AJ$8:$AJ$42+('Aug 4'!$G$8:$G$42=$T14)*'Aug 4'!$AK$8:$AK$42)*('Aug 4'!$Q$8:$Q$42+'Aug 4'!$R$8:$R$42))</f>
        <v>0</v>
      </c>
      <c r="Y33" s="0" t="n">
        <f aca="false">SUMPRODUCT((('Aug 5'!$F$8:$F$42=$T14)*'Aug 5'!$AJ$8:$AJ$42+('Aug 5'!$G$8:$G$42=$T14)*'Aug 5'!$AK$8:$AK$42)*('Aug 5'!$Q$8:$Q$42+'Aug 5'!$R$8:$R$42))</f>
        <v>0</v>
      </c>
      <c r="Z33" s="0" t="n">
        <f aca="false">SUMPRODUCT((('Aug 6'!$F$8:$F$42=$T14)*'Aug 6'!$AJ$8:$AJ$42+('Aug 6'!$G$8:$G$42=$T14)*'Aug 6'!$AK$8:$AK$42)*('Aug 6'!$Q$8:$Q$42+'Aug 6'!$R$8:$R$42))</f>
        <v>0</v>
      </c>
      <c r="AA33" s="0" t="n">
        <f aca="false">SUMPRODUCT((('Aug 7'!$F$8:$F$42=$T14)*'Aug 7'!$AJ$8:$AJ$42+('Aug 7'!$G$8:$G$42=$T14)*'Aug 7'!$AK$8:$AK$42)*('Aug 7'!$Q$8:$Q$42+'Aug 7'!$R$8:$R$42))</f>
        <v>0</v>
      </c>
      <c r="AB33" s="0" t="n">
        <f aca="false">SUMPRODUCT((('Aug 8'!$F$8:$F$42=$T14)*'Aug 8'!$AJ$8:$AJ$42+('Aug 8'!$G$8:$G$42=$T14)*'Aug 8'!$AK$8:$AK$42)*('Aug 8'!$Q$8:$Q$42+'Aug 8'!$R$8:$R$42))</f>
        <v>0</v>
      </c>
      <c r="AC33" s="0" t="n">
        <f aca="false">SUMPRODUCT((('Aug 9'!$F$8:$F$42=$T14)*'Aug 9'!$AJ$8:$AJ$42+('Aug 9'!$G$8:$G$42=$T14)*'Aug 9'!$AK$8:$AK$42)*('Aug 9'!$Q$8:$Q$42+'Aug 9'!$R$8:$R$42))</f>
        <v>0</v>
      </c>
      <c r="AD33" s="0" t="n">
        <f aca="false">SUMPRODUCT((('Aug 10'!$F$8:$F$42=$T14)*'Aug 10'!$AJ$8:$AJ$42+('Aug 10'!$G$8:$G$42=$T14)*'Aug 10'!$AK$8:$AK$42)*('Aug 10'!$Q$8:$Q$42+'Aug 10'!$R$8:$R$42))</f>
        <v>0</v>
      </c>
      <c r="AE33" s="0" t="n">
        <f aca="false">SUMPRODUCT((('Aug 11'!$F$8:$F$42=$T14)*'Aug 11'!$AJ$8:$AJ$42+('Aug 11'!$G$8:$G$42=$T14)*'Aug 11'!$AK$8:$AK$42)*('Aug 11'!$Q$8:$Q$42+'Aug 11'!$R$8:$R$42))</f>
        <v>0</v>
      </c>
      <c r="AF33" s="0" t="n">
        <f aca="false">SUMPRODUCT((('Aug 12'!$F$8:$F$42=$T14)*'Aug 12'!$AJ$8:$AJ$42+('Aug 12'!$G$8:$G$42=$T14)*'Aug 12'!$AK$8:$AK$42)*('Aug 12'!$Q$8:$Q$42+'Aug 12'!$R$8:$R$42))</f>
        <v>0</v>
      </c>
      <c r="AG33" s="0" t="n">
        <f aca="false">SUMPRODUCT((('Aug 13'!$F$8:$F$42=$T14)*'Aug 13'!$AJ$8:$AJ$42+('Aug 13'!$G$8:$G$42=$T14)*'Aug 13'!$AK$8:$AK$42)*('Aug 13'!$Q$8:$Q$42+'Aug 13'!$R$8:$R$42))</f>
        <v>0</v>
      </c>
      <c r="AH33" s="0" t="n">
        <f aca="false">SUMPRODUCT((('Aug 14'!$F$8:$F$42=$T14)*'Aug 14'!$AJ$8:$AJ$42+('Aug 14'!$G$8:$G$42=$T14)*'Aug 14'!$AK$8:$AK$42)*('Aug 14'!$Q$8:$Q$42+'Aug 14'!$R$8:$R$42))</f>
        <v>0</v>
      </c>
      <c r="AI33" s="0" t="n">
        <f aca="false">SUMPRODUCT((('Aug 15'!$F$8:$F$42=$T14)*'Aug 15'!$AJ$8:$AJ$42+('Aug 15'!$G$8:$G$42=$T14)*'Aug 15'!$AK$8:$AK$42)*('Aug 15'!$Q$8:$Q$42+'Aug 15'!$R$8:$R$42))</f>
        <v>0</v>
      </c>
      <c r="AJ33" s="0" t="n">
        <f aca="false">SUMPRODUCT((('Aug 16'!$F$8:$F$42=$T14)*'Aug 16'!$AJ$8:$AJ$42+('Aug 16'!$G$8:$G$42=$T14)*'Aug 16'!$AK$8:$AK$42)*('Aug 16'!$Q$8:$Q$42+'Aug 16'!$R$8:$R$42))</f>
        <v>0</v>
      </c>
      <c r="AK33" s="0" t="n">
        <f aca="false">SUMPRODUCT((('Aug 17'!$F$8:$F$42=$T14)*'Aug 17'!$AJ$8:$AJ$42+('Aug 17'!$G$8:$G$42=$T14)*'Aug 17'!$AK$8:$AK$42)*('Aug 17'!$Q$8:$Q$42+'Aug 17'!$R$8:$R$42))</f>
        <v>0</v>
      </c>
      <c r="AL33" s="0" t="n">
        <f aca="false">SUMPRODUCT((('Aug 18'!$F$8:$F$42=$T14)*'Aug 18'!$AJ$8:$AJ$42+('Aug 18'!$G$8:$G$42=$T14)*'Aug 18'!$AK$8:$AK$42)*('Aug 18'!$Q$8:$Q$42+'Aug 18'!$R$8:$R$42))</f>
        <v>0</v>
      </c>
      <c r="AM33" s="0" t="n">
        <f aca="false">SUMPRODUCT((('Aug 19'!$F$8:$F$42=$T14)*'Aug 19'!$AJ$8:$AJ$42+('Aug 19'!$G$8:$G$42=$T14)*'Aug 19'!$AK$8:$AK$42)*('Aug 19'!$Q$8:$Q$42+'Aug 19'!$R$8:$R$42))</f>
        <v>0</v>
      </c>
      <c r="AN33" s="0" t="n">
        <f aca="false">SUMPRODUCT((('Aug 20'!$F$8:$F$42=$T14)*'Aug 20'!$AJ$8:$AJ$42+('Aug 20'!$G$8:$G$42=$T14)*'Aug 20'!$AK$8:$AK$42)*('Aug 20'!$Q$8:$Q$42+'Aug 20'!$R$8:$R$42))</f>
        <v>0</v>
      </c>
      <c r="AO33" s="0" t="n">
        <f aca="false">SUMPRODUCT((('Aug 21'!$F$8:$F$42=$T14)*'Aug 21'!$AJ$8:$AJ$42+('Aug 21'!$G$8:$G$42=$T14)*'Aug 21'!$AK$8:$AK$42)*('Aug 21'!$Q$8:$Q$42+'Aug 21'!$R$8:$R$42))</f>
        <v>0</v>
      </c>
      <c r="AP33" s="0" t="n">
        <f aca="false">SUMPRODUCT((('Aug 22'!$F$8:$F$42=$T14)*'Aug 22'!$AJ$8:$AJ$42+('Aug 22'!$G$8:$G$42=$T14)*'Aug 22'!$AK$8:$AK$42)*('Aug 22'!$Q$8:$Q$42+'Aug 22'!$R$8:$R$42))</f>
        <v>0</v>
      </c>
      <c r="AQ33" s="0" t="n">
        <f aca="false">SUMPRODUCT((('Aug 23'!$F$8:$F$42=$T14)*'Aug 23'!$AJ$8:$AJ$42+('Aug 23'!$G$8:$G$42=$T14)*'Aug 23'!$AK$8:$AK$42)*('Aug 23'!$Q$8:$Q$42+'Aug 23'!$R$8:$R$42))</f>
        <v>0</v>
      </c>
      <c r="AR33" s="0" t="n">
        <f aca="false">SUMPRODUCT((('Aug 24'!$F$8:$F$42=$T14)*'Aug 24'!$AJ$8:$AJ$42+('Aug 24'!$G$8:$G$42=$T14)*'Aug 24'!$AK$8:$AK$42)*('Aug 24'!$Q$8:$Q$42+'Aug 24'!$R$8:$R$42))</f>
        <v>0</v>
      </c>
      <c r="AS33" s="0" t="n">
        <f aca="false">SUMPRODUCT((('Aug 25'!$F$8:$F$42=$T14)*'Aug 25'!$AJ$8:$AJ$42+('Aug 25'!$G$8:$G$42=$T14)*'Aug 25'!$AK$8:$AK$42)*('Aug 25'!$Q$8:$Q$42+'Aug 25'!$R$8:$R$42))</f>
        <v>0</v>
      </c>
      <c r="AT33" s="0" t="n">
        <f aca="false">SUMPRODUCT((('Aug 26'!$F$8:$F$42=$T14)*'Aug 26'!$AJ$8:$AJ$42+('Aug 26'!$G$8:$G$42=$T14)*'Aug 26'!$AK$8:$AK$42)*('Aug 26'!$Q$8:$Q$42+'Aug 26'!$R$8:$R$42))</f>
        <v>0</v>
      </c>
      <c r="AU33" s="0" t="n">
        <f aca="false">SUMPRODUCT((('Aug 27'!$F$8:$F$42=$T14)*'Aug 27'!$AJ$8:$AJ$42+('Aug 27'!$G$8:$G$42=$T14)*'Aug 27'!$AK$8:$AK$42)*('Aug 27'!$Q$8:$Q$42+'Aug 27'!$R$8:$R$42))</f>
        <v>0</v>
      </c>
      <c r="AV33" s="0" t="n">
        <f aca="false">SUMPRODUCT((('Aug 28'!$F$8:$F$42=$T14)*'Aug 28'!$AJ$8:$AJ$42+('Aug 28'!$G$8:$G$42=$T14)*'Aug 28'!$AK$8:$AK$42)*('Aug 28'!$Q$8:$Q$42+'Aug 28'!$R$8:$R$42))</f>
        <v>0</v>
      </c>
      <c r="AW33" s="0" t="n">
        <f aca="false">SUMPRODUCT((('Aug 29'!$F$8:$F$42=$T14)*'Aug 29'!$AJ$8:$AJ$42+('Aug 29'!$G$8:$G$42=$T14)*'Aug 29'!$AK$8:$AK$42)*('Aug 29'!$Q$8:$Q$42+'Aug 29'!$R$8:$R$42))</f>
        <v>0</v>
      </c>
      <c r="AX33" s="0" t="n">
        <f aca="false">SUMPRODUCT((('Aug 30'!$F$8:$F$42=$T14)*'Aug 30'!$AJ$8:$AJ$42+('Aug 30'!$G$8:$G$42=$T14)*'Aug 30'!$AK$8:$AK$42)*('Aug 30'!$Q$8:$Q$42+'Aug 30'!$R$8:$R$42))</f>
        <v>0</v>
      </c>
      <c r="AY33" s="0" t="n">
        <f aca="false">SUMPRODUCT((('Aug 31'!$F$8:$F$42=$T14)*'Aug 31'!$AJ$8:$AJ$42+('Aug 31'!$G$8:$G$42=$T14)*'Aug 31'!$AK$8:$AK$42)*('Aug 31'!$Q$8:$Q$42+'Aug 31'!$R$8:$R$42))</f>
        <v>0</v>
      </c>
    </row>
    <row r="34" customFormat="false" ht="15" hidden="false" customHeight="false" outlineLevel="0" collapsed="false">
      <c r="U34" s="0" t="n">
        <f aca="false">SUMPRODUCT((('Aug 1'!$F$8:$F$42=$T15)*'Aug 1'!$AJ$8:$AJ$42+('Aug 1'!$G$8:$G$42=$T15)*'Aug 1'!$AK$8:$AK$42)*('Aug 1'!$Q$8:$Q$42+'Aug 1'!$R$8:$R$42))</f>
        <v>0</v>
      </c>
      <c r="V34" s="0" t="n">
        <f aca="false">SUMPRODUCT((('Aug 2'!$F$8:$F$42=$T15)*'Aug 2'!$AJ$8:$AJ$42+('Aug 2'!$G$8:$G$42=$T15)*'Aug 2'!$AK$8:$AK$42)*('Aug 2'!$Q$8:$Q$42+'Aug 2'!$R$8:$R$42))</f>
        <v>0</v>
      </c>
      <c r="W34" s="0" t="n">
        <f aca="false">SUMPRODUCT((('Aug 3'!$F$8:$F$42=$T15)*'Aug 3'!$AJ$8:$AJ$42+('Aug 3'!$G$8:$G$42=$T15)*'Aug 3'!$AK$8:$AK$42)*('Aug 3'!$Q$8:$Q$42+'Aug 3'!$R$8:$R$42))</f>
        <v>0</v>
      </c>
      <c r="X34" s="0" t="n">
        <f aca="false">SUMPRODUCT((('Aug 4'!$F$8:$F$42=$T15)*'Aug 4'!$AJ$8:$AJ$42+('Aug 4'!$G$8:$G$42=$T15)*'Aug 4'!$AK$8:$AK$42)*('Aug 4'!$Q$8:$Q$42+'Aug 4'!$R$8:$R$42))</f>
        <v>0</v>
      </c>
      <c r="Y34" s="0" t="n">
        <f aca="false">SUMPRODUCT((('Aug 5'!$F$8:$F$42=$T15)*'Aug 5'!$AJ$8:$AJ$42+('Aug 5'!$G$8:$G$42=$T15)*'Aug 5'!$AK$8:$AK$42)*('Aug 5'!$Q$8:$Q$42+'Aug 5'!$R$8:$R$42))</f>
        <v>0</v>
      </c>
      <c r="Z34" s="0" t="n">
        <f aca="false">SUMPRODUCT((('Aug 6'!$F$8:$F$42=$T15)*'Aug 6'!$AJ$8:$AJ$42+('Aug 6'!$G$8:$G$42=$T15)*'Aug 6'!$AK$8:$AK$42)*('Aug 6'!$Q$8:$Q$42+'Aug 6'!$R$8:$R$42))</f>
        <v>0</v>
      </c>
      <c r="AA34" s="0" t="n">
        <f aca="false">SUMPRODUCT((('Aug 7'!$F$8:$F$42=$T15)*'Aug 7'!$AJ$8:$AJ$42+('Aug 7'!$G$8:$G$42=$T15)*'Aug 7'!$AK$8:$AK$42)*('Aug 7'!$Q$8:$Q$42+'Aug 7'!$R$8:$R$42))</f>
        <v>0</v>
      </c>
      <c r="AB34" s="0" t="n">
        <f aca="false">SUMPRODUCT((('Aug 8'!$F$8:$F$42=$T15)*'Aug 8'!$AJ$8:$AJ$42+('Aug 8'!$G$8:$G$42=$T15)*'Aug 8'!$AK$8:$AK$42)*('Aug 8'!$Q$8:$Q$42+'Aug 8'!$R$8:$R$42))</f>
        <v>0</v>
      </c>
      <c r="AC34" s="0" t="n">
        <f aca="false">SUMPRODUCT((('Aug 9'!$F$8:$F$42=$T15)*'Aug 9'!$AJ$8:$AJ$42+('Aug 9'!$G$8:$G$42=$T15)*'Aug 9'!$AK$8:$AK$42)*('Aug 9'!$Q$8:$Q$42+'Aug 9'!$R$8:$R$42))</f>
        <v>0</v>
      </c>
      <c r="AD34" s="0" t="n">
        <f aca="false">SUMPRODUCT((('Aug 10'!$F$8:$F$42=$T15)*'Aug 10'!$AJ$8:$AJ$42+('Aug 10'!$G$8:$G$42=$T15)*'Aug 10'!$AK$8:$AK$42)*('Aug 10'!$Q$8:$Q$42+'Aug 10'!$R$8:$R$42))</f>
        <v>0</v>
      </c>
      <c r="AE34" s="0" t="n">
        <f aca="false">SUMPRODUCT((('Aug 11'!$F$8:$F$42=$T15)*'Aug 11'!$AJ$8:$AJ$42+('Aug 11'!$G$8:$G$42=$T15)*'Aug 11'!$AK$8:$AK$42)*('Aug 11'!$Q$8:$Q$42+'Aug 11'!$R$8:$R$42))</f>
        <v>0</v>
      </c>
      <c r="AF34" s="0" t="n">
        <f aca="false">SUMPRODUCT((('Aug 12'!$F$8:$F$42=$T15)*'Aug 12'!$AJ$8:$AJ$42+('Aug 12'!$G$8:$G$42=$T15)*'Aug 12'!$AK$8:$AK$42)*('Aug 12'!$Q$8:$Q$42+'Aug 12'!$R$8:$R$42))</f>
        <v>0</v>
      </c>
      <c r="AG34" s="0" t="n">
        <f aca="false">SUMPRODUCT((('Aug 13'!$F$8:$F$42=$T15)*'Aug 13'!$AJ$8:$AJ$42+('Aug 13'!$G$8:$G$42=$T15)*'Aug 13'!$AK$8:$AK$42)*('Aug 13'!$Q$8:$Q$42+'Aug 13'!$R$8:$R$42))</f>
        <v>0</v>
      </c>
      <c r="AH34" s="0" t="n">
        <f aca="false">SUMPRODUCT((('Aug 14'!$F$8:$F$42=$T15)*'Aug 14'!$AJ$8:$AJ$42+('Aug 14'!$G$8:$G$42=$T15)*'Aug 14'!$AK$8:$AK$42)*('Aug 14'!$Q$8:$Q$42+'Aug 14'!$R$8:$R$42))</f>
        <v>0</v>
      </c>
      <c r="AI34" s="0" t="n">
        <f aca="false">SUMPRODUCT((('Aug 15'!$F$8:$F$42=$T15)*'Aug 15'!$AJ$8:$AJ$42+('Aug 15'!$G$8:$G$42=$T15)*'Aug 15'!$AK$8:$AK$42)*('Aug 15'!$Q$8:$Q$42+'Aug 15'!$R$8:$R$42))</f>
        <v>0</v>
      </c>
      <c r="AJ34" s="0" t="n">
        <f aca="false">SUMPRODUCT((('Aug 16'!$F$8:$F$42=$T15)*'Aug 16'!$AJ$8:$AJ$42+('Aug 16'!$G$8:$G$42=$T15)*'Aug 16'!$AK$8:$AK$42)*('Aug 16'!$Q$8:$Q$42+'Aug 16'!$R$8:$R$42))</f>
        <v>0</v>
      </c>
      <c r="AK34" s="0" t="n">
        <f aca="false">SUMPRODUCT((('Aug 17'!$F$8:$F$42=$T15)*'Aug 17'!$AJ$8:$AJ$42+('Aug 17'!$G$8:$G$42=$T15)*'Aug 17'!$AK$8:$AK$42)*('Aug 17'!$Q$8:$Q$42+'Aug 17'!$R$8:$R$42))</f>
        <v>0</v>
      </c>
      <c r="AL34" s="0" t="n">
        <f aca="false">SUMPRODUCT((('Aug 18'!$F$8:$F$42=$T15)*'Aug 18'!$AJ$8:$AJ$42+('Aug 18'!$G$8:$G$42=$T15)*'Aug 18'!$AK$8:$AK$42)*('Aug 18'!$Q$8:$Q$42+'Aug 18'!$R$8:$R$42))</f>
        <v>0</v>
      </c>
      <c r="AM34" s="0" t="n">
        <f aca="false">SUMPRODUCT((('Aug 19'!$F$8:$F$42=$T15)*'Aug 19'!$AJ$8:$AJ$42+('Aug 19'!$G$8:$G$42=$T15)*'Aug 19'!$AK$8:$AK$42)*('Aug 19'!$Q$8:$Q$42+'Aug 19'!$R$8:$R$42))</f>
        <v>0</v>
      </c>
      <c r="AN34" s="0" t="n">
        <f aca="false">SUMPRODUCT((('Aug 20'!$F$8:$F$42=$T15)*'Aug 20'!$AJ$8:$AJ$42+('Aug 20'!$G$8:$G$42=$T15)*'Aug 20'!$AK$8:$AK$42)*('Aug 20'!$Q$8:$Q$42+'Aug 20'!$R$8:$R$42))</f>
        <v>0</v>
      </c>
      <c r="AO34" s="0" t="n">
        <f aca="false">SUMPRODUCT((('Aug 21'!$F$8:$F$42=$T15)*'Aug 21'!$AJ$8:$AJ$42+('Aug 21'!$G$8:$G$42=$T15)*'Aug 21'!$AK$8:$AK$42)*('Aug 21'!$Q$8:$Q$42+'Aug 21'!$R$8:$R$42))</f>
        <v>0</v>
      </c>
      <c r="AP34" s="0" t="n">
        <f aca="false">SUMPRODUCT((('Aug 22'!$F$8:$F$42=$T15)*'Aug 22'!$AJ$8:$AJ$42+('Aug 22'!$G$8:$G$42=$T15)*'Aug 22'!$AK$8:$AK$42)*('Aug 22'!$Q$8:$Q$42+'Aug 22'!$R$8:$R$42))</f>
        <v>0</v>
      </c>
      <c r="AQ34" s="0" t="n">
        <f aca="false">SUMPRODUCT((('Aug 23'!$F$8:$F$42=$T15)*'Aug 23'!$AJ$8:$AJ$42+('Aug 23'!$G$8:$G$42=$T15)*'Aug 23'!$AK$8:$AK$42)*('Aug 23'!$Q$8:$Q$42+'Aug 23'!$R$8:$R$42))</f>
        <v>0</v>
      </c>
      <c r="AR34" s="0" t="n">
        <f aca="false">SUMPRODUCT((('Aug 24'!$F$8:$F$42=$T15)*'Aug 24'!$AJ$8:$AJ$42+('Aug 24'!$G$8:$G$42=$T15)*'Aug 24'!$AK$8:$AK$42)*('Aug 24'!$Q$8:$Q$42+'Aug 24'!$R$8:$R$42))</f>
        <v>0</v>
      </c>
      <c r="AS34" s="0" t="n">
        <f aca="false">SUMPRODUCT((('Aug 25'!$F$8:$F$42=$T15)*'Aug 25'!$AJ$8:$AJ$42+('Aug 25'!$G$8:$G$42=$T15)*'Aug 25'!$AK$8:$AK$42)*('Aug 25'!$Q$8:$Q$42+'Aug 25'!$R$8:$R$42))</f>
        <v>0</v>
      </c>
      <c r="AT34" s="0" t="n">
        <f aca="false">SUMPRODUCT((('Aug 26'!$F$8:$F$42=$T15)*'Aug 26'!$AJ$8:$AJ$42+('Aug 26'!$G$8:$G$42=$T15)*'Aug 26'!$AK$8:$AK$42)*('Aug 26'!$Q$8:$Q$42+'Aug 26'!$R$8:$R$42))</f>
        <v>0</v>
      </c>
      <c r="AU34" s="0" t="n">
        <f aca="false">SUMPRODUCT((('Aug 27'!$F$8:$F$42=$T15)*'Aug 27'!$AJ$8:$AJ$42+('Aug 27'!$G$8:$G$42=$T15)*'Aug 27'!$AK$8:$AK$42)*('Aug 27'!$Q$8:$Q$42+'Aug 27'!$R$8:$R$42))</f>
        <v>0</v>
      </c>
      <c r="AV34" s="0" t="n">
        <f aca="false">SUMPRODUCT((('Aug 28'!$F$8:$F$42=$T15)*'Aug 28'!$AJ$8:$AJ$42+('Aug 28'!$G$8:$G$42=$T15)*'Aug 28'!$AK$8:$AK$42)*('Aug 28'!$Q$8:$Q$42+'Aug 28'!$R$8:$R$42))</f>
        <v>0</v>
      </c>
      <c r="AW34" s="0" t="n">
        <f aca="false">SUMPRODUCT((('Aug 29'!$F$8:$F$42=$T15)*'Aug 29'!$AJ$8:$AJ$42+('Aug 29'!$G$8:$G$42=$T15)*'Aug 29'!$AK$8:$AK$42)*('Aug 29'!$Q$8:$Q$42+'Aug 29'!$R$8:$R$42))</f>
        <v>0</v>
      </c>
      <c r="AX34" s="0" t="n">
        <f aca="false">SUMPRODUCT((('Aug 30'!$F$8:$F$42=$T15)*'Aug 30'!$AJ$8:$AJ$42+('Aug 30'!$G$8:$G$42=$T15)*'Aug 30'!$AK$8:$AK$42)*('Aug 30'!$Q$8:$Q$42+'Aug 30'!$R$8:$R$42))</f>
        <v>0</v>
      </c>
      <c r="AY34" s="0" t="n">
        <f aca="false">SUMPRODUCT((('Aug 31'!$F$8:$F$42=$T15)*'Aug 31'!$AJ$8:$AJ$42+('Aug 31'!$G$8:$G$42=$T15)*'Aug 31'!$AK$8:$AK$42)*('Aug 31'!$Q$8:$Q$42+'Aug 31'!$R$8:$R$42))</f>
        <v>0</v>
      </c>
    </row>
    <row r="35" customFormat="false" ht="15" hidden="false" customHeight="false" outlineLevel="0" collapsed="false">
      <c r="U35" s="0" t="n">
        <f aca="false">SUMPRODUCT((('Aug 1'!$F$8:$F$42=$T16)*'Aug 1'!$AJ$8:$AJ$42+('Aug 1'!$G$8:$G$42=$T16)*'Aug 1'!$AK$8:$AK$42)*('Aug 1'!$Q$8:$Q$42+'Aug 1'!$R$8:$R$42))</f>
        <v>0</v>
      </c>
      <c r="V35" s="0" t="n">
        <f aca="false">SUMPRODUCT((('Aug 2'!$F$8:$F$42=$T16)*'Aug 2'!$AJ$8:$AJ$42+('Aug 2'!$G$8:$G$42=$T16)*'Aug 2'!$AK$8:$AK$42)*('Aug 2'!$Q$8:$Q$42+'Aug 2'!$R$8:$R$42))</f>
        <v>0</v>
      </c>
      <c r="W35" s="0" t="n">
        <f aca="false">SUMPRODUCT((('Aug 3'!$F$8:$F$42=$T16)*'Aug 3'!$AJ$8:$AJ$42+('Aug 3'!$G$8:$G$42=$T16)*'Aug 3'!$AK$8:$AK$42)*('Aug 3'!$Q$8:$Q$42+'Aug 3'!$R$8:$R$42))</f>
        <v>0</v>
      </c>
      <c r="X35" s="0" t="n">
        <f aca="false">SUMPRODUCT((('Aug 4'!$F$8:$F$42=$T16)*'Aug 4'!$AJ$8:$AJ$42+('Aug 4'!$G$8:$G$42=$T16)*'Aug 4'!$AK$8:$AK$42)*('Aug 4'!$Q$8:$Q$42+'Aug 4'!$R$8:$R$42))</f>
        <v>0</v>
      </c>
      <c r="Y35" s="0" t="n">
        <f aca="false">SUMPRODUCT((('Aug 5'!$F$8:$F$42=$T16)*'Aug 5'!$AJ$8:$AJ$42+('Aug 5'!$G$8:$G$42=$T16)*'Aug 5'!$AK$8:$AK$42)*('Aug 5'!$Q$8:$Q$42+'Aug 5'!$R$8:$R$42))</f>
        <v>0</v>
      </c>
      <c r="Z35" s="0" t="n">
        <f aca="false">SUMPRODUCT((('Aug 6'!$F$8:$F$42=$T16)*'Aug 6'!$AJ$8:$AJ$42+('Aug 6'!$G$8:$G$42=$T16)*'Aug 6'!$AK$8:$AK$42)*('Aug 6'!$Q$8:$Q$42+'Aug 6'!$R$8:$R$42))</f>
        <v>0</v>
      </c>
      <c r="AA35" s="0" t="n">
        <f aca="false">SUMPRODUCT((('Aug 7'!$F$8:$F$42=$T16)*'Aug 7'!$AJ$8:$AJ$42+('Aug 7'!$G$8:$G$42=$T16)*'Aug 7'!$AK$8:$AK$42)*('Aug 7'!$Q$8:$Q$42+'Aug 7'!$R$8:$R$42))</f>
        <v>0</v>
      </c>
      <c r="AB35" s="0" t="n">
        <f aca="false">SUMPRODUCT((('Aug 8'!$F$8:$F$42=$T16)*'Aug 8'!$AJ$8:$AJ$42+('Aug 8'!$G$8:$G$42=$T16)*'Aug 8'!$AK$8:$AK$42)*('Aug 8'!$Q$8:$Q$42+'Aug 8'!$R$8:$R$42))</f>
        <v>0</v>
      </c>
      <c r="AC35" s="0" t="n">
        <f aca="false">SUMPRODUCT((('Aug 9'!$F$8:$F$42=$T16)*'Aug 9'!$AJ$8:$AJ$42+('Aug 9'!$G$8:$G$42=$T16)*'Aug 9'!$AK$8:$AK$42)*('Aug 9'!$Q$8:$Q$42+'Aug 9'!$R$8:$R$42))</f>
        <v>0</v>
      </c>
      <c r="AD35" s="0" t="n">
        <f aca="false">SUMPRODUCT((('Aug 10'!$F$8:$F$42=$T16)*'Aug 10'!$AJ$8:$AJ$42+('Aug 10'!$G$8:$G$42=$T16)*'Aug 10'!$AK$8:$AK$42)*('Aug 10'!$Q$8:$Q$42+'Aug 10'!$R$8:$R$42))</f>
        <v>0</v>
      </c>
      <c r="AE35" s="0" t="n">
        <f aca="false">SUMPRODUCT((('Aug 11'!$F$8:$F$42=$T16)*'Aug 11'!$AJ$8:$AJ$42+('Aug 11'!$G$8:$G$42=$T16)*'Aug 11'!$AK$8:$AK$42)*('Aug 11'!$Q$8:$Q$42+'Aug 11'!$R$8:$R$42))</f>
        <v>0</v>
      </c>
      <c r="AF35" s="0" t="n">
        <f aca="false">SUMPRODUCT((('Aug 12'!$F$8:$F$42=$T16)*'Aug 12'!$AJ$8:$AJ$42+('Aug 12'!$G$8:$G$42=$T16)*'Aug 12'!$AK$8:$AK$42)*('Aug 12'!$Q$8:$Q$42+'Aug 12'!$R$8:$R$42))</f>
        <v>0</v>
      </c>
      <c r="AG35" s="0" t="n">
        <f aca="false">SUMPRODUCT((('Aug 13'!$F$8:$F$42=$T16)*'Aug 13'!$AJ$8:$AJ$42+('Aug 13'!$G$8:$G$42=$T16)*'Aug 13'!$AK$8:$AK$42)*('Aug 13'!$Q$8:$Q$42+'Aug 13'!$R$8:$R$42))</f>
        <v>0</v>
      </c>
      <c r="AH35" s="0" t="n">
        <f aca="false">SUMPRODUCT((('Aug 14'!$F$8:$F$42=$T16)*'Aug 14'!$AJ$8:$AJ$42+('Aug 14'!$G$8:$G$42=$T16)*'Aug 14'!$AK$8:$AK$42)*('Aug 14'!$Q$8:$Q$42+'Aug 14'!$R$8:$R$42))</f>
        <v>0</v>
      </c>
      <c r="AI35" s="0" t="n">
        <f aca="false">SUMPRODUCT((('Aug 15'!$F$8:$F$42=$T16)*'Aug 15'!$AJ$8:$AJ$42+('Aug 15'!$G$8:$G$42=$T16)*'Aug 15'!$AK$8:$AK$42)*('Aug 15'!$Q$8:$Q$42+'Aug 15'!$R$8:$R$42))</f>
        <v>0</v>
      </c>
      <c r="AJ35" s="0" t="n">
        <f aca="false">SUMPRODUCT((('Aug 16'!$F$8:$F$42=$T16)*'Aug 16'!$AJ$8:$AJ$42+('Aug 16'!$G$8:$G$42=$T16)*'Aug 16'!$AK$8:$AK$42)*('Aug 16'!$Q$8:$Q$42+'Aug 16'!$R$8:$R$42))</f>
        <v>0</v>
      </c>
      <c r="AK35" s="0" t="n">
        <f aca="false">SUMPRODUCT((('Aug 17'!$F$8:$F$42=$T16)*'Aug 17'!$AJ$8:$AJ$42+('Aug 17'!$G$8:$G$42=$T16)*'Aug 17'!$AK$8:$AK$42)*('Aug 17'!$Q$8:$Q$42+'Aug 17'!$R$8:$R$42))</f>
        <v>0</v>
      </c>
      <c r="AL35" s="0" t="n">
        <f aca="false">SUMPRODUCT((('Aug 18'!$F$8:$F$42=$T16)*'Aug 18'!$AJ$8:$AJ$42+('Aug 18'!$G$8:$G$42=$T16)*'Aug 18'!$AK$8:$AK$42)*('Aug 18'!$Q$8:$Q$42+'Aug 18'!$R$8:$R$42))</f>
        <v>0</v>
      </c>
      <c r="AM35" s="0" t="n">
        <f aca="false">SUMPRODUCT((('Aug 19'!$F$8:$F$42=$T16)*'Aug 19'!$AJ$8:$AJ$42+('Aug 19'!$G$8:$G$42=$T16)*'Aug 19'!$AK$8:$AK$42)*('Aug 19'!$Q$8:$Q$42+'Aug 19'!$R$8:$R$42))</f>
        <v>0</v>
      </c>
      <c r="AN35" s="0" t="n">
        <f aca="false">SUMPRODUCT((('Aug 20'!$F$8:$F$42=$T16)*'Aug 20'!$AJ$8:$AJ$42+('Aug 20'!$G$8:$G$42=$T16)*'Aug 20'!$AK$8:$AK$42)*('Aug 20'!$Q$8:$Q$42+'Aug 20'!$R$8:$R$42))</f>
        <v>0</v>
      </c>
      <c r="AO35" s="0" t="n">
        <f aca="false">SUMPRODUCT((('Aug 21'!$F$8:$F$42=$T16)*'Aug 21'!$AJ$8:$AJ$42+('Aug 21'!$G$8:$G$42=$T16)*'Aug 21'!$AK$8:$AK$42)*('Aug 21'!$Q$8:$Q$42+'Aug 21'!$R$8:$R$42))</f>
        <v>0</v>
      </c>
      <c r="AP35" s="0" t="n">
        <f aca="false">SUMPRODUCT((('Aug 22'!$F$8:$F$42=$T16)*'Aug 22'!$AJ$8:$AJ$42+('Aug 22'!$G$8:$G$42=$T16)*'Aug 22'!$AK$8:$AK$42)*('Aug 22'!$Q$8:$Q$42+'Aug 22'!$R$8:$R$42))</f>
        <v>0</v>
      </c>
      <c r="AQ35" s="0" t="n">
        <f aca="false">SUMPRODUCT((('Aug 23'!$F$8:$F$42=$T16)*'Aug 23'!$AJ$8:$AJ$42+('Aug 23'!$G$8:$G$42=$T16)*'Aug 23'!$AK$8:$AK$42)*('Aug 23'!$Q$8:$Q$42+'Aug 23'!$R$8:$R$42))</f>
        <v>0</v>
      </c>
      <c r="AR35" s="0" t="n">
        <f aca="false">SUMPRODUCT((('Aug 24'!$F$8:$F$42=$T16)*'Aug 24'!$AJ$8:$AJ$42+('Aug 24'!$G$8:$G$42=$T16)*'Aug 24'!$AK$8:$AK$42)*('Aug 24'!$Q$8:$Q$42+'Aug 24'!$R$8:$R$42))</f>
        <v>0</v>
      </c>
      <c r="AS35" s="0" t="n">
        <f aca="false">SUMPRODUCT((('Aug 25'!$F$8:$F$42=$T16)*'Aug 25'!$AJ$8:$AJ$42+('Aug 25'!$G$8:$G$42=$T16)*'Aug 25'!$AK$8:$AK$42)*('Aug 25'!$Q$8:$Q$42+'Aug 25'!$R$8:$R$42))</f>
        <v>0</v>
      </c>
      <c r="AT35" s="0" t="n">
        <f aca="false">SUMPRODUCT((('Aug 26'!$F$8:$F$42=$T16)*'Aug 26'!$AJ$8:$AJ$42+('Aug 26'!$G$8:$G$42=$T16)*'Aug 26'!$AK$8:$AK$42)*('Aug 26'!$Q$8:$Q$42+'Aug 26'!$R$8:$R$42))</f>
        <v>0</v>
      </c>
      <c r="AU35" s="0" t="n">
        <f aca="false">SUMPRODUCT((('Aug 27'!$F$8:$F$42=$T16)*'Aug 27'!$AJ$8:$AJ$42+('Aug 27'!$G$8:$G$42=$T16)*'Aug 27'!$AK$8:$AK$42)*('Aug 27'!$Q$8:$Q$42+'Aug 27'!$R$8:$R$42))</f>
        <v>0</v>
      </c>
      <c r="AV35" s="0" t="n">
        <f aca="false">SUMPRODUCT((('Aug 28'!$F$8:$F$42=$T16)*'Aug 28'!$AJ$8:$AJ$42+('Aug 28'!$G$8:$G$42=$T16)*'Aug 28'!$AK$8:$AK$42)*('Aug 28'!$Q$8:$Q$42+'Aug 28'!$R$8:$R$42))</f>
        <v>0</v>
      </c>
      <c r="AW35" s="0" t="n">
        <f aca="false">SUMPRODUCT((('Aug 29'!$F$8:$F$42=$T16)*'Aug 29'!$AJ$8:$AJ$42+('Aug 29'!$G$8:$G$42=$T16)*'Aug 29'!$AK$8:$AK$42)*('Aug 29'!$Q$8:$Q$42+'Aug 29'!$R$8:$R$42))</f>
        <v>0</v>
      </c>
      <c r="AX35" s="0" t="n">
        <f aca="false">SUMPRODUCT((('Aug 30'!$F$8:$F$42=$T16)*'Aug 30'!$AJ$8:$AJ$42+('Aug 30'!$G$8:$G$42=$T16)*'Aug 30'!$AK$8:$AK$42)*('Aug 30'!$Q$8:$Q$42+'Aug 30'!$R$8:$R$42))</f>
        <v>0</v>
      </c>
      <c r="AY35" s="0" t="n">
        <f aca="false">SUMPRODUCT((('Aug 31'!$F$8:$F$42=$T16)*'Aug 31'!$AJ$8:$AJ$42+('Aug 31'!$G$8:$G$42=$T16)*'Aug 31'!$AK$8:$AK$42)*('Aug 31'!$Q$8:$Q$42+'Aug 31'!$R$8:$R$42))</f>
        <v>0</v>
      </c>
    </row>
    <row r="36" customFormat="false" ht="15" hidden="false" customHeight="false" outlineLevel="0" collapsed="false">
      <c r="U36" s="0" t="n">
        <f aca="false">SUMPRODUCT((('Aug 1'!$F$8:$F$42=$T17)*'Aug 1'!$AJ$8:$AJ$42+('Aug 1'!$G$8:$G$42=$T17)*'Aug 1'!$AK$8:$AK$42)*('Aug 1'!$Q$8:$Q$42+'Aug 1'!$R$8:$R$42))</f>
        <v>0</v>
      </c>
      <c r="V36" s="0" t="n">
        <f aca="false">SUMPRODUCT((('Aug 2'!$F$8:$F$42=$T17)*'Aug 2'!$AJ$8:$AJ$42+('Aug 2'!$G$8:$G$42=$T17)*'Aug 2'!$AK$8:$AK$42)*('Aug 2'!$Q$8:$Q$42+'Aug 2'!$R$8:$R$42))</f>
        <v>0</v>
      </c>
      <c r="W36" s="0" t="n">
        <f aca="false">SUMPRODUCT((('Aug 3'!$F$8:$F$42=$T17)*'Aug 3'!$AJ$8:$AJ$42+('Aug 3'!$G$8:$G$42=$T17)*'Aug 3'!$AK$8:$AK$42)*('Aug 3'!$Q$8:$Q$42+'Aug 3'!$R$8:$R$42))</f>
        <v>0</v>
      </c>
      <c r="X36" s="0" t="n">
        <f aca="false">SUMPRODUCT((('Aug 4'!$F$8:$F$42=$T17)*'Aug 4'!$AJ$8:$AJ$42+('Aug 4'!$G$8:$G$42=$T17)*'Aug 4'!$AK$8:$AK$42)*('Aug 4'!$Q$8:$Q$42+'Aug 4'!$R$8:$R$42))</f>
        <v>0</v>
      </c>
      <c r="Y36" s="0" t="n">
        <f aca="false">SUMPRODUCT((('Aug 5'!$F$8:$F$42=$T17)*'Aug 5'!$AJ$8:$AJ$42+('Aug 5'!$G$8:$G$42=$T17)*'Aug 5'!$AK$8:$AK$42)*('Aug 5'!$Q$8:$Q$42+'Aug 5'!$R$8:$R$42))</f>
        <v>0</v>
      </c>
      <c r="Z36" s="0" t="n">
        <f aca="false">SUMPRODUCT((('Aug 6'!$F$8:$F$42=$T17)*'Aug 6'!$AJ$8:$AJ$42+('Aug 6'!$G$8:$G$42=$T17)*'Aug 6'!$AK$8:$AK$42)*('Aug 6'!$Q$8:$Q$42+'Aug 6'!$R$8:$R$42))</f>
        <v>0</v>
      </c>
      <c r="AA36" s="0" t="n">
        <f aca="false">SUMPRODUCT((('Aug 7'!$F$8:$F$42=$T17)*'Aug 7'!$AJ$8:$AJ$42+('Aug 7'!$G$8:$G$42=$T17)*'Aug 7'!$AK$8:$AK$42)*('Aug 7'!$Q$8:$Q$42+'Aug 7'!$R$8:$R$42))</f>
        <v>0</v>
      </c>
      <c r="AB36" s="0" t="n">
        <f aca="false">SUMPRODUCT((('Aug 8'!$F$8:$F$42=$T17)*'Aug 8'!$AJ$8:$AJ$42+('Aug 8'!$G$8:$G$42=$T17)*'Aug 8'!$AK$8:$AK$42)*('Aug 8'!$Q$8:$Q$42+'Aug 8'!$R$8:$R$42))</f>
        <v>0</v>
      </c>
      <c r="AC36" s="0" t="n">
        <f aca="false">SUMPRODUCT((('Aug 9'!$F$8:$F$42=$T17)*'Aug 9'!$AJ$8:$AJ$42+('Aug 9'!$G$8:$G$42=$T17)*'Aug 9'!$AK$8:$AK$42)*('Aug 9'!$Q$8:$Q$42+'Aug 9'!$R$8:$R$42))</f>
        <v>0</v>
      </c>
      <c r="AD36" s="0" t="n">
        <f aca="false">SUMPRODUCT((('Aug 10'!$F$8:$F$42=$T17)*'Aug 10'!$AJ$8:$AJ$42+('Aug 10'!$G$8:$G$42=$T17)*'Aug 10'!$AK$8:$AK$42)*('Aug 10'!$Q$8:$Q$42+'Aug 10'!$R$8:$R$42))</f>
        <v>0</v>
      </c>
      <c r="AE36" s="0" t="n">
        <f aca="false">SUMPRODUCT((('Aug 11'!$F$8:$F$42=$T17)*'Aug 11'!$AJ$8:$AJ$42+('Aug 11'!$G$8:$G$42=$T17)*'Aug 11'!$AK$8:$AK$42)*('Aug 11'!$Q$8:$Q$42+'Aug 11'!$R$8:$R$42))</f>
        <v>0</v>
      </c>
      <c r="AF36" s="0" t="n">
        <f aca="false">SUMPRODUCT((('Aug 12'!$F$8:$F$42=$T17)*'Aug 12'!$AJ$8:$AJ$42+('Aug 12'!$G$8:$G$42=$T17)*'Aug 12'!$AK$8:$AK$42)*('Aug 12'!$Q$8:$Q$42+'Aug 12'!$R$8:$R$42))</f>
        <v>0</v>
      </c>
      <c r="AG36" s="0" t="n">
        <f aca="false">SUMPRODUCT((('Aug 13'!$F$8:$F$42=$T17)*'Aug 13'!$AJ$8:$AJ$42+('Aug 13'!$G$8:$G$42=$T17)*'Aug 13'!$AK$8:$AK$42)*('Aug 13'!$Q$8:$Q$42+'Aug 13'!$R$8:$R$42))</f>
        <v>0</v>
      </c>
      <c r="AH36" s="0" t="n">
        <f aca="false">SUMPRODUCT((('Aug 14'!$F$8:$F$42=$T17)*'Aug 14'!$AJ$8:$AJ$42+('Aug 14'!$G$8:$G$42=$T17)*'Aug 14'!$AK$8:$AK$42)*('Aug 14'!$Q$8:$Q$42+'Aug 14'!$R$8:$R$42))</f>
        <v>0</v>
      </c>
      <c r="AI36" s="0" t="n">
        <f aca="false">SUMPRODUCT((('Aug 15'!$F$8:$F$42=$T17)*'Aug 15'!$AJ$8:$AJ$42+('Aug 15'!$G$8:$G$42=$T17)*'Aug 15'!$AK$8:$AK$42)*('Aug 15'!$Q$8:$Q$42+'Aug 15'!$R$8:$R$42))</f>
        <v>0</v>
      </c>
      <c r="AJ36" s="0" t="n">
        <f aca="false">SUMPRODUCT((('Aug 16'!$F$8:$F$42=$T17)*'Aug 16'!$AJ$8:$AJ$42+('Aug 16'!$G$8:$G$42=$T17)*'Aug 16'!$AK$8:$AK$42)*('Aug 16'!$Q$8:$Q$42+'Aug 16'!$R$8:$R$42))</f>
        <v>0</v>
      </c>
      <c r="AK36" s="0" t="n">
        <f aca="false">SUMPRODUCT((('Aug 17'!$F$8:$F$42=$T17)*'Aug 17'!$AJ$8:$AJ$42+('Aug 17'!$G$8:$G$42=$T17)*'Aug 17'!$AK$8:$AK$42)*('Aug 17'!$Q$8:$Q$42+'Aug 17'!$R$8:$R$42))</f>
        <v>0</v>
      </c>
      <c r="AL36" s="0" t="n">
        <f aca="false">SUMPRODUCT((('Aug 18'!$F$8:$F$42=$T17)*'Aug 18'!$AJ$8:$AJ$42+('Aug 18'!$G$8:$G$42=$T17)*'Aug 18'!$AK$8:$AK$42)*('Aug 18'!$Q$8:$Q$42+'Aug 18'!$R$8:$R$42))</f>
        <v>0</v>
      </c>
      <c r="AM36" s="0" t="n">
        <f aca="false">SUMPRODUCT((('Aug 19'!$F$8:$F$42=$T17)*'Aug 19'!$AJ$8:$AJ$42+('Aug 19'!$G$8:$G$42=$T17)*'Aug 19'!$AK$8:$AK$42)*('Aug 19'!$Q$8:$Q$42+'Aug 19'!$R$8:$R$42))</f>
        <v>0</v>
      </c>
      <c r="AN36" s="0" t="n">
        <f aca="false">SUMPRODUCT((('Aug 20'!$F$8:$F$42=$T17)*'Aug 20'!$AJ$8:$AJ$42+('Aug 20'!$G$8:$G$42=$T17)*'Aug 20'!$AK$8:$AK$42)*('Aug 20'!$Q$8:$Q$42+'Aug 20'!$R$8:$R$42))</f>
        <v>0</v>
      </c>
      <c r="AO36" s="0" t="n">
        <f aca="false">SUMPRODUCT((('Aug 21'!$F$8:$F$42=$T17)*'Aug 21'!$AJ$8:$AJ$42+('Aug 21'!$G$8:$G$42=$T17)*'Aug 21'!$AK$8:$AK$42)*('Aug 21'!$Q$8:$Q$42+'Aug 21'!$R$8:$R$42))</f>
        <v>0</v>
      </c>
      <c r="AP36" s="0" t="n">
        <f aca="false">SUMPRODUCT((('Aug 22'!$F$8:$F$42=$T17)*'Aug 22'!$AJ$8:$AJ$42+('Aug 22'!$G$8:$G$42=$T17)*'Aug 22'!$AK$8:$AK$42)*('Aug 22'!$Q$8:$Q$42+'Aug 22'!$R$8:$R$42))</f>
        <v>0</v>
      </c>
      <c r="AQ36" s="0" t="n">
        <f aca="false">SUMPRODUCT((('Aug 23'!$F$8:$F$42=$T17)*'Aug 23'!$AJ$8:$AJ$42+('Aug 23'!$G$8:$G$42=$T17)*'Aug 23'!$AK$8:$AK$42)*('Aug 23'!$Q$8:$Q$42+'Aug 23'!$R$8:$R$42))</f>
        <v>0</v>
      </c>
      <c r="AR36" s="0" t="n">
        <f aca="false">SUMPRODUCT((('Aug 24'!$F$8:$F$42=$T17)*'Aug 24'!$AJ$8:$AJ$42+('Aug 24'!$G$8:$G$42=$T17)*'Aug 24'!$AK$8:$AK$42)*('Aug 24'!$Q$8:$Q$42+'Aug 24'!$R$8:$R$42))</f>
        <v>0</v>
      </c>
      <c r="AS36" s="0" t="n">
        <f aca="false">SUMPRODUCT((('Aug 25'!$F$8:$F$42=$T17)*'Aug 25'!$AJ$8:$AJ$42+('Aug 25'!$G$8:$G$42=$T17)*'Aug 25'!$AK$8:$AK$42)*('Aug 25'!$Q$8:$Q$42+'Aug 25'!$R$8:$R$42))</f>
        <v>0</v>
      </c>
      <c r="AT36" s="0" t="n">
        <f aca="false">SUMPRODUCT((('Aug 26'!$F$8:$F$42=$T17)*'Aug 26'!$AJ$8:$AJ$42+('Aug 26'!$G$8:$G$42=$T17)*'Aug 26'!$AK$8:$AK$42)*('Aug 26'!$Q$8:$Q$42+'Aug 26'!$R$8:$R$42))</f>
        <v>0</v>
      </c>
      <c r="AU36" s="0" t="n">
        <f aca="false">SUMPRODUCT((('Aug 27'!$F$8:$F$42=$T17)*'Aug 27'!$AJ$8:$AJ$42+('Aug 27'!$G$8:$G$42=$T17)*'Aug 27'!$AK$8:$AK$42)*('Aug 27'!$Q$8:$Q$42+'Aug 27'!$R$8:$R$42))</f>
        <v>0</v>
      </c>
      <c r="AV36" s="0" t="n">
        <f aca="false">SUMPRODUCT((('Aug 28'!$F$8:$F$42=$T17)*'Aug 28'!$AJ$8:$AJ$42+('Aug 28'!$G$8:$G$42=$T17)*'Aug 28'!$AK$8:$AK$42)*('Aug 28'!$Q$8:$Q$42+'Aug 28'!$R$8:$R$42))</f>
        <v>0</v>
      </c>
      <c r="AW36" s="0" t="n">
        <f aca="false">SUMPRODUCT((('Aug 29'!$F$8:$F$42=$T17)*'Aug 29'!$AJ$8:$AJ$42+('Aug 29'!$G$8:$G$42=$T17)*'Aug 29'!$AK$8:$AK$42)*('Aug 29'!$Q$8:$Q$42+'Aug 29'!$R$8:$R$42))</f>
        <v>0</v>
      </c>
      <c r="AX36" s="0" t="n">
        <f aca="false">SUMPRODUCT((('Aug 30'!$F$8:$F$42=$T17)*'Aug 30'!$AJ$8:$AJ$42+('Aug 30'!$G$8:$G$42=$T17)*'Aug 30'!$AK$8:$AK$42)*('Aug 30'!$Q$8:$Q$42+'Aug 30'!$R$8:$R$42))</f>
        <v>0</v>
      </c>
      <c r="AY36" s="0" t="n">
        <f aca="false">SUMPRODUCT((('Aug 31'!$F$8:$F$42=$T17)*'Aug 31'!$AJ$8:$AJ$42+('Aug 31'!$G$8:$G$42=$T17)*'Aug 31'!$AK$8:$AK$42)*('Aug 31'!$Q$8:$Q$42+'Aug 31'!$R$8:$R$42))</f>
        <v>0</v>
      </c>
    </row>
    <row r="37" customFormat="false" ht="15" hidden="false" customHeight="false" outlineLevel="0" collapsed="false">
      <c r="U37" s="0" t="n">
        <f aca="false">SUMPRODUCT((('Aug 1'!$F$8:$F$42=$T18)*'Aug 1'!$AJ$8:$AJ$42+('Aug 1'!$G$8:$G$42=$T18)*'Aug 1'!$AK$8:$AK$42)*('Aug 1'!$Q$8:$Q$42+'Aug 1'!$R$8:$R$42))</f>
        <v>0</v>
      </c>
      <c r="V37" s="0" t="n">
        <f aca="false">SUMPRODUCT((('Aug 2'!$F$8:$F$42=$T18)*'Aug 2'!$AJ$8:$AJ$42+('Aug 2'!$G$8:$G$42=$T18)*'Aug 2'!$AK$8:$AK$42)*('Aug 2'!$Q$8:$Q$42+'Aug 2'!$R$8:$R$42))</f>
        <v>0</v>
      </c>
      <c r="W37" s="0" t="n">
        <f aca="false">SUMPRODUCT((('Aug 3'!$F$8:$F$42=$T18)*'Aug 3'!$AJ$8:$AJ$42+('Aug 3'!$G$8:$G$42=$T18)*'Aug 3'!$AK$8:$AK$42)*('Aug 3'!$Q$8:$Q$42+'Aug 3'!$R$8:$R$42))</f>
        <v>0</v>
      </c>
      <c r="X37" s="0" t="n">
        <f aca="false">SUMPRODUCT((('Aug 4'!$F$8:$F$42=$T18)*'Aug 4'!$AJ$8:$AJ$42+('Aug 4'!$G$8:$G$42=$T18)*'Aug 4'!$AK$8:$AK$42)*('Aug 4'!$Q$8:$Q$42+'Aug 4'!$R$8:$R$42))</f>
        <v>0</v>
      </c>
      <c r="Y37" s="0" t="n">
        <f aca="false">SUMPRODUCT((('Aug 5'!$F$8:$F$42=$T18)*'Aug 5'!$AJ$8:$AJ$42+('Aug 5'!$G$8:$G$42=$T18)*'Aug 5'!$AK$8:$AK$42)*('Aug 5'!$Q$8:$Q$42+'Aug 5'!$R$8:$R$42))</f>
        <v>0</v>
      </c>
      <c r="Z37" s="0" t="n">
        <f aca="false">SUMPRODUCT((('Aug 6'!$F$8:$F$42=$T18)*'Aug 6'!$AJ$8:$AJ$42+('Aug 6'!$G$8:$G$42=$T18)*'Aug 6'!$AK$8:$AK$42)*('Aug 6'!$Q$8:$Q$42+'Aug 6'!$R$8:$R$42))</f>
        <v>0</v>
      </c>
      <c r="AA37" s="0" t="n">
        <f aca="false">SUMPRODUCT((('Aug 7'!$F$8:$F$42=$T18)*'Aug 7'!$AJ$8:$AJ$42+('Aug 7'!$G$8:$G$42=$T18)*'Aug 7'!$AK$8:$AK$42)*('Aug 7'!$Q$8:$Q$42+'Aug 7'!$R$8:$R$42))</f>
        <v>0</v>
      </c>
      <c r="AB37" s="0" t="n">
        <f aca="false">SUMPRODUCT((('Aug 8'!$F$8:$F$42=$T18)*'Aug 8'!$AJ$8:$AJ$42+('Aug 8'!$G$8:$G$42=$T18)*'Aug 8'!$AK$8:$AK$42)*('Aug 8'!$Q$8:$Q$42+'Aug 8'!$R$8:$R$42))</f>
        <v>0</v>
      </c>
      <c r="AC37" s="0" t="n">
        <f aca="false">SUMPRODUCT((('Aug 9'!$F$8:$F$42=$T18)*'Aug 9'!$AJ$8:$AJ$42+('Aug 9'!$G$8:$G$42=$T18)*'Aug 9'!$AK$8:$AK$42)*('Aug 9'!$Q$8:$Q$42+'Aug 9'!$R$8:$R$42))</f>
        <v>0</v>
      </c>
      <c r="AD37" s="0" t="n">
        <f aca="false">SUMPRODUCT((('Aug 10'!$F$8:$F$42=$T18)*'Aug 10'!$AJ$8:$AJ$42+('Aug 10'!$G$8:$G$42=$T18)*'Aug 10'!$AK$8:$AK$42)*('Aug 10'!$Q$8:$Q$42+'Aug 10'!$R$8:$R$42))</f>
        <v>0</v>
      </c>
      <c r="AE37" s="0" t="n">
        <f aca="false">SUMPRODUCT((('Aug 11'!$F$8:$F$42=$T18)*'Aug 11'!$AJ$8:$AJ$42+('Aug 11'!$G$8:$G$42=$T18)*'Aug 11'!$AK$8:$AK$42)*('Aug 11'!$Q$8:$Q$42+'Aug 11'!$R$8:$R$42))</f>
        <v>0</v>
      </c>
      <c r="AF37" s="0" t="n">
        <f aca="false">SUMPRODUCT((('Aug 12'!$F$8:$F$42=$T18)*'Aug 12'!$AJ$8:$AJ$42+('Aug 12'!$G$8:$G$42=$T18)*'Aug 12'!$AK$8:$AK$42)*('Aug 12'!$Q$8:$Q$42+'Aug 12'!$R$8:$R$42))</f>
        <v>0</v>
      </c>
      <c r="AG37" s="0" t="n">
        <f aca="false">SUMPRODUCT((('Aug 13'!$F$8:$F$42=$T18)*'Aug 13'!$AJ$8:$AJ$42+('Aug 13'!$G$8:$G$42=$T18)*'Aug 13'!$AK$8:$AK$42)*('Aug 13'!$Q$8:$Q$42+'Aug 13'!$R$8:$R$42))</f>
        <v>0</v>
      </c>
      <c r="AH37" s="0" t="n">
        <f aca="false">SUMPRODUCT((('Aug 14'!$F$8:$F$42=$T18)*'Aug 14'!$AJ$8:$AJ$42+('Aug 14'!$G$8:$G$42=$T18)*'Aug 14'!$AK$8:$AK$42)*('Aug 14'!$Q$8:$Q$42+'Aug 14'!$R$8:$R$42))</f>
        <v>0</v>
      </c>
      <c r="AI37" s="0" t="n">
        <f aca="false">SUMPRODUCT((('Aug 15'!$F$8:$F$42=$T18)*'Aug 15'!$AJ$8:$AJ$42+('Aug 15'!$G$8:$G$42=$T18)*'Aug 15'!$AK$8:$AK$42)*('Aug 15'!$Q$8:$Q$42+'Aug 15'!$R$8:$R$42))</f>
        <v>0</v>
      </c>
      <c r="AJ37" s="0" t="n">
        <f aca="false">SUMPRODUCT((('Aug 16'!$F$8:$F$42=$T18)*'Aug 16'!$AJ$8:$AJ$42+('Aug 16'!$G$8:$G$42=$T18)*'Aug 16'!$AK$8:$AK$42)*('Aug 16'!$Q$8:$Q$42+'Aug 16'!$R$8:$R$42))</f>
        <v>0</v>
      </c>
      <c r="AK37" s="0" t="n">
        <f aca="false">SUMPRODUCT((('Aug 17'!$F$8:$F$42=$T18)*'Aug 17'!$AJ$8:$AJ$42+('Aug 17'!$G$8:$G$42=$T18)*'Aug 17'!$AK$8:$AK$42)*('Aug 17'!$Q$8:$Q$42+'Aug 17'!$R$8:$R$42))</f>
        <v>0</v>
      </c>
      <c r="AL37" s="0" t="n">
        <f aca="false">SUMPRODUCT((('Aug 18'!$F$8:$F$42=$T18)*'Aug 18'!$AJ$8:$AJ$42+('Aug 18'!$G$8:$G$42=$T18)*'Aug 18'!$AK$8:$AK$42)*('Aug 18'!$Q$8:$Q$42+'Aug 18'!$R$8:$R$42))</f>
        <v>0</v>
      </c>
      <c r="AM37" s="0" t="n">
        <f aca="false">SUMPRODUCT((('Aug 19'!$F$8:$F$42=$T18)*'Aug 19'!$AJ$8:$AJ$42+('Aug 19'!$G$8:$G$42=$T18)*'Aug 19'!$AK$8:$AK$42)*('Aug 19'!$Q$8:$Q$42+'Aug 19'!$R$8:$R$42))</f>
        <v>0</v>
      </c>
      <c r="AN37" s="0" t="n">
        <f aca="false">SUMPRODUCT((('Aug 20'!$F$8:$F$42=$T18)*'Aug 20'!$AJ$8:$AJ$42+('Aug 20'!$G$8:$G$42=$T18)*'Aug 20'!$AK$8:$AK$42)*('Aug 20'!$Q$8:$Q$42+'Aug 20'!$R$8:$R$42))</f>
        <v>0</v>
      </c>
      <c r="AO37" s="0" t="n">
        <f aca="false">SUMPRODUCT((('Aug 21'!$F$8:$F$42=$T18)*'Aug 21'!$AJ$8:$AJ$42+('Aug 21'!$G$8:$G$42=$T18)*'Aug 21'!$AK$8:$AK$42)*('Aug 21'!$Q$8:$Q$42+'Aug 21'!$R$8:$R$42))</f>
        <v>0</v>
      </c>
      <c r="AP37" s="0" t="n">
        <f aca="false">SUMPRODUCT((('Aug 22'!$F$8:$F$42=$T18)*'Aug 22'!$AJ$8:$AJ$42+('Aug 22'!$G$8:$G$42=$T18)*'Aug 22'!$AK$8:$AK$42)*('Aug 22'!$Q$8:$Q$42+'Aug 22'!$R$8:$R$42))</f>
        <v>0</v>
      </c>
      <c r="AQ37" s="0" t="n">
        <f aca="false">SUMPRODUCT((('Aug 23'!$F$8:$F$42=$T18)*'Aug 23'!$AJ$8:$AJ$42+('Aug 23'!$G$8:$G$42=$T18)*'Aug 23'!$AK$8:$AK$42)*('Aug 23'!$Q$8:$Q$42+'Aug 23'!$R$8:$R$42))</f>
        <v>0</v>
      </c>
      <c r="AR37" s="0" t="n">
        <f aca="false">SUMPRODUCT((('Aug 24'!$F$8:$F$42=$T18)*'Aug 24'!$AJ$8:$AJ$42+('Aug 24'!$G$8:$G$42=$T18)*'Aug 24'!$AK$8:$AK$42)*('Aug 24'!$Q$8:$Q$42+'Aug 24'!$R$8:$R$42))</f>
        <v>0</v>
      </c>
      <c r="AS37" s="0" t="n">
        <f aca="false">SUMPRODUCT((('Aug 25'!$F$8:$F$42=$T18)*'Aug 25'!$AJ$8:$AJ$42+('Aug 25'!$G$8:$G$42=$T18)*'Aug 25'!$AK$8:$AK$42)*('Aug 25'!$Q$8:$Q$42+'Aug 25'!$R$8:$R$42))</f>
        <v>0</v>
      </c>
      <c r="AT37" s="0" t="n">
        <f aca="false">SUMPRODUCT((('Aug 26'!$F$8:$F$42=$T18)*'Aug 26'!$AJ$8:$AJ$42+('Aug 26'!$G$8:$G$42=$T18)*'Aug 26'!$AK$8:$AK$42)*('Aug 26'!$Q$8:$Q$42+'Aug 26'!$R$8:$R$42))</f>
        <v>0</v>
      </c>
      <c r="AU37" s="0" t="n">
        <f aca="false">SUMPRODUCT((('Aug 27'!$F$8:$F$42=$T18)*'Aug 27'!$AJ$8:$AJ$42+('Aug 27'!$G$8:$G$42=$T18)*'Aug 27'!$AK$8:$AK$42)*('Aug 27'!$Q$8:$Q$42+'Aug 27'!$R$8:$R$42))</f>
        <v>0</v>
      </c>
      <c r="AV37" s="0" t="n">
        <f aca="false">SUMPRODUCT((('Aug 28'!$F$8:$F$42=$T18)*'Aug 28'!$AJ$8:$AJ$42+('Aug 28'!$G$8:$G$42=$T18)*'Aug 28'!$AK$8:$AK$42)*('Aug 28'!$Q$8:$Q$42+'Aug 28'!$R$8:$R$42))</f>
        <v>0</v>
      </c>
      <c r="AW37" s="0" t="n">
        <f aca="false">SUMPRODUCT((('Aug 29'!$F$8:$F$42=$T18)*'Aug 29'!$AJ$8:$AJ$42+('Aug 29'!$G$8:$G$42=$T18)*'Aug 29'!$AK$8:$AK$42)*('Aug 29'!$Q$8:$Q$42+'Aug 29'!$R$8:$R$42))</f>
        <v>0</v>
      </c>
      <c r="AX37" s="0" t="n">
        <f aca="false">SUMPRODUCT((('Aug 30'!$F$8:$F$42=$T18)*'Aug 30'!$AJ$8:$AJ$42+('Aug 30'!$G$8:$G$42=$T18)*'Aug 30'!$AK$8:$AK$42)*('Aug 30'!$Q$8:$Q$42+'Aug 30'!$R$8:$R$42))</f>
        <v>0</v>
      </c>
      <c r="AY37" s="0" t="n">
        <f aca="false">SUMPRODUCT((('Aug 31'!$F$8:$F$42=$T18)*'Aug 31'!$AJ$8:$AJ$42+('Aug 31'!$G$8:$G$42=$T18)*'Aug 31'!$AK$8:$AK$42)*('Aug 31'!$Q$8:$Q$42+'Aug 31'!$R$8:$R$42))</f>
        <v>0</v>
      </c>
    </row>
    <row r="38" customFormat="false" ht="15" hidden="false" customHeight="false" outlineLevel="0" collapsed="false">
      <c r="U38" s="0" t="n">
        <f aca="false">SUMPRODUCT((('Aug 1'!$F$8:$F$42=$T19)*'Aug 1'!$AJ$8:$AJ$42+('Aug 1'!$G$8:$G$42=$T19)*'Aug 1'!$AK$8:$AK$42)*('Aug 1'!$Q$8:$Q$42+'Aug 1'!$R$8:$R$42))</f>
        <v>0</v>
      </c>
      <c r="V38" s="0" t="n">
        <f aca="false">SUMPRODUCT((('Aug 2'!$F$8:$F$42=$T19)*'Aug 2'!$AJ$8:$AJ$42+('Aug 2'!$G$8:$G$42=$T19)*'Aug 2'!$AK$8:$AK$42)*('Aug 2'!$Q$8:$Q$42+'Aug 2'!$R$8:$R$42))</f>
        <v>0</v>
      </c>
      <c r="W38" s="0" t="n">
        <f aca="false">SUMPRODUCT((('Aug 3'!$F$8:$F$42=$T19)*'Aug 3'!$AJ$8:$AJ$42+('Aug 3'!$G$8:$G$42=$T19)*'Aug 3'!$AK$8:$AK$42)*('Aug 3'!$Q$8:$Q$42+'Aug 3'!$R$8:$R$42))</f>
        <v>0</v>
      </c>
      <c r="X38" s="0" t="n">
        <f aca="false">SUMPRODUCT((('Aug 4'!$F$8:$F$42=$T19)*'Aug 4'!$AJ$8:$AJ$42+('Aug 4'!$G$8:$G$42=$T19)*'Aug 4'!$AK$8:$AK$42)*('Aug 4'!$Q$8:$Q$42+'Aug 4'!$R$8:$R$42))</f>
        <v>0</v>
      </c>
      <c r="Y38" s="0" t="n">
        <f aca="false">SUMPRODUCT((('Aug 5'!$F$8:$F$42=$T19)*'Aug 5'!$AJ$8:$AJ$42+('Aug 5'!$G$8:$G$42=$T19)*'Aug 5'!$AK$8:$AK$42)*('Aug 5'!$Q$8:$Q$42+'Aug 5'!$R$8:$R$42))</f>
        <v>0</v>
      </c>
      <c r="Z38" s="0" t="n">
        <f aca="false">SUMPRODUCT((('Aug 6'!$F$8:$F$42=$T19)*'Aug 6'!$AJ$8:$AJ$42+('Aug 6'!$G$8:$G$42=$T19)*'Aug 6'!$AK$8:$AK$42)*('Aug 6'!$Q$8:$Q$42+'Aug 6'!$R$8:$R$42))</f>
        <v>0</v>
      </c>
      <c r="AA38" s="0" t="n">
        <f aca="false">SUMPRODUCT((('Aug 7'!$F$8:$F$42=$T19)*'Aug 7'!$AJ$8:$AJ$42+('Aug 7'!$G$8:$G$42=$T19)*'Aug 7'!$AK$8:$AK$42)*('Aug 7'!$Q$8:$Q$42+'Aug 7'!$R$8:$R$42))</f>
        <v>0</v>
      </c>
      <c r="AB38" s="0" t="n">
        <f aca="false">SUMPRODUCT((('Aug 8'!$F$8:$F$42=$T19)*'Aug 8'!$AJ$8:$AJ$42+('Aug 8'!$G$8:$G$42=$T19)*'Aug 8'!$AK$8:$AK$42)*('Aug 8'!$Q$8:$Q$42+'Aug 8'!$R$8:$R$42))</f>
        <v>0</v>
      </c>
      <c r="AC38" s="0" t="n">
        <f aca="false">SUMPRODUCT((('Aug 9'!$F$8:$F$42=$T19)*'Aug 9'!$AJ$8:$AJ$42+('Aug 9'!$G$8:$G$42=$T19)*'Aug 9'!$AK$8:$AK$42)*('Aug 9'!$Q$8:$Q$42+'Aug 9'!$R$8:$R$42))</f>
        <v>0</v>
      </c>
      <c r="AD38" s="0" t="n">
        <f aca="false">SUMPRODUCT((('Aug 10'!$F$8:$F$42=$T19)*'Aug 10'!$AJ$8:$AJ$42+('Aug 10'!$G$8:$G$42=$T19)*'Aug 10'!$AK$8:$AK$42)*('Aug 10'!$Q$8:$Q$42+'Aug 10'!$R$8:$R$42))</f>
        <v>0</v>
      </c>
      <c r="AE38" s="0" t="n">
        <f aca="false">SUMPRODUCT((('Aug 11'!$F$8:$F$42=$T19)*'Aug 11'!$AJ$8:$AJ$42+('Aug 11'!$G$8:$G$42=$T19)*'Aug 11'!$AK$8:$AK$42)*('Aug 11'!$Q$8:$Q$42+'Aug 11'!$R$8:$R$42))</f>
        <v>0</v>
      </c>
      <c r="AF38" s="0" t="n">
        <f aca="false">SUMPRODUCT((('Aug 12'!$F$8:$F$42=$T19)*'Aug 12'!$AJ$8:$AJ$42+('Aug 12'!$G$8:$G$42=$T19)*'Aug 12'!$AK$8:$AK$42)*('Aug 12'!$Q$8:$Q$42+'Aug 12'!$R$8:$R$42))</f>
        <v>0</v>
      </c>
      <c r="AG38" s="0" t="n">
        <f aca="false">SUMPRODUCT((('Aug 13'!$F$8:$F$42=$T19)*'Aug 13'!$AJ$8:$AJ$42+('Aug 13'!$G$8:$G$42=$T19)*'Aug 13'!$AK$8:$AK$42)*('Aug 13'!$Q$8:$Q$42+'Aug 13'!$R$8:$R$42))</f>
        <v>0</v>
      </c>
      <c r="AH38" s="0" t="n">
        <f aca="false">SUMPRODUCT((('Aug 14'!$F$8:$F$42=$T19)*'Aug 14'!$AJ$8:$AJ$42+('Aug 14'!$G$8:$G$42=$T19)*'Aug 14'!$AK$8:$AK$42)*('Aug 14'!$Q$8:$Q$42+'Aug 14'!$R$8:$R$42))</f>
        <v>0</v>
      </c>
      <c r="AI38" s="0" t="n">
        <f aca="false">SUMPRODUCT((('Aug 15'!$F$8:$F$42=$T19)*'Aug 15'!$AJ$8:$AJ$42+('Aug 15'!$G$8:$G$42=$T19)*'Aug 15'!$AK$8:$AK$42)*('Aug 15'!$Q$8:$Q$42+'Aug 15'!$R$8:$R$42))</f>
        <v>0</v>
      </c>
      <c r="AJ38" s="0" t="n">
        <f aca="false">SUMPRODUCT((('Aug 16'!$F$8:$F$42=$T19)*'Aug 16'!$AJ$8:$AJ$42+('Aug 16'!$G$8:$G$42=$T19)*'Aug 16'!$AK$8:$AK$42)*('Aug 16'!$Q$8:$Q$42+'Aug 16'!$R$8:$R$42))</f>
        <v>0</v>
      </c>
      <c r="AK38" s="0" t="n">
        <f aca="false">SUMPRODUCT((('Aug 17'!$F$8:$F$42=$T19)*'Aug 17'!$AJ$8:$AJ$42+('Aug 17'!$G$8:$G$42=$T19)*'Aug 17'!$AK$8:$AK$42)*('Aug 17'!$Q$8:$Q$42+'Aug 17'!$R$8:$R$42))</f>
        <v>0</v>
      </c>
      <c r="AL38" s="0" t="n">
        <f aca="false">SUMPRODUCT((('Aug 18'!$F$8:$F$42=$T19)*'Aug 18'!$AJ$8:$AJ$42+('Aug 18'!$G$8:$G$42=$T19)*'Aug 18'!$AK$8:$AK$42)*('Aug 18'!$Q$8:$Q$42+'Aug 18'!$R$8:$R$42))</f>
        <v>0</v>
      </c>
      <c r="AM38" s="0" t="n">
        <f aca="false">SUMPRODUCT((('Aug 19'!$F$8:$F$42=$T19)*'Aug 19'!$AJ$8:$AJ$42+('Aug 19'!$G$8:$G$42=$T19)*'Aug 19'!$AK$8:$AK$42)*('Aug 19'!$Q$8:$Q$42+'Aug 19'!$R$8:$R$42))</f>
        <v>0</v>
      </c>
      <c r="AN38" s="0" t="n">
        <f aca="false">SUMPRODUCT((('Aug 20'!$F$8:$F$42=$T19)*'Aug 20'!$AJ$8:$AJ$42+('Aug 20'!$G$8:$G$42=$T19)*'Aug 20'!$AK$8:$AK$42)*('Aug 20'!$Q$8:$Q$42+'Aug 20'!$R$8:$R$42))</f>
        <v>0</v>
      </c>
      <c r="AO38" s="0" t="n">
        <f aca="false">SUMPRODUCT((('Aug 21'!$F$8:$F$42=$T19)*'Aug 21'!$AJ$8:$AJ$42+('Aug 21'!$G$8:$G$42=$T19)*'Aug 21'!$AK$8:$AK$42)*('Aug 21'!$Q$8:$Q$42+'Aug 21'!$R$8:$R$42))</f>
        <v>0</v>
      </c>
      <c r="AP38" s="0" t="n">
        <f aca="false">SUMPRODUCT((('Aug 22'!$F$8:$F$42=$T19)*'Aug 22'!$AJ$8:$AJ$42+('Aug 22'!$G$8:$G$42=$T19)*'Aug 22'!$AK$8:$AK$42)*('Aug 22'!$Q$8:$Q$42+'Aug 22'!$R$8:$R$42))</f>
        <v>0</v>
      </c>
      <c r="AQ38" s="0" t="n">
        <f aca="false">SUMPRODUCT((('Aug 23'!$F$8:$F$42=$T19)*'Aug 23'!$AJ$8:$AJ$42+('Aug 23'!$G$8:$G$42=$T19)*'Aug 23'!$AK$8:$AK$42)*('Aug 23'!$Q$8:$Q$42+'Aug 23'!$R$8:$R$42))</f>
        <v>0</v>
      </c>
      <c r="AR38" s="0" t="n">
        <f aca="false">SUMPRODUCT((('Aug 24'!$F$8:$F$42=$T19)*'Aug 24'!$AJ$8:$AJ$42+('Aug 24'!$G$8:$G$42=$T19)*'Aug 24'!$AK$8:$AK$42)*('Aug 24'!$Q$8:$Q$42+'Aug 24'!$R$8:$R$42))</f>
        <v>0</v>
      </c>
      <c r="AS38" s="0" t="n">
        <f aca="false">SUMPRODUCT((('Aug 25'!$F$8:$F$42=$T19)*'Aug 25'!$AJ$8:$AJ$42+('Aug 25'!$G$8:$G$42=$T19)*'Aug 25'!$AK$8:$AK$42)*('Aug 25'!$Q$8:$Q$42+'Aug 25'!$R$8:$R$42))</f>
        <v>0</v>
      </c>
      <c r="AT38" s="0" t="n">
        <f aca="false">SUMPRODUCT((('Aug 26'!$F$8:$F$42=$T19)*'Aug 26'!$AJ$8:$AJ$42+('Aug 26'!$G$8:$G$42=$T19)*'Aug 26'!$AK$8:$AK$42)*('Aug 26'!$Q$8:$Q$42+'Aug 26'!$R$8:$R$42))</f>
        <v>0</v>
      </c>
      <c r="AU38" s="0" t="n">
        <f aca="false">SUMPRODUCT((('Aug 27'!$F$8:$F$42=$T19)*'Aug 27'!$AJ$8:$AJ$42+('Aug 27'!$G$8:$G$42=$T19)*'Aug 27'!$AK$8:$AK$42)*('Aug 27'!$Q$8:$Q$42+'Aug 27'!$R$8:$R$42))</f>
        <v>0</v>
      </c>
      <c r="AV38" s="0" t="n">
        <f aca="false">SUMPRODUCT((('Aug 28'!$F$8:$F$42=$T19)*'Aug 28'!$AJ$8:$AJ$42+('Aug 28'!$G$8:$G$42=$T19)*'Aug 28'!$AK$8:$AK$42)*('Aug 28'!$Q$8:$Q$42+'Aug 28'!$R$8:$R$42))</f>
        <v>0</v>
      </c>
      <c r="AW38" s="0" t="n">
        <f aca="false">SUMPRODUCT((('Aug 29'!$F$8:$F$42=$T19)*'Aug 29'!$AJ$8:$AJ$42+('Aug 29'!$G$8:$G$42=$T19)*'Aug 29'!$AK$8:$AK$42)*('Aug 29'!$Q$8:$Q$42+'Aug 29'!$R$8:$R$42))</f>
        <v>0</v>
      </c>
      <c r="AX38" s="0" t="n">
        <f aca="false">SUMPRODUCT((('Aug 30'!$F$8:$F$42=$T19)*'Aug 30'!$AJ$8:$AJ$42+('Aug 30'!$G$8:$G$42=$T19)*'Aug 30'!$AK$8:$AK$42)*('Aug 30'!$Q$8:$Q$42+'Aug 30'!$R$8:$R$42))</f>
        <v>0</v>
      </c>
      <c r="AY38" s="0" t="n">
        <f aca="false">SUMPRODUCT((('Aug 31'!$F$8:$F$42=$T19)*'Aug 31'!$AJ$8:$AJ$42+('Aug 31'!$G$8:$G$42=$T19)*'Aug 31'!$AK$8:$AK$42)*('Aug 31'!$Q$8:$Q$42+'Aug 31'!$R$8:$R$42))</f>
        <v>0</v>
      </c>
    </row>
    <row r="42" customFormat="false" ht="15" hidden="false" customHeight="false" outlineLevel="0" collapsed="false">
      <c r="U42" s="0" t="n">
        <f aca="false">SUMPRODUCT((('Aug 1'!$F$8:$F$42=$T4)*'Aug 1'!$AJ$8:$AJ$42+('Aug 1'!$G$8:$G$42=$T4)*'Aug 1'!$AK$8:$AK$42)*LOOKUP((('Aug 1'!$Q$8:$Q$42+'Aug 1'!$R$8:$R$42)*(('Aug 1'!$Q$8:$Q$42+'Aug 1'!$R$8:$R$42)&gt;0)),'Pay Plan'!$D$5:$K$5,INDEX('Pay Plan'!$D$6:$K$12,$BB4,0)))</f>
        <v>0</v>
      </c>
      <c r="V42" s="0" t="n">
        <f aca="false">SUMPRODUCT((('Aug 2'!$F$8:$F$42=$T4)*'Aug 2'!$AJ$8:$AJ$42+('Aug 2'!$G$8:$G$42=$T4)*'Aug 2'!$AK$8:$AK$42)*LOOKUP((('Aug 2'!$Q$8:$Q$42+'Aug 2'!$R$8:$R$42)*(('Aug 2'!$Q$8:$Q$42+'Aug 2'!$R$8:$R$42)&gt;0)),'Pay Plan'!$D$5:$K$5,INDEX('Pay Plan'!$D$6:$K$12,$BB4,0)))</f>
        <v>0</v>
      </c>
      <c r="W42" s="0" t="n">
        <f aca="false">SUMPRODUCT((('Aug 3'!$F$8:$F$42=$T4)*'Aug 3'!$AJ$8:$AJ$42+('Aug 3'!$G$8:$G$42=$T4)*'Aug 3'!$AK$8:$AK$42)*LOOKUP((('Aug 3'!$Q$8:$Q$42+'Aug 3'!$R$8:$R$42)*(('Aug 3'!$Q$8:$Q$42+'Aug 3'!$R$8:$R$42)&gt;0)),'Pay Plan'!$D$5:$K$5,INDEX('Pay Plan'!$D$6:$K$12,$BB4,0)))</f>
        <v>0</v>
      </c>
      <c r="X42" s="0" t="n">
        <f aca="false">SUMPRODUCT((('Aug 4'!$F$8:$F$42=$T4)*'Aug 4'!$AJ$8:$AJ$42+('Aug 4'!$G$8:$G$42=$T4)*'Aug 4'!$AK$8:$AK$42)*LOOKUP((('Aug 4'!$Q$8:$Q$42+'Aug 4'!$R$8:$R$42)*(('Aug 4'!$Q$8:$Q$42+'Aug 4'!$R$8:$R$42)&gt;0)),'Pay Plan'!$D$5:$K$5,INDEX('Pay Plan'!$D$6:$K$12,$BB4,0)))</f>
        <v>0</v>
      </c>
      <c r="Y42" s="0" t="n">
        <f aca="false">SUMPRODUCT((('Aug 5'!$F$8:$F$42=$T4)*'Aug 5'!$AJ$8:$AJ$42+('Aug 5'!$G$8:$G$42=$T4)*'Aug 5'!$AK$8:$AK$42)*LOOKUP((('Aug 5'!$Q$8:$Q$42+'Aug 5'!$R$8:$R$42)*(('Aug 5'!$Q$8:$Q$42+'Aug 5'!$R$8:$R$42)&gt;0)),'Pay Plan'!$D$5:$K$5,INDEX('Pay Plan'!$D$6:$K$12,$BB4,0)))</f>
        <v>0</v>
      </c>
      <c r="Z42" s="0" t="n">
        <f aca="false">SUMPRODUCT((('Aug 6'!$F$8:$F$42=$T4)*'Aug 6'!$AJ$8:$AJ$42+('Aug 6'!$G$8:$G$42=$T4)*'Aug 6'!$AK$8:$AK$42)*LOOKUP((('Aug 6'!$Q$8:$Q$42+'Aug 6'!$R$8:$R$42)*(('Aug 6'!$Q$8:$Q$42+'Aug 6'!$R$8:$R$42)&gt;0)),'Pay Plan'!$D$5:$K$5,INDEX('Pay Plan'!$D$6:$K$12,$BB4,0)))</f>
        <v>0</v>
      </c>
      <c r="AA42" s="0" t="n">
        <f aca="false">SUMPRODUCT((('Aug 7'!$F$8:$F$42=$T4)*'Aug 7'!$AJ$8:$AJ$42+('Aug 7'!$G$8:$G$42=$T4)*'Aug 7'!$AK$8:$AK$42)*LOOKUP((('Aug 7'!$Q$8:$Q$42+'Aug 7'!$R$8:$R$42)*(('Aug 7'!$Q$8:$Q$42+'Aug 7'!$R$8:$R$42)&gt;0)),'Pay Plan'!$D$5:$K$5,INDEX('Pay Plan'!$D$6:$K$12,$BB4,0)))</f>
        <v>0</v>
      </c>
      <c r="AB42" s="0" t="n">
        <f aca="false">SUMPRODUCT((('Aug 8'!$F$8:$F$42=$T4)*'Aug 8'!$AJ$8:$AJ$42+('Aug 8'!$G$8:$G$42=$T4)*'Aug 8'!$AK$8:$AK$42)*LOOKUP((('Aug 8'!$Q$8:$Q$42+'Aug 8'!$R$8:$R$42)*(('Aug 8'!$Q$8:$Q$42+'Aug 8'!$R$8:$R$42)&gt;0)),'Pay Plan'!$D$5:$K$5,INDEX('Pay Plan'!$D$6:$K$12,$BB4,0)))</f>
        <v>0</v>
      </c>
      <c r="AC42" s="0" t="n">
        <f aca="false">SUMPRODUCT((('Aug 9'!$F$8:$F$42=$T4)*'Aug 9'!$AJ$8:$AJ$42+('Aug 9'!$G$8:$G$42=$T4)*'Aug 9'!$AK$8:$AK$42)*LOOKUP((('Aug 9'!$Q$8:$Q$42+'Aug 9'!$R$8:$R$42)*(('Aug 9'!$Q$8:$Q$42+'Aug 9'!$R$8:$R$42)&gt;0)),'Pay Plan'!$D$5:$K$5,INDEX('Pay Plan'!$D$6:$K$12,$BB4,0)))</f>
        <v>0</v>
      </c>
      <c r="AD42" s="0" t="n">
        <f aca="false">SUMPRODUCT((('Aug 10'!$F$8:$F$42=$T4)*'Aug 10'!$AJ$8:$AJ$42+('Aug 10'!$G$8:$G$42=$T4)*'Aug 10'!$AK$8:$AK$42)*LOOKUP((('Aug 10'!$Q$8:$Q$42+'Aug 10'!$R$8:$R$42)*(('Aug 10'!$Q$8:$Q$42+'Aug 10'!$R$8:$R$42)&gt;0)),'Pay Plan'!$D$5:$K$5,INDEX('Pay Plan'!$D$6:$K$12,$BB4,0)))</f>
        <v>0</v>
      </c>
      <c r="AE42" s="0" t="n">
        <f aca="false">SUMPRODUCT((('Aug 11'!$F$8:$F$42=$T4)*'Aug 11'!$AJ$8:$AJ$42+('Aug 11'!$G$8:$G$42=$T4)*'Aug 11'!$AK$8:$AK$42)*LOOKUP((('Aug 11'!$Q$8:$Q$42+'Aug 11'!$R$8:$R$42)*(('Aug 11'!$Q$8:$Q$42+'Aug 11'!$R$8:$R$42)&gt;0)),'Pay Plan'!$D$5:$K$5,INDEX('Pay Plan'!$D$6:$K$12,$BB4,0)))</f>
        <v>0</v>
      </c>
      <c r="AF42" s="0" t="n">
        <f aca="false">SUMPRODUCT((('Aug 12'!$F$8:$F$42=$T4)*'Aug 12'!$AJ$8:$AJ$42+('Aug 12'!$G$8:$G$42=$T4)*'Aug 12'!$AK$8:$AK$42)*LOOKUP((('Aug 12'!$Q$8:$Q$42+'Aug 12'!$R$8:$R$42)*(('Aug 12'!$Q$8:$Q$42+'Aug 12'!$R$8:$R$42)&gt;0)),'Pay Plan'!$D$5:$K$5,INDEX('Pay Plan'!$D$6:$K$12,$BB4,0)))</f>
        <v>0</v>
      </c>
      <c r="AG42" s="0" t="n">
        <f aca="false">SUMPRODUCT((('Aug 13'!$F$8:$F$42=$T4)*'Aug 13'!$AJ$8:$AJ$42+('Aug 13'!$G$8:$G$42=$T4)*'Aug 13'!$AK$8:$AK$42)*LOOKUP((('Aug 13'!$Q$8:$Q$42+'Aug 13'!$R$8:$R$42)*(('Aug 13'!$Q$8:$Q$42+'Aug 13'!$R$8:$R$42)&gt;0)),'Pay Plan'!$D$5:$K$5,INDEX('Pay Plan'!$D$6:$K$12,$BB4,0)))</f>
        <v>0</v>
      </c>
      <c r="AH42" s="0" t="n">
        <f aca="false">SUMPRODUCT((('Aug 14'!$F$8:$F$42=$T4)*'Aug 14'!$AJ$8:$AJ$42+('Aug 14'!$G$8:$G$42=$T4)*'Aug 14'!$AK$8:$AK$42)*LOOKUP((('Aug 14'!$Q$8:$Q$42+'Aug 14'!$R$8:$R$42)*(('Aug 14'!$Q$8:$Q$42+'Aug 14'!$R$8:$R$42)&gt;0)),'Pay Plan'!$D$5:$K$5,INDEX('Pay Plan'!$D$6:$K$12,$BB4,0)))</f>
        <v>0</v>
      </c>
      <c r="AI42" s="0" t="n">
        <f aca="false">SUMPRODUCT((('Aug 15'!$F$8:$F$42=$T4)*'Aug 15'!$AJ$8:$AJ$42+('Aug 15'!$G$8:$G$42=$T4)*'Aug 15'!$AK$8:$AK$42)*LOOKUP((('Aug 15'!$Q$8:$Q$42+'Aug 15'!$R$8:$R$42)*(('Aug 15'!$Q$8:$Q$42+'Aug 15'!$R$8:$R$42)&gt;0)),'Pay Plan'!$D$5:$K$5,INDEX('Pay Plan'!$D$6:$K$12,$BB4,0)))</f>
        <v>0</v>
      </c>
      <c r="AJ42" s="0" t="n">
        <f aca="false">SUMPRODUCT((('Aug 16'!$F$8:$F$42=$T4)*'Aug 16'!$AJ$8:$AJ$42+('Aug 16'!$G$8:$G$42=$T4)*'Aug 16'!$AK$8:$AK$42)*LOOKUP((('Aug 16'!$Q$8:$Q$42+'Aug 16'!$R$8:$R$42)*(('Aug 16'!$Q$8:$Q$42+'Aug 16'!$R$8:$R$42)&gt;0)),'Pay Plan'!$D$5:$K$5,INDEX('Pay Plan'!$D$6:$K$12,$BB4,0)))</f>
        <v>0</v>
      </c>
      <c r="AK42" s="0" t="n">
        <f aca="false">SUMPRODUCT((('Aug 17'!$F$8:$F$42=$T4)*'Aug 17'!$AJ$8:$AJ$42+('Aug 17'!$G$8:$G$42=$T4)*'Aug 17'!$AK$8:$AK$42)*LOOKUP((('Aug 17'!$Q$8:$Q$42+'Aug 17'!$R$8:$R$42)*(('Aug 17'!$Q$8:$Q$42+'Aug 17'!$R$8:$R$42)&gt;0)),'Pay Plan'!$D$5:$K$5,INDEX('Pay Plan'!$D$6:$K$12,$BB4,0)))</f>
        <v>0</v>
      </c>
      <c r="AL42" s="0" t="n">
        <f aca="false">SUMPRODUCT((('Aug 18'!$F$8:$F$42=$T4)*'Aug 18'!$AJ$8:$AJ$42+('Aug 18'!$G$8:$G$42=$T4)*'Aug 18'!$AK$8:$AK$42)*LOOKUP((('Aug 18'!$Q$8:$Q$42+'Aug 18'!$R$8:$R$42)*(('Aug 18'!$Q$8:$Q$42+'Aug 18'!$R$8:$R$42)&gt;0)),'Pay Plan'!$D$5:$K$5,INDEX('Pay Plan'!$D$6:$K$12,$BB4,0)))</f>
        <v>0</v>
      </c>
      <c r="AM42" s="0" t="n">
        <f aca="false">SUMPRODUCT((('Aug 19'!$F$8:$F$42=$T4)*'Aug 19'!$AJ$8:$AJ$42+('Aug 19'!$G$8:$G$42=$T4)*'Aug 19'!$AK$8:$AK$42)*LOOKUP((('Aug 19'!$Q$8:$Q$42+'Aug 19'!$R$8:$R$42)*(('Aug 19'!$Q$8:$Q$42+'Aug 19'!$R$8:$R$42)&gt;0)),'Pay Plan'!$D$5:$K$5,INDEX('Pay Plan'!$D$6:$K$12,$BB4,0)))</f>
        <v>0</v>
      </c>
      <c r="AN42" s="0" t="n">
        <f aca="false">SUMPRODUCT((('Aug 20'!$F$8:$F$42=$T4)*'Aug 20'!$AJ$8:$AJ$42+('Aug 20'!$G$8:$G$42=$T4)*'Aug 20'!$AK$8:$AK$42)*LOOKUP((('Aug 20'!$Q$8:$Q$42+'Aug 20'!$R$8:$R$42)*(('Aug 20'!$Q$8:$Q$42+'Aug 20'!$R$8:$R$42)&gt;0)),'Pay Plan'!$D$5:$K$5,INDEX('Pay Plan'!$D$6:$K$12,$BB4,0)))</f>
        <v>0</v>
      </c>
      <c r="AO42" s="0" t="n">
        <f aca="false">SUMPRODUCT((('Aug 21'!$F$8:$F$42=$T4)*'Aug 21'!$AJ$8:$AJ$42+('Aug 21'!$G$8:$G$42=$T4)*'Aug 21'!$AK$8:$AK$42)*LOOKUP((('Aug 21'!$Q$8:$Q$42+'Aug 21'!$R$8:$R$42)*(('Aug 21'!$Q$8:$Q$42+'Aug 21'!$R$8:$R$42)&gt;0)),'Pay Plan'!$D$5:$K$5,INDEX('Pay Plan'!$D$6:$K$12,$BB4,0)))</f>
        <v>0</v>
      </c>
      <c r="AP42" s="0" t="n">
        <f aca="false">SUMPRODUCT((('Aug 22'!$F$8:$F$42=$T4)*'Aug 22'!$AJ$8:$AJ$42+('Aug 22'!$G$8:$G$42=$T4)*'Aug 22'!$AK$8:$AK$42)*LOOKUP((('Aug 22'!$Q$8:$Q$42+'Aug 22'!$R$8:$R$42)*(('Aug 22'!$Q$8:$Q$42+'Aug 22'!$R$8:$R$42)&gt;0)),'Pay Plan'!$D$5:$K$5,INDEX('Pay Plan'!$D$6:$K$12,$BB4,0)))</f>
        <v>0</v>
      </c>
      <c r="AQ42" s="0" t="n">
        <f aca="false">SUMPRODUCT((('Aug 23'!$F$8:$F$42=$T4)*'Aug 23'!$AJ$8:$AJ$42+('Aug 23'!$G$8:$G$42=$T4)*'Aug 23'!$AK$8:$AK$42)*LOOKUP((('Aug 23'!$Q$8:$Q$42+'Aug 23'!$R$8:$R$42)*(('Aug 23'!$Q$8:$Q$42+'Aug 23'!$R$8:$R$42)&gt;0)),'Pay Plan'!$D$5:$K$5,INDEX('Pay Plan'!$D$6:$K$12,$BB4,0)))</f>
        <v>0</v>
      </c>
      <c r="AR42" s="0" t="n">
        <f aca="false">SUMPRODUCT((('Aug 24'!$F$8:$F$42=$T4)*'Aug 24'!$AJ$8:$AJ$42+('Aug 24'!$G$8:$G$42=$T4)*'Aug 24'!$AK$8:$AK$42)*LOOKUP((('Aug 24'!$Q$8:$Q$42+'Aug 24'!$R$8:$R$42)*(('Aug 24'!$Q$8:$Q$42+'Aug 24'!$R$8:$R$42)&gt;0)),'Pay Plan'!$D$5:$K$5,INDEX('Pay Plan'!$D$6:$K$12,$BB4,0)))</f>
        <v>0</v>
      </c>
      <c r="AS42" s="0" t="n">
        <f aca="false">SUMPRODUCT((('Aug 25'!$F$8:$F$42=$T4)*'Aug 25'!$AJ$8:$AJ$42+('Aug 25'!$G$8:$G$42=$T4)*'Aug 25'!$AK$8:$AK$42)*LOOKUP((('Aug 25'!$Q$8:$Q$42+'Aug 25'!$R$8:$R$42)*(('Aug 25'!$Q$8:$Q$42+'Aug 25'!$R$8:$R$42)&gt;0)),'Pay Plan'!$D$5:$K$5,INDEX('Pay Plan'!$D$6:$K$12,$BB4,0)))</f>
        <v>0</v>
      </c>
      <c r="AT42" s="0" t="n">
        <f aca="false">SUMPRODUCT((('Aug 26'!$F$8:$F$42=$T4)*'Aug 26'!$AJ$8:$AJ$42+('Aug 26'!$G$8:$G$42=$T4)*'Aug 26'!$AK$8:$AK$42)*LOOKUP((('Aug 26'!$Q$8:$Q$42+'Aug 26'!$R$8:$R$42)*(('Aug 26'!$Q$8:$Q$42+'Aug 26'!$R$8:$R$42)&gt;0)),'Pay Plan'!$D$5:$K$5,INDEX('Pay Plan'!$D$6:$K$12,$BB4,0)))</f>
        <v>0</v>
      </c>
      <c r="AU42" s="0" t="n">
        <f aca="false">SUMPRODUCT((('Aug 27'!$F$8:$F$42=$T4)*'Aug 27'!$AJ$8:$AJ$42+('Aug 27'!$G$8:$G$42=$T4)*'Aug 27'!$AK$8:$AK$42)*LOOKUP((('Aug 27'!$Q$8:$Q$42+'Aug 27'!$R$8:$R$42)*(('Aug 27'!$Q$8:$Q$42+'Aug 27'!$R$8:$R$42)&gt;0)),'Pay Plan'!$D$5:$K$5,INDEX('Pay Plan'!$D$6:$K$12,$BB4,0)))</f>
        <v>0</v>
      </c>
      <c r="AV42" s="0" t="n">
        <f aca="false">SUMPRODUCT((('Aug 28'!$F$8:$F$42=$T4)*'Aug 28'!$AJ$8:$AJ$42+('Aug 28'!$G$8:$G$42=$T4)*'Aug 28'!$AK$8:$AK$42)*LOOKUP((('Aug 28'!$Q$8:$Q$42+'Aug 28'!$R$8:$R$42)*(('Aug 28'!$Q$8:$Q$42+'Aug 28'!$R$8:$R$42)&gt;0)),'Pay Plan'!$D$5:$K$5,INDEX('Pay Plan'!$D$6:$K$12,$BB4,0)))</f>
        <v>0</v>
      </c>
      <c r="AW42" s="0" t="n">
        <f aca="false">SUMPRODUCT((('Aug 29'!$F$8:$F$42=$T4)*'Aug 29'!$AJ$8:$AJ$42+('Aug 29'!$G$8:$G$42=$T4)*'Aug 29'!$AK$8:$AK$42)*LOOKUP((('Aug 29'!$Q$8:$Q$42+'Aug 29'!$R$8:$R$42)*(('Aug 29'!$Q$8:$Q$42+'Aug 29'!$R$8:$R$42)&gt;0)),'Pay Plan'!$D$5:$K$5,INDEX('Pay Plan'!$D$6:$K$12,$BB4,0)))</f>
        <v>0</v>
      </c>
      <c r="AX42" s="0" t="n">
        <f aca="false">SUMPRODUCT((('Aug 30'!$F$8:$F$42=$T4)*'Aug 30'!$AJ$8:$AJ$42+('Aug 30'!$G$8:$G$42=$T4)*'Aug 30'!$AK$8:$AK$42)*LOOKUP((('Aug 30'!$Q$8:$Q$42+'Aug 30'!$R$8:$R$42)*(('Aug 30'!$Q$8:$Q$42+'Aug 30'!$R$8:$R$42)&gt;0)),'Pay Plan'!$D$5:$K$5,INDEX('Pay Plan'!$D$6:$K$12,$BB4,0)))</f>
        <v>0</v>
      </c>
      <c r="AY42" s="0" t="n">
        <f aca="false">SUMPRODUCT((('Aug 31'!$F$8:$F$42=$T4)*'Aug 31'!$AJ$8:$AJ$42+('Aug 31'!$G$8:$G$42=$T4)*'Aug 31'!$AK$8:$AK$42)*LOOKUP((('Aug 31'!$Q$8:$Q$42+'Aug 31'!$R$8:$R$42)*(('Aug 31'!$Q$8:$Q$42+'Aug 31'!$R$8:$R$42)&gt;0)),'Pay Plan'!$D$5:$K$5,INDEX('Pay Plan'!$D$6:$K$12,$BB4,0)))</f>
        <v>0</v>
      </c>
    </row>
    <row r="43" customFormat="false" ht="15" hidden="false" customHeight="false" outlineLevel="0" collapsed="false">
      <c r="U43" s="0" t="n">
        <f aca="false">SUMPRODUCT((('Aug 1'!$F$8:$F$42=$T5)*'Aug 1'!$AJ$8:$AJ$42+('Aug 1'!$G$8:$G$42=$T5)*'Aug 1'!$AK$8:$AK$42)*LOOKUP((('Aug 1'!$Q$8:$Q$42+'Aug 1'!$R$8:$R$42)*(('Aug 1'!$Q$8:$Q$42+'Aug 1'!$R$8:$R$42)&gt;0)),'Pay Plan'!$D$5:$K$5,INDEX('Pay Plan'!$D$6:$K$12,$BB5,0)))</f>
        <v>0</v>
      </c>
      <c r="V43" s="0" t="n">
        <f aca="false">SUMPRODUCT((('Aug 2'!$F$8:$F$42=$T5)*'Aug 2'!$AJ$8:$AJ$42+('Aug 2'!$G$8:$G$42=$T5)*'Aug 2'!$AK$8:$AK$42)*LOOKUP((('Aug 2'!$Q$8:$Q$42+'Aug 2'!$R$8:$R$42)*(('Aug 2'!$Q$8:$Q$42+'Aug 2'!$R$8:$R$42)&gt;0)),'Pay Plan'!$D$5:$K$5,INDEX('Pay Plan'!$D$6:$K$12,$BB5,0)))</f>
        <v>0</v>
      </c>
      <c r="W43" s="0" t="n">
        <f aca="false">SUMPRODUCT((('Aug 3'!$F$8:$F$42=$T5)*'Aug 3'!$AJ$8:$AJ$42+('Aug 3'!$G$8:$G$42=$T5)*'Aug 3'!$AK$8:$AK$42)*LOOKUP((('Aug 3'!$Q$8:$Q$42+'Aug 3'!$R$8:$R$42)*(('Aug 3'!$Q$8:$Q$42+'Aug 3'!$R$8:$R$42)&gt;0)),'Pay Plan'!$D$5:$K$5,INDEX('Pay Plan'!$D$6:$K$12,$BB5,0)))</f>
        <v>0</v>
      </c>
      <c r="X43" s="0" t="n">
        <f aca="false">SUMPRODUCT((('Aug 4'!$F$8:$F$42=$T5)*'Aug 4'!$AJ$8:$AJ$42+('Aug 4'!$G$8:$G$42=$T5)*'Aug 4'!$AK$8:$AK$42)*LOOKUP((('Aug 4'!$Q$8:$Q$42+'Aug 4'!$R$8:$R$42)*(('Aug 4'!$Q$8:$Q$42+'Aug 4'!$R$8:$R$42)&gt;0)),'Pay Plan'!$D$5:$K$5,INDEX('Pay Plan'!$D$6:$K$12,$BB5,0)))</f>
        <v>0</v>
      </c>
      <c r="Y43" s="0" t="n">
        <f aca="false">SUMPRODUCT((('Aug 5'!$F$8:$F$42=$T5)*'Aug 5'!$AJ$8:$AJ$42+('Aug 5'!$G$8:$G$42=$T5)*'Aug 5'!$AK$8:$AK$42)*LOOKUP((('Aug 5'!$Q$8:$Q$42+'Aug 5'!$R$8:$R$42)*(('Aug 5'!$Q$8:$Q$42+'Aug 5'!$R$8:$R$42)&gt;0)),'Pay Plan'!$D$5:$K$5,INDEX('Pay Plan'!$D$6:$K$12,$BB5,0)))</f>
        <v>0</v>
      </c>
      <c r="Z43" s="0" t="n">
        <f aca="false">SUMPRODUCT((('Aug 6'!$F$8:$F$42=$T5)*'Aug 6'!$AJ$8:$AJ$42+('Aug 6'!$G$8:$G$42=$T5)*'Aug 6'!$AK$8:$AK$42)*LOOKUP((('Aug 6'!$Q$8:$Q$42+'Aug 6'!$R$8:$R$42)*(('Aug 6'!$Q$8:$Q$42+'Aug 6'!$R$8:$R$42)&gt;0)),'Pay Plan'!$D$5:$K$5,INDEX('Pay Plan'!$D$6:$K$12,$BB5,0)))</f>
        <v>0</v>
      </c>
      <c r="AA43" s="0" t="n">
        <f aca="false">SUMPRODUCT((('Aug 7'!$F$8:$F$42=$T5)*'Aug 7'!$AJ$8:$AJ$42+('Aug 7'!$G$8:$G$42=$T5)*'Aug 7'!$AK$8:$AK$42)*LOOKUP((('Aug 7'!$Q$8:$Q$42+'Aug 7'!$R$8:$R$42)*(('Aug 7'!$Q$8:$Q$42+'Aug 7'!$R$8:$R$42)&gt;0)),'Pay Plan'!$D$5:$K$5,INDEX('Pay Plan'!$D$6:$K$12,$BB5,0)))</f>
        <v>0</v>
      </c>
      <c r="AB43" s="0" t="n">
        <f aca="false">SUMPRODUCT((('Aug 8'!$F$8:$F$42=$T5)*'Aug 8'!$AJ$8:$AJ$42+('Aug 8'!$G$8:$G$42=$T5)*'Aug 8'!$AK$8:$AK$42)*LOOKUP((('Aug 8'!$Q$8:$Q$42+'Aug 8'!$R$8:$R$42)*(('Aug 8'!$Q$8:$Q$42+'Aug 8'!$R$8:$R$42)&gt;0)),'Pay Plan'!$D$5:$K$5,INDEX('Pay Plan'!$D$6:$K$12,$BB5,0)))</f>
        <v>0</v>
      </c>
      <c r="AC43" s="0" t="n">
        <f aca="false">SUMPRODUCT((('Aug 9'!$F$8:$F$42=$T5)*'Aug 9'!$AJ$8:$AJ$42+('Aug 9'!$G$8:$G$42=$T5)*'Aug 9'!$AK$8:$AK$42)*LOOKUP((('Aug 9'!$Q$8:$Q$42+'Aug 9'!$R$8:$R$42)*(('Aug 9'!$Q$8:$Q$42+'Aug 9'!$R$8:$R$42)&gt;0)),'Pay Plan'!$D$5:$K$5,INDEX('Pay Plan'!$D$6:$K$12,$BB5,0)))</f>
        <v>0</v>
      </c>
      <c r="AD43" s="0" t="n">
        <f aca="false">SUMPRODUCT((('Aug 10'!$F$8:$F$42=$T5)*'Aug 10'!$AJ$8:$AJ$42+('Aug 10'!$G$8:$G$42=$T5)*'Aug 10'!$AK$8:$AK$42)*LOOKUP((('Aug 10'!$Q$8:$Q$42+'Aug 10'!$R$8:$R$42)*(('Aug 10'!$Q$8:$Q$42+'Aug 10'!$R$8:$R$42)&gt;0)),'Pay Plan'!$D$5:$K$5,INDEX('Pay Plan'!$D$6:$K$12,$BB5,0)))</f>
        <v>0</v>
      </c>
      <c r="AE43" s="0" t="n">
        <f aca="false">SUMPRODUCT((('Aug 11'!$F$8:$F$42=$T5)*'Aug 11'!$AJ$8:$AJ$42+('Aug 11'!$G$8:$G$42=$T5)*'Aug 11'!$AK$8:$AK$42)*LOOKUP((('Aug 11'!$Q$8:$Q$42+'Aug 11'!$R$8:$R$42)*(('Aug 11'!$Q$8:$Q$42+'Aug 11'!$R$8:$R$42)&gt;0)),'Pay Plan'!$D$5:$K$5,INDEX('Pay Plan'!$D$6:$K$12,$BB5,0)))</f>
        <v>0</v>
      </c>
      <c r="AF43" s="0" t="n">
        <f aca="false">SUMPRODUCT((('Aug 12'!$F$8:$F$42=$T5)*'Aug 12'!$AJ$8:$AJ$42+('Aug 12'!$G$8:$G$42=$T5)*'Aug 12'!$AK$8:$AK$42)*LOOKUP((('Aug 12'!$Q$8:$Q$42+'Aug 12'!$R$8:$R$42)*(('Aug 12'!$Q$8:$Q$42+'Aug 12'!$R$8:$R$42)&gt;0)),'Pay Plan'!$D$5:$K$5,INDEX('Pay Plan'!$D$6:$K$12,$BB5,0)))</f>
        <v>0</v>
      </c>
      <c r="AG43" s="0" t="n">
        <f aca="false">SUMPRODUCT((('Aug 13'!$F$8:$F$42=$T5)*'Aug 13'!$AJ$8:$AJ$42+('Aug 13'!$G$8:$G$42=$T5)*'Aug 13'!$AK$8:$AK$42)*LOOKUP((('Aug 13'!$Q$8:$Q$42+'Aug 13'!$R$8:$R$42)*(('Aug 13'!$Q$8:$Q$42+'Aug 13'!$R$8:$R$42)&gt;0)),'Pay Plan'!$D$5:$K$5,INDEX('Pay Plan'!$D$6:$K$12,$BB5,0)))</f>
        <v>0</v>
      </c>
      <c r="AH43" s="0" t="n">
        <f aca="false">SUMPRODUCT((('Aug 14'!$F$8:$F$42=$T5)*'Aug 14'!$AJ$8:$AJ$42+('Aug 14'!$G$8:$G$42=$T5)*'Aug 14'!$AK$8:$AK$42)*LOOKUP((('Aug 14'!$Q$8:$Q$42+'Aug 14'!$R$8:$R$42)*(('Aug 14'!$Q$8:$Q$42+'Aug 14'!$R$8:$R$42)&gt;0)),'Pay Plan'!$D$5:$K$5,INDEX('Pay Plan'!$D$6:$K$12,$BB5,0)))</f>
        <v>0</v>
      </c>
      <c r="AI43" s="0" t="n">
        <f aca="false">SUMPRODUCT((('Aug 15'!$F$8:$F$42=$T5)*'Aug 15'!$AJ$8:$AJ$42+('Aug 15'!$G$8:$G$42=$T5)*'Aug 15'!$AK$8:$AK$42)*LOOKUP((('Aug 15'!$Q$8:$Q$42+'Aug 15'!$R$8:$R$42)*(('Aug 15'!$Q$8:$Q$42+'Aug 15'!$R$8:$R$42)&gt;0)),'Pay Plan'!$D$5:$K$5,INDEX('Pay Plan'!$D$6:$K$12,$BB5,0)))</f>
        <v>0</v>
      </c>
      <c r="AJ43" s="0" t="n">
        <f aca="false">SUMPRODUCT((('Aug 16'!$F$8:$F$42=$T5)*'Aug 16'!$AJ$8:$AJ$42+('Aug 16'!$G$8:$G$42=$T5)*'Aug 16'!$AK$8:$AK$42)*LOOKUP((('Aug 16'!$Q$8:$Q$42+'Aug 16'!$R$8:$R$42)*(('Aug 16'!$Q$8:$Q$42+'Aug 16'!$R$8:$R$42)&gt;0)),'Pay Plan'!$D$5:$K$5,INDEX('Pay Plan'!$D$6:$K$12,$BB5,0)))</f>
        <v>0</v>
      </c>
      <c r="AK43" s="0" t="n">
        <f aca="false">SUMPRODUCT((('Aug 17'!$F$8:$F$42=$T5)*'Aug 17'!$AJ$8:$AJ$42+('Aug 17'!$G$8:$G$42=$T5)*'Aug 17'!$AK$8:$AK$42)*LOOKUP((('Aug 17'!$Q$8:$Q$42+'Aug 17'!$R$8:$R$42)*(('Aug 17'!$Q$8:$Q$42+'Aug 17'!$R$8:$R$42)&gt;0)),'Pay Plan'!$D$5:$K$5,INDEX('Pay Plan'!$D$6:$K$12,$BB5,0)))</f>
        <v>0</v>
      </c>
      <c r="AL43" s="0" t="n">
        <f aca="false">SUMPRODUCT((('Aug 18'!$F$8:$F$42=$T5)*'Aug 18'!$AJ$8:$AJ$42+('Aug 18'!$G$8:$G$42=$T5)*'Aug 18'!$AK$8:$AK$42)*LOOKUP((('Aug 18'!$Q$8:$Q$42+'Aug 18'!$R$8:$R$42)*(('Aug 18'!$Q$8:$Q$42+'Aug 18'!$R$8:$R$42)&gt;0)),'Pay Plan'!$D$5:$K$5,INDEX('Pay Plan'!$D$6:$K$12,$BB5,0)))</f>
        <v>0</v>
      </c>
      <c r="AM43" s="0" t="n">
        <f aca="false">SUMPRODUCT((('Aug 19'!$F$8:$F$42=$T5)*'Aug 19'!$AJ$8:$AJ$42+('Aug 19'!$G$8:$G$42=$T5)*'Aug 19'!$AK$8:$AK$42)*LOOKUP((('Aug 19'!$Q$8:$Q$42+'Aug 19'!$R$8:$R$42)*(('Aug 19'!$Q$8:$Q$42+'Aug 19'!$R$8:$R$42)&gt;0)),'Pay Plan'!$D$5:$K$5,INDEX('Pay Plan'!$D$6:$K$12,$BB5,0)))</f>
        <v>0</v>
      </c>
      <c r="AN43" s="0" t="n">
        <f aca="false">SUMPRODUCT((('Aug 20'!$F$8:$F$42=$T5)*'Aug 20'!$AJ$8:$AJ$42+('Aug 20'!$G$8:$G$42=$T5)*'Aug 20'!$AK$8:$AK$42)*LOOKUP((('Aug 20'!$Q$8:$Q$42+'Aug 20'!$R$8:$R$42)*(('Aug 20'!$Q$8:$Q$42+'Aug 20'!$R$8:$R$42)&gt;0)),'Pay Plan'!$D$5:$K$5,INDEX('Pay Plan'!$D$6:$K$12,$BB5,0)))</f>
        <v>0</v>
      </c>
      <c r="AO43" s="0" t="n">
        <f aca="false">SUMPRODUCT((('Aug 21'!$F$8:$F$42=$T5)*'Aug 21'!$AJ$8:$AJ$42+('Aug 21'!$G$8:$G$42=$T5)*'Aug 21'!$AK$8:$AK$42)*LOOKUP((('Aug 21'!$Q$8:$Q$42+'Aug 21'!$R$8:$R$42)*(('Aug 21'!$Q$8:$Q$42+'Aug 21'!$R$8:$R$42)&gt;0)),'Pay Plan'!$D$5:$K$5,INDEX('Pay Plan'!$D$6:$K$12,$BB5,0)))</f>
        <v>0</v>
      </c>
      <c r="AP43" s="0" t="n">
        <f aca="false">SUMPRODUCT((('Aug 22'!$F$8:$F$42=$T5)*'Aug 22'!$AJ$8:$AJ$42+('Aug 22'!$G$8:$G$42=$T5)*'Aug 22'!$AK$8:$AK$42)*LOOKUP((('Aug 22'!$Q$8:$Q$42+'Aug 22'!$R$8:$R$42)*(('Aug 22'!$Q$8:$Q$42+'Aug 22'!$R$8:$R$42)&gt;0)),'Pay Plan'!$D$5:$K$5,INDEX('Pay Plan'!$D$6:$K$12,$BB5,0)))</f>
        <v>0</v>
      </c>
      <c r="AQ43" s="0" t="n">
        <f aca="false">SUMPRODUCT((('Aug 23'!$F$8:$F$42=$T5)*'Aug 23'!$AJ$8:$AJ$42+('Aug 23'!$G$8:$G$42=$T5)*'Aug 23'!$AK$8:$AK$42)*LOOKUP((('Aug 23'!$Q$8:$Q$42+'Aug 23'!$R$8:$R$42)*(('Aug 23'!$Q$8:$Q$42+'Aug 23'!$R$8:$R$42)&gt;0)),'Pay Plan'!$D$5:$K$5,INDEX('Pay Plan'!$D$6:$K$12,$BB5,0)))</f>
        <v>0</v>
      </c>
      <c r="AR43" s="0" t="n">
        <f aca="false">SUMPRODUCT((('Aug 24'!$F$8:$F$42=$T5)*'Aug 24'!$AJ$8:$AJ$42+('Aug 24'!$G$8:$G$42=$T5)*'Aug 24'!$AK$8:$AK$42)*LOOKUP((('Aug 24'!$Q$8:$Q$42+'Aug 24'!$R$8:$R$42)*(('Aug 24'!$Q$8:$Q$42+'Aug 24'!$R$8:$R$42)&gt;0)),'Pay Plan'!$D$5:$K$5,INDEX('Pay Plan'!$D$6:$K$12,$BB5,0)))</f>
        <v>0</v>
      </c>
      <c r="AS43" s="0" t="n">
        <f aca="false">SUMPRODUCT((('Aug 25'!$F$8:$F$42=$T5)*'Aug 25'!$AJ$8:$AJ$42+('Aug 25'!$G$8:$G$42=$T5)*'Aug 25'!$AK$8:$AK$42)*LOOKUP((('Aug 25'!$Q$8:$Q$42+'Aug 25'!$R$8:$R$42)*(('Aug 25'!$Q$8:$Q$42+'Aug 25'!$R$8:$R$42)&gt;0)),'Pay Plan'!$D$5:$K$5,INDEX('Pay Plan'!$D$6:$K$12,$BB5,0)))</f>
        <v>0</v>
      </c>
      <c r="AT43" s="0" t="n">
        <f aca="false">SUMPRODUCT((('Aug 26'!$F$8:$F$42=$T5)*'Aug 26'!$AJ$8:$AJ$42+('Aug 26'!$G$8:$G$42=$T5)*'Aug 26'!$AK$8:$AK$42)*LOOKUP((('Aug 26'!$Q$8:$Q$42+'Aug 26'!$R$8:$R$42)*(('Aug 26'!$Q$8:$Q$42+'Aug 26'!$R$8:$R$42)&gt;0)),'Pay Plan'!$D$5:$K$5,INDEX('Pay Plan'!$D$6:$K$12,$BB5,0)))</f>
        <v>0</v>
      </c>
      <c r="AU43" s="0" t="n">
        <f aca="false">SUMPRODUCT((('Aug 27'!$F$8:$F$42=$T5)*'Aug 27'!$AJ$8:$AJ$42+('Aug 27'!$G$8:$G$42=$T5)*'Aug 27'!$AK$8:$AK$42)*LOOKUP((('Aug 27'!$Q$8:$Q$42+'Aug 27'!$R$8:$R$42)*(('Aug 27'!$Q$8:$Q$42+'Aug 27'!$R$8:$R$42)&gt;0)),'Pay Plan'!$D$5:$K$5,INDEX('Pay Plan'!$D$6:$K$12,$BB5,0)))</f>
        <v>0</v>
      </c>
      <c r="AV43" s="0" t="n">
        <f aca="false">SUMPRODUCT((('Aug 28'!$F$8:$F$42=$T5)*'Aug 28'!$AJ$8:$AJ$42+('Aug 28'!$G$8:$G$42=$T5)*'Aug 28'!$AK$8:$AK$42)*LOOKUP((('Aug 28'!$Q$8:$Q$42+'Aug 28'!$R$8:$R$42)*(('Aug 28'!$Q$8:$Q$42+'Aug 28'!$R$8:$R$42)&gt;0)),'Pay Plan'!$D$5:$K$5,INDEX('Pay Plan'!$D$6:$K$12,$BB5,0)))</f>
        <v>0</v>
      </c>
      <c r="AW43" s="0" t="n">
        <f aca="false">SUMPRODUCT((('Aug 29'!$F$8:$F$42=$T5)*'Aug 29'!$AJ$8:$AJ$42+('Aug 29'!$G$8:$G$42=$T5)*'Aug 29'!$AK$8:$AK$42)*LOOKUP((('Aug 29'!$Q$8:$Q$42+'Aug 29'!$R$8:$R$42)*(('Aug 29'!$Q$8:$Q$42+'Aug 29'!$R$8:$R$42)&gt;0)),'Pay Plan'!$D$5:$K$5,INDEX('Pay Plan'!$D$6:$K$12,$BB5,0)))</f>
        <v>0</v>
      </c>
      <c r="AX43" s="0" t="n">
        <f aca="false">SUMPRODUCT((('Aug 30'!$F$8:$F$42=$T5)*'Aug 30'!$AJ$8:$AJ$42+('Aug 30'!$G$8:$G$42=$T5)*'Aug 30'!$AK$8:$AK$42)*LOOKUP((('Aug 30'!$Q$8:$Q$42+'Aug 30'!$R$8:$R$42)*(('Aug 30'!$Q$8:$Q$42+'Aug 30'!$R$8:$R$42)&gt;0)),'Pay Plan'!$D$5:$K$5,INDEX('Pay Plan'!$D$6:$K$12,$BB5,0)))</f>
        <v>0</v>
      </c>
      <c r="AY43" s="0" t="n">
        <f aca="false">SUMPRODUCT((('Aug 31'!$F$8:$F$42=$T5)*'Aug 31'!$AJ$8:$AJ$42+('Aug 31'!$G$8:$G$42=$T5)*'Aug 31'!$AK$8:$AK$42)*LOOKUP((('Aug 31'!$Q$8:$Q$42+'Aug 31'!$R$8:$R$42)*(('Aug 31'!$Q$8:$Q$42+'Aug 31'!$R$8:$R$42)&gt;0)),'Pay Plan'!$D$5:$K$5,INDEX('Pay Plan'!$D$6:$K$12,$BB5,0)))</f>
        <v>0</v>
      </c>
    </row>
    <row r="44" customFormat="false" ht="15" hidden="false" customHeight="false" outlineLevel="0" collapsed="false">
      <c r="U44" s="0" t="n">
        <f aca="false">SUMPRODUCT((('Aug 1'!$F$8:$F$42=$T6)*'Aug 1'!$AJ$8:$AJ$42+('Aug 1'!$G$8:$G$42=$T6)*'Aug 1'!$AK$8:$AK$42)*LOOKUP((('Aug 1'!$Q$8:$Q$42+'Aug 1'!$R$8:$R$42)*(('Aug 1'!$Q$8:$Q$42+'Aug 1'!$R$8:$R$42)&gt;0)),'Pay Plan'!$D$5:$K$5,INDEX('Pay Plan'!$D$6:$K$12,$BB6,0)))</f>
        <v>0</v>
      </c>
      <c r="V44" s="0" t="n">
        <f aca="false">SUMPRODUCT((('Aug 2'!$F$8:$F$42=$T6)*'Aug 2'!$AJ$8:$AJ$42+('Aug 2'!$G$8:$G$42=$T6)*'Aug 2'!$AK$8:$AK$42)*LOOKUP((('Aug 2'!$Q$8:$Q$42+'Aug 2'!$R$8:$R$42)*(('Aug 2'!$Q$8:$Q$42+'Aug 2'!$R$8:$R$42)&gt;0)),'Pay Plan'!$D$5:$K$5,INDEX('Pay Plan'!$D$6:$K$12,$BB6,0)))</f>
        <v>0</v>
      </c>
      <c r="W44" s="0" t="n">
        <f aca="false">SUMPRODUCT((('Aug 3'!$F$8:$F$42=$T6)*'Aug 3'!$AJ$8:$AJ$42+('Aug 3'!$G$8:$G$42=$T6)*'Aug 3'!$AK$8:$AK$42)*LOOKUP((('Aug 3'!$Q$8:$Q$42+'Aug 3'!$R$8:$R$42)*(('Aug 3'!$Q$8:$Q$42+'Aug 3'!$R$8:$R$42)&gt;0)),'Pay Plan'!$D$5:$K$5,INDEX('Pay Plan'!$D$6:$K$12,$BB6,0)))</f>
        <v>0</v>
      </c>
      <c r="X44" s="0" t="n">
        <f aca="false">SUMPRODUCT((('Aug 4'!$F$8:$F$42=$T6)*'Aug 4'!$AJ$8:$AJ$42+('Aug 4'!$G$8:$G$42=$T6)*'Aug 4'!$AK$8:$AK$42)*LOOKUP((('Aug 4'!$Q$8:$Q$42+'Aug 4'!$R$8:$R$42)*(('Aug 4'!$Q$8:$Q$42+'Aug 4'!$R$8:$R$42)&gt;0)),'Pay Plan'!$D$5:$K$5,INDEX('Pay Plan'!$D$6:$K$12,$BB6,0)))</f>
        <v>0</v>
      </c>
      <c r="Y44" s="0" t="n">
        <f aca="false">SUMPRODUCT((('Aug 5'!$F$8:$F$42=$T6)*'Aug 5'!$AJ$8:$AJ$42+('Aug 5'!$G$8:$G$42=$T6)*'Aug 5'!$AK$8:$AK$42)*LOOKUP((('Aug 5'!$Q$8:$Q$42+'Aug 5'!$R$8:$R$42)*(('Aug 5'!$Q$8:$Q$42+'Aug 5'!$R$8:$R$42)&gt;0)),'Pay Plan'!$D$5:$K$5,INDEX('Pay Plan'!$D$6:$K$12,$BB6,0)))</f>
        <v>0</v>
      </c>
      <c r="Z44" s="0" t="n">
        <f aca="false">SUMPRODUCT((('Aug 6'!$F$8:$F$42=$T6)*'Aug 6'!$AJ$8:$AJ$42+('Aug 6'!$G$8:$G$42=$T6)*'Aug 6'!$AK$8:$AK$42)*LOOKUP((('Aug 6'!$Q$8:$Q$42+'Aug 6'!$R$8:$R$42)*(('Aug 6'!$Q$8:$Q$42+'Aug 6'!$R$8:$R$42)&gt;0)),'Pay Plan'!$D$5:$K$5,INDEX('Pay Plan'!$D$6:$K$12,$BB6,0)))</f>
        <v>0</v>
      </c>
      <c r="AA44" s="0" t="n">
        <f aca="false">SUMPRODUCT((('Aug 7'!$F$8:$F$42=$T6)*'Aug 7'!$AJ$8:$AJ$42+('Aug 7'!$G$8:$G$42=$T6)*'Aug 7'!$AK$8:$AK$42)*LOOKUP((('Aug 7'!$Q$8:$Q$42+'Aug 7'!$R$8:$R$42)*(('Aug 7'!$Q$8:$Q$42+'Aug 7'!$R$8:$R$42)&gt;0)),'Pay Plan'!$D$5:$K$5,INDEX('Pay Plan'!$D$6:$K$12,$BB6,0)))</f>
        <v>0</v>
      </c>
      <c r="AB44" s="0" t="n">
        <f aca="false">SUMPRODUCT((('Aug 8'!$F$8:$F$42=$T6)*'Aug 8'!$AJ$8:$AJ$42+('Aug 8'!$G$8:$G$42=$T6)*'Aug 8'!$AK$8:$AK$42)*LOOKUP((('Aug 8'!$Q$8:$Q$42+'Aug 8'!$R$8:$R$42)*(('Aug 8'!$Q$8:$Q$42+'Aug 8'!$R$8:$R$42)&gt;0)),'Pay Plan'!$D$5:$K$5,INDEX('Pay Plan'!$D$6:$K$12,$BB6,0)))</f>
        <v>0</v>
      </c>
      <c r="AC44" s="0" t="n">
        <f aca="false">SUMPRODUCT((('Aug 9'!$F$8:$F$42=$T6)*'Aug 9'!$AJ$8:$AJ$42+('Aug 9'!$G$8:$G$42=$T6)*'Aug 9'!$AK$8:$AK$42)*LOOKUP((('Aug 9'!$Q$8:$Q$42+'Aug 9'!$R$8:$R$42)*(('Aug 9'!$Q$8:$Q$42+'Aug 9'!$R$8:$R$42)&gt;0)),'Pay Plan'!$D$5:$K$5,INDEX('Pay Plan'!$D$6:$K$12,$BB6,0)))</f>
        <v>0</v>
      </c>
      <c r="AD44" s="0" t="n">
        <f aca="false">SUMPRODUCT((('Aug 10'!$F$8:$F$42=$T6)*'Aug 10'!$AJ$8:$AJ$42+('Aug 10'!$G$8:$G$42=$T6)*'Aug 10'!$AK$8:$AK$42)*LOOKUP((('Aug 10'!$Q$8:$Q$42+'Aug 10'!$R$8:$R$42)*(('Aug 10'!$Q$8:$Q$42+'Aug 10'!$R$8:$R$42)&gt;0)),'Pay Plan'!$D$5:$K$5,INDEX('Pay Plan'!$D$6:$K$12,$BB6,0)))</f>
        <v>0</v>
      </c>
      <c r="AE44" s="0" t="n">
        <f aca="false">SUMPRODUCT((('Aug 11'!$F$8:$F$42=$T6)*'Aug 11'!$AJ$8:$AJ$42+('Aug 11'!$G$8:$G$42=$T6)*'Aug 11'!$AK$8:$AK$42)*LOOKUP((('Aug 11'!$Q$8:$Q$42+'Aug 11'!$R$8:$R$42)*(('Aug 11'!$Q$8:$Q$42+'Aug 11'!$R$8:$R$42)&gt;0)),'Pay Plan'!$D$5:$K$5,INDEX('Pay Plan'!$D$6:$K$12,$BB6,0)))</f>
        <v>0</v>
      </c>
      <c r="AF44" s="0" t="n">
        <f aca="false">SUMPRODUCT((('Aug 12'!$F$8:$F$42=$T6)*'Aug 12'!$AJ$8:$AJ$42+('Aug 12'!$G$8:$G$42=$T6)*'Aug 12'!$AK$8:$AK$42)*LOOKUP((('Aug 12'!$Q$8:$Q$42+'Aug 12'!$R$8:$R$42)*(('Aug 12'!$Q$8:$Q$42+'Aug 12'!$R$8:$R$42)&gt;0)),'Pay Plan'!$D$5:$K$5,INDEX('Pay Plan'!$D$6:$K$12,$BB6,0)))</f>
        <v>0</v>
      </c>
      <c r="AG44" s="0" t="n">
        <f aca="false">SUMPRODUCT((('Aug 13'!$F$8:$F$42=$T6)*'Aug 13'!$AJ$8:$AJ$42+('Aug 13'!$G$8:$G$42=$T6)*'Aug 13'!$AK$8:$AK$42)*LOOKUP((('Aug 13'!$Q$8:$Q$42+'Aug 13'!$R$8:$R$42)*(('Aug 13'!$Q$8:$Q$42+'Aug 13'!$R$8:$R$42)&gt;0)),'Pay Plan'!$D$5:$K$5,INDEX('Pay Plan'!$D$6:$K$12,$BB6,0)))</f>
        <v>0</v>
      </c>
      <c r="AH44" s="0" t="n">
        <f aca="false">SUMPRODUCT((('Aug 14'!$F$8:$F$42=$T6)*'Aug 14'!$AJ$8:$AJ$42+('Aug 14'!$G$8:$G$42=$T6)*'Aug 14'!$AK$8:$AK$42)*LOOKUP((('Aug 14'!$Q$8:$Q$42+'Aug 14'!$R$8:$R$42)*(('Aug 14'!$Q$8:$Q$42+'Aug 14'!$R$8:$R$42)&gt;0)),'Pay Plan'!$D$5:$K$5,INDEX('Pay Plan'!$D$6:$K$12,$BB6,0)))</f>
        <v>0</v>
      </c>
      <c r="AI44" s="0" t="n">
        <f aca="false">SUMPRODUCT((('Aug 15'!$F$8:$F$42=$T6)*'Aug 15'!$AJ$8:$AJ$42+('Aug 15'!$G$8:$G$42=$T6)*'Aug 15'!$AK$8:$AK$42)*LOOKUP((('Aug 15'!$Q$8:$Q$42+'Aug 15'!$R$8:$R$42)*(('Aug 15'!$Q$8:$Q$42+'Aug 15'!$R$8:$R$42)&gt;0)),'Pay Plan'!$D$5:$K$5,INDEX('Pay Plan'!$D$6:$K$12,$BB6,0)))</f>
        <v>0</v>
      </c>
      <c r="AJ44" s="0" t="n">
        <f aca="false">SUMPRODUCT((('Aug 16'!$F$8:$F$42=$T6)*'Aug 16'!$AJ$8:$AJ$42+('Aug 16'!$G$8:$G$42=$T6)*'Aug 16'!$AK$8:$AK$42)*LOOKUP((('Aug 16'!$Q$8:$Q$42+'Aug 16'!$R$8:$R$42)*(('Aug 16'!$Q$8:$Q$42+'Aug 16'!$R$8:$R$42)&gt;0)),'Pay Plan'!$D$5:$K$5,INDEX('Pay Plan'!$D$6:$K$12,$BB6,0)))</f>
        <v>0</v>
      </c>
      <c r="AK44" s="0" t="n">
        <f aca="false">SUMPRODUCT((('Aug 17'!$F$8:$F$42=$T6)*'Aug 17'!$AJ$8:$AJ$42+('Aug 17'!$G$8:$G$42=$T6)*'Aug 17'!$AK$8:$AK$42)*LOOKUP((('Aug 17'!$Q$8:$Q$42+'Aug 17'!$R$8:$R$42)*(('Aug 17'!$Q$8:$Q$42+'Aug 17'!$R$8:$R$42)&gt;0)),'Pay Plan'!$D$5:$K$5,INDEX('Pay Plan'!$D$6:$K$12,$BB6,0)))</f>
        <v>0</v>
      </c>
      <c r="AL44" s="0" t="n">
        <f aca="false">SUMPRODUCT((('Aug 18'!$F$8:$F$42=$T6)*'Aug 18'!$AJ$8:$AJ$42+('Aug 18'!$G$8:$G$42=$T6)*'Aug 18'!$AK$8:$AK$42)*LOOKUP((('Aug 18'!$Q$8:$Q$42+'Aug 18'!$R$8:$R$42)*(('Aug 18'!$Q$8:$Q$42+'Aug 18'!$R$8:$R$42)&gt;0)),'Pay Plan'!$D$5:$K$5,INDEX('Pay Plan'!$D$6:$K$12,$BB6,0)))</f>
        <v>0</v>
      </c>
      <c r="AM44" s="0" t="n">
        <f aca="false">SUMPRODUCT((('Aug 19'!$F$8:$F$42=$T6)*'Aug 19'!$AJ$8:$AJ$42+('Aug 19'!$G$8:$G$42=$T6)*'Aug 19'!$AK$8:$AK$42)*LOOKUP((('Aug 19'!$Q$8:$Q$42+'Aug 19'!$R$8:$R$42)*(('Aug 19'!$Q$8:$Q$42+'Aug 19'!$R$8:$R$42)&gt;0)),'Pay Plan'!$D$5:$K$5,INDEX('Pay Plan'!$D$6:$K$12,$BB6,0)))</f>
        <v>0</v>
      </c>
      <c r="AN44" s="0" t="n">
        <f aca="false">SUMPRODUCT((('Aug 20'!$F$8:$F$42=$T6)*'Aug 20'!$AJ$8:$AJ$42+('Aug 20'!$G$8:$G$42=$T6)*'Aug 20'!$AK$8:$AK$42)*LOOKUP((('Aug 20'!$Q$8:$Q$42+'Aug 20'!$R$8:$R$42)*(('Aug 20'!$Q$8:$Q$42+'Aug 20'!$R$8:$R$42)&gt;0)),'Pay Plan'!$D$5:$K$5,INDEX('Pay Plan'!$D$6:$K$12,$BB6,0)))</f>
        <v>0</v>
      </c>
      <c r="AO44" s="0" t="n">
        <f aca="false">SUMPRODUCT((('Aug 21'!$F$8:$F$42=$T6)*'Aug 21'!$AJ$8:$AJ$42+('Aug 21'!$G$8:$G$42=$T6)*'Aug 21'!$AK$8:$AK$42)*LOOKUP((('Aug 21'!$Q$8:$Q$42+'Aug 21'!$R$8:$R$42)*(('Aug 21'!$Q$8:$Q$42+'Aug 21'!$R$8:$R$42)&gt;0)),'Pay Plan'!$D$5:$K$5,INDEX('Pay Plan'!$D$6:$K$12,$BB6,0)))</f>
        <v>0</v>
      </c>
      <c r="AP44" s="0" t="n">
        <f aca="false">SUMPRODUCT((('Aug 22'!$F$8:$F$42=$T6)*'Aug 22'!$AJ$8:$AJ$42+('Aug 22'!$G$8:$G$42=$T6)*'Aug 22'!$AK$8:$AK$42)*LOOKUP((('Aug 22'!$Q$8:$Q$42+'Aug 22'!$R$8:$R$42)*(('Aug 22'!$Q$8:$Q$42+'Aug 22'!$R$8:$R$42)&gt;0)),'Pay Plan'!$D$5:$K$5,INDEX('Pay Plan'!$D$6:$K$12,$BB6,0)))</f>
        <v>0</v>
      </c>
      <c r="AQ44" s="0" t="n">
        <f aca="false">SUMPRODUCT((('Aug 23'!$F$8:$F$42=$T6)*'Aug 23'!$AJ$8:$AJ$42+('Aug 23'!$G$8:$G$42=$T6)*'Aug 23'!$AK$8:$AK$42)*LOOKUP((('Aug 23'!$Q$8:$Q$42+'Aug 23'!$R$8:$R$42)*(('Aug 23'!$Q$8:$Q$42+'Aug 23'!$R$8:$R$42)&gt;0)),'Pay Plan'!$D$5:$K$5,INDEX('Pay Plan'!$D$6:$K$12,$BB6,0)))</f>
        <v>0</v>
      </c>
      <c r="AR44" s="0" t="n">
        <f aca="false">SUMPRODUCT((('Aug 24'!$F$8:$F$42=$T6)*'Aug 24'!$AJ$8:$AJ$42+('Aug 24'!$G$8:$G$42=$T6)*'Aug 24'!$AK$8:$AK$42)*LOOKUP((('Aug 24'!$Q$8:$Q$42+'Aug 24'!$R$8:$R$42)*(('Aug 24'!$Q$8:$Q$42+'Aug 24'!$R$8:$R$42)&gt;0)),'Pay Plan'!$D$5:$K$5,INDEX('Pay Plan'!$D$6:$K$12,$BB6,0)))</f>
        <v>0</v>
      </c>
      <c r="AS44" s="0" t="n">
        <f aca="false">SUMPRODUCT((('Aug 25'!$F$8:$F$42=$T6)*'Aug 25'!$AJ$8:$AJ$42+('Aug 25'!$G$8:$G$42=$T6)*'Aug 25'!$AK$8:$AK$42)*LOOKUP((('Aug 25'!$Q$8:$Q$42+'Aug 25'!$R$8:$R$42)*(('Aug 25'!$Q$8:$Q$42+'Aug 25'!$R$8:$R$42)&gt;0)),'Pay Plan'!$D$5:$K$5,INDEX('Pay Plan'!$D$6:$K$12,$BB6,0)))</f>
        <v>0</v>
      </c>
      <c r="AT44" s="0" t="n">
        <f aca="false">SUMPRODUCT((('Aug 26'!$F$8:$F$42=$T6)*'Aug 26'!$AJ$8:$AJ$42+('Aug 26'!$G$8:$G$42=$T6)*'Aug 26'!$AK$8:$AK$42)*LOOKUP((('Aug 26'!$Q$8:$Q$42+'Aug 26'!$R$8:$R$42)*(('Aug 26'!$Q$8:$Q$42+'Aug 26'!$R$8:$R$42)&gt;0)),'Pay Plan'!$D$5:$K$5,INDEX('Pay Plan'!$D$6:$K$12,$BB6,0)))</f>
        <v>0</v>
      </c>
      <c r="AU44" s="0" t="n">
        <f aca="false">SUMPRODUCT((('Aug 27'!$F$8:$F$42=$T6)*'Aug 27'!$AJ$8:$AJ$42+('Aug 27'!$G$8:$G$42=$T6)*'Aug 27'!$AK$8:$AK$42)*LOOKUP((('Aug 27'!$Q$8:$Q$42+'Aug 27'!$R$8:$R$42)*(('Aug 27'!$Q$8:$Q$42+'Aug 27'!$R$8:$R$42)&gt;0)),'Pay Plan'!$D$5:$K$5,INDEX('Pay Plan'!$D$6:$K$12,$BB6,0)))</f>
        <v>0</v>
      </c>
      <c r="AV44" s="0" t="n">
        <f aca="false">SUMPRODUCT((('Aug 28'!$F$8:$F$42=$T6)*'Aug 28'!$AJ$8:$AJ$42+('Aug 28'!$G$8:$G$42=$T6)*'Aug 28'!$AK$8:$AK$42)*LOOKUP((('Aug 28'!$Q$8:$Q$42+'Aug 28'!$R$8:$R$42)*(('Aug 28'!$Q$8:$Q$42+'Aug 28'!$R$8:$R$42)&gt;0)),'Pay Plan'!$D$5:$K$5,INDEX('Pay Plan'!$D$6:$K$12,$BB6,0)))</f>
        <v>0</v>
      </c>
      <c r="AW44" s="0" t="n">
        <f aca="false">SUMPRODUCT((('Aug 29'!$F$8:$F$42=$T6)*'Aug 29'!$AJ$8:$AJ$42+('Aug 29'!$G$8:$G$42=$T6)*'Aug 29'!$AK$8:$AK$42)*LOOKUP((('Aug 29'!$Q$8:$Q$42+'Aug 29'!$R$8:$R$42)*(('Aug 29'!$Q$8:$Q$42+'Aug 29'!$R$8:$R$42)&gt;0)),'Pay Plan'!$D$5:$K$5,INDEX('Pay Plan'!$D$6:$K$12,$BB6,0)))</f>
        <v>0</v>
      </c>
      <c r="AX44" s="0" t="n">
        <f aca="false">SUMPRODUCT((('Aug 30'!$F$8:$F$42=$T6)*'Aug 30'!$AJ$8:$AJ$42+('Aug 30'!$G$8:$G$42=$T6)*'Aug 30'!$AK$8:$AK$42)*LOOKUP((('Aug 30'!$Q$8:$Q$42+'Aug 30'!$R$8:$R$42)*(('Aug 30'!$Q$8:$Q$42+'Aug 30'!$R$8:$R$42)&gt;0)),'Pay Plan'!$D$5:$K$5,INDEX('Pay Plan'!$D$6:$K$12,$BB6,0)))</f>
        <v>0</v>
      </c>
      <c r="AY44" s="0" t="n">
        <f aca="false">SUMPRODUCT((('Aug 31'!$F$8:$F$42=$T6)*'Aug 31'!$AJ$8:$AJ$42+('Aug 31'!$G$8:$G$42=$T6)*'Aug 31'!$AK$8:$AK$42)*LOOKUP((('Aug 31'!$Q$8:$Q$42+'Aug 31'!$R$8:$R$42)*(('Aug 31'!$Q$8:$Q$42+'Aug 31'!$R$8:$R$42)&gt;0)),'Pay Plan'!$D$5:$K$5,INDEX('Pay Plan'!$D$6:$K$12,$BB6,0)))</f>
        <v>0</v>
      </c>
    </row>
    <row r="45" customFormat="false" ht="15" hidden="false" customHeight="false" outlineLevel="0" collapsed="false">
      <c r="U45" s="0" t="n">
        <f aca="false">SUMPRODUCT((('Aug 1'!$F$8:$F$42=$T7)*'Aug 1'!$AJ$8:$AJ$42+('Aug 1'!$G$8:$G$42=$T7)*'Aug 1'!$AK$8:$AK$42)*LOOKUP((('Aug 1'!$Q$8:$Q$42+'Aug 1'!$R$8:$R$42)*(('Aug 1'!$Q$8:$Q$42+'Aug 1'!$R$8:$R$42)&gt;0)),'Pay Plan'!$D$5:$K$5,INDEX('Pay Plan'!$D$6:$K$12,$BB7,0)))</f>
        <v>0</v>
      </c>
      <c r="V45" s="0" t="n">
        <f aca="false">SUMPRODUCT((('Aug 2'!$F$8:$F$42=$T7)*'Aug 2'!$AJ$8:$AJ$42+('Aug 2'!$G$8:$G$42=$T7)*'Aug 2'!$AK$8:$AK$42)*LOOKUP((('Aug 2'!$Q$8:$Q$42+'Aug 2'!$R$8:$R$42)*(('Aug 2'!$Q$8:$Q$42+'Aug 2'!$R$8:$R$42)&gt;0)),'Pay Plan'!$D$5:$K$5,INDEX('Pay Plan'!$D$6:$K$12,$BB7,0)))</f>
        <v>0</v>
      </c>
      <c r="W45" s="0" t="n">
        <f aca="false">SUMPRODUCT((('Aug 3'!$F$8:$F$42=$T7)*'Aug 3'!$AJ$8:$AJ$42+('Aug 3'!$G$8:$G$42=$T7)*'Aug 3'!$AK$8:$AK$42)*LOOKUP((('Aug 3'!$Q$8:$Q$42+'Aug 3'!$R$8:$R$42)*(('Aug 3'!$Q$8:$Q$42+'Aug 3'!$R$8:$R$42)&gt;0)),'Pay Plan'!$D$5:$K$5,INDEX('Pay Plan'!$D$6:$K$12,$BB7,0)))</f>
        <v>0</v>
      </c>
      <c r="X45" s="0" t="n">
        <f aca="false">SUMPRODUCT((('Aug 4'!$F$8:$F$42=$T7)*'Aug 4'!$AJ$8:$AJ$42+('Aug 4'!$G$8:$G$42=$T7)*'Aug 4'!$AK$8:$AK$42)*LOOKUP((('Aug 4'!$Q$8:$Q$42+'Aug 4'!$R$8:$R$42)*(('Aug 4'!$Q$8:$Q$42+'Aug 4'!$R$8:$R$42)&gt;0)),'Pay Plan'!$D$5:$K$5,INDEX('Pay Plan'!$D$6:$K$12,$BB7,0)))</f>
        <v>0</v>
      </c>
      <c r="Y45" s="0" t="n">
        <f aca="false">SUMPRODUCT((('Aug 5'!$F$8:$F$42=$T7)*'Aug 5'!$AJ$8:$AJ$42+('Aug 5'!$G$8:$G$42=$T7)*'Aug 5'!$AK$8:$AK$42)*LOOKUP((('Aug 5'!$Q$8:$Q$42+'Aug 5'!$R$8:$R$42)*(('Aug 5'!$Q$8:$Q$42+'Aug 5'!$R$8:$R$42)&gt;0)),'Pay Plan'!$D$5:$K$5,INDEX('Pay Plan'!$D$6:$K$12,$BB7,0)))</f>
        <v>0</v>
      </c>
      <c r="Z45" s="0" t="n">
        <f aca="false">SUMPRODUCT((('Aug 6'!$F$8:$F$42=$T7)*'Aug 6'!$AJ$8:$AJ$42+('Aug 6'!$G$8:$G$42=$T7)*'Aug 6'!$AK$8:$AK$42)*LOOKUP((('Aug 6'!$Q$8:$Q$42+'Aug 6'!$R$8:$R$42)*(('Aug 6'!$Q$8:$Q$42+'Aug 6'!$R$8:$R$42)&gt;0)),'Pay Plan'!$D$5:$K$5,INDEX('Pay Plan'!$D$6:$K$12,$BB7,0)))</f>
        <v>0</v>
      </c>
      <c r="AA45" s="0" t="n">
        <f aca="false">SUMPRODUCT((('Aug 7'!$F$8:$F$42=$T7)*'Aug 7'!$AJ$8:$AJ$42+('Aug 7'!$G$8:$G$42=$T7)*'Aug 7'!$AK$8:$AK$42)*LOOKUP((('Aug 7'!$Q$8:$Q$42+'Aug 7'!$R$8:$R$42)*(('Aug 7'!$Q$8:$Q$42+'Aug 7'!$R$8:$R$42)&gt;0)),'Pay Plan'!$D$5:$K$5,INDEX('Pay Plan'!$D$6:$K$12,$BB7,0)))</f>
        <v>0</v>
      </c>
      <c r="AB45" s="0" t="n">
        <f aca="false">SUMPRODUCT((('Aug 8'!$F$8:$F$42=$T7)*'Aug 8'!$AJ$8:$AJ$42+('Aug 8'!$G$8:$G$42=$T7)*'Aug 8'!$AK$8:$AK$42)*LOOKUP((('Aug 8'!$Q$8:$Q$42+'Aug 8'!$R$8:$R$42)*(('Aug 8'!$Q$8:$Q$42+'Aug 8'!$R$8:$R$42)&gt;0)),'Pay Plan'!$D$5:$K$5,INDEX('Pay Plan'!$D$6:$K$12,$BB7,0)))</f>
        <v>0</v>
      </c>
      <c r="AC45" s="0" t="n">
        <f aca="false">SUMPRODUCT((('Aug 9'!$F$8:$F$42=$T7)*'Aug 9'!$AJ$8:$AJ$42+('Aug 9'!$G$8:$G$42=$T7)*'Aug 9'!$AK$8:$AK$42)*LOOKUP((('Aug 9'!$Q$8:$Q$42+'Aug 9'!$R$8:$R$42)*(('Aug 9'!$Q$8:$Q$42+'Aug 9'!$R$8:$R$42)&gt;0)),'Pay Plan'!$D$5:$K$5,INDEX('Pay Plan'!$D$6:$K$12,$BB7,0)))</f>
        <v>0</v>
      </c>
      <c r="AD45" s="0" t="n">
        <f aca="false">SUMPRODUCT((('Aug 10'!$F$8:$F$42=$T7)*'Aug 10'!$AJ$8:$AJ$42+('Aug 10'!$G$8:$G$42=$T7)*'Aug 10'!$AK$8:$AK$42)*LOOKUP((('Aug 10'!$Q$8:$Q$42+'Aug 10'!$R$8:$R$42)*(('Aug 10'!$Q$8:$Q$42+'Aug 10'!$R$8:$R$42)&gt;0)),'Pay Plan'!$D$5:$K$5,INDEX('Pay Plan'!$D$6:$K$12,$BB7,0)))</f>
        <v>0</v>
      </c>
      <c r="AE45" s="0" t="n">
        <f aca="false">SUMPRODUCT((('Aug 11'!$F$8:$F$42=$T7)*'Aug 11'!$AJ$8:$AJ$42+('Aug 11'!$G$8:$G$42=$T7)*'Aug 11'!$AK$8:$AK$42)*LOOKUP((('Aug 11'!$Q$8:$Q$42+'Aug 11'!$R$8:$R$42)*(('Aug 11'!$Q$8:$Q$42+'Aug 11'!$R$8:$R$42)&gt;0)),'Pay Plan'!$D$5:$K$5,INDEX('Pay Plan'!$D$6:$K$12,$BB7,0)))</f>
        <v>0</v>
      </c>
      <c r="AF45" s="0" t="n">
        <f aca="false">SUMPRODUCT((('Aug 12'!$F$8:$F$42=$T7)*'Aug 12'!$AJ$8:$AJ$42+('Aug 12'!$G$8:$G$42=$T7)*'Aug 12'!$AK$8:$AK$42)*LOOKUP((('Aug 12'!$Q$8:$Q$42+'Aug 12'!$R$8:$R$42)*(('Aug 12'!$Q$8:$Q$42+'Aug 12'!$R$8:$R$42)&gt;0)),'Pay Plan'!$D$5:$K$5,INDEX('Pay Plan'!$D$6:$K$12,$BB7,0)))</f>
        <v>0</v>
      </c>
      <c r="AG45" s="0" t="n">
        <f aca="false">SUMPRODUCT((('Aug 13'!$F$8:$F$42=$T7)*'Aug 13'!$AJ$8:$AJ$42+('Aug 13'!$G$8:$G$42=$T7)*'Aug 13'!$AK$8:$AK$42)*LOOKUP((('Aug 13'!$Q$8:$Q$42+'Aug 13'!$R$8:$R$42)*(('Aug 13'!$Q$8:$Q$42+'Aug 13'!$R$8:$R$42)&gt;0)),'Pay Plan'!$D$5:$K$5,INDEX('Pay Plan'!$D$6:$K$12,$BB7,0)))</f>
        <v>0</v>
      </c>
      <c r="AH45" s="0" t="n">
        <f aca="false">SUMPRODUCT((('Aug 14'!$F$8:$F$42=$T7)*'Aug 14'!$AJ$8:$AJ$42+('Aug 14'!$G$8:$G$42=$T7)*'Aug 14'!$AK$8:$AK$42)*LOOKUP((('Aug 14'!$Q$8:$Q$42+'Aug 14'!$R$8:$R$42)*(('Aug 14'!$Q$8:$Q$42+'Aug 14'!$R$8:$R$42)&gt;0)),'Pay Plan'!$D$5:$K$5,INDEX('Pay Plan'!$D$6:$K$12,$BB7,0)))</f>
        <v>0</v>
      </c>
      <c r="AI45" s="0" t="n">
        <f aca="false">SUMPRODUCT((('Aug 15'!$F$8:$F$42=$T7)*'Aug 15'!$AJ$8:$AJ$42+('Aug 15'!$G$8:$G$42=$T7)*'Aug 15'!$AK$8:$AK$42)*LOOKUP((('Aug 15'!$Q$8:$Q$42+'Aug 15'!$R$8:$R$42)*(('Aug 15'!$Q$8:$Q$42+'Aug 15'!$R$8:$R$42)&gt;0)),'Pay Plan'!$D$5:$K$5,INDEX('Pay Plan'!$D$6:$K$12,$BB7,0)))</f>
        <v>0</v>
      </c>
      <c r="AJ45" s="0" t="n">
        <f aca="false">SUMPRODUCT((('Aug 16'!$F$8:$F$42=$T7)*'Aug 16'!$AJ$8:$AJ$42+('Aug 16'!$G$8:$G$42=$T7)*'Aug 16'!$AK$8:$AK$42)*LOOKUP((('Aug 16'!$Q$8:$Q$42+'Aug 16'!$R$8:$R$42)*(('Aug 16'!$Q$8:$Q$42+'Aug 16'!$R$8:$R$42)&gt;0)),'Pay Plan'!$D$5:$K$5,INDEX('Pay Plan'!$D$6:$K$12,$BB7,0)))</f>
        <v>0</v>
      </c>
      <c r="AK45" s="0" t="n">
        <f aca="false">SUMPRODUCT((('Aug 17'!$F$8:$F$42=$T7)*'Aug 17'!$AJ$8:$AJ$42+('Aug 17'!$G$8:$G$42=$T7)*'Aug 17'!$AK$8:$AK$42)*LOOKUP((('Aug 17'!$Q$8:$Q$42+'Aug 17'!$R$8:$R$42)*(('Aug 17'!$Q$8:$Q$42+'Aug 17'!$R$8:$R$42)&gt;0)),'Pay Plan'!$D$5:$K$5,INDEX('Pay Plan'!$D$6:$K$12,$BB7,0)))</f>
        <v>0</v>
      </c>
      <c r="AL45" s="0" t="n">
        <f aca="false">SUMPRODUCT((('Aug 18'!$F$8:$F$42=$T7)*'Aug 18'!$AJ$8:$AJ$42+('Aug 18'!$G$8:$G$42=$T7)*'Aug 18'!$AK$8:$AK$42)*LOOKUP((('Aug 18'!$Q$8:$Q$42+'Aug 18'!$R$8:$R$42)*(('Aug 18'!$Q$8:$Q$42+'Aug 18'!$R$8:$R$42)&gt;0)),'Pay Plan'!$D$5:$K$5,INDEX('Pay Plan'!$D$6:$K$12,$BB7,0)))</f>
        <v>0</v>
      </c>
      <c r="AM45" s="0" t="n">
        <f aca="false">SUMPRODUCT((('Aug 19'!$F$8:$F$42=$T7)*'Aug 19'!$AJ$8:$AJ$42+('Aug 19'!$G$8:$G$42=$T7)*'Aug 19'!$AK$8:$AK$42)*LOOKUP((('Aug 19'!$Q$8:$Q$42+'Aug 19'!$R$8:$R$42)*(('Aug 19'!$Q$8:$Q$42+'Aug 19'!$R$8:$R$42)&gt;0)),'Pay Plan'!$D$5:$K$5,INDEX('Pay Plan'!$D$6:$K$12,$BB7,0)))</f>
        <v>0</v>
      </c>
      <c r="AN45" s="0" t="n">
        <f aca="false">SUMPRODUCT((('Aug 20'!$F$8:$F$42=$T7)*'Aug 20'!$AJ$8:$AJ$42+('Aug 20'!$G$8:$G$42=$T7)*'Aug 20'!$AK$8:$AK$42)*LOOKUP((('Aug 20'!$Q$8:$Q$42+'Aug 20'!$R$8:$R$42)*(('Aug 20'!$Q$8:$Q$42+'Aug 20'!$R$8:$R$42)&gt;0)),'Pay Plan'!$D$5:$K$5,INDEX('Pay Plan'!$D$6:$K$12,$BB7,0)))</f>
        <v>0</v>
      </c>
      <c r="AO45" s="0" t="n">
        <f aca="false">SUMPRODUCT((('Aug 21'!$F$8:$F$42=$T7)*'Aug 21'!$AJ$8:$AJ$42+('Aug 21'!$G$8:$G$42=$T7)*'Aug 21'!$AK$8:$AK$42)*LOOKUP((('Aug 21'!$Q$8:$Q$42+'Aug 21'!$R$8:$R$42)*(('Aug 21'!$Q$8:$Q$42+'Aug 21'!$R$8:$R$42)&gt;0)),'Pay Plan'!$D$5:$K$5,INDEX('Pay Plan'!$D$6:$K$12,$BB7,0)))</f>
        <v>0</v>
      </c>
      <c r="AP45" s="0" t="n">
        <f aca="false">SUMPRODUCT((('Aug 22'!$F$8:$F$42=$T7)*'Aug 22'!$AJ$8:$AJ$42+('Aug 22'!$G$8:$G$42=$T7)*'Aug 22'!$AK$8:$AK$42)*LOOKUP((('Aug 22'!$Q$8:$Q$42+'Aug 22'!$R$8:$R$42)*(('Aug 22'!$Q$8:$Q$42+'Aug 22'!$R$8:$R$42)&gt;0)),'Pay Plan'!$D$5:$K$5,INDEX('Pay Plan'!$D$6:$K$12,$BB7,0)))</f>
        <v>0</v>
      </c>
      <c r="AQ45" s="0" t="n">
        <f aca="false">SUMPRODUCT((('Aug 23'!$F$8:$F$42=$T7)*'Aug 23'!$AJ$8:$AJ$42+('Aug 23'!$G$8:$G$42=$T7)*'Aug 23'!$AK$8:$AK$42)*LOOKUP((('Aug 23'!$Q$8:$Q$42+'Aug 23'!$R$8:$R$42)*(('Aug 23'!$Q$8:$Q$42+'Aug 23'!$R$8:$R$42)&gt;0)),'Pay Plan'!$D$5:$K$5,INDEX('Pay Plan'!$D$6:$K$12,$BB7,0)))</f>
        <v>0</v>
      </c>
      <c r="AR45" s="0" t="n">
        <f aca="false">SUMPRODUCT((('Aug 24'!$F$8:$F$42=$T7)*'Aug 24'!$AJ$8:$AJ$42+('Aug 24'!$G$8:$G$42=$T7)*'Aug 24'!$AK$8:$AK$42)*LOOKUP((('Aug 24'!$Q$8:$Q$42+'Aug 24'!$R$8:$R$42)*(('Aug 24'!$Q$8:$Q$42+'Aug 24'!$R$8:$R$42)&gt;0)),'Pay Plan'!$D$5:$K$5,INDEX('Pay Plan'!$D$6:$K$12,$BB7,0)))</f>
        <v>0</v>
      </c>
      <c r="AS45" s="0" t="n">
        <f aca="false">SUMPRODUCT((('Aug 25'!$F$8:$F$42=$T7)*'Aug 25'!$AJ$8:$AJ$42+('Aug 25'!$G$8:$G$42=$T7)*'Aug 25'!$AK$8:$AK$42)*LOOKUP((('Aug 25'!$Q$8:$Q$42+'Aug 25'!$R$8:$R$42)*(('Aug 25'!$Q$8:$Q$42+'Aug 25'!$R$8:$R$42)&gt;0)),'Pay Plan'!$D$5:$K$5,INDEX('Pay Plan'!$D$6:$K$12,$BB7,0)))</f>
        <v>0</v>
      </c>
      <c r="AT45" s="0" t="n">
        <f aca="false">SUMPRODUCT((('Aug 26'!$F$8:$F$42=$T7)*'Aug 26'!$AJ$8:$AJ$42+('Aug 26'!$G$8:$G$42=$T7)*'Aug 26'!$AK$8:$AK$42)*LOOKUP((('Aug 26'!$Q$8:$Q$42+'Aug 26'!$R$8:$R$42)*(('Aug 26'!$Q$8:$Q$42+'Aug 26'!$R$8:$R$42)&gt;0)),'Pay Plan'!$D$5:$K$5,INDEX('Pay Plan'!$D$6:$K$12,$BB7,0)))</f>
        <v>0</v>
      </c>
      <c r="AU45" s="0" t="n">
        <f aca="false">SUMPRODUCT((('Aug 27'!$F$8:$F$42=$T7)*'Aug 27'!$AJ$8:$AJ$42+('Aug 27'!$G$8:$G$42=$T7)*'Aug 27'!$AK$8:$AK$42)*LOOKUP((('Aug 27'!$Q$8:$Q$42+'Aug 27'!$R$8:$R$42)*(('Aug 27'!$Q$8:$Q$42+'Aug 27'!$R$8:$R$42)&gt;0)),'Pay Plan'!$D$5:$K$5,INDEX('Pay Plan'!$D$6:$K$12,$BB7,0)))</f>
        <v>0</v>
      </c>
      <c r="AV45" s="0" t="n">
        <f aca="false">SUMPRODUCT((('Aug 28'!$F$8:$F$42=$T7)*'Aug 28'!$AJ$8:$AJ$42+('Aug 28'!$G$8:$G$42=$T7)*'Aug 28'!$AK$8:$AK$42)*LOOKUP((('Aug 28'!$Q$8:$Q$42+'Aug 28'!$R$8:$R$42)*(('Aug 28'!$Q$8:$Q$42+'Aug 28'!$R$8:$R$42)&gt;0)),'Pay Plan'!$D$5:$K$5,INDEX('Pay Plan'!$D$6:$K$12,$BB7,0)))</f>
        <v>0</v>
      </c>
      <c r="AW45" s="0" t="n">
        <f aca="false">SUMPRODUCT((('Aug 29'!$F$8:$F$42=$T7)*'Aug 29'!$AJ$8:$AJ$42+('Aug 29'!$G$8:$G$42=$T7)*'Aug 29'!$AK$8:$AK$42)*LOOKUP((('Aug 29'!$Q$8:$Q$42+'Aug 29'!$R$8:$R$42)*(('Aug 29'!$Q$8:$Q$42+'Aug 29'!$R$8:$R$42)&gt;0)),'Pay Plan'!$D$5:$K$5,INDEX('Pay Plan'!$D$6:$K$12,$BB7,0)))</f>
        <v>0</v>
      </c>
      <c r="AX45" s="0" t="n">
        <f aca="false">SUMPRODUCT((('Aug 30'!$F$8:$F$42=$T7)*'Aug 30'!$AJ$8:$AJ$42+('Aug 30'!$G$8:$G$42=$T7)*'Aug 30'!$AK$8:$AK$42)*LOOKUP((('Aug 30'!$Q$8:$Q$42+'Aug 30'!$R$8:$R$42)*(('Aug 30'!$Q$8:$Q$42+'Aug 30'!$R$8:$R$42)&gt;0)),'Pay Plan'!$D$5:$K$5,INDEX('Pay Plan'!$D$6:$K$12,$BB7,0)))</f>
        <v>0</v>
      </c>
      <c r="AY45" s="0" t="n">
        <f aca="false">SUMPRODUCT((('Aug 31'!$F$8:$F$42=$T7)*'Aug 31'!$AJ$8:$AJ$42+('Aug 31'!$G$8:$G$42=$T7)*'Aug 31'!$AK$8:$AK$42)*LOOKUP((('Aug 31'!$Q$8:$Q$42+'Aug 31'!$R$8:$R$42)*(('Aug 31'!$Q$8:$Q$42+'Aug 31'!$R$8:$R$42)&gt;0)),'Pay Plan'!$D$5:$K$5,INDEX('Pay Plan'!$D$6:$K$12,$BB7,0)))</f>
        <v>0</v>
      </c>
    </row>
    <row r="46" customFormat="false" ht="15" hidden="false" customHeight="false" outlineLevel="0" collapsed="false">
      <c r="U46" s="0" t="n">
        <f aca="false">SUMPRODUCT((('Aug 1'!$F$8:$F$42=$T8)*'Aug 1'!$AJ$8:$AJ$42+('Aug 1'!$G$8:$G$42=$T8)*'Aug 1'!$AK$8:$AK$42)*LOOKUP((('Aug 1'!$Q$8:$Q$42+'Aug 1'!$R$8:$R$42)*(('Aug 1'!$Q$8:$Q$42+'Aug 1'!$R$8:$R$42)&gt;0)),'Pay Plan'!$D$5:$K$5,INDEX('Pay Plan'!$D$6:$K$12,$BB8,0)))</f>
        <v>0</v>
      </c>
      <c r="V46" s="0" t="n">
        <f aca="false">SUMPRODUCT((('Aug 2'!$F$8:$F$42=$T8)*'Aug 2'!$AJ$8:$AJ$42+('Aug 2'!$G$8:$G$42=$T8)*'Aug 2'!$AK$8:$AK$42)*LOOKUP((('Aug 2'!$Q$8:$Q$42+'Aug 2'!$R$8:$R$42)*(('Aug 2'!$Q$8:$Q$42+'Aug 2'!$R$8:$R$42)&gt;0)),'Pay Plan'!$D$5:$K$5,INDEX('Pay Plan'!$D$6:$K$12,$BB8,0)))</f>
        <v>0</v>
      </c>
      <c r="W46" s="0" t="n">
        <f aca="false">SUMPRODUCT((('Aug 3'!$F$8:$F$42=$T8)*'Aug 3'!$AJ$8:$AJ$42+('Aug 3'!$G$8:$G$42=$T8)*'Aug 3'!$AK$8:$AK$42)*LOOKUP((('Aug 3'!$Q$8:$Q$42+'Aug 3'!$R$8:$R$42)*(('Aug 3'!$Q$8:$Q$42+'Aug 3'!$R$8:$R$42)&gt;0)),'Pay Plan'!$D$5:$K$5,INDEX('Pay Plan'!$D$6:$K$12,$BB8,0)))</f>
        <v>0</v>
      </c>
      <c r="X46" s="0" t="n">
        <f aca="false">SUMPRODUCT((('Aug 4'!$F$8:$F$42=$T8)*'Aug 4'!$AJ$8:$AJ$42+('Aug 4'!$G$8:$G$42=$T8)*'Aug 4'!$AK$8:$AK$42)*LOOKUP((('Aug 4'!$Q$8:$Q$42+'Aug 4'!$R$8:$R$42)*(('Aug 4'!$Q$8:$Q$42+'Aug 4'!$R$8:$R$42)&gt;0)),'Pay Plan'!$D$5:$K$5,INDEX('Pay Plan'!$D$6:$K$12,$BB8,0)))</f>
        <v>0</v>
      </c>
      <c r="Y46" s="0" t="n">
        <f aca="false">SUMPRODUCT((('Aug 5'!$F$8:$F$42=$T8)*'Aug 5'!$AJ$8:$AJ$42+('Aug 5'!$G$8:$G$42=$T8)*'Aug 5'!$AK$8:$AK$42)*LOOKUP((('Aug 5'!$Q$8:$Q$42+'Aug 5'!$R$8:$R$42)*(('Aug 5'!$Q$8:$Q$42+'Aug 5'!$R$8:$R$42)&gt;0)),'Pay Plan'!$D$5:$K$5,INDEX('Pay Plan'!$D$6:$K$12,$BB8,0)))</f>
        <v>0</v>
      </c>
      <c r="Z46" s="0" t="n">
        <f aca="false">SUMPRODUCT((('Aug 6'!$F$8:$F$42=$T8)*'Aug 6'!$AJ$8:$AJ$42+('Aug 6'!$G$8:$G$42=$T8)*'Aug 6'!$AK$8:$AK$42)*LOOKUP((('Aug 6'!$Q$8:$Q$42+'Aug 6'!$R$8:$R$42)*(('Aug 6'!$Q$8:$Q$42+'Aug 6'!$R$8:$R$42)&gt;0)),'Pay Plan'!$D$5:$K$5,INDEX('Pay Plan'!$D$6:$K$12,$BB8,0)))</f>
        <v>0</v>
      </c>
      <c r="AA46" s="0" t="n">
        <f aca="false">SUMPRODUCT((('Aug 7'!$F$8:$F$42=$T8)*'Aug 7'!$AJ$8:$AJ$42+('Aug 7'!$G$8:$G$42=$T8)*'Aug 7'!$AK$8:$AK$42)*LOOKUP((('Aug 7'!$Q$8:$Q$42+'Aug 7'!$R$8:$R$42)*(('Aug 7'!$Q$8:$Q$42+'Aug 7'!$R$8:$R$42)&gt;0)),'Pay Plan'!$D$5:$K$5,INDEX('Pay Plan'!$D$6:$K$12,$BB8,0)))</f>
        <v>0</v>
      </c>
      <c r="AB46" s="0" t="n">
        <f aca="false">SUMPRODUCT((('Aug 8'!$F$8:$F$42=$T8)*'Aug 8'!$AJ$8:$AJ$42+('Aug 8'!$G$8:$G$42=$T8)*'Aug 8'!$AK$8:$AK$42)*LOOKUP((('Aug 8'!$Q$8:$Q$42+'Aug 8'!$R$8:$R$42)*(('Aug 8'!$Q$8:$Q$42+'Aug 8'!$R$8:$R$42)&gt;0)),'Pay Plan'!$D$5:$K$5,INDEX('Pay Plan'!$D$6:$K$12,$BB8,0)))</f>
        <v>0</v>
      </c>
      <c r="AC46" s="0" t="n">
        <f aca="false">SUMPRODUCT((('Aug 9'!$F$8:$F$42=$T8)*'Aug 9'!$AJ$8:$AJ$42+('Aug 9'!$G$8:$G$42=$T8)*'Aug 9'!$AK$8:$AK$42)*LOOKUP((('Aug 9'!$Q$8:$Q$42+'Aug 9'!$R$8:$R$42)*(('Aug 9'!$Q$8:$Q$42+'Aug 9'!$R$8:$R$42)&gt;0)),'Pay Plan'!$D$5:$K$5,INDEX('Pay Plan'!$D$6:$K$12,$BB8,0)))</f>
        <v>0</v>
      </c>
      <c r="AD46" s="0" t="n">
        <f aca="false">SUMPRODUCT((('Aug 10'!$F$8:$F$42=$T8)*'Aug 10'!$AJ$8:$AJ$42+('Aug 10'!$G$8:$G$42=$T8)*'Aug 10'!$AK$8:$AK$42)*LOOKUP((('Aug 10'!$Q$8:$Q$42+'Aug 10'!$R$8:$R$42)*(('Aug 10'!$Q$8:$Q$42+'Aug 10'!$R$8:$R$42)&gt;0)),'Pay Plan'!$D$5:$K$5,INDEX('Pay Plan'!$D$6:$K$12,$BB8,0)))</f>
        <v>0</v>
      </c>
      <c r="AE46" s="0" t="n">
        <f aca="false">SUMPRODUCT((('Aug 11'!$F$8:$F$42=$T8)*'Aug 11'!$AJ$8:$AJ$42+('Aug 11'!$G$8:$G$42=$T8)*'Aug 11'!$AK$8:$AK$42)*LOOKUP((('Aug 11'!$Q$8:$Q$42+'Aug 11'!$R$8:$R$42)*(('Aug 11'!$Q$8:$Q$42+'Aug 11'!$R$8:$R$42)&gt;0)),'Pay Plan'!$D$5:$K$5,INDEX('Pay Plan'!$D$6:$K$12,$BB8,0)))</f>
        <v>0</v>
      </c>
      <c r="AF46" s="0" t="n">
        <f aca="false">SUMPRODUCT((('Aug 12'!$F$8:$F$42=$T8)*'Aug 12'!$AJ$8:$AJ$42+('Aug 12'!$G$8:$G$42=$T8)*'Aug 12'!$AK$8:$AK$42)*LOOKUP((('Aug 12'!$Q$8:$Q$42+'Aug 12'!$R$8:$R$42)*(('Aug 12'!$Q$8:$Q$42+'Aug 12'!$R$8:$R$42)&gt;0)),'Pay Plan'!$D$5:$K$5,INDEX('Pay Plan'!$D$6:$K$12,$BB8,0)))</f>
        <v>0</v>
      </c>
      <c r="AG46" s="0" t="n">
        <f aca="false">SUMPRODUCT((('Aug 13'!$F$8:$F$42=$T8)*'Aug 13'!$AJ$8:$AJ$42+('Aug 13'!$G$8:$G$42=$T8)*'Aug 13'!$AK$8:$AK$42)*LOOKUP((('Aug 13'!$Q$8:$Q$42+'Aug 13'!$R$8:$R$42)*(('Aug 13'!$Q$8:$Q$42+'Aug 13'!$R$8:$R$42)&gt;0)),'Pay Plan'!$D$5:$K$5,INDEX('Pay Plan'!$D$6:$K$12,$BB8,0)))</f>
        <v>0</v>
      </c>
      <c r="AH46" s="0" t="n">
        <f aca="false">SUMPRODUCT((('Aug 14'!$F$8:$F$42=$T8)*'Aug 14'!$AJ$8:$AJ$42+('Aug 14'!$G$8:$G$42=$T8)*'Aug 14'!$AK$8:$AK$42)*LOOKUP((('Aug 14'!$Q$8:$Q$42+'Aug 14'!$R$8:$R$42)*(('Aug 14'!$Q$8:$Q$42+'Aug 14'!$R$8:$R$42)&gt;0)),'Pay Plan'!$D$5:$K$5,INDEX('Pay Plan'!$D$6:$K$12,$BB8,0)))</f>
        <v>0</v>
      </c>
      <c r="AI46" s="0" t="n">
        <f aca="false">SUMPRODUCT((('Aug 15'!$F$8:$F$42=$T8)*'Aug 15'!$AJ$8:$AJ$42+('Aug 15'!$G$8:$G$42=$T8)*'Aug 15'!$AK$8:$AK$42)*LOOKUP((('Aug 15'!$Q$8:$Q$42+'Aug 15'!$R$8:$R$42)*(('Aug 15'!$Q$8:$Q$42+'Aug 15'!$R$8:$R$42)&gt;0)),'Pay Plan'!$D$5:$K$5,INDEX('Pay Plan'!$D$6:$K$12,$BB8,0)))</f>
        <v>0</v>
      </c>
      <c r="AJ46" s="0" t="n">
        <f aca="false">SUMPRODUCT((('Aug 16'!$F$8:$F$42=$T8)*'Aug 16'!$AJ$8:$AJ$42+('Aug 16'!$G$8:$G$42=$T8)*'Aug 16'!$AK$8:$AK$42)*LOOKUP((('Aug 16'!$Q$8:$Q$42+'Aug 16'!$R$8:$R$42)*(('Aug 16'!$Q$8:$Q$42+'Aug 16'!$R$8:$R$42)&gt;0)),'Pay Plan'!$D$5:$K$5,INDEX('Pay Plan'!$D$6:$K$12,$BB8,0)))</f>
        <v>0</v>
      </c>
      <c r="AK46" s="0" t="n">
        <f aca="false">SUMPRODUCT((('Aug 17'!$F$8:$F$42=$T8)*'Aug 17'!$AJ$8:$AJ$42+('Aug 17'!$G$8:$G$42=$T8)*'Aug 17'!$AK$8:$AK$42)*LOOKUP((('Aug 17'!$Q$8:$Q$42+'Aug 17'!$R$8:$R$42)*(('Aug 17'!$Q$8:$Q$42+'Aug 17'!$R$8:$R$42)&gt;0)),'Pay Plan'!$D$5:$K$5,INDEX('Pay Plan'!$D$6:$K$12,$BB8,0)))</f>
        <v>0</v>
      </c>
      <c r="AL46" s="0" t="n">
        <f aca="false">SUMPRODUCT((('Aug 18'!$F$8:$F$42=$T8)*'Aug 18'!$AJ$8:$AJ$42+('Aug 18'!$G$8:$G$42=$T8)*'Aug 18'!$AK$8:$AK$42)*LOOKUP((('Aug 18'!$Q$8:$Q$42+'Aug 18'!$R$8:$R$42)*(('Aug 18'!$Q$8:$Q$42+'Aug 18'!$R$8:$R$42)&gt;0)),'Pay Plan'!$D$5:$K$5,INDEX('Pay Plan'!$D$6:$K$12,$BB8,0)))</f>
        <v>0</v>
      </c>
      <c r="AM46" s="0" t="n">
        <f aca="false">SUMPRODUCT((('Aug 19'!$F$8:$F$42=$T8)*'Aug 19'!$AJ$8:$AJ$42+('Aug 19'!$G$8:$G$42=$T8)*'Aug 19'!$AK$8:$AK$42)*LOOKUP((('Aug 19'!$Q$8:$Q$42+'Aug 19'!$R$8:$R$42)*(('Aug 19'!$Q$8:$Q$42+'Aug 19'!$R$8:$R$42)&gt;0)),'Pay Plan'!$D$5:$K$5,INDEX('Pay Plan'!$D$6:$K$12,$BB8,0)))</f>
        <v>0</v>
      </c>
      <c r="AN46" s="0" t="n">
        <f aca="false">SUMPRODUCT((('Aug 20'!$F$8:$F$42=$T8)*'Aug 20'!$AJ$8:$AJ$42+('Aug 20'!$G$8:$G$42=$T8)*'Aug 20'!$AK$8:$AK$42)*LOOKUP((('Aug 20'!$Q$8:$Q$42+'Aug 20'!$R$8:$R$42)*(('Aug 20'!$Q$8:$Q$42+'Aug 20'!$R$8:$R$42)&gt;0)),'Pay Plan'!$D$5:$K$5,INDEX('Pay Plan'!$D$6:$K$12,$BB8,0)))</f>
        <v>0</v>
      </c>
      <c r="AO46" s="0" t="n">
        <f aca="false">SUMPRODUCT((('Aug 21'!$F$8:$F$42=$T8)*'Aug 21'!$AJ$8:$AJ$42+('Aug 21'!$G$8:$G$42=$T8)*'Aug 21'!$AK$8:$AK$42)*LOOKUP((('Aug 21'!$Q$8:$Q$42+'Aug 21'!$R$8:$R$42)*(('Aug 21'!$Q$8:$Q$42+'Aug 21'!$R$8:$R$42)&gt;0)),'Pay Plan'!$D$5:$K$5,INDEX('Pay Plan'!$D$6:$K$12,$BB8,0)))</f>
        <v>0</v>
      </c>
      <c r="AP46" s="0" t="n">
        <f aca="false">SUMPRODUCT((('Aug 22'!$F$8:$F$42=$T8)*'Aug 22'!$AJ$8:$AJ$42+('Aug 22'!$G$8:$G$42=$T8)*'Aug 22'!$AK$8:$AK$42)*LOOKUP((('Aug 22'!$Q$8:$Q$42+'Aug 22'!$R$8:$R$42)*(('Aug 22'!$Q$8:$Q$42+'Aug 22'!$R$8:$R$42)&gt;0)),'Pay Plan'!$D$5:$K$5,INDEX('Pay Plan'!$D$6:$K$12,$BB8,0)))</f>
        <v>0</v>
      </c>
      <c r="AQ46" s="0" t="n">
        <f aca="false">SUMPRODUCT((('Aug 23'!$F$8:$F$42=$T8)*'Aug 23'!$AJ$8:$AJ$42+('Aug 23'!$G$8:$G$42=$T8)*'Aug 23'!$AK$8:$AK$42)*LOOKUP((('Aug 23'!$Q$8:$Q$42+'Aug 23'!$R$8:$R$42)*(('Aug 23'!$Q$8:$Q$42+'Aug 23'!$R$8:$R$42)&gt;0)),'Pay Plan'!$D$5:$K$5,INDEX('Pay Plan'!$D$6:$K$12,$BB8,0)))</f>
        <v>0</v>
      </c>
      <c r="AR46" s="0" t="n">
        <f aca="false">SUMPRODUCT((('Aug 24'!$F$8:$F$42=$T8)*'Aug 24'!$AJ$8:$AJ$42+('Aug 24'!$G$8:$G$42=$T8)*'Aug 24'!$AK$8:$AK$42)*LOOKUP((('Aug 24'!$Q$8:$Q$42+'Aug 24'!$R$8:$R$42)*(('Aug 24'!$Q$8:$Q$42+'Aug 24'!$R$8:$R$42)&gt;0)),'Pay Plan'!$D$5:$K$5,INDEX('Pay Plan'!$D$6:$K$12,$BB8,0)))</f>
        <v>0</v>
      </c>
      <c r="AS46" s="0" t="n">
        <f aca="false">SUMPRODUCT((('Aug 25'!$F$8:$F$42=$T8)*'Aug 25'!$AJ$8:$AJ$42+('Aug 25'!$G$8:$G$42=$T8)*'Aug 25'!$AK$8:$AK$42)*LOOKUP((('Aug 25'!$Q$8:$Q$42+'Aug 25'!$R$8:$R$42)*(('Aug 25'!$Q$8:$Q$42+'Aug 25'!$R$8:$R$42)&gt;0)),'Pay Plan'!$D$5:$K$5,INDEX('Pay Plan'!$D$6:$K$12,$BB8,0)))</f>
        <v>0</v>
      </c>
      <c r="AT46" s="0" t="n">
        <f aca="false">SUMPRODUCT((('Aug 26'!$F$8:$F$42=$T8)*'Aug 26'!$AJ$8:$AJ$42+('Aug 26'!$G$8:$G$42=$T8)*'Aug 26'!$AK$8:$AK$42)*LOOKUP((('Aug 26'!$Q$8:$Q$42+'Aug 26'!$R$8:$R$42)*(('Aug 26'!$Q$8:$Q$42+'Aug 26'!$R$8:$R$42)&gt;0)),'Pay Plan'!$D$5:$K$5,INDEX('Pay Plan'!$D$6:$K$12,$BB8,0)))</f>
        <v>0</v>
      </c>
      <c r="AU46" s="0" t="n">
        <f aca="false">SUMPRODUCT((('Aug 27'!$F$8:$F$42=$T8)*'Aug 27'!$AJ$8:$AJ$42+('Aug 27'!$G$8:$G$42=$T8)*'Aug 27'!$AK$8:$AK$42)*LOOKUP((('Aug 27'!$Q$8:$Q$42+'Aug 27'!$R$8:$R$42)*(('Aug 27'!$Q$8:$Q$42+'Aug 27'!$R$8:$R$42)&gt;0)),'Pay Plan'!$D$5:$K$5,INDEX('Pay Plan'!$D$6:$K$12,$BB8,0)))</f>
        <v>0</v>
      </c>
      <c r="AV46" s="0" t="n">
        <f aca="false">SUMPRODUCT((('Aug 28'!$F$8:$F$42=$T8)*'Aug 28'!$AJ$8:$AJ$42+('Aug 28'!$G$8:$G$42=$T8)*'Aug 28'!$AK$8:$AK$42)*LOOKUP((('Aug 28'!$Q$8:$Q$42+'Aug 28'!$R$8:$R$42)*(('Aug 28'!$Q$8:$Q$42+'Aug 28'!$R$8:$R$42)&gt;0)),'Pay Plan'!$D$5:$K$5,INDEX('Pay Plan'!$D$6:$K$12,$BB8,0)))</f>
        <v>0</v>
      </c>
      <c r="AW46" s="0" t="n">
        <f aca="false">SUMPRODUCT((('Aug 29'!$F$8:$F$42=$T8)*'Aug 29'!$AJ$8:$AJ$42+('Aug 29'!$G$8:$G$42=$T8)*'Aug 29'!$AK$8:$AK$42)*LOOKUP((('Aug 29'!$Q$8:$Q$42+'Aug 29'!$R$8:$R$42)*(('Aug 29'!$Q$8:$Q$42+'Aug 29'!$R$8:$R$42)&gt;0)),'Pay Plan'!$D$5:$K$5,INDEX('Pay Plan'!$D$6:$K$12,$BB8,0)))</f>
        <v>0</v>
      </c>
      <c r="AX46" s="0" t="n">
        <f aca="false">SUMPRODUCT((('Aug 30'!$F$8:$F$42=$T8)*'Aug 30'!$AJ$8:$AJ$42+('Aug 30'!$G$8:$G$42=$T8)*'Aug 30'!$AK$8:$AK$42)*LOOKUP((('Aug 30'!$Q$8:$Q$42+'Aug 30'!$R$8:$R$42)*(('Aug 30'!$Q$8:$Q$42+'Aug 30'!$R$8:$R$42)&gt;0)),'Pay Plan'!$D$5:$K$5,INDEX('Pay Plan'!$D$6:$K$12,$BB8,0)))</f>
        <v>0</v>
      </c>
      <c r="AY46" s="0" t="n">
        <f aca="false">SUMPRODUCT((('Aug 31'!$F$8:$F$42=$T8)*'Aug 31'!$AJ$8:$AJ$42+('Aug 31'!$G$8:$G$42=$T8)*'Aug 31'!$AK$8:$AK$42)*LOOKUP((('Aug 31'!$Q$8:$Q$42+'Aug 31'!$R$8:$R$42)*(('Aug 31'!$Q$8:$Q$42+'Aug 31'!$R$8:$R$42)&gt;0)),'Pay Plan'!$D$5:$K$5,INDEX('Pay Plan'!$D$6:$K$12,$BB8,0)))</f>
        <v>0</v>
      </c>
    </row>
    <row r="47" customFormat="false" ht="15" hidden="false" customHeight="false" outlineLevel="0" collapsed="false">
      <c r="U47" s="0" t="n">
        <f aca="false">SUMPRODUCT((('Aug 1'!$F$8:$F$42=$T9)*'Aug 1'!$AJ$8:$AJ$42+('Aug 1'!$G$8:$G$42=$T9)*'Aug 1'!$AK$8:$AK$42)*LOOKUP((('Aug 1'!$Q$8:$Q$42+'Aug 1'!$R$8:$R$42)*(('Aug 1'!$Q$8:$Q$42+'Aug 1'!$R$8:$R$42)&gt;0)),'Pay Plan'!$D$5:$K$5,INDEX('Pay Plan'!$D$6:$K$12,$BB9,0)))</f>
        <v>0</v>
      </c>
      <c r="V47" s="0" t="n">
        <f aca="false">SUMPRODUCT((('Aug 2'!$F$8:$F$42=$T9)*'Aug 2'!$AJ$8:$AJ$42+('Aug 2'!$G$8:$G$42=$T9)*'Aug 2'!$AK$8:$AK$42)*LOOKUP((('Aug 2'!$Q$8:$Q$42+'Aug 2'!$R$8:$R$42)*(('Aug 2'!$Q$8:$Q$42+'Aug 2'!$R$8:$R$42)&gt;0)),'Pay Plan'!$D$5:$K$5,INDEX('Pay Plan'!$D$6:$K$12,$BB9,0)))</f>
        <v>0</v>
      </c>
      <c r="W47" s="0" t="n">
        <f aca="false">SUMPRODUCT((('Aug 3'!$F$8:$F$42=$T9)*'Aug 3'!$AJ$8:$AJ$42+('Aug 3'!$G$8:$G$42=$T9)*'Aug 3'!$AK$8:$AK$42)*LOOKUP((('Aug 3'!$Q$8:$Q$42+'Aug 3'!$R$8:$R$42)*(('Aug 3'!$Q$8:$Q$42+'Aug 3'!$R$8:$R$42)&gt;0)),'Pay Plan'!$D$5:$K$5,INDEX('Pay Plan'!$D$6:$K$12,$BB9,0)))</f>
        <v>0</v>
      </c>
      <c r="X47" s="0" t="n">
        <f aca="false">SUMPRODUCT((('Aug 4'!$F$8:$F$42=$T9)*'Aug 4'!$AJ$8:$AJ$42+('Aug 4'!$G$8:$G$42=$T9)*'Aug 4'!$AK$8:$AK$42)*LOOKUP((('Aug 4'!$Q$8:$Q$42+'Aug 4'!$R$8:$R$42)*(('Aug 4'!$Q$8:$Q$42+'Aug 4'!$R$8:$R$42)&gt;0)),'Pay Plan'!$D$5:$K$5,INDEX('Pay Plan'!$D$6:$K$12,$BB9,0)))</f>
        <v>0</v>
      </c>
      <c r="Y47" s="0" t="n">
        <f aca="false">SUMPRODUCT((('Aug 5'!$F$8:$F$42=$T9)*'Aug 5'!$AJ$8:$AJ$42+('Aug 5'!$G$8:$G$42=$T9)*'Aug 5'!$AK$8:$AK$42)*LOOKUP((('Aug 5'!$Q$8:$Q$42+'Aug 5'!$R$8:$R$42)*(('Aug 5'!$Q$8:$Q$42+'Aug 5'!$R$8:$R$42)&gt;0)),'Pay Plan'!$D$5:$K$5,INDEX('Pay Plan'!$D$6:$K$12,$BB9,0)))</f>
        <v>0</v>
      </c>
      <c r="Z47" s="0" t="n">
        <f aca="false">SUMPRODUCT((('Aug 6'!$F$8:$F$42=$T9)*'Aug 6'!$AJ$8:$AJ$42+('Aug 6'!$G$8:$G$42=$T9)*'Aug 6'!$AK$8:$AK$42)*LOOKUP((('Aug 6'!$Q$8:$Q$42+'Aug 6'!$R$8:$R$42)*(('Aug 6'!$Q$8:$Q$42+'Aug 6'!$R$8:$R$42)&gt;0)),'Pay Plan'!$D$5:$K$5,INDEX('Pay Plan'!$D$6:$K$12,$BB9,0)))</f>
        <v>0</v>
      </c>
      <c r="AA47" s="0" t="n">
        <f aca="false">SUMPRODUCT((('Aug 7'!$F$8:$F$42=$T9)*'Aug 7'!$AJ$8:$AJ$42+('Aug 7'!$G$8:$G$42=$T9)*'Aug 7'!$AK$8:$AK$42)*LOOKUP((('Aug 7'!$Q$8:$Q$42+'Aug 7'!$R$8:$R$42)*(('Aug 7'!$Q$8:$Q$42+'Aug 7'!$R$8:$R$42)&gt;0)),'Pay Plan'!$D$5:$K$5,INDEX('Pay Plan'!$D$6:$K$12,$BB9,0)))</f>
        <v>0</v>
      </c>
      <c r="AB47" s="0" t="n">
        <f aca="false">SUMPRODUCT((('Aug 8'!$F$8:$F$42=$T9)*'Aug 8'!$AJ$8:$AJ$42+('Aug 8'!$G$8:$G$42=$T9)*'Aug 8'!$AK$8:$AK$42)*LOOKUP((('Aug 8'!$Q$8:$Q$42+'Aug 8'!$R$8:$R$42)*(('Aug 8'!$Q$8:$Q$42+'Aug 8'!$R$8:$R$42)&gt;0)),'Pay Plan'!$D$5:$K$5,INDEX('Pay Plan'!$D$6:$K$12,$BB9,0)))</f>
        <v>0</v>
      </c>
      <c r="AC47" s="0" t="n">
        <f aca="false">SUMPRODUCT((('Aug 9'!$F$8:$F$42=$T9)*'Aug 9'!$AJ$8:$AJ$42+('Aug 9'!$G$8:$G$42=$T9)*'Aug 9'!$AK$8:$AK$42)*LOOKUP((('Aug 9'!$Q$8:$Q$42+'Aug 9'!$R$8:$R$42)*(('Aug 9'!$Q$8:$Q$42+'Aug 9'!$R$8:$R$42)&gt;0)),'Pay Plan'!$D$5:$K$5,INDEX('Pay Plan'!$D$6:$K$12,$BB9,0)))</f>
        <v>0</v>
      </c>
      <c r="AD47" s="0" t="n">
        <f aca="false">SUMPRODUCT((('Aug 10'!$F$8:$F$42=$T9)*'Aug 10'!$AJ$8:$AJ$42+('Aug 10'!$G$8:$G$42=$T9)*'Aug 10'!$AK$8:$AK$42)*LOOKUP((('Aug 10'!$Q$8:$Q$42+'Aug 10'!$R$8:$R$42)*(('Aug 10'!$Q$8:$Q$42+'Aug 10'!$R$8:$R$42)&gt;0)),'Pay Plan'!$D$5:$K$5,INDEX('Pay Plan'!$D$6:$K$12,$BB9,0)))</f>
        <v>0</v>
      </c>
      <c r="AE47" s="0" t="n">
        <f aca="false">SUMPRODUCT((('Aug 11'!$F$8:$F$42=$T9)*'Aug 11'!$AJ$8:$AJ$42+('Aug 11'!$G$8:$G$42=$T9)*'Aug 11'!$AK$8:$AK$42)*LOOKUP((('Aug 11'!$Q$8:$Q$42+'Aug 11'!$R$8:$R$42)*(('Aug 11'!$Q$8:$Q$42+'Aug 11'!$R$8:$R$42)&gt;0)),'Pay Plan'!$D$5:$K$5,INDEX('Pay Plan'!$D$6:$K$12,$BB9,0)))</f>
        <v>0</v>
      </c>
      <c r="AF47" s="0" t="n">
        <f aca="false">SUMPRODUCT((('Aug 12'!$F$8:$F$42=$T9)*'Aug 12'!$AJ$8:$AJ$42+('Aug 12'!$G$8:$G$42=$T9)*'Aug 12'!$AK$8:$AK$42)*LOOKUP((('Aug 12'!$Q$8:$Q$42+'Aug 12'!$R$8:$R$42)*(('Aug 12'!$Q$8:$Q$42+'Aug 12'!$R$8:$R$42)&gt;0)),'Pay Plan'!$D$5:$K$5,INDEX('Pay Plan'!$D$6:$K$12,$BB9,0)))</f>
        <v>0</v>
      </c>
      <c r="AG47" s="0" t="n">
        <f aca="false">SUMPRODUCT((('Aug 13'!$F$8:$F$42=$T9)*'Aug 13'!$AJ$8:$AJ$42+('Aug 13'!$G$8:$G$42=$T9)*'Aug 13'!$AK$8:$AK$42)*LOOKUP((('Aug 13'!$Q$8:$Q$42+'Aug 13'!$R$8:$R$42)*(('Aug 13'!$Q$8:$Q$42+'Aug 13'!$R$8:$R$42)&gt;0)),'Pay Plan'!$D$5:$K$5,INDEX('Pay Plan'!$D$6:$K$12,$BB9,0)))</f>
        <v>0</v>
      </c>
      <c r="AH47" s="0" t="n">
        <f aca="false">SUMPRODUCT((('Aug 14'!$F$8:$F$42=$T9)*'Aug 14'!$AJ$8:$AJ$42+('Aug 14'!$G$8:$G$42=$T9)*'Aug 14'!$AK$8:$AK$42)*LOOKUP((('Aug 14'!$Q$8:$Q$42+'Aug 14'!$R$8:$R$42)*(('Aug 14'!$Q$8:$Q$42+'Aug 14'!$R$8:$R$42)&gt;0)),'Pay Plan'!$D$5:$K$5,INDEX('Pay Plan'!$D$6:$K$12,$BB9,0)))</f>
        <v>0</v>
      </c>
      <c r="AI47" s="0" t="n">
        <f aca="false">SUMPRODUCT((('Aug 15'!$F$8:$F$42=$T9)*'Aug 15'!$AJ$8:$AJ$42+('Aug 15'!$G$8:$G$42=$T9)*'Aug 15'!$AK$8:$AK$42)*LOOKUP((('Aug 15'!$Q$8:$Q$42+'Aug 15'!$R$8:$R$42)*(('Aug 15'!$Q$8:$Q$42+'Aug 15'!$R$8:$R$42)&gt;0)),'Pay Plan'!$D$5:$K$5,INDEX('Pay Plan'!$D$6:$K$12,$BB9,0)))</f>
        <v>0</v>
      </c>
      <c r="AJ47" s="0" t="n">
        <f aca="false">SUMPRODUCT((('Aug 16'!$F$8:$F$42=$T9)*'Aug 16'!$AJ$8:$AJ$42+('Aug 16'!$G$8:$G$42=$T9)*'Aug 16'!$AK$8:$AK$42)*LOOKUP((('Aug 16'!$Q$8:$Q$42+'Aug 16'!$R$8:$R$42)*(('Aug 16'!$Q$8:$Q$42+'Aug 16'!$R$8:$R$42)&gt;0)),'Pay Plan'!$D$5:$K$5,INDEX('Pay Plan'!$D$6:$K$12,$BB9,0)))</f>
        <v>0</v>
      </c>
      <c r="AK47" s="0" t="n">
        <f aca="false">SUMPRODUCT((('Aug 17'!$F$8:$F$42=$T9)*'Aug 17'!$AJ$8:$AJ$42+('Aug 17'!$G$8:$G$42=$T9)*'Aug 17'!$AK$8:$AK$42)*LOOKUP((('Aug 17'!$Q$8:$Q$42+'Aug 17'!$R$8:$R$42)*(('Aug 17'!$Q$8:$Q$42+'Aug 17'!$R$8:$R$42)&gt;0)),'Pay Plan'!$D$5:$K$5,INDEX('Pay Plan'!$D$6:$K$12,$BB9,0)))</f>
        <v>0</v>
      </c>
      <c r="AL47" s="0" t="n">
        <f aca="false">SUMPRODUCT((('Aug 18'!$F$8:$F$42=$T9)*'Aug 18'!$AJ$8:$AJ$42+('Aug 18'!$G$8:$G$42=$T9)*'Aug 18'!$AK$8:$AK$42)*LOOKUP((('Aug 18'!$Q$8:$Q$42+'Aug 18'!$R$8:$R$42)*(('Aug 18'!$Q$8:$Q$42+'Aug 18'!$R$8:$R$42)&gt;0)),'Pay Plan'!$D$5:$K$5,INDEX('Pay Plan'!$D$6:$K$12,$BB9,0)))</f>
        <v>0</v>
      </c>
      <c r="AM47" s="0" t="n">
        <f aca="false">SUMPRODUCT((('Aug 19'!$F$8:$F$42=$T9)*'Aug 19'!$AJ$8:$AJ$42+('Aug 19'!$G$8:$G$42=$T9)*'Aug 19'!$AK$8:$AK$42)*LOOKUP((('Aug 19'!$Q$8:$Q$42+'Aug 19'!$R$8:$R$42)*(('Aug 19'!$Q$8:$Q$42+'Aug 19'!$R$8:$R$42)&gt;0)),'Pay Plan'!$D$5:$K$5,INDEX('Pay Plan'!$D$6:$K$12,$BB9,0)))</f>
        <v>0</v>
      </c>
      <c r="AN47" s="0" t="n">
        <f aca="false">SUMPRODUCT((('Aug 20'!$F$8:$F$42=$T9)*'Aug 20'!$AJ$8:$AJ$42+('Aug 20'!$G$8:$G$42=$T9)*'Aug 20'!$AK$8:$AK$42)*LOOKUP((('Aug 20'!$Q$8:$Q$42+'Aug 20'!$R$8:$R$42)*(('Aug 20'!$Q$8:$Q$42+'Aug 20'!$R$8:$R$42)&gt;0)),'Pay Plan'!$D$5:$K$5,INDEX('Pay Plan'!$D$6:$K$12,$BB9,0)))</f>
        <v>0</v>
      </c>
      <c r="AO47" s="0" t="n">
        <f aca="false">SUMPRODUCT((('Aug 21'!$F$8:$F$42=$T9)*'Aug 21'!$AJ$8:$AJ$42+('Aug 21'!$G$8:$G$42=$T9)*'Aug 21'!$AK$8:$AK$42)*LOOKUP((('Aug 21'!$Q$8:$Q$42+'Aug 21'!$R$8:$R$42)*(('Aug 21'!$Q$8:$Q$42+'Aug 21'!$R$8:$R$42)&gt;0)),'Pay Plan'!$D$5:$K$5,INDEX('Pay Plan'!$D$6:$K$12,$BB9,0)))</f>
        <v>0</v>
      </c>
      <c r="AP47" s="0" t="n">
        <f aca="false">SUMPRODUCT((('Aug 22'!$F$8:$F$42=$T9)*'Aug 22'!$AJ$8:$AJ$42+('Aug 22'!$G$8:$G$42=$T9)*'Aug 22'!$AK$8:$AK$42)*LOOKUP((('Aug 22'!$Q$8:$Q$42+'Aug 22'!$R$8:$R$42)*(('Aug 22'!$Q$8:$Q$42+'Aug 22'!$R$8:$R$42)&gt;0)),'Pay Plan'!$D$5:$K$5,INDEX('Pay Plan'!$D$6:$K$12,$BB9,0)))</f>
        <v>0</v>
      </c>
      <c r="AQ47" s="0" t="n">
        <f aca="false">SUMPRODUCT((('Aug 23'!$F$8:$F$42=$T9)*'Aug 23'!$AJ$8:$AJ$42+('Aug 23'!$G$8:$G$42=$T9)*'Aug 23'!$AK$8:$AK$42)*LOOKUP((('Aug 23'!$Q$8:$Q$42+'Aug 23'!$R$8:$R$42)*(('Aug 23'!$Q$8:$Q$42+'Aug 23'!$R$8:$R$42)&gt;0)),'Pay Plan'!$D$5:$K$5,INDEX('Pay Plan'!$D$6:$K$12,$BB9,0)))</f>
        <v>0</v>
      </c>
      <c r="AR47" s="0" t="n">
        <f aca="false">SUMPRODUCT((('Aug 24'!$F$8:$F$42=$T9)*'Aug 24'!$AJ$8:$AJ$42+('Aug 24'!$G$8:$G$42=$T9)*'Aug 24'!$AK$8:$AK$42)*LOOKUP((('Aug 24'!$Q$8:$Q$42+'Aug 24'!$R$8:$R$42)*(('Aug 24'!$Q$8:$Q$42+'Aug 24'!$R$8:$R$42)&gt;0)),'Pay Plan'!$D$5:$K$5,INDEX('Pay Plan'!$D$6:$K$12,$BB9,0)))</f>
        <v>0</v>
      </c>
      <c r="AS47" s="0" t="n">
        <f aca="false">SUMPRODUCT((('Aug 25'!$F$8:$F$42=$T9)*'Aug 25'!$AJ$8:$AJ$42+('Aug 25'!$G$8:$G$42=$T9)*'Aug 25'!$AK$8:$AK$42)*LOOKUP((('Aug 25'!$Q$8:$Q$42+'Aug 25'!$R$8:$R$42)*(('Aug 25'!$Q$8:$Q$42+'Aug 25'!$R$8:$R$42)&gt;0)),'Pay Plan'!$D$5:$K$5,INDEX('Pay Plan'!$D$6:$K$12,$BB9,0)))</f>
        <v>0</v>
      </c>
      <c r="AT47" s="0" t="n">
        <f aca="false">SUMPRODUCT((('Aug 26'!$F$8:$F$42=$T9)*'Aug 26'!$AJ$8:$AJ$42+('Aug 26'!$G$8:$G$42=$T9)*'Aug 26'!$AK$8:$AK$42)*LOOKUP((('Aug 26'!$Q$8:$Q$42+'Aug 26'!$R$8:$R$42)*(('Aug 26'!$Q$8:$Q$42+'Aug 26'!$R$8:$R$42)&gt;0)),'Pay Plan'!$D$5:$K$5,INDEX('Pay Plan'!$D$6:$K$12,$BB9,0)))</f>
        <v>0</v>
      </c>
      <c r="AU47" s="0" t="n">
        <f aca="false">SUMPRODUCT((('Aug 27'!$F$8:$F$42=$T9)*'Aug 27'!$AJ$8:$AJ$42+('Aug 27'!$G$8:$G$42=$T9)*'Aug 27'!$AK$8:$AK$42)*LOOKUP((('Aug 27'!$Q$8:$Q$42+'Aug 27'!$R$8:$R$42)*(('Aug 27'!$Q$8:$Q$42+'Aug 27'!$R$8:$R$42)&gt;0)),'Pay Plan'!$D$5:$K$5,INDEX('Pay Plan'!$D$6:$K$12,$BB9,0)))</f>
        <v>0</v>
      </c>
      <c r="AV47" s="0" t="n">
        <f aca="false">SUMPRODUCT((('Aug 28'!$F$8:$F$42=$T9)*'Aug 28'!$AJ$8:$AJ$42+('Aug 28'!$G$8:$G$42=$T9)*'Aug 28'!$AK$8:$AK$42)*LOOKUP((('Aug 28'!$Q$8:$Q$42+'Aug 28'!$R$8:$R$42)*(('Aug 28'!$Q$8:$Q$42+'Aug 28'!$R$8:$R$42)&gt;0)),'Pay Plan'!$D$5:$K$5,INDEX('Pay Plan'!$D$6:$K$12,$BB9,0)))</f>
        <v>0</v>
      </c>
      <c r="AW47" s="0" t="n">
        <f aca="false">SUMPRODUCT((('Aug 29'!$F$8:$F$42=$T9)*'Aug 29'!$AJ$8:$AJ$42+('Aug 29'!$G$8:$G$42=$T9)*'Aug 29'!$AK$8:$AK$42)*LOOKUP((('Aug 29'!$Q$8:$Q$42+'Aug 29'!$R$8:$R$42)*(('Aug 29'!$Q$8:$Q$42+'Aug 29'!$R$8:$R$42)&gt;0)),'Pay Plan'!$D$5:$K$5,INDEX('Pay Plan'!$D$6:$K$12,$BB9,0)))</f>
        <v>0</v>
      </c>
      <c r="AX47" s="0" t="n">
        <f aca="false">SUMPRODUCT((('Aug 30'!$F$8:$F$42=$T9)*'Aug 30'!$AJ$8:$AJ$42+('Aug 30'!$G$8:$G$42=$T9)*'Aug 30'!$AK$8:$AK$42)*LOOKUP((('Aug 30'!$Q$8:$Q$42+'Aug 30'!$R$8:$R$42)*(('Aug 30'!$Q$8:$Q$42+'Aug 30'!$R$8:$R$42)&gt;0)),'Pay Plan'!$D$5:$K$5,INDEX('Pay Plan'!$D$6:$K$12,$BB9,0)))</f>
        <v>0</v>
      </c>
      <c r="AY47" s="0" t="n">
        <f aca="false">SUMPRODUCT((('Aug 31'!$F$8:$F$42=$T9)*'Aug 31'!$AJ$8:$AJ$42+('Aug 31'!$G$8:$G$42=$T9)*'Aug 31'!$AK$8:$AK$42)*LOOKUP((('Aug 31'!$Q$8:$Q$42+'Aug 31'!$R$8:$R$42)*(('Aug 31'!$Q$8:$Q$42+'Aug 31'!$R$8:$R$42)&gt;0)),'Pay Plan'!$D$5:$K$5,INDEX('Pay Plan'!$D$6:$K$12,$BB9,0)))</f>
        <v>0</v>
      </c>
    </row>
    <row r="48" customFormat="false" ht="15" hidden="false" customHeight="false" outlineLevel="0" collapsed="false">
      <c r="U48" s="0" t="n">
        <f aca="false">SUMPRODUCT((('Aug 1'!$F$8:$F$42=$T10)*'Aug 1'!$AJ$8:$AJ$42+('Aug 1'!$G$8:$G$42=$T10)*'Aug 1'!$AK$8:$AK$42)*LOOKUP((('Aug 1'!$Q$8:$Q$42+'Aug 1'!$R$8:$R$42)*(('Aug 1'!$Q$8:$Q$42+'Aug 1'!$R$8:$R$42)&gt;0)),'Pay Plan'!$D$5:$K$5,INDEX('Pay Plan'!$D$6:$K$12,$BB10,0)))</f>
        <v>0</v>
      </c>
      <c r="V48" s="0" t="n">
        <f aca="false">SUMPRODUCT((('Aug 2'!$F$8:$F$42=$T10)*'Aug 2'!$AJ$8:$AJ$42+('Aug 2'!$G$8:$G$42=$T10)*'Aug 2'!$AK$8:$AK$42)*LOOKUP((('Aug 2'!$Q$8:$Q$42+'Aug 2'!$R$8:$R$42)*(('Aug 2'!$Q$8:$Q$42+'Aug 2'!$R$8:$R$42)&gt;0)),'Pay Plan'!$D$5:$K$5,INDEX('Pay Plan'!$D$6:$K$12,$BB10,0)))</f>
        <v>0</v>
      </c>
      <c r="W48" s="0" t="n">
        <f aca="false">SUMPRODUCT((('Aug 3'!$F$8:$F$42=$T10)*'Aug 3'!$AJ$8:$AJ$42+('Aug 3'!$G$8:$G$42=$T10)*'Aug 3'!$AK$8:$AK$42)*LOOKUP((('Aug 3'!$Q$8:$Q$42+'Aug 3'!$R$8:$R$42)*(('Aug 3'!$Q$8:$Q$42+'Aug 3'!$R$8:$R$42)&gt;0)),'Pay Plan'!$D$5:$K$5,INDEX('Pay Plan'!$D$6:$K$12,$BB10,0)))</f>
        <v>0</v>
      </c>
      <c r="X48" s="0" t="n">
        <f aca="false">SUMPRODUCT((('Aug 4'!$F$8:$F$42=$T10)*'Aug 4'!$AJ$8:$AJ$42+('Aug 4'!$G$8:$G$42=$T10)*'Aug 4'!$AK$8:$AK$42)*LOOKUP((('Aug 4'!$Q$8:$Q$42+'Aug 4'!$R$8:$R$42)*(('Aug 4'!$Q$8:$Q$42+'Aug 4'!$R$8:$R$42)&gt;0)),'Pay Plan'!$D$5:$K$5,INDEX('Pay Plan'!$D$6:$K$12,$BB10,0)))</f>
        <v>0</v>
      </c>
      <c r="Y48" s="0" t="n">
        <f aca="false">SUMPRODUCT((('Aug 5'!$F$8:$F$42=$T10)*'Aug 5'!$AJ$8:$AJ$42+('Aug 5'!$G$8:$G$42=$T10)*'Aug 5'!$AK$8:$AK$42)*LOOKUP((('Aug 5'!$Q$8:$Q$42+'Aug 5'!$R$8:$R$42)*(('Aug 5'!$Q$8:$Q$42+'Aug 5'!$R$8:$R$42)&gt;0)),'Pay Plan'!$D$5:$K$5,INDEX('Pay Plan'!$D$6:$K$12,$BB10,0)))</f>
        <v>0</v>
      </c>
      <c r="Z48" s="0" t="n">
        <f aca="false">SUMPRODUCT((('Aug 6'!$F$8:$F$42=$T10)*'Aug 6'!$AJ$8:$AJ$42+('Aug 6'!$G$8:$G$42=$T10)*'Aug 6'!$AK$8:$AK$42)*LOOKUP((('Aug 6'!$Q$8:$Q$42+'Aug 6'!$R$8:$R$42)*(('Aug 6'!$Q$8:$Q$42+'Aug 6'!$R$8:$R$42)&gt;0)),'Pay Plan'!$D$5:$K$5,INDEX('Pay Plan'!$D$6:$K$12,$BB10,0)))</f>
        <v>0</v>
      </c>
      <c r="AA48" s="0" t="n">
        <f aca="false">SUMPRODUCT((('Aug 7'!$F$8:$F$42=$T10)*'Aug 7'!$AJ$8:$AJ$42+('Aug 7'!$G$8:$G$42=$T10)*'Aug 7'!$AK$8:$AK$42)*LOOKUP((('Aug 7'!$Q$8:$Q$42+'Aug 7'!$R$8:$R$42)*(('Aug 7'!$Q$8:$Q$42+'Aug 7'!$R$8:$R$42)&gt;0)),'Pay Plan'!$D$5:$K$5,INDEX('Pay Plan'!$D$6:$K$12,$BB10,0)))</f>
        <v>0</v>
      </c>
      <c r="AB48" s="0" t="n">
        <f aca="false">SUMPRODUCT((('Aug 8'!$F$8:$F$42=$T10)*'Aug 8'!$AJ$8:$AJ$42+('Aug 8'!$G$8:$G$42=$T10)*'Aug 8'!$AK$8:$AK$42)*LOOKUP((('Aug 8'!$Q$8:$Q$42+'Aug 8'!$R$8:$R$42)*(('Aug 8'!$Q$8:$Q$42+'Aug 8'!$R$8:$R$42)&gt;0)),'Pay Plan'!$D$5:$K$5,INDEX('Pay Plan'!$D$6:$K$12,$BB10,0)))</f>
        <v>0</v>
      </c>
      <c r="AC48" s="0" t="n">
        <f aca="false">SUMPRODUCT((('Aug 9'!$F$8:$F$42=$T10)*'Aug 9'!$AJ$8:$AJ$42+('Aug 9'!$G$8:$G$42=$T10)*'Aug 9'!$AK$8:$AK$42)*LOOKUP((('Aug 9'!$Q$8:$Q$42+'Aug 9'!$R$8:$R$42)*(('Aug 9'!$Q$8:$Q$42+'Aug 9'!$R$8:$R$42)&gt;0)),'Pay Plan'!$D$5:$K$5,INDEX('Pay Plan'!$D$6:$K$12,$BB10,0)))</f>
        <v>0</v>
      </c>
      <c r="AD48" s="0" t="n">
        <f aca="false">SUMPRODUCT((('Aug 10'!$F$8:$F$42=$T10)*'Aug 10'!$AJ$8:$AJ$42+('Aug 10'!$G$8:$G$42=$T10)*'Aug 10'!$AK$8:$AK$42)*LOOKUP((('Aug 10'!$Q$8:$Q$42+'Aug 10'!$R$8:$R$42)*(('Aug 10'!$Q$8:$Q$42+'Aug 10'!$R$8:$R$42)&gt;0)),'Pay Plan'!$D$5:$K$5,INDEX('Pay Plan'!$D$6:$K$12,$BB10,0)))</f>
        <v>0</v>
      </c>
      <c r="AE48" s="0" t="n">
        <f aca="false">SUMPRODUCT((('Aug 11'!$F$8:$F$42=$T10)*'Aug 11'!$AJ$8:$AJ$42+('Aug 11'!$G$8:$G$42=$T10)*'Aug 11'!$AK$8:$AK$42)*LOOKUP((('Aug 11'!$Q$8:$Q$42+'Aug 11'!$R$8:$R$42)*(('Aug 11'!$Q$8:$Q$42+'Aug 11'!$R$8:$R$42)&gt;0)),'Pay Plan'!$D$5:$K$5,INDEX('Pay Plan'!$D$6:$K$12,$BB10,0)))</f>
        <v>0</v>
      </c>
      <c r="AF48" s="0" t="n">
        <f aca="false">SUMPRODUCT((('Aug 12'!$F$8:$F$42=$T10)*'Aug 12'!$AJ$8:$AJ$42+('Aug 12'!$G$8:$G$42=$T10)*'Aug 12'!$AK$8:$AK$42)*LOOKUP((('Aug 12'!$Q$8:$Q$42+'Aug 12'!$R$8:$R$42)*(('Aug 12'!$Q$8:$Q$42+'Aug 12'!$R$8:$R$42)&gt;0)),'Pay Plan'!$D$5:$K$5,INDEX('Pay Plan'!$D$6:$K$12,$BB10,0)))</f>
        <v>0</v>
      </c>
      <c r="AG48" s="0" t="n">
        <f aca="false">SUMPRODUCT((('Aug 13'!$F$8:$F$42=$T10)*'Aug 13'!$AJ$8:$AJ$42+('Aug 13'!$G$8:$G$42=$T10)*'Aug 13'!$AK$8:$AK$42)*LOOKUP((('Aug 13'!$Q$8:$Q$42+'Aug 13'!$R$8:$R$42)*(('Aug 13'!$Q$8:$Q$42+'Aug 13'!$R$8:$R$42)&gt;0)),'Pay Plan'!$D$5:$K$5,INDEX('Pay Plan'!$D$6:$K$12,$BB10,0)))</f>
        <v>0</v>
      </c>
      <c r="AH48" s="0" t="n">
        <f aca="false">SUMPRODUCT((('Aug 14'!$F$8:$F$42=$T10)*'Aug 14'!$AJ$8:$AJ$42+('Aug 14'!$G$8:$G$42=$T10)*'Aug 14'!$AK$8:$AK$42)*LOOKUP((('Aug 14'!$Q$8:$Q$42+'Aug 14'!$R$8:$R$42)*(('Aug 14'!$Q$8:$Q$42+'Aug 14'!$R$8:$R$42)&gt;0)),'Pay Plan'!$D$5:$K$5,INDEX('Pay Plan'!$D$6:$K$12,$BB10,0)))</f>
        <v>0</v>
      </c>
      <c r="AI48" s="0" t="n">
        <f aca="false">SUMPRODUCT((('Aug 15'!$F$8:$F$42=$T10)*'Aug 15'!$AJ$8:$AJ$42+('Aug 15'!$G$8:$G$42=$T10)*'Aug 15'!$AK$8:$AK$42)*LOOKUP((('Aug 15'!$Q$8:$Q$42+'Aug 15'!$R$8:$R$42)*(('Aug 15'!$Q$8:$Q$42+'Aug 15'!$R$8:$R$42)&gt;0)),'Pay Plan'!$D$5:$K$5,INDEX('Pay Plan'!$D$6:$K$12,$BB10,0)))</f>
        <v>0</v>
      </c>
      <c r="AJ48" s="0" t="n">
        <f aca="false">SUMPRODUCT((('Aug 16'!$F$8:$F$42=$T10)*'Aug 16'!$AJ$8:$AJ$42+('Aug 16'!$G$8:$G$42=$T10)*'Aug 16'!$AK$8:$AK$42)*LOOKUP((('Aug 16'!$Q$8:$Q$42+'Aug 16'!$R$8:$R$42)*(('Aug 16'!$Q$8:$Q$42+'Aug 16'!$R$8:$R$42)&gt;0)),'Pay Plan'!$D$5:$K$5,INDEX('Pay Plan'!$D$6:$K$12,$BB10,0)))</f>
        <v>0</v>
      </c>
      <c r="AK48" s="0" t="n">
        <f aca="false">SUMPRODUCT((('Aug 17'!$F$8:$F$42=$T10)*'Aug 17'!$AJ$8:$AJ$42+('Aug 17'!$G$8:$G$42=$T10)*'Aug 17'!$AK$8:$AK$42)*LOOKUP((('Aug 17'!$Q$8:$Q$42+'Aug 17'!$R$8:$R$42)*(('Aug 17'!$Q$8:$Q$42+'Aug 17'!$R$8:$R$42)&gt;0)),'Pay Plan'!$D$5:$K$5,INDEX('Pay Plan'!$D$6:$K$12,$BB10,0)))</f>
        <v>0</v>
      </c>
      <c r="AL48" s="0" t="n">
        <f aca="false">SUMPRODUCT((('Aug 18'!$F$8:$F$42=$T10)*'Aug 18'!$AJ$8:$AJ$42+('Aug 18'!$G$8:$G$42=$T10)*'Aug 18'!$AK$8:$AK$42)*LOOKUP((('Aug 18'!$Q$8:$Q$42+'Aug 18'!$R$8:$R$42)*(('Aug 18'!$Q$8:$Q$42+'Aug 18'!$R$8:$R$42)&gt;0)),'Pay Plan'!$D$5:$K$5,INDEX('Pay Plan'!$D$6:$K$12,$BB10,0)))</f>
        <v>0</v>
      </c>
      <c r="AM48" s="0" t="n">
        <f aca="false">SUMPRODUCT((('Aug 19'!$F$8:$F$42=$T10)*'Aug 19'!$AJ$8:$AJ$42+('Aug 19'!$G$8:$G$42=$T10)*'Aug 19'!$AK$8:$AK$42)*LOOKUP((('Aug 19'!$Q$8:$Q$42+'Aug 19'!$R$8:$R$42)*(('Aug 19'!$Q$8:$Q$42+'Aug 19'!$R$8:$R$42)&gt;0)),'Pay Plan'!$D$5:$K$5,INDEX('Pay Plan'!$D$6:$K$12,$BB10,0)))</f>
        <v>0</v>
      </c>
      <c r="AN48" s="0" t="n">
        <f aca="false">SUMPRODUCT((('Aug 20'!$F$8:$F$42=$T10)*'Aug 20'!$AJ$8:$AJ$42+('Aug 20'!$G$8:$G$42=$T10)*'Aug 20'!$AK$8:$AK$42)*LOOKUP((('Aug 20'!$Q$8:$Q$42+'Aug 20'!$R$8:$R$42)*(('Aug 20'!$Q$8:$Q$42+'Aug 20'!$R$8:$R$42)&gt;0)),'Pay Plan'!$D$5:$K$5,INDEX('Pay Plan'!$D$6:$K$12,$BB10,0)))</f>
        <v>0</v>
      </c>
      <c r="AO48" s="0" t="n">
        <f aca="false">SUMPRODUCT((('Aug 21'!$F$8:$F$42=$T10)*'Aug 21'!$AJ$8:$AJ$42+('Aug 21'!$G$8:$G$42=$T10)*'Aug 21'!$AK$8:$AK$42)*LOOKUP((('Aug 21'!$Q$8:$Q$42+'Aug 21'!$R$8:$R$42)*(('Aug 21'!$Q$8:$Q$42+'Aug 21'!$R$8:$R$42)&gt;0)),'Pay Plan'!$D$5:$K$5,INDEX('Pay Plan'!$D$6:$K$12,$BB10,0)))</f>
        <v>0</v>
      </c>
      <c r="AP48" s="0" t="n">
        <f aca="false">SUMPRODUCT((('Aug 22'!$F$8:$F$42=$T10)*'Aug 22'!$AJ$8:$AJ$42+('Aug 22'!$G$8:$G$42=$T10)*'Aug 22'!$AK$8:$AK$42)*LOOKUP((('Aug 22'!$Q$8:$Q$42+'Aug 22'!$R$8:$R$42)*(('Aug 22'!$Q$8:$Q$42+'Aug 22'!$R$8:$R$42)&gt;0)),'Pay Plan'!$D$5:$K$5,INDEX('Pay Plan'!$D$6:$K$12,$BB10,0)))</f>
        <v>0</v>
      </c>
      <c r="AQ48" s="0" t="n">
        <f aca="false">SUMPRODUCT((('Aug 23'!$F$8:$F$42=$T10)*'Aug 23'!$AJ$8:$AJ$42+('Aug 23'!$G$8:$G$42=$T10)*'Aug 23'!$AK$8:$AK$42)*LOOKUP((('Aug 23'!$Q$8:$Q$42+'Aug 23'!$R$8:$R$42)*(('Aug 23'!$Q$8:$Q$42+'Aug 23'!$R$8:$R$42)&gt;0)),'Pay Plan'!$D$5:$K$5,INDEX('Pay Plan'!$D$6:$K$12,$BB10,0)))</f>
        <v>0</v>
      </c>
      <c r="AR48" s="0" t="n">
        <f aca="false">SUMPRODUCT((('Aug 24'!$F$8:$F$42=$T10)*'Aug 24'!$AJ$8:$AJ$42+('Aug 24'!$G$8:$G$42=$T10)*'Aug 24'!$AK$8:$AK$42)*LOOKUP((('Aug 24'!$Q$8:$Q$42+'Aug 24'!$R$8:$R$42)*(('Aug 24'!$Q$8:$Q$42+'Aug 24'!$R$8:$R$42)&gt;0)),'Pay Plan'!$D$5:$K$5,INDEX('Pay Plan'!$D$6:$K$12,$BB10,0)))</f>
        <v>0</v>
      </c>
      <c r="AS48" s="0" t="n">
        <f aca="false">SUMPRODUCT((('Aug 25'!$F$8:$F$42=$T10)*'Aug 25'!$AJ$8:$AJ$42+('Aug 25'!$G$8:$G$42=$T10)*'Aug 25'!$AK$8:$AK$42)*LOOKUP((('Aug 25'!$Q$8:$Q$42+'Aug 25'!$R$8:$R$42)*(('Aug 25'!$Q$8:$Q$42+'Aug 25'!$R$8:$R$42)&gt;0)),'Pay Plan'!$D$5:$K$5,INDEX('Pay Plan'!$D$6:$K$12,$BB10,0)))</f>
        <v>0</v>
      </c>
      <c r="AT48" s="0" t="n">
        <f aca="false">SUMPRODUCT((('Aug 26'!$F$8:$F$42=$T10)*'Aug 26'!$AJ$8:$AJ$42+('Aug 26'!$G$8:$G$42=$T10)*'Aug 26'!$AK$8:$AK$42)*LOOKUP((('Aug 26'!$Q$8:$Q$42+'Aug 26'!$R$8:$R$42)*(('Aug 26'!$Q$8:$Q$42+'Aug 26'!$R$8:$R$42)&gt;0)),'Pay Plan'!$D$5:$K$5,INDEX('Pay Plan'!$D$6:$K$12,$BB10,0)))</f>
        <v>0</v>
      </c>
      <c r="AU48" s="0" t="n">
        <f aca="false">SUMPRODUCT((('Aug 27'!$F$8:$F$42=$T10)*'Aug 27'!$AJ$8:$AJ$42+('Aug 27'!$G$8:$G$42=$T10)*'Aug 27'!$AK$8:$AK$42)*LOOKUP((('Aug 27'!$Q$8:$Q$42+'Aug 27'!$R$8:$R$42)*(('Aug 27'!$Q$8:$Q$42+'Aug 27'!$R$8:$R$42)&gt;0)),'Pay Plan'!$D$5:$K$5,INDEX('Pay Plan'!$D$6:$K$12,$BB10,0)))</f>
        <v>0</v>
      </c>
      <c r="AV48" s="0" t="n">
        <f aca="false">SUMPRODUCT((('Aug 28'!$F$8:$F$42=$T10)*'Aug 28'!$AJ$8:$AJ$42+('Aug 28'!$G$8:$G$42=$T10)*'Aug 28'!$AK$8:$AK$42)*LOOKUP((('Aug 28'!$Q$8:$Q$42+'Aug 28'!$R$8:$R$42)*(('Aug 28'!$Q$8:$Q$42+'Aug 28'!$R$8:$R$42)&gt;0)),'Pay Plan'!$D$5:$K$5,INDEX('Pay Plan'!$D$6:$K$12,$BB10,0)))</f>
        <v>0</v>
      </c>
      <c r="AW48" s="0" t="n">
        <f aca="false">SUMPRODUCT((('Aug 29'!$F$8:$F$42=$T10)*'Aug 29'!$AJ$8:$AJ$42+('Aug 29'!$G$8:$G$42=$T10)*'Aug 29'!$AK$8:$AK$42)*LOOKUP((('Aug 29'!$Q$8:$Q$42+'Aug 29'!$R$8:$R$42)*(('Aug 29'!$Q$8:$Q$42+'Aug 29'!$R$8:$R$42)&gt;0)),'Pay Plan'!$D$5:$K$5,INDEX('Pay Plan'!$D$6:$K$12,$BB10,0)))</f>
        <v>0</v>
      </c>
      <c r="AX48" s="0" t="n">
        <f aca="false">SUMPRODUCT((('Aug 30'!$F$8:$F$42=$T10)*'Aug 30'!$AJ$8:$AJ$42+('Aug 30'!$G$8:$G$42=$T10)*'Aug 30'!$AK$8:$AK$42)*LOOKUP((('Aug 30'!$Q$8:$Q$42+'Aug 30'!$R$8:$R$42)*(('Aug 30'!$Q$8:$Q$42+'Aug 30'!$R$8:$R$42)&gt;0)),'Pay Plan'!$D$5:$K$5,INDEX('Pay Plan'!$D$6:$K$12,$BB10,0)))</f>
        <v>0</v>
      </c>
      <c r="AY48" s="0" t="n">
        <f aca="false">SUMPRODUCT((('Aug 31'!$F$8:$F$42=$T10)*'Aug 31'!$AJ$8:$AJ$42+('Aug 31'!$G$8:$G$42=$T10)*'Aug 31'!$AK$8:$AK$42)*LOOKUP((('Aug 31'!$Q$8:$Q$42+'Aug 31'!$R$8:$R$42)*(('Aug 31'!$Q$8:$Q$42+'Aug 31'!$R$8:$R$42)&gt;0)),'Pay Plan'!$D$5:$K$5,INDEX('Pay Plan'!$D$6:$K$12,$BB10,0)))</f>
        <v>0</v>
      </c>
    </row>
    <row r="49" customFormat="false" ht="15" hidden="false" customHeight="false" outlineLevel="0" collapsed="false">
      <c r="U49" s="0" t="n">
        <f aca="false">SUMPRODUCT((('Aug 1'!$F$8:$F$42=$T11)*'Aug 1'!$AJ$8:$AJ$42+('Aug 1'!$G$8:$G$42=$T11)*'Aug 1'!$AK$8:$AK$42)*LOOKUP((('Aug 1'!$Q$8:$Q$42+'Aug 1'!$R$8:$R$42)*(('Aug 1'!$Q$8:$Q$42+'Aug 1'!$R$8:$R$42)&gt;0)),'Pay Plan'!$D$5:$K$5,INDEX('Pay Plan'!$D$6:$K$12,$BB11,0)))</f>
        <v>0</v>
      </c>
      <c r="V49" s="0" t="n">
        <f aca="false">SUMPRODUCT((('Aug 2'!$F$8:$F$42=$T11)*'Aug 2'!$AJ$8:$AJ$42+('Aug 2'!$G$8:$G$42=$T11)*'Aug 2'!$AK$8:$AK$42)*LOOKUP((('Aug 2'!$Q$8:$Q$42+'Aug 2'!$R$8:$R$42)*(('Aug 2'!$Q$8:$Q$42+'Aug 2'!$R$8:$R$42)&gt;0)),'Pay Plan'!$D$5:$K$5,INDEX('Pay Plan'!$D$6:$K$12,$BB11,0)))</f>
        <v>0</v>
      </c>
      <c r="W49" s="0" t="n">
        <f aca="false">SUMPRODUCT((('Aug 3'!$F$8:$F$42=$T11)*'Aug 3'!$AJ$8:$AJ$42+('Aug 3'!$G$8:$G$42=$T11)*'Aug 3'!$AK$8:$AK$42)*LOOKUP((('Aug 3'!$Q$8:$Q$42+'Aug 3'!$R$8:$R$42)*(('Aug 3'!$Q$8:$Q$42+'Aug 3'!$R$8:$R$42)&gt;0)),'Pay Plan'!$D$5:$K$5,INDEX('Pay Plan'!$D$6:$K$12,$BB11,0)))</f>
        <v>0</v>
      </c>
      <c r="X49" s="0" t="n">
        <f aca="false">SUMPRODUCT((('Aug 4'!$F$8:$F$42=$T11)*'Aug 4'!$AJ$8:$AJ$42+('Aug 4'!$G$8:$G$42=$T11)*'Aug 4'!$AK$8:$AK$42)*LOOKUP((('Aug 4'!$Q$8:$Q$42+'Aug 4'!$R$8:$R$42)*(('Aug 4'!$Q$8:$Q$42+'Aug 4'!$R$8:$R$42)&gt;0)),'Pay Plan'!$D$5:$K$5,INDEX('Pay Plan'!$D$6:$K$12,$BB11,0)))</f>
        <v>0</v>
      </c>
      <c r="Y49" s="0" t="n">
        <f aca="false">SUMPRODUCT((('Aug 5'!$F$8:$F$42=$T11)*'Aug 5'!$AJ$8:$AJ$42+('Aug 5'!$G$8:$G$42=$T11)*'Aug 5'!$AK$8:$AK$42)*LOOKUP((('Aug 5'!$Q$8:$Q$42+'Aug 5'!$R$8:$R$42)*(('Aug 5'!$Q$8:$Q$42+'Aug 5'!$R$8:$R$42)&gt;0)),'Pay Plan'!$D$5:$K$5,INDEX('Pay Plan'!$D$6:$K$12,$BB11,0)))</f>
        <v>0</v>
      </c>
      <c r="Z49" s="0" t="n">
        <f aca="false">SUMPRODUCT((('Aug 6'!$F$8:$F$42=$T11)*'Aug 6'!$AJ$8:$AJ$42+('Aug 6'!$G$8:$G$42=$T11)*'Aug 6'!$AK$8:$AK$42)*LOOKUP((('Aug 6'!$Q$8:$Q$42+'Aug 6'!$R$8:$R$42)*(('Aug 6'!$Q$8:$Q$42+'Aug 6'!$R$8:$R$42)&gt;0)),'Pay Plan'!$D$5:$K$5,INDEX('Pay Plan'!$D$6:$K$12,$BB11,0)))</f>
        <v>0</v>
      </c>
      <c r="AA49" s="0" t="n">
        <f aca="false">SUMPRODUCT((('Aug 7'!$F$8:$F$42=$T11)*'Aug 7'!$AJ$8:$AJ$42+('Aug 7'!$G$8:$G$42=$T11)*'Aug 7'!$AK$8:$AK$42)*LOOKUP((('Aug 7'!$Q$8:$Q$42+'Aug 7'!$R$8:$R$42)*(('Aug 7'!$Q$8:$Q$42+'Aug 7'!$R$8:$R$42)&gt;0)),'Pay Plan'!$D$5:$K$5,INDEX('Pay Plan'!$D$6:$K$12,$BB11,0)))</f>
        <v>0</v>
      </c>
      <c r="AB49" s="0" t="n">
        <f aca="false">SUMPRODUCT((('Aug 8'!$F$8:$F$42=$T11)*'Aug 8'!$AJ$8:$AJ$42+('Aug 8'!$G$8:$G$42=$T11)*'Aug 8'!$AK$8:$AK$42)*LOOKUP((('Aug 8'!$Q$8:$Q$42+'Aug 8'!$R$8:$R$42)*(('Aug 8'!$Q$8:$Q$42+'Aug 8'!$R$8:$R$42)&gt;0)),'Pay Plan'!$D$5:$K$5,INDEX('Pay Plan'!$D$6:$K$12,$BB11,0)))</f>
        <v>0</v>
      </c>
      <c r="AC49" s="0" t="n">
        <f aca="false">SUMPRODUCT((('Aug 9'!$F$8:$F$42=$T11)*'Aug 9'!$AJ$8:$AJ$42+('Aug 9'!$G$8:$G$42=$T11)*'Aug 9'!$AK$8:$AK$42)*LOOKUP((('Aug 9'!$Q$8:$Q$42+'Aug 9'!$R$8:$R$42)*(('Aug 9'!$Q$8:$Q$42+'Aug 9'!$R$8:$R$42)&gt;0)),'Pay Plan'!$D$5:$K$5,INDEX('Pay Plan'!$D$6:$K$12,$BB11,0)))</f>
        <v>0</v>
      </c>
      <c r="AD49" s="0" t="n">
        <f aca="false">SUMPRODUCT((('Aug 10'!$F$8:$F$42=$T11)*'Aug 10'!$AJ$8:$AJ$42+('Aug 10'!$G$8:$G$42=$T11)*'Aug 10'!$AK$8:$AK$42)*LOOKUP((('Aug 10'!$Q$8:$Q$42+'Aug 10'!$R$8:$R$42)*(('Aug 10'!$Q$8:$Q$42+'Aug 10'!$R$8:$R$42)&gt;0)),'Pay Plan'!$D$5:$K$5,INDEX('Pay Plan'!$D$6:$K$12,$BB11,0)))</f>
        <v>0</v>
      </c>
      <c r="AE49" s="0" t="n">
        <f aca="false">SUMPRODUCT((('Aug 11'!$F$8:$F$42=$T11)*'Aug 11'!$AJ$8:$AJ$42+('Aug 11'!$G$8:$G$42=$T11)*'Aug 11'!$AK$8:$AK$42)*LOOKUP((('Aug 11'!$Q$8:$Q$42+'Aug 11'!$R$8:$R$42)*(('Aug 11'!$Q$8:$Q$42+'Aug 11'!$R$8:$R$42)&gt;0)),'Pay Plan'!$D$5:$K$5,INDEX('Pay Plan'!$D$6:$K$12,$BB11,0)))</f>
        <v>0</v>
      </c>
      <c r="AF49" s="0" t="n">
        <f aca="false">SUMPRODUCT((('Aug 12'!$F$8:$F$42=$T11)*'Aug 12'!$AJ$8:$AJ$42+('Aug 12'!$G$8:$G$42=$T11)*'Aug 12'!$AK$8:$AK$42)*LOOKUP((('Aug 12'!$Q$8:$Q$42+'Aug 12'!$R$8:$R$42)*(('Aug 12'!$Q$8:$Q$42+'Aug 12'!$R$8:$R$42)&gt;0)),'Pay Plan'!$D$5:$K$5,INDEX('Pay Plan'!$D$6:$K$12,$BB11,0)))</f>
        <v>0</v>
      </c>
      <c r="AG49" s="0" t="n">
        <f aca="false">SUMPRODUCT((('Aug 13'!$F$8:$F$42=$T11)*'Aug 13'!$AJ$8:$AJ$42+('Aug 13'!$G$8:$G$42=$T11)*'Aug 13'!$AK$8:$AK$42)*LOOKUP((('Aug 13'!$Q$8:$Q$42+'Aug 13'!$R$8:$R$42)*(('Aug 13'!$Q$8:$Q$42+'Aug 13'!$R$8:$R$42)&gt;0)),'Pay Plan'!$D$5:$K$5,INDEX('Pay Plan'!$D$6:$K$12,$BB11,0)))</f>
        <v>0</v>
      </c>
      <c r="AH49" s="0" t="n">
        <f aca="false">SUMPRODUCT((('Aug 14'!$F$8:$F$42=$T11)*'Aug 14'!$AJ$8:$AJ$42+('Aug 14'!$G$8:$G$42=$T11)*'Aug 14'!$AK$8:$AK$42)*LOOKUP((('Aug 14'!$Q$8:$Q$42+'Aug 14'!$R$8:$R$42)*(('Aug 14'!$Q$8:$Q$42+'Aug 14'!$R$8:$R$42)&gt;0)),'Pay Plan'!$D$5:$K$5,INDEX('Pay Plan'!$D$6:$K$12,$BB11,0)))</f>
        <v>0</v>
      </c>
      <c r="AI49" s="0" t="n">
        <f aca="false">SUMPRODUCT((('Aug 15'!$F$8:$F$42=$T11)*'Aug 15'!$AJ$8:$AJ$42+('Aug 15'!$G$8:$G$42=$T11)*'Aug 15'!$AK$8:$AK$42)*LOOKUP((('Aug 15'!$Q$8:$Q$42+'Aug 15'!$R$8:$R$42)*(('Aug 15'!$Q$8:$Q$42+'Aug 15'!$R$8:$R$42)&gt;0)),'Pay Plan'!$D$5:$K$5,INDEX('Pay Plan'!$D$6:$K$12,$BB11,0)))</f>
        <v>0</v>
      </c>
      <c r="AJ49" s="0" t="n">
        <f aca="false">SUMPRODUCT((('Aug 16'!$F$8:$F$42=$T11)*'Aug 16'!$AJ$8:$AJ$42+('Aug 16'!$G$8:$G$42=$T11)*'Aug 16'!$AK$8:$AK$42)*LOOKUP((('Aug 16'!$Q$8:$Q$42+'Aug 16'!$R$8:$R$42)*(('Aug 16'!$Q$8:$Q$42+'Aug 16'!$R$8:$R$42)&gt;0)),'Pay Plan'!$D$5:$K$5,INDEX('Pay Plan'!$D$6:$K$12,$BB11,0)))</f>
        <v>0</v>
      </c>
      <c r="AK49" s="0" t="n">
        <f aca="false">SUMPRODUCT((('Aug 17'!$F$8:$F$42=$T11)*'Aug 17'!$AJ$8:$AJ$42+('Aug 17'!$G$8:$G$42=$T11)*'Aug 17'!$AK$8:$AK$42)*LOOKUP((('Aug 17'!$Q$8:$Q$42+'Aug 17'!$R$8:$R$42)*(('Aug 17'!$Q$8:$Q$42+'Aug 17'!$R$8:$R$42)&gt;0)),'Pay Plan'!$D$5:$K$5,INDEX('Pay Plan'!$D$6:$K$12,$BB11,0)))</f>
        <v>0</v>
      </c>
      <c r="AL49" s="0" t="n">
        <f aca="false">SUMPRODUCT((('Aug 18'!$F$8:$F$42=$T11)*'Aug 18'!$AJ$8:$AJ$42+('Aug 18'!$G$8:$G$42=$T11)*'Aug 18'!$AK$8:$AK$42)*LOOKUP((('Aug 18'!$Q$8:$Q$42+'Aug 18'!$R$8:$R$42)*(('Aug 18'!$Q$8:$Q$42+'Aug 18'!$R$8:$R$42)&gt;0)),'Pay Plan'!$D$5:$K$5,INDEX('Pay Plan'!$D$6:$K$12,$BB11,0)))</f>
        <v>0</v>
      </c>
      <c r="AM49" s="0" t="n">
        <f aca="false">SUMPRODUCT((('Aug 19'!$F$8:$F$42=$T11)*'Aug 19'!$AJ$8:$AJ$42+('Aug 19'!$G$8:$G$42=$T11)*'Aug 19'!$AK$8:$AK$42)*LOOKUP((('Aug 19'!$Q$8:$Q$42+'Aug 19'!$R$8:$R$42)*(('Aug 19'!$Q$8:$Q$42+'Aug 19'!$R$8:$R$42)&gt;0)),'Pay Plan'!$D$5:$K$5,INDEX('Pay Plan'!$D$6:$K$12,$BB11,0)))</f>
        <v>0</v>
      </c>
      <c r="AN49" s="0" t="n">
        <f aca="false">SUMPRODUCT((('Aug 20'!$F$8:$F$42=$T11)*'Aug 20'!$AJ$8:$AJ$42+('Aug 20'!$G$8:$G$42=$T11)*'Aug 20'!$AK$8:$AK$42)*LOOKUP((('Aug 20'!$Q$8:$Q$42+'Aug 20'!$R$8:$R$42)*(('Aug 20'!$Q$8:$Q$42+'Aug 20'!$R$8:$R$42)&gt;0)),'Pay Plan'!$D$5:$K$5,INDEX('Pay Plan'!$D$6:$K$12,$BB11,0)))</f>
        <v>0</v>
      </c>
      <c r="AO49" s="0" t="n">
        <f aca="false">SUMPRODUCT((('Aug 21'!$F$8:$F$42=$T11)*'Aug 21'!$AJ$8:$AJ$42+('Aug 21'!$G$8:$G$42=$T11)*'Aug 21'!$AK$8:$AK$42)*LOOKUP((('Aug 21'!$Q$8:$Q$42+'Aug 21'!$R$8:$R$42)*(('Aug 21'!$Q$8:$Q$42+'Aug 21'!$R$8:$R$42)&gt;0)),'Pay Plan'!$D$5:$K$5,INDEX('Pay Plan'!$D$6:$K$12,$BB11,0)))</f>
        <v>0</v>
      </c>
      <c r="AP49" s="0" t="n">
        <f aca="false">SUMPRODUCT((('Aug 22'!$F$8:$F$42=$T11)*'Aug 22'!$AJ$8:$AJ$42+('Aug 22'!$G$8:$G$42=$T11)*'Aug 22'!$AK$8:$AK$42)*LOOKUP((('Aug 22'!$Q$8:$Q$42+'Aug 22'!$R$8:$R$42)*(('Aug 22'!$Q$8:$Q$42+'Aug 22'!$R$8:$R$42)&gt;0)),'Pay Plan'!$D$5:$K$5,INDEX('Pay Plan'!$D$6:$K$12,$BB11,0)))</f>
        <v>0</v>
      </c>
      <c r="AQ49" s="0" t="n">
        <f aca="false">SUMPRODUCT((('Aug 23'!$F$8:$F$42=$T11)*'Aug 23'!$AJ$8:$AJ$42+('Aug 23'!$G$8:$G$42=$T11)*'Aug 23'!$AK$8:$AK$42)*LOOKUP((('Aug 23'!$Q$8:$Q$42+'Aug 23'!$R$8:$R$42)*(('Aug 23'!$Q$8:$Q$42+'Aug 23'!$R$8:$R$42)&gt;0)),'Pay Plan'!$D$5:$K$5,INDEX('Pay Plan'!$D$6:$K$12,$BB11,0)))</f>
        <v>0</v>
      </c>
      <c r="AR49" s="0" t="n">
        <f aca="false">SUMPRODUCT((('Aug 24'!$F$8:$F$42=$T11)*'Aug 24'!$AJ$8:$AJ$42+('Aug 24'!$G$8:$G$42=$T11)*'Aug 24'!$AK$8:$AK$42)*LOOKUP((('Aug 24'!$Q$8:$Q$42+'Aug 24'!$R$8:$R$42)*(('Aug 24'!$Q$8:$Q$42+'Aug 24'!$R$8:$R$42)&gt;0)),'Pay Plan'!$D$5:$K$5,INDEX('Pay Plan'!$D$6:$K$12,$BB11,0)))</f>
        <v>0</v>
      </c>
      <c r="AS49" s="0" t="n">
        <f aca="false">SUMPRODUCT((('Aug 25'!$F$8:$F$42=$T11)*'Aug 25'!$AJ$8:$AJ$42+('Aug 25'!$G$8:$G$42=$T11)*'Aug 25'!$AK$8:$AK$42)*LOOKUP((('Aug 25'!$Q$8:$Q$42+'Aug 25'!$R$8:$R$42)*(('Aug 25'!$Q$8:$Q$42+'Aug 25'!$R$8:$R$42)&gt;0)),'Pay Plan'!$D$5:$K$5,INDEX('Pay Plan'!$D$6:$K$12,$BB11,0)))</f>
        <v>0</v>
      </c>
      <c r="AT49" s="0" t="n">
        <f aca="false">SUMPRODUCT((('Aug 26'!$F$8:$F$42=$T11)*'Aug 26'!$AJ$8:$AJ$42+('Aug 26'!$G$8:$G$42=$T11)*'Aug 26'!$AK$8:$AK$42)*LOOKUP((('Aug 26'!$Q$8:$Q$42+'Aug 26'!$R$8:$R$42)*(('Aug 26'!$Q$8:$Q$42+'Aug 26'!$R$8:$R$42)&gt;0)),'Pay Plan'!$D$5:$K$5,INDEX('Pay Plan'!$D$6:$K$12,$BB11,0)))</f>
        <v>0</v>
      </c>
      <c r="AU49" s="0" t="n">
        <f aca="false">SUMPRODUCT((('Aug 27'!$F$8:$F$42=$T11)*'Aug 27'!$AJ$8:$AJ$42+('Aug 27'!$G$8:$G$42=$T11)*'Aug 27'!$AK$8:$AK$42)*LOOKUP((('Aug 27'!$Q$8:$Q$42+'Aug 27'!$R$8:$R$42)*(('Aug 27'!$Q$8:$Q$42+'Aug 27'!$R$8:$R$42)&gt;0)),'Pay Plan'!$D$5:$K$5,INDEX('Pay Plan'!$D$6:$K$12,$BB11,0)))</f>
        <v>0</v>
      </c>
      <c r="AV49" s="0" t="n">
        <f aca="false">SUMPRODUCT((('Aug 28'!$F$8:$F$42=$T11)*'Aug 28'!$AJ$8:$AJ$42+('Aug 28'!$G$8:$G$42=$T11)*'Aug 28'!$AK$8:$AK$42)*LOOKUP((('Aug 28'!$Q$8:$Q$42+'Aug 28'!$R$8:$R$42)*(('Aug 28'!$Q$8:$Q$42+'Aug 28'!$R$8:$R$42)&gt;0)),'Pay Plan'!$D$5:$K$5,INDEX('Pay Plan'!$D$6:$K$12,$BB11,0)))</f>
        <v>0</v>
      </c>
      <c r="AW49" s="0" t="n">
        <f aca="false">SUMPRODUCT((('Aug 29'!$F$8:$F$42=$T11)*'Aug 29'!$AJ$8:$AJ$42+('Aug 29'!$G$8:$G$42=$T11)*'Aug 29'!$AK$8:$AK$42)*LOOKUP((('Aug 29'!$Q$8:$Q$42+'Aug 29'!$R$8:$R$42)*(('Aug 29'!$Q$8:$Q$42+'Aug 29'!$R$8:$R$42)&gt;0)),'Pay Plan'!$D$5:$K$5,INDEX('Pay Plan'!$D$6:$K$12,$BB11,0)))</f>
        <v>0</v>
      </c>
      <c r="AX49" s="0" t="n">
        <f aca="false">SUMPRODUCT((('Aug 30'!$F$8:$F$42=$T11)*'Aug 30'!$AJ$8:$AJ$42+('Aug 30'!$G$8:$G$42=$T11)*'Aug 30'!$AK$8:$AK$42)*LOOKUP((('Aug 30'!$Q$8:$Q$42+'Aug 30'!$R$8:$R$42)*(('Aug 30'!$Q$8:$Q$42+'Aug 30'!$R$8:$R$42)&gt;0)),'Pay Plan'!$D$5:$K$5,INDEX('Pay Plan'!$D$6:$K$12,$BB11,0)))</f>
        <v>0</v>
      </c>
      <c r="AY49" s="0" t="n">
        <f aca="false">SUMPRODUCT((('Aug 31'!$F$8:$F$42=$T11)*'Aug 31'!$AJ$8:$AJ$42+('Aug 31'!$G$8:$G$42=$T11)*'Aug 31'!$AK$8:$AK$42)*LOOKUP((('Aug 31'!$Q$8:$Q$42+'Aug 31'!$R$8:$R$42)*(('Aug 31'!$Q$8:$Q$42+'Aug 31'!$R$8:$R$42)&gt;0)),'Pay Plan'!$D$5:$K$5,INDEX('Pay Plan'!$D$6:$K$12,$BB11,0)))</f>
        <v>0</v>
      </c>
    </row>
    <row r="50" customFormat="false" ht="15" hidden="false" customHeight="false" outlineLevel="0" collapsed="false">
      <c r="U50" s="0" t="n">
        <f aca="false">SUMPRODUCT((('Aug 1'!$F$8:$F$42=$T12)*'Aug 1'!$AJ$8:$AJ$42+('Aug 1'!$G$8:$G$42=$T12)*'Aug 1'!$AK$8:$AK$42)*LOOKUP((('Aug 1'!$Q$8:$Q$42+'Aug 1'!$R$8:$R$42)*(('Aug 1'!$Q$8:$Q$42+'Aug 1'!$R$8:$R$42)&gt;0)),'Pay Plan'!$D$5:$K$5,INDEX('Pay Plan'!$D$6:$K$12,$BB12,0)))</f>
        <v>0</v>
      </c>
      <c r="V50" s="0" t="n">
        <f aca="false">SUMPRODUCT((('Aug 2'!$F$8:$F$42=$T12)*'Aug 2'!$AJ$8:$AJ$42+('Aug 2'!$G$8:$G$42=$T12)*'Aug 2'!$AK$8:$AK$42)*LOOKUP((('Aug 2'!$Q$8:$Q$42+'Aug 2'!$R$8:$R$42)*(('Aug 2'!$Q$8:$Q$42+'Aug 2'!$R$8:$R$42)&gt;0)),'Pay Plan'!$D$5:$K$5,INDEX('Pay Plan'!$D$6:$K$12,$BB12,0)))</f>
        <v>0</v>
      </c>
      <c r="W50" s="0" t="n">
        <f aca="false">SUMPRODUCT((('Aug 3'!$F$8:$F$42=$T12)*'Aug 3'!$AJ$8:$AJ$42+('Aug 3'!$G$8:$G$42=$T12)*'Aug 3'!$AK$8:$AK$42)*LOOKUP((('Aug 3'!$Q$8:$Q$42+'Aug 3'!$R$8:$R$42)*(('Aug 3'!$Q$8:$Q$42+'Aug 3'!$R$8:$R$42)&gt;0)),'Pay Plan'!$D$5:$K$5,INDEX('Pay Plan'!$D$6:$K$12,$BB12,0)))</f>
        <v>0</v>
      </c>
      <c r="X50" s="0" t="n">
        <f aca="false">SUMPRODUCT((('Aug 4'!$F$8:$F$42=$T12)*'Aug 4'!$AJ$8:$AJ$42+('Aug 4'!$G$8:$G$42=$T12)*'Aug 4'!$AK$8:$AK$42)*LOOKUP((('Aug 4'!$Q$8:$Q$42+'Aug 4'!$R$8:$R$42)*(('Aug 4'!$Q$8:$Q$42+'Aug 4'!$R$8:$R$42)&gt;0)),'Pay Plan'!$D$5:$K$5,INDEX('Pay Plan'!$D$6:$K$12,$BB12,0)))</f>
        <v>0</v>
      </c>
      <c r="Y50" s="0" t="n">
        <f aca="false">SUMPRODUCT((('Aug 5'!$F$8:$F$42=$T12)*'Aug 5'!$AJ$8:$AJ$42+('Aug 5'!$G$8:$G$42=$T12)*'Aug 5'!$AK$8:$AK$42)*LOOKUP((('Aug 5'!$Q$8:$Q$42+'Aug 5'!$R$8:$R$42)*(('Aug 5'!$Q$8:$Q$42+'Aug 5'!$R$8:$R$42)&gt;0)),'Pay Plan'!$D$5:$K$5,INDEX('Pay Plan'!$D$6:$K$12,$BB12,0)))</f>
        <v>0</v>
      </c>
      <c r="Z50" s="0" t="n">
        <f aca="false">SUMPRODUCT((('Aug 6'!$F$8:$F$42=$T12)*'Aug 6'!$AJ$8:$AJ$42+('Aug 6'!$G$8:$G$42=$T12)*'Aug 6'!$AK$8:$AK$42)*LOOKUP((('Aug 6'!$Q$8:$Q$42+'Aug 6'!$R$8:$R$42)*(('Aug 6'!$Q$8:$Q$42+'Aug 6'!$R$8:$R$42)&gt;0)),'Pay Plan'!$D$5:$K$5,INDEX('Pay Plan'!$D$6:$K$12,$BB12,0)))</f>
        <v>0</v>
      </c>
      <c r="AA50" s="0" t="n">
        <f aca="false">SUMPRODUCT((('Aug 7'!$F$8:$F$42=$T12)*'Aug 7'!$AJ$8:$AJ$42+('Aug 7'!$G$8:$G$42=$T12)*'Aug 7'!$AK$8:$AK$42)*LOOKUP((('Aug 7'!$Q$8:$Q$42+'Aug 7'!$R$8:$R$42)*(('Aug 7'!$Q$8:$Q$42+'Aug 7'!$R$8:$R$42)&gt;0)),'Pay Plan'!$D$5:$K$5,INDEX('Pay Plan'!$D$6:$K$12,$BB12,0)))</f>
        <v>0</v>
      </c>
      <c r="AB50" s="0" t="n">
        <f aca="false">SUMPRODUCT((('Aug 8'!$F$8:$F$42=$T12)*'Aug 8'!$AJ$8:$AJ$42+('Aug 8'!$G$8:$G$42=$T12)*'Aug 8'!$AK$8:$AK$42)*LOOKUP((('Aug 8'!$Q$8:$Q$42+'Aug 8'!$R$8:$R$42)*(('Aug 8'!$Q$8:$Q$42+'Aug 8'!$R$8:$R$42)&gt;0)),'Pay Plan'!$D$5:$K$5,INDEX('Pay Plan'!$D$6:$K$12,$BB12,0)))</f>
        <v>0</v>
      </c>
      <c r="AC50" s="0" t="n">
        <f aca="false">SUMPRODUCT((('Aug 9'!$F$8:$F$42=$T12)*'Aug 9'!$AJ$8:$AJ$42+('Aug 9'!$G$8:$G$42=$T12)*'Aug 9'!$AK$8:$AK$42)*LOOKUP((('Aug 9'!$Q$8:$Q$42+'Aug 9'!$R$8:$R$42)*(('Aug 9'!$Q$8:$Q$42+'Aug 9'!$R$8:$R$42)&gt;0)),'Pay Plan'!$D$5:$K$5,INDEX('Pay Plan'!$D$6:$K$12,$BB12,0)))</f>
        <v>0</v>
      </c>
      <c r="AD50" s="0" t="n">
        <f aca="false">SUMPRODUCT((('Aug 10'!$F$8:$F$42=$T12)*'Aug 10'!$AJ$8:$AJ$42+('Aug 10'!$G$8:$G$42=$T12)*'Aug 10'!$AK$8:$AK$42)*LOOKUP((('Aug 10'!$Q$8:$Q$42+'Aug 10'!$R$8:$R$42)*(('Aug 10'!$Q$8:$Q$42+'Aug 10'!$R$8:$R$42)&gt;0)),'Pay Plan'!$D$5:$K$5,INDEX('Pay Plan'!$D$6:$K$12,$BB12,0)))</f>
        <v>0</v>
      </c>
      <c r="AE50" s="0" t="n">
        <f aca="false">SUMPRODUCT((('Aug 11'!$F$8:$F$42=$T12)*'Aug 11'!$AJ$8:$AJ$42+('Aug 11'!$G$8:$G$42=$T12)*'Aug 11'!$AK$8:$AK$42)*LOOKUP((('Aug 11'!$Q$8:$Q$42+'Aug 11'!$R$8:$R$42)*(('Aug 11'!$Q$8:$Q$42+'Aug 11'!$R$8:$R$42)&gt;0)),'Pay Plan'!$D$5:$K$5,INDEX('Pay Plan'!$D$6:$K$12,$BB12,0)))</f>
        <v>0</v>
      </c>
      <c r="AF50" s="0" t="n">
        <f aca="false">SUMPRODUCT((('Aug 12'!$F$8:$F$42=$T12)*'Aug 12'!$AJ$8:$AJ$42+('Aug 12'!$G$8:$G$42=$T12)*'Aug 12'!$AK$8:$AK$42)*LOOKUP((('Aug 12'!$Q$8:$Q$42+'Aug 12'!$R$8:$R$42)*(('Aug 12'!$Q$8:$Q$42+'Aug 12'!$R$8:$R$42)&gt;0)),'Pay Plan'!$D$5:$K$5,INDEX('Pay Plan'!$D$6:$K$12,$BB12,0)))</f>
        <v>0</v>
      </c>
      <c r="AG50" s="0" t="n">
        <f aca="false">SUMPRODUCT((('Aug 13'!$F$8:$F$42=$T12)*'Aug 13'!$AJ$8:$AJ$42+('Aug 13'!$G$8:$G$42=$T12)*'Aug 13'!$AK$8:$AK$42)*LOOKUP((('Aug 13'!$Q$8:$Q$42+'Aug 13'!$R$8:$R$42)*(('Aug 13'!$Q$8:$Q$42+'Aug 13'!$R$8:$R$42)&gt;0)),'Pay Plan'!$D$5:$K$5,INDEX('Pay Plan'!$D$6:$K$12,$BB12,0)))</f>
        <v>0</v>
      </c>
      <c r="AH50" s="0" t="n">
        <f aca="false">SUMPRODUCT((('Aug 14'!$F$8:$F$42=$T12)*'Aug 14'!$AJ$8:$AJ$42+('Aug 14'!$G$8:$G$42=$T12)*'Aug 14'!$AK$8:$AK$42)*LOOKUP((('Aug 14'!$Q$8:$Q$42+'Aug 14'!$R$8:$R$42)*(('Aug 14'!$Q$8:$Q$42+'Aug 14'!$R$8:$R$42)&gt;0)),'Pay Plan'!$D$5:$K$5,INDEX('Pay Plan'!$D$6:$K$12,$BB12,0)))</f>
        <v>0</v>
      </c>
      <c r="AI50" s="0" t="n">
        <f aca="false">SUMPRODUCT((('Aug 15'!$F$8:$F$42=$T12)*'Aug 15'!$AJ$8:$AJ$42+('Aug 15'!$G$8:$G$42=$T12)*'Aug 15'!$AK$8:$AK$42)*LOOKUP((('Aug 15'!$Q$8:$Q$42+'Aug 15'!$R$8:$R$42)*(('Aug 15'!$Q$8:$Q$42+'Aug 15'!$R$8:$R$42)&gt;0)),'Pay Plan'!$D$5:$K$5,INDEX('Pay Plan'!$D$6:$K$12,$BB12,0)))</f>
        <v>0</v>
      </c>
      <c r="AJ50" s="0" t="n">
        <f aca="false">SUMPRODUCT((('Aug 16'!$F$8:$F$42=$T12)*'Aug 16'!$AJ$8:$AJ$42+('Aug 16'!$G$8:$G$42=$T12)*'Aug 16'!$AK$8:$AK$42)*LOOKUP((('Aug 16'!$Q$8:$Q$42+'Aug 16'!$R$8:$R$42)*(('Aug 16'!$Q$8:$Q$42+'Aug 16'!$R$8:$R$42)&gt;0)),'Pay Plan'!$D$5:$K$5,INDEX('Pay Plan'!$D$6:$K$12,$BB12,0)))</f>
        <v>0</v>
      </c>
      <c r="AK50" s="0" t="n">
        <f aca="false">SUMPRODUCT((('Aug 17'!$F$8:$F$42=$T12)*'Aug 17'!$AJ$8:$AJ$42+('Aug 17'!$G$8:$G$42=$T12)*'Aug 17'!$AK$8:$AK$42)*LOOKUP((('Aug 17'!$Q$8:$Q$42+'Aug 17'!$R$8:$R$42)*(('Aug 17'!$Q$8:$Q$42+'Aug 17'!$R$8:$R$42)&gt;0)),'Pay Plan'!$D$5:$K$5,INDEX('Pay Plan'!$D$6:$K$12,$BB12,0)))</f>
        <v>0</v>
      </c>
      <c r="AL50" s="0" t="n">
        <f aca="false">SUMPRODUCT((('Aug 18'!$F$8:$F$42=$T12)*'Aug 18'!$AJ$8:$AJ$42+('Aug 18'!$G$8:$G$42=$T12)*'Aug 18'!$AK$8:$AK$42)*LOOKUP((('Aug 18'!$Q$8:$Q$42+'Aug 18'!$R$8:$R$42)*(('Aug 18'!$Q$8:$Q$42+'Aug 18'!$R$8:$R$42)&gt;0)),'Pay Plan'!$D$5:$K$5,INDEX('Pay Plan'!$D$6:$K$12,$BB12,0)))</f>
        <v>0</v>
      </c>
      <c r="AM50" s="0" t="n">
        <f aca="false">SUMPRODUCT((('Aug 19'!$F$8:$F$42=$T12)*'Aug 19'!$AJ$8:$AJ$42+('Aug 19'!$G$8:$G$42=$T12)*'Aug 19'!$AK$8:$AK$42)*LOOKUP((('Aug 19'!$Q$8:$Q$42+'Aug 19'!$R$8:$R$42)*(('Aug 19'!$Q$8:$Q$42+'Aug 19'!$R$8:$R$42)&gt;0)),'Pay Plan'!$D$5:$K$5,INDEX('Pay Plan'!$D$6:$K$12,$BB12,0)))</f>
        <v>0</v>
      </c>
      <c r="AN50" s="0" t="n">
        <f aca="false">SUMPRODUCT((('Aug 20'!$F$8:$F$42=$T12)*'Aug 20'!$AJ$8:$AJ$42+('Aug 20'!$G$8:$G$42=$T12)*'Aug 20'!$AK$8:$AK$42)*LOOKUP((('Aug 20'!$Q$8:$Q$42+'Aug 20'!$R$8:$R$42)*(('Aug 20'!$Q$8:$Q$42+'Aug 20'!$R$8:$R$42)&gt;0)),'Pay Plan'!$D$5:$K$5,INDEX('Pay Plan'!$D$6:$K$12,$BB12,0)))</f>
        <v>0</v>
      </c>
      <c r="AO50" s="0" t="n">
        <f aca="false">SUMPRODUCT((('Aug 21'!$F$8:$F$42=$T12)*'Aug 21'!$AJ$8:$AJ$42+('Aug 21'!$G$8:$G$42=$T12)*'Aug 21'!$AK$8:$AK$42)*LOOKUP((('Aug 21'!$Q$8:$Q$42+'Aug 21'!$R$8:$R$42)*(('Aug 21'!$Q$8:$Q$42+'Aug 21'!$R$8:$R$42)&gt;0)),'Pay Plan'!$D$5:$K$5,INDEX('Pay Plan'!$D$6:$K$12,$BB12,0)))</f>
        <v>0</v>
      </c>
      <c r="AP50" s="0" t="n">
        <f aca="false">SUMPRODUCT((('Aug 22'!$F$8:$F$42=$T12)*'Aug 22'!$AJ$8:$AJ$42+('Aug 22'!$G$8:$G$42=$T12)*'Aug 22'!$AK$8:$AK$42)*LOOKUP((('Aug 22'!$Q$8:$Q$42+'Aug 22'!$R$8:$R$42)*(('Aug 22'!$Q$8:$Q$42+'Aug 22'!$R$8:$R$42)&gt;0)),'Pay Plan'!$D$5:$K$5,INDEX('Pay Plan'!$D$6:$K$12,$BB12,0)))</f>
        <v>0</v>
      </c>
      <c r="AQ50" s="0" t="n">
        <f aca="false">SUMPRODUCT((('Aug 23'!$F$8:$F$42=$T12)*'Aug 23'!$AJ$8:$AJ$42+('Aug 23'!$G$8:$G$42=$T12)*'Aug 23'!$AK$8:$AK$42)*LOOKUP((('Aug 23'!$Q$8:$Q$42+'Aug 23'!$R$8:$R$42)*(('Aug 23'!$Q$8:$Q$42+'Aug 23'!$R$8:$R$42)&gt;0)),'Pay Plan'!$D$5:$K$5,INDEX('Pay Plan'!$D$6:$K$12,$BB12,0)))</f>
        <v>0</v>
      </c>
      <c r="AR50" s="0" t="n">
        <f aca="false">SUMPRODUCT((('Aug 24'!$F$8:$F$42=$T12)*'Aug 24'!$AJ$8:$AJ$42+('Aug 24'!$G$8:$G$42=$T12)*'Aug 24'!$AK$8:$AK$42)*LOOKUP((('Aug 24'!$Q$8:$Q$42+'Aug 24'!$R$8:$R$42)*(('Aug 24'!$Q$8:$Q$42+'Aug 24'!$R$8:$R$42)&gt;0)),'Pay Plan'!$D$5:$K$5,INDEX('Pay Plan'!$D$6:$K$12,$BB12,0)))</f>
        <v>0</v>
      </c>
      <c r="AS50" s="0" t="n">
        <f aca="false">SUMPRODUCT((('Aug 25'!$F$8:$F$42=$T12)*'Aug 25'!$AJ$8:$AJ$42+('Aug 25'!$G$8:$G$42=$T12)*'Aug 25'!$AK$8:$AK$42)*LOOKUP((('Aug 25'!$Q$8:$Q$42+'Aug 25'!$R$8:$R$42)*(('Aug 25'!$Q$8:$Q$42+'Aug 25'!$R$8:$R$42)&gt;0)),'Pay Plan'!$D$5:$K$5,INDEX('Pay Plan'!$D$6:$K$12,$BB12,0)))</f>
        <v>0</v>
      </c>
      <c r="AT50" s="0" t="n">
        <f aca="false">SUMPRODUCT((('Aug 26'!$F$8:$F$42=$T12)*'Aug 26'!$AJ$8:$AJ$42+('Aug 26'!$G$8:$G$42=$T12)*'Aug 26'!$AK$8:$AK$42)*LOOKUP((('Aug 26'!$Q$8:$Q$42+'Aug 26'!$R$8:$R$42)*(('Aug 26'!$Q$8:$Q$42+'Aug 26'!$R$8:$R$42)&gt;0)),'Pay Plan'!$D$5:$K$5,INDEX('Pay Plan'!$D$6:$K$12,$BB12,0)))</f>
        <v>0</v>
      </c>
      <c r="AU50" s="0" t="n">
        <f aca="false">SUMPRODUCT((('Aug 27'!$F$8:$F$42=$T12)*'Aug 27'!$AJ$8:$AJ$42+('Aug 27'!$G$8:$G$42=$T12)*'Aug 27'!$AK$8:$AK$42)*LOOKUP((('Aug 27'!$Q$8:$Q$42+'Aug 27'!$R$8:$R$42)*(('Aug 27'!$Q$8:$Q$42+'Aug 27'!$R$8:$R$42)&gt;0)),'Pay Plan'!$D$5:$K$5,INDEX('Pay Plan'!$D$6:$K$12,$BB12,0)))</f>
        <v>0</v>
      </c>
      <c r="AV50" s="0" t="n">
        <f aca="false">SUMPRODUCT((('Aug 28'!$F$8:$F$42=$T12)*'Aug 28'!$AJ$8:$AJ$42+('Aug 28'!$G$8:$G$42=$T12)*'Aug 28'!$AK$8:$AK$42)*LOOKUP((('Aug 28'!$Q$8:$Q$42+'Aug 28'!$R$8:$R$42)*(('Aug 28'!$Q$8:$Q$42+'Aug 28'!$R$8:$R$42)&gt;0)),'Pay Plan'!$D$5:$K$5,INDEX('Pay Plan'!$D$6:$K$12,$BB12,0)))</f>
        <v>0</v>
      </c>
      <c r="AW50" s="0" t="n">
        <f aca="false">SUMPRODUCT((('Aug 29'!$F$8:$F$42=$T12)*'Aug 29'!$AJ$8:$AJ$42+('Aug 29'!$G$8:$G$42=$T12)*'Aug 29'!$AK$8:$AK$42)*LOOKUP((('Aug 29'!$Q$8:$Q$42+'Aug 29'!$R$8:$R$42)*(('Aug 29'!$Q$8:$Q$42+'Aug 29'!$R$8:$R$42)&gt;0)),'Pay Plan'!$D$5:$K$5,INDEX('Pay Plan'!$D$6:$K$12,$BB12,0)))</f>
        <v>0</v>
      </c>
      <c r="AX50" s="0" t="n">
        <f aca="false">SUMPRODUCT((('Aug 30'!$F$8:$F$42=$T12)*'Aug 30'!$AJ$8:$AJ$42+('Aug 30'!$G$8:$G$42=$T12)*'Aug 30'!$AK$8:$AK$42)*LOOKUP((('Aug 30'!$Q$8:$Q$42+'Aug 30'!$R$8:$R$42)*(('Aug 30'!$Q$8:$Q$42+'Aug 30'!$R$8:$R$42)&gt;0)),'Pay Plan'!$D$5:$K$5,INDEX('Pay Plan'!$D$6:$K$12,$BB12,0)))</f>
        <v>0</v>
      </c>
      <c r="AY50" s="0" t="n">
        <f aca="false">SUMPRODUCT((('Aug 31'!$F$8:$F$42=$T12)*'Aug 31'!$AJ$8:$AJ$42+('Aug 31'!$G$8:$G$42=$T12)*'Aug 31'!$AK$8:$AK$42)*LOOKUP((('Aug 31'!$Q$8:$Q$42+'Aug 31'!$R$8:$R$42)*(('Aug 31'!$Q$8:$Q$42+'Aug 31'!$R$8:$R$42)&gt;0)),'Pay Plan'!$D$5:$K$5,INDEX('Pay Plan'!$D$6:$K$12,$BB12,0)))</f>
        <v>0</v>
      </c>
    </row>
    <row r="51" customFormat="false" ht="15" hidden="false" customHeight="false" outlineLevel="0" collapsed="false">
      <c r="U51" s="0" t="n">
        <f aca="false">SUMPRODUCT((('Aug 1'!$F$8:$F$42=$T13)*'Aug 1'!$AJ$8:$AJ$42+('Aug 1'!$G$8:$G$42=$T13)*'Aug 1'!$AK$8:$AK$42)*LOOKUP((('Aug 1'!$Q$8:$Q$42+'Aug 1'!$R$8:$R$42)*(('Aug 1'!$Q$8:$Q$42+'Aug 1'!$R$8:$R$42)&gt;0)),'Pay Plan'!$D$5:$K$5,INDEX('Pay Plan'!$D$6:$K$12,$BB13,0)))</f>
        <v>0</v>
      </c>
      <c r="V51" s="0" t="n">
        <f aca="false">SUMPRODUCT((('Aug 2'!$F$8:$F$42=$T13)*'Aug 2'!$AJ$8:$AJ$42+('Aug 2'!$G$8:$G$42=$T13)*'Aug 2'!$AK$8:$AK$42)*LOOKUP((('Aug 2'!$Q$8:$Q$42+'Aug 2'!$R$8:$R$42)*(('Aug 2'!$Q$8:$Q$42+'Aug 2'!$R$8:$R$42)&gt;0)),'Pay Plan'!$D$5:$K$5,INDEX('Pay Plan'!$D$6:$K$12,$BB13,0)))</f>
        <v>0</v>
      </c>
      <c r="W51" s="0" t="n">
        <f aca="false">SUMPRODUCT((('Aug 3'!$F$8:$F$42=$T13)*'Aug 3'!$AJ$8:$AJ$42+('Aug 3'!$G$8:$G$42=$T13)*'Aug 3'!$AK$8:$AK$42)*LOOKUP((('Aug 3'!$Q$8:$Q$42+'Aug 3'!$R$8:$R$42)*(('Aug 3'!$Q$8:$Q$42+'Aug 3'!$R$8:$R$42)&gt;0)),'Pay Plan'!$D$5:$K$5,INDEX('Pay Plan'!$D$6:$K$12,$BB13,0)))</f>
        <v>0</v>
      </c>
      <c r="X51" s="0" t="n">
        <f aca="false">SUMPRODUCT((('Aug 4'!$F$8:$F$42=$T13)*'Aug 4'!$AJ$8:$AJ$42+('Aug 4'!$G$8:$G$42=$T13)*'Aug 4'!$AK$8:$AK$42)*LOOKUP((('Aug 4'!$Q$8:$Q$42+'Aug 4'!$R$8:$R$42)*(('Aug 4'!$Q$8:$Q$42+'Aug 4'!$R$8:$R$42)&gt;0)),'Pay Plan'!$D$5:$K$5,INDEX('Pay Plan'!$D$6:$K$12,$BB13,0)))</f>
        <v>0</v>
      </c>
      <c r="Y51" s="0" t="n">
        <f aca="false">SUMPRODUCT((('Aug 5'!$F$8:$F$42=$T13)*'Aug 5'!$AJ$8:$AJ$42+('Aug 5'!$G$8:$G$42=$T13)*'Aug 5'!$AK$8:$AK$42)*LOOKUP((('Aug 5'!$Q$8:$Q$42+'Aug 5'!$R$8:$R$42)*(('Aug 5'!$Q$8:$Q$42+'Aug 5'!$R$8:$R$42)&gt;0)),'Pay Plan'!$D$5:$K$5,INDEX('Pay Plan'!$D$6:$K$12,$BB13,0)))</f>
        <v>0</v>
      </c>
      <c r="Z51" s="0" t="n">
        <f aca="false">SUMPRODUCT((('Aug 6'!$F$8:$F$42=$T13)*'Aug 6'!$AJ$8:$AJ$42+('Aug 6'!$G$8:$G$42=$T13)*'Aug 6'!$AK$8:$AK$42)*LOOKUP((('Aug 6'!$Q$8:$Q$42+'Aug 6'!$R$8:$R$42)*(('Aug 6'!$Q$8:$Q$42+'Aug 6'!$R$8:$R$42)&gt;0)),'Pay Plan'!$D$5:$K$5,INDEX('Pay Plan'!$D$6:$K$12,$BB13,0)))</f>
        <v>0</v>
      </c>
      <c r="AA51" s="0" t="n">
        <f aca="false">SUMPRODUCT((('Aug 7'!$F$8:$F$42=$T13)*'Aug 7'!$AJ$8:$AJ$42+('Aug 7'!$G$8:$G$42=$T13)*'Aug 7'!$AK$8:$AK$42)*LOOKUP((('Aug 7'!$Q$8:$Q$42+'Aug 7'!$R$8:$R$42)*(('Aug 7'!$Q$8:$Q$42+'Aug 7'!$R$8:$R$42)&gt;0)),'Pay Plan'!$D$5:$K$5,INDEX('Pay Plan'!$D$6:$K$12,$BB13,0)))</f>
        <v>0</v>
      </c>
      <c r="AB51" s="0" t="n">
        <f aca="false">SUMPRODUCT((('Aug 8'!$F$8:$F$42=$T13)*'Aug 8'!$AJ$8:$AJ$42+('Aug 8'!$G$8:$G$42=$T13)*'Aug 8'!$AK$8:$AK$42)*LOOKUP((('Aug 8'!$Q$8:$Q$42+'Aug 8'!$R$8:$R$42)*(('Aug 8'!$Q$8:$Q$42+'Aug 8'!$R$8:$R$42)&gt;0)),'Pay Plan'!$D$5:$K$5,INDEX('Pay Plan'!$D$6:$K$12,$BB13,0)))</f>
        <v>0</v>
      </c>
      <c r="AC51" s="0" t="n">
        <f aca="false">SUMPRODUCT((('Aug 9'!$F$8:$F$42=$T13)*'Aug 9'!$AJ$8:$AJ$42+('Aug 9'!$G$8:$G$42=$T13)*'Aug 9'!$AK$8:$AK$42)*LOOKUP((('Aug 9'!$Q$8:$Q$42+'Aug 9'!$R$8:$R$42)*(('Aug 9'!$Q$8:$Q$42+'Aug 9'!$R$8:$R$42)&gt;0)),'Pay Plan'!$D$5:$K$5,INDEX('Pay Plan'!$D$6:$K$12,$BB13,0)))</f>
        <v>0</v>
      </c>
      <c r="AD51" s="0" t="n">
        <f aca="false">SUMPRODUCT((('Aug 10'!$F$8:$F$42=$T13)*'Aug 10'!$AJ$8:$AJ$42+('Aug 10'!$G$8:$G$42=$T13)*'Aug 10'!$AK$8:$AK$42)*LOOKUP((('Aug 10'!$Q$8:$Q$42+'Aug 10'!$R$8:$R$42)*(('Aug 10'!$Q$8:$Q$42+'Aug 10'!$R$8:$R$42)&gt;0)),'Pay Plan'!$D$5:$K$5,INDEX('Pay Plan'!$D$6:$K$12,$BB13,0)))</f>
        <v>0</v>
      </c>
      <c r="AE51" s="0" t="n">
        <f aca="false">SUMPRODUCT((('Aug 11'!$F$8:$F$42=$T13)*'Aug 11'!$AJ$8:$AJ$42+('Aug 11'!$G$8:$G$42=$T13)*'Aug 11'!$AK$8:$AK$42)*LOOKUP((('Aug 11'!$Q$8:$Q$42+'Aug 11'!$R$8:$R$42)*(('Aug 11'!$Q$8:$Q$42+'Aug 11'!$R$8:$R$42)&gt;0)),'Pay Plan'!$D$5:$K$5,INDEX('Pay Plan'!$D$6:$K$12,$BB13,0)))</f>
        <v>0</v>
      </c>
      <c r="AF51" s="0" t="n">
        <f aca="false">SUMPRODUCT((('Aug 12'!$F$8:$F$42=$T13)*'Aug 12'!$AJ$8:$AJ$42+('Aug 12'!$G$8:$G$42=$T13)*'Aug 12'!$AK$8:$AK$42)*LOOKUP((('Aug 12'!$Q$8:$Q$42+'Aug 12'!$R$8:$R$42)*(('Aug 12'!$Q$8:$Q$42+'Aug 12'!$R$8:$R$42)&gt;0)),'Pay Plan'!$D$5:$K$5,INDEX('Pay Plan'!$D$6:$K$12,$BB13,0)))</f>
        <v>0</v>
      </c>
      <c r="AG51" s="0" t="n">
        <f aca="false">SUMPRODUCT((('Aug 13'!$F$8:$F$42=$T13)*'Aug 13'!$AJ$8:$AJ$42+('Aug 13'!$G$8:$G$42=$T13)*'Aug 13'!$AK$8:$AK$42)*LOOKUP((('Aug 13'!$Q$8:$Q$42+'Aug 13'!$R$8:$R$42)*(('Aug 13'!$Q$8:$Q$42+'Aug 13'!$R$8:$R$42)&gt;0)),'Pay Plan'!$D$5:$K$5,INDEX('Pay Plan'!$D$6:$K$12,$BB13,0)))</f>
        <v>0</v>
      </c>
      <c r="AH51" s="0" t="n">
        <f aca="false">SUMPRODUCT((('Aug 14'!$F$8:$F$42=$T13)*'Aug 14'!$AJ$8:$AJ$42+('Aug 14'!$G$8:$G$42=$T13)*'Aug 14'!$AK$8:$AK$42)*LOOKUP((('Aug 14'!$Q$8:$Q$42+'Aug 14'!$R$8:$R$42)*(('Aug 14'!$Q$8:$Q$42+'Aug 14'!$R$8:$R$42)&gt;0)),'Pay Plan'!$D$5:$K$5,INDEX('Pay Plan'!$D$6:$K$12,$BB13,0)))</f>
        <v>0</v>
      </c>
      <c r="AI51" s="0" t="n">
        <f aca="false">SUMPRODUCT((('Aug 15'!$F$8:$F$42=$T13)*'Aug 15'!$AJ$8:$AJ$42+('Aug 15'!$G$8:$G$42=$T13)*'Aug 15'!$AK$8:$AK$42)*LOOKUP((('Aug 15'!$Q$8:$Q$42+'Aug 15'!$R$8:$R$42)*(('Aug 15'!$Q$8:$Q$42+'Aug 15'!$R$8:$R$42)&gt;0)),'Pay Plan'!$D$5:$K$5,INDEX('Pay Plan'!$D$6:$K$12,$BB13,0)))</f>
        <v>0</v>
      </c>
      <c r="AJ51" s="0" t="n">
        <f aca="false">SUMPRODUCT((('Aug 16'!$F$8:$F$42=$T13)*'Aug 16'!$AJ$8:$AJ$42+('Aug 16'!$G$8:$G$42=$T13)*'Aug 16'!$AK$8:$AK$42)*LOOKUP((('Aug 16'!$Q$8:$Q$42+'Aug 16'!$R$8:$R$42)*(('Aug 16'!$Q$8:$Q$42+'Aug 16'!$R$8:$R$42)&gt;0)),'Pay Plan'!$D$5:$K$5,INDEX('Pay Plan'!$D$6:$K$12,$BB13,0)))</f>
        <v>0</v>
      </c>
      <c r="AK51" s="0" t="n">
        <f aca="false">SUMPRODUCT((('Aug 17'!$F$8:$F$42=$T13)*'Aug 17'!$AJ$8:$AJ$42+('Aug 17'!$G$8:$G$42=$T13)*'Aug 17'!$AK$8:$AK$42)*LOOKUP((('Aug 17'!$Q$8:$Q$42+'Aug 17'!$R$8:$R$42)*(('Aug 17'!$Q$8:$Q$42+'Aug 17'!$R$8:$R$42)&gt;0)),'Pay Plan'!$D$5:$K$5,INDEX('Pay Plan'!$D$6:$K$12,$BB13,0)))</f>
        <v>0</v>
      </c>
      <c r="AL51" s="0" t="n">
        <f aca="false">SUMPRODUCT((('Aug 18'!$F$8:$F$42=$T13)*'Aug 18'!$AJ$8:$AJ$42+('Aug 18'!$G$8:$G$42=$T13)*'Aug 18'!$AK$8:$AK$42)*LOOKUP((('Aug 18'!$Q$8:$Q$42+'Aug 18'!$R$8:$R$42)*(('Aug 18'!$Q$8:$Q$42+'Aug 18'!$R$8:$R$42)&gt;0)),'Pay Plan'!$D$5:$K$5,INDEX('Pay Plan'!$D$6:$K$12,$BB13,0)))</f>
        <v>0</v>
      </c>
      <c r="AM51" s="0" t="n">
        <f aca="false">SUMPRODUCT((('Aug 19'!$F$8:$F$42=$T13)*'Aug 19'!$AJ$8:$AJ$42+('Aug 19'!$G$8:$G$42=$T13)*'Aug 19'!$AK$8:$AK$42)*LOOKUP((('Aug 19'!$Q$8:$Q$42+'Aug 19'!$R$8:$R$42)*(('Aug 19'!$Q$8:$Q$42+'Aug 19'!$R$8:$R$42)&gt;0)),'Pay Plan'!$D$5:$K$5,INDEX('Pay Plan'!$D$6:$K$12,$BB13,0)))</f>
        <v>0</v>
      </c>
      <c r="AN51" s="0" t="n">
        <f aca="false">SUMPRODUCT((('Aug 20'!$F$8:$F$42=$T13)*'Aug 20'!$AJ$8:$AJ$42+('Aug 20'!$G$8:$G$42=$T13)*'Aug 20'!$AK$8:$AK$42)*LOOKUP((('Aug 20'!$Q$8:$Q$42+'Aug 20'!$R$8:$R$42)*(('Aug 20'!$Q$8:$Q$42+'Aug 20'!$R$8:$R$42)&gt;0)),'Pay Plan'!$D$5:$K$5,INDEX('Pay Plan'!$D$6:$K$12,$BB13,0)))</f>
        <v>0</v>
      </c>
      <c r="AO51" s="0" t="n">
        <f aca="false">SUMPRODUCT((('Aug 21'!$F$8:$F$42=$T13)*'Aug 21'!$AJ$8:$AJ$42+('Aug 21'!$G$8:$G$42=$T13)*'Aug 21'!$AK$8:$AK$42)*LOOKUP((('Aug 21'!$Q$8:$Q$42+'Aug 21'!$R$8:$R$42)*(('Aug 21'!$Q$8:$Q$42+'Aug 21'!$R$8:$R$42)&gt;0)),'Pay Plan'!$D$5:$K$5,INDEX('Pay Plan'!$D$6:$K$12,$BB13,0)))</f>
        <v>0</v>
      </c>
      <c r="AP51" s="0" t="n">
        <f aca="false">SUMPRODUCT((('Aug 22'!$F$8:$F$42=$T13)*'Aug 22'!$AJ$8:$AJ$42+('Aug 22'!$G$8:$G$42=$T13)*'Aug 22'!$AK$8:$AK$42)*LOOKUP((('Aug 22'!$Q$8:$Q$42+'Aug 22'!$R$8:$R$42)*(('Aug 22'!$Q$8:$Q$42+'Aug 22'!$R$8:$R$42)&gt;0)),'Pay Plan'!$D$5:$K$5,INDEX('Pay Plan'!$D$6:$K$12,$BB13,0)))</f>
        <v>0</v>
      </c>
      <c r="AQ51" s="0" t="n">
        <f aca="false">SUMPRODUCT((('Aug 23'!$F$8:$F$42=$T13)*'Aug 23'!$AJ$8:$AJ$42+('Aug 23'!$G$8:$G$42=$T13)*'Aug 23'!$AK$8:$AK$42)*LOOKUP((('Aug 23'!$Q$8:$Q$42+'Aug 23'!$R$8:$R$42)*(('Aug 23'!$Q$8:$Q$42+'Aug 23'!$R$8:$R$42)&gt;0)),'Pay Plan'!$D$5:$K$5,INDEX('Pay Plan'!$D$6:$K$12,$BB13,0)))</f>
        <v>0</v>
      </c>
      <c r="AR51" s="0" t="n">
        <f aca="false">SUMPRODUCT((('Aug 24'!$F$8:$F$42=$T13)*'Aug 24'!$AJ$8:$AJ$42+('Aug 24'!$G$8:$G$42=$T13)*'Aug 24'!$AK$8:$AK$42)*LOOKUP((('Aug 24'!$Q$8:$Q$42+'Aug 24'!$R$8:$R$42)*(('Aug 24'!$Q$8:$Q$42+'Aug 24'!$R$8:$R$42)&gt;0)),'Pay Plan'!$D$5:$K$5,INDEX('Pay Plan'!$D$6:$K$12,$BB13,0)))</f>
        <v>0</v>
      </c>
      <c r="AS51" s="0" t="n">
        <f aca="false">SUMPRODUCT((('Aug 25'!$F$8:$F$42=$T13)*'Aug 25'!$AJ$8:$AJ$42+('Aug 25'!$G$8:$G$42=$T13)*'Aug 25'!$AK$8:$AK$42)*LOOKUP((('Aug 25'!$Q$8:$Q$42+'Aug 25'!$R$8:$R$42)*(('Aug 25'!$Q$8:$Q$42+'Aug 25'!$R$8:$R$42)&gt;0)),'Pay Plan'!$D$5:$K$5,INDEX('Pay Plan'!$D$6:$K$12,$BB13,0)))</f>
        <v>0</v>
      </c>
      <c r="AT51" s="0" t="n">
        <f aca="false">SUMPRODUCT((('Aug 26'!$F$8:$F$42=$T13)*'Aug 26'!$AJ$8:$AJ$42+('Aug 26'!$G$8:$G$42=$T13)*'Aug 26'!$AK$8:$AK$42)*LOOKUP((('Aug 26'!$Q$8:$Q$42+'Aug 26'!$R$8:$R$42)*(('Aug 26'!$Q$8:$Q$42+'Aug 26'!$R$8:$R$42)&gt;0)),'Pay Plan'!$D$5:$K$5,INDEX('Pay Plan'!$D$6:$K$12,$BB13,0)))</f>
        <v>0</v>
      </c>
      <c r="AU51" s="0" t="n">
        <f aca="false">SUMPRODUCT((('Aug 27'!$F$8:$F$42=$T13)*'Aug 27'!$AJ$8:$AJ$42+('Aug 27'!$G$8:$G$42=$T13)*'Aug 27'!$AK$8:$AK$42)*LOOKUP((('Aug 27'!$Q$8:$Q$42+'Aug 27'!$R$8:$R$42)*(('Aug 27'!$Q$8:$Q$42+'Aug 27'!$R$8:$R$42)&gt;0)),'Pay Plan'!$D$5:$K$5,INDEX('Pay Plan'!$D$6:$K$12,$BB13,0)))</f>
        <v>0</v>
      </c>
      <c r="AV51" s="0" t="n">
        <f aca="false">SUMPRODUCT((('Aug 28'!$F$8:$F$42=$T13)*'Aug 28'!$AJ$8:$AJ$42+('Aug 28'!$G$8:$G$42=$T13)*'Aug 28'!$AK$8:$AK$42)*LOOKUP((('Aug 28'!$Q$8:$Q$42+'Aug 28'!$R$8:$R$42)*(('Aug 28'!$Q$8:$Q$42+'Aug 28'!$R$8:$R$42)&gt;0)),'Pay Plan'!$D$5:$K$5,INDEX('Pay Plan'!$D$6:$K$12,$BB13,0)))</f>
        <v>0</v>
      </c>
      <c r="AW51" s="0" t="n">
        <f aca="false">SUMPRODUCT((('Aug 29'!$F$8:$F$42=$T13)*'Aug 29'!$AJ$8:$AJ$42+('Aug 29'!$G$8:$G$42=$T13)*'Aug 29'!$AK$8:$AK$42)*LOOKUP((('Aug 29'!$Q$8:$Q$42+'Aug 29'!$R$8:$R$42)*(('Aug 29'!$Q$8:$Q$42+'Aug 29'!$R$8:$R$42)&gt;0)),'Pay Plan'!$D$5:$K$5,INDEX('Pay Plan'!$D$6:$K$12,$BB13,0)))</f>
        <v>0</v>
      </c>
      <c r="AX51" s="0" t="n">
        <f aca="false">SUMPRODUCT((('Aug 30'!$F$8:$F$42=$T13)*'Aug 30'!$AJ$8:$AJ$42+('Aug 30'!$G$8:$G$42=$T13)*'Aug 30'!$AK$8:$AK$42)*LOOKUP((('Aug 30'!$Q$8:$Q$42+'Aug 30'!$R$8:$R$42)*(('Aug 30'!$Q$8:$Q$42+'Aug 30'!$R$8:$R$42)&gt;0)),'Pay Plan'!$D$5:$K$5,INDEX('Pay Plan'!$D$6:$K$12,$BB13,0)))</f>
        <v>0</v>
      </c>
      <c r="AY51" s="0" t="n">
        <f aca="false">SUMPRODUCT((('Aug 31'!$F$8:$F$42=$T13)*'Aug 31'!$AJ$8:$AJ$42+('Aug 31'!$G$8:$G$42=$T13)*'Aug 31'!$AK$8:$AK$42)*LOOKUP((('Aug 31'!$Q$8:$Q$42+'Aug 31'!$R$8:$R$42)*(('Aug 31'!$Q$8:$Q$42+'Aug 31'!$R$8:$R$42)&gt;0)),'Pay Plan'!$D$5:$K$5,INDEX('Pay Plan'!$D$6:$K$12,$BB13,0)))</f>
        <v>0</v>
      </c>
    </row>
    <row r="52" customFormat="false" ht="15" hidden="false" customHeight="false" outlineLevel="0" collapsed="false">
      <c r="U52" s="0" t="n">
        <f aca="false">SUMPRODUCT((('Aug 1'!$F$8:$F$42=$T14)*'Aug 1'!$AJ$8:$AJ$42+('Aug 1'!$G$8:$G$42=$T14)*'Aug 1'!$AK$8:$AK$42)*LOOKUP((('Aug 1'!$Q$8:$Q$42+'Aug 1'!$R$8:$R$42)*(('Aug 1'!$Q$8:$Q$42+'Aug 1'!$R$8:$R$42)&gt;0)),'Pay Plan'!$D$5:$K$5,INDEX('Pay Plan'!$D$6:$K$12,$BB14,0)))</f>
        <v>0</v>
      </c>
      <c r="V52" s="0" t="n">
        <f aca="false">SUMPRODUCT((('Aug 2'!$F$8:$F$42=$T14)*'Aug 2'!$AJ$8:$AJ$42+('Aug 2'!$G$8:$G$42=$T14)*'Aug 2'!$AK$8:$AK$42)*LOOKUP((('Aug 2'!$Q$8:$Q$42+'Aug 2'!$R$8:$R$42)*(('Aug 2'!$Q$8:$Q$42+'Aug 2'!$R$8:$R$42)&gt;0)),'Pay Plan'!$D$5:$K$5,INDEX('Pay Plan'!$D$6:$K$12,$BB14,0)))</f>
        <v>0</v>
      </c>
      <c r="W52" s="0" t="n">
        <f aca="false">SUMPRODUCT((('Aug 3'!$F$8:$F$42=$T14)*'Aug 3'!$AJ$8:$AJ$42+('Aug 3'!$G$8:$G$42=$T14)*'Aug 3'!$AK$8:$AK$42)*LOOKUP((('Aug 3'!$Q$8:$Q$42+'Aug 3'!$R$8:$R$42)*(('Aug 3'!$Q$8:$Q$42+'Aug 3'!$R$8:$R$42)&gt;0)),'Pay Plan'!$D$5:$K$5,INDEX('Pay Plan'!$D$6:$K$12,$BB14,0)))</f>
        <v>0</v>
      </c>
      <c r="X52" s="0" t="n">
        <f aca="false">SUMPRODUCT((('Aug 4'!$F$8:$F$42=$T14)*'Aug 4'!$AJ$8:$AJ$42+('Aug 4'!$G$8:$G$42=$T14)*'Aug 4'!$AK$8:$AK$42)*LOOKUP((('Aug 4'!$Q$8:$Q$42+'Aug 4'!$R$8:$R$42)*(('Aug 4'!$Q$8:$Q$42+'Aug 4'!$R$8:$R$42)&gt;0)),'Pay Plan'!$D$5:$K$5,INDEX('Pay Plan'!$D$6:$K$12,$BB14,0)))</f>
        <v>0</v>
      </c>
      <c r="Y52" s="0" t="n">
        <f aca="false">SUMPRODUCT((('Aug 5'!$F$8:$F$42=$T14)*'Aug 5'!$AJ$8:$AJ$42+('Aug 5'!$G$8:$G$42=$T14)*'Aug 5'!$AK$8:$AK$42)*LOOKUP((('Aug 5'!$Q$8:$Q$42+'Aug 5'!$R$8:$R$42)*(('Aug 5'!$Q$8:$Q$42+'Aug 5'!$R$8:$R$42)&gt;0)),'Pay Plan'!$D$5:$K$5,INDEX('Pay Plan'!$D$6:$K$12,$BB14,0)))</f>
        <v>0</v>
      </c>
      <c r="Z52" s="0" t="n">
        <f aca="false">SUMPRODUCT((('Aug 6'!$F$8:$F$42=$T14)*'Aug 6'!$AJ$8:$AJ$42+('Aug 6'!$G$8:$G$42=$T14)*'Aug 6'!$AK$8:$AK$42)*LOOKUP((('Aug 6'!$Q$8:$Q$42+'Aug 6'!$R$8:$R$42)*(('Aug 6'!$Q$8:$Q$42+'Aug 6'!$R$8:$R$42)&gt;0)),'Pay Plan'!$D$5:$K$5,INDEX('Pay Plan'!$D$6:$K$12,$BB14,0)))</f>
        <v>0</v>
      </c>
      <c r="AA52" s="0" t="n">
        <f aca="false">SUMPRODUCT((('Aug 7'!$F$8:$F$42=$T14)*'Aug 7'!$AJ$8:$AJ$42+('Aug 7'!$G$8:$G$42=$T14)*'Aug 7'!$AK$8:$AK$42)*LOOKUP((('Aug 7'!$Q$8:$Q$42+'Aug 7'!$R$8:$R$42)*(('Aug 7'!$Q$8:$Q$42+'Aug 7'!$R$8:$R$42)&gt;0)),'Pay Plan'!$D$5:$K$5,INDEX('Pay Plan'!$D$6:$K$12,$BB14,0)))</f>
        <v>0</v>
      </c>
      <c r="AB52" s="0" t="n">
        <f aca="false">SUMPRODUCT((('Aug 8'!$F$8:$F$42=$T14)*'Aug 8'!$AJ$8:$AJ$42+('Aug 8'!$G$8:$G$42=$T14)*'Aug 8'!$AK$8:$AK$42)*LOOKUP((('Aug 8'!$Q$8:$Q$42+'Aug 8'!$R$8:$R$42)*(('Aug 8'!$Q$8:$Q$42+'Aug 8'!$R$8:$R$42)&gt;0)),'Pay Plan'!$D$5:$K$5,INDEX('Pay Plan'!$D$6:$K$12,$BB14,0)))</f>
        <v>0</v>
      </c>
      <c r="AC52" s="0" t="n">
        <f aca="false">SUMPRODUCT((('Aug 9'!$F$8:$F$42=$T14)*'Aug 9'!$AJ$8:$AJ$42+('Aug 9'!$G$8:$G$42=$T14)*'Aug 9'!$AK$8:$AK$42)*LOOKUP((('Aug 9'!$Q$8:$Q$42+'Aug 9'!$R$8:$R$42)*(('Aug 9'!$Q$8:$Q$42+'Aug 9'!$R$8:$R$42)&gt;0)),'Pay Plan'!$D$5:$K$5,INDEX('Pay Plan'!$D$6:$K$12,$BB14,0)))</f>
        <v>0</v>
      </c>
      <c r="AD52" s="0" t="n">
        <f aca="false">SUMPRODUCT((('Aug 10'!$F$8:$F$42=$T14)*'Aug 10'!$AJ$8:$AJ$42+('Aug 10'!$G$8:$G$42=$T14)*'Aug 10'!$AK$8:$AK$42)*LOOKUP((('Aug 10'!$Q$8:$Q$42+'Aug 10'!$R$8:$R$42)*(('Aug 10'!$Q$8:$Q$42+'Aug 10'!$R$8:$R$42)&gt;0)),'Pay Plan'!$D$5:$K$5,INDEX('Pay Plan'!$D$6:$K$12,$BB14,0)))</f>
        <v>0</v>
      </c>
      <c r="AE52" s="0" t="n">
        <f aca="false">SUMPRODUCT((('Aug 11'!$F$8:$F$42=$T14)*'Aug 11'!$AJ$8:$AJ$42+('Aug 11'!$G$8:$G$42=$T14)*'Aug 11'!$AK$8:$AK$42)*LOOKUP((('Aug 11'!$Q$8:$Q$42+'Aug 11'!$R$8:$R$42)*(('Aug 11'!$Q$8:$Q$42+'Aug 11'!$R$8:$R$42)&gt;0)),'Pay Plan'!$D$5:$K$5,INDEX('Pay Plan'!$D$6:$K$12,$BB14,0)))</f>
        <v>0</v>
      </c>
      <c r="AF52" s="0" t="n">
        <f aca="false">SUMPRODUCT((('Aug 12'!$F$8:$F$42=$T14)*'Aug 12'!$AJ$8:$AJ$42+('Aug 12'!$G$8:$G$42=$T14)*'Aug 12'!$AK$8:$AK$42)*LOOKUP((('Aug 12'!$Q$8:$Q$42+'Aug 12'!$R$8:$R$42)*(('Aug 12'!$Q$8:$Q$42+'Aug 12'!$R$8:$R$42)&gt;0)),'Pay Plan'!$D$5:$K$5,INDEX('Pay Plan'!$D$6:$K$12,$BB14,0)))</f>
        <v>0</v>
      </c>
      <c r="AG52" s="0" t="n">
        <f aca="false">SUMPRODUCT((('Aug 13'!$F$8:$F$42=$T14)*'Aug 13'!$AJ$8:$AJ$42+('Aug 13'!$G$8:$G$42=$T14)*'Aug 13'!$AK$8:$AK$42)*LOOKUP((('Aug 13'!$Q$8:$Q$42+'Aug 13'!$R$8:$R$42)*(('Aug 13'!$Q$8:$Q$42+'Aug 13'!$R$8:$R$42)&gt;0)),'Pay Plan'!$D$5:$K$5,INDEX('Pay Plan'!$D$6:$K$12,$BB14,0)))</f>
        <v>0</v>
      </c>
      <c r="AH52" s="0" t="n">
        <f aca="false">SUMPRODUCT((('Aug 14'!$F$8:$F$42=$T14)*'Aug 14'!$AJ$8:$AJ$42+('Aug 14'!$G$8:$G$42=$T14)*'Aug 14'!$AK$8:$AK$42)*LOOKUP((('Aug 14'!$Q$8:$Q$42+'Aug 14'!$R$8:$R$42)*(('Aug 14'!$Q$8:$Q$42+'Aug 14'!$R$8:$R$42)&gt;0)),'Pay Plan'!$D$5:$K$5,INDEX('Pay Plan'!$D$6:$K$12,$BB14,0)))</f>
        <v>0</v>
      </c>
      <c r="AI52" s="0" t="n">
        <f aca="false">SUMPRODUCT((('Aug 15'!$F$8:$F$42=$T14)*'Aug 15'!$AJ$8:$AJ$42+('Aug 15'!$G$8:$G$42=$T14)*'Aug 15'!$AK$8:$AK$42)*LOOKUP((('Aug 15'!$Q$8:$Q$42+'Aug 15'!$R$8:$R$42)*(('Aug 15'!$Q$8:$Q$42+'Aug 15'!$R$8:$R$42)&gt;0)),'Pay Plan'!$D$5:$K$5,INDEX('Pay Plan'!$D$6:$K$12,$BB14,0)))</f>
        <v>0</v>
      </c>
      <c r="AJ52" s="0" t="n">
        <f aca="false">SUMPRODUCT((('Aug 16'!$F$8:$F$42=$T14)*'Aug 16'!$AJ$8:$AJ$42+('Aug 16'!$G$8:$G$42=$T14)*'Aug 16'!$AK$8:$AK$42)*LOOKUP((('Aug 16'!$Q$8:$Q$42+'Aug 16'!$R$8:$R$42)*(('Aug 16'!$Q$8:$Q$42+'Aug 16'!$R$8:$R$42)&gt;0)),'Pay Plan'!$D$5:$K$5,INDEX('Pay Plan'!$D$6:$K$12,$BB14,0)))</f>
        <v>0</v>
      </c>
      <c r="AK52" s="0" t="n">
        <f aca="false">SUMPRODUCT((('Aug 17'!$F$8:$F$42=$T14)*'Aug 17'!$AJ$8:$AJ$42+('Aug 17'!$G$8:$G$42=$T14)*'Aug 17'!$AK$8:$AK$42)*LOOKUP((('Aug 17'!$Q$8:$Q$42+'Aug 17'!$R$8:$R$42)*(('Aug 17'!$Q$8:$Q$42+'Aug 17'!$R$8:$R$42)&gt;0)),'Pay Plan'!$D$5:$K$5,INDEX('Pay Plan'!$D$6:$K$12,$BB14,0)))</f>
        <v>0</v>
      </c>
      <c r="AL52" s="0" t="n">
        <f aca="false">SUMPRODUCT((('Aug 18'!$F$8:$F$42=$T14)*'Aug 18'!$AJ$8:$AJ$42+('Aug 18'!$G$8:$G$42=$T14)*'Aug 18'!$AK$8:$AK$42)*LOOKUP((('Aug 18'!$Q$8:$Q$42+'Aug 18'!$R$8:$R$42)*(('Aug 18'!$Q$8:$Q$42+'Aug 18'!$R$8:$R$42)&gt;0)),'Pay Plan'!$D$5:$K$5,INDEX('Pay Plan'!$D$6:$K$12,$BB14,0)))</f>
        <v>0</v>
      </c>
      <c r="AM52" s="0" t="n">
        <f aca="false">SUMPRODUCT((('Aug 19'!$F$8:$F$42=$T14)*'Aug 19'!$AJ$8:$AJ$42+('Aug 19'!$G$8:$G$42=$T14)*'Aug 19'!$AK$8:$AK$42)*LOOKUP((('Aug 19'!$Q$8:$Q$42+'Aug 19'!$R$8:$R$42)*(('Aug 19'!$Q$8:$Q$42+'Aug 19'!$R$8:$R$42)&gt;0)),'Pay Plan'!$D$5:$K$5,INDEX('Pay Plan'!$D$6:$K$12,$BB14,0)))</f>
        <v>0</v>
      </c>
      <c r="AN52" s="0" t="n">
        <f aca="false">SUMPRODUCT((('Aug 20'!$F$8:$F$42=$T14)*'Aug 20'!$AJ$8:$AJ$42+('Aug 20'!$G$8:$G$42=$T14)*'Aug 20'!$AK$8:$AK$42)*LOOKUP((('Aug 20'!$Q$8:$Q$42+'Aug 20'!$R$8:$R$42)*(('Aug 20'!$Q$8:$Q$42+'Aug 20'!$R$8:$R$42)&gt;0)),'Pay Plan'!$D$5:$K$5,INDEX('Pay Plan'!$D$6:$K$12,$BB14,0)))</f>
        <v>0</v>
      </c>
      <c r="AO52" s="0" t="n">
        <f aca="false">SUMPRODUCT((('Aug 21'!$F$8:$F$42=$T14)*'Aug 21'!$AJ$8:$AJ$42+('Aug 21'!$G$8:$G$42=$T14)*'Aug 21'!$AK$8:$AK$42)*LOOKUP((('Aug 21'!$Q$8:$Q$42+'Aug 21'!$R$8:$R$42)*(('Aug 21'!$Q$8:$Q$42+'Aug 21'!$R$8:$R$42)&gt;0)),'Pay Plan'!$D$5:$K$5,INDEX('Pay Plan'!$D$6:$K$12,$BB14,0)))</f>
        <v>0</v>
      </c>
      <c r="AP52" s="0" t="n">
        <f aca="false">SUMPRODUCT((('Aug 22'!$F$8:$F$42=$T14)*'Aug 22'!$AJ$8:$AJ$42+('Aug 22'!$G$8:$G$42=$T14)*'Aug 22'!$AK$8:$AK$42)*LOOKUP((('Aug 22'!$Q$8:$Q$42+'Aug 22'!$R$8:$R$42)*(('Aug 22'!$Q$8:$Q$42+'Aug 22'!$R$8:$R$42)&gt;0)),'Pay Plan'!$D$5:$K$5,INDEX('Pay Plan'!$D$6:$K$12,$BB14,0)))</f>
        <v>0</v>
      </c>
      <c r="AQ52" s="0" t="n">
        <f aca="false">SUMPRODUCT((('Aug 23'!$F$8:$F$42=$T14)*'Aug 23'!$AJ$8:$AJ$42+('Aug 23'!$G$8:$G$42=$T14)*'Aug 23'!$AK$8:$AK$42)*LOOKUP((('Aug 23'!$Q$8:$Q$42+'Aug 23'!$R$8:$R$42)*(('Aug 23'!$Q$8:$Q$42+'Aug 23'!$R$8:$R$42)&gt;0)),'Pay Plan'!$D$5:$K$5,INDEX('Pay Plan'!$D$6:$K$12,$BB14,0)))</f>
        <v>0</v>
      </c>
      <c r="AR52" s="0" t="n">
        <f aca="false">SUMPRODUCT((('Aug 24'!$F$8:$F$42=$T14)*'Aug 24'!$AJ$8:$AJ$42+('Aug 24'!$G$8:$G$42=$T14)*'Aug 24'!$AK$8:$AK$42)*LOOKUP((('Aug 24'!$Q$8:$Q$42+'Aug 24'!$R$8:$R$42)*(('Aug 24'!$Q$8:$Q$42+'Aug 24'!$R$8:$R$42)&gt;0)),'Pay Plan'!$D$5:$K$5,INDEX('Pay Plan'!$D$6:$K$12,$BB14,0)))</f>
        <v>0</v>
      </c>
      <c r="AS52" s="0" t="n">
        <f aca="false">SUMPRODUCT((('Aug 25'!$F$8:$F$42=$T14)*'Aug 25'!$AJ$8:$AJ$42+('Aug 25'!$G$8:$G$42=$T14)*'Aug 25'!$AK$8:$AK$42)*LOOKUP((('Aug 25'!$Q$8:$Q$42+'Aug 25'!$R$8:$R$42)*(('Aug 25'!$Q$8:$Q$42+'Aug 25'!$R$8:$R$42)&gt;0)),'Pay Plan'!$D$5:$K$5,INDEX('Pay Plan'!$D$6:$K$12,$BB14,0)))</f>
        <v>0</v>
      </c>
      <c r="AT52" s="0" t="n">
        <f aca="false">SUMPRODUCT((('Aug 26'!$F$8:$F$42=$T14)*'Aug 26'!$AJ$8:$AJ$42+('Aug 26'!$G$8:$G$42=$T14)*'Aug 26'!$AK$8:$AK$42)*LOOKUP((('Aug 26'!$Q$8:$Q$42+'Aug 26'!$R$8:$R$42)*(('Aug 26'!$Q$8:$Q$42+'Aug 26'!$R$8:$R$42)&gt;0)),'Pay Plan'!$D$5:$K$5,INDEX('Pay Plan'!$D$6:$K$12,$BB14,0)))</f>
        <v>0</v>
      </c>
      <c r="AU52" s="0" t="n">
        <f aca="false">SUMPRODUCT((('Aug 27'!$F$8:$F$42=$T14)*'Aug 27'!$AJ$8:$AJ$42+('Aug 27'!$G$8:$G$42=$T14)*'Aug 27'!$AK$8:$AK$42)*LOOKUP((('Aug 27'!$Q$8:$Q$42+'Aug 27'!$R$8:$R$42)*(('Aug 27'!$Q$8:$Q$42+'Aug 27'!$R$8:$R$42)&gt;0)),'Pay Plan'!$D$5:$K$5,INDEX('Pay Plan'!$D$6:$K$12,$BB14,0)))</f>
        <v>0</v>
      </c>
      <c r="AV52" s="0" t="n">
        <f aca="false">SUMPRODUCT((('Aug 28'!$F$8:$F$42=$T14)*'Aug 28'!$AJ$8:$AJ$42+('Aug 28'!$G$8:$G$42=$T14)*'Aug 28'!$AK$8:$AK$42)*LOOKUP((('Aug 28'!$Q$8:$Q$42+'Aug 28'!$R$8:$R$42)*(('Aug 28'!$Q$8:$Q$42+'Aug 28'!$R$8:$R$42)&gt;0)),'Pay Plan'!$D$5:$K$5,INDEX('Pay Plan'!$D$6:$K$12,$BB14,0)))</f>
        <v>0</v>
      </c>
      <c r="AW52" s="0" t="n">
        <f aca="false">SUMPRODUCT((('Aug 29'!$F$8:$F$42=$T14)*'Aug 29'!$AJ$8:$AJ$42+('Aug 29'!$G$8:$G$42=$T14)*'Aug 29'!$AK$8:$AK$42)*LOOKUP((('Aug 29'!$Q$8:$Q$42+'Aug 29'!$R$8:$R$42)*(('Aug 29'!$Q$8:$Q$42+'Aug 29'!$R$8:$R$42)&gt;0)),'Pay Plan'!$D$5:$K$5,INDEX('Pay Plan'!$D$6:$K$12,$BB14,0)))</f>
        <v>0</v>
      </c>
      <c r="AX52" s="0" t="n">
        <f aca="false">SUMPRODUCT((('Aug 30'!$F$8:$F$42=$T14)*'Aug 30'!$AJ$8:$AJ$42+('Aug 30'!$G$8:$G$42=$T14)*'Aug 30'!$AK$8:$AK$42)*LOOKUP((('Aug 30'!$Q$8:$Q$42+'Aug 30'!$R$8:$R$42)*(('Aug 30'!$Q$8:$Q$42+'Aug 30'!$R$8:$R$42)&gt;0)),'Pay Plan'!$D$5:$K$5,INDEX('Pay Plan'!$D$6:$K$12,$BB14,0)))</f>
        <v>0</v>
      </c>
      <c r="AY52" s="0" t="n">
        <f aca="false">SUMPRODUCT((('Aug 31'!$F$8:$F$42=$T14)*'Aug 31'!$AJ$8:$AJ$42+('Aug 31'!$G$8:$G$42=$T14)*'Aug 31'!$AK$8:$AK$42)*LOOKUP((('Aug 31'!$Q$8:$Q$42+'Aug 31'!$R$8:$R$42)*(('Aug 31'!$Q$8:$Q$42+'Aug 31'!$R$8:$R$42)&gt;0)),'Pay Plan'!$D$5:$K$5,INDEX('Pay Plan'!$D$6:$K$12,$BB14,0)))</f>
        <v>0</v>
      </c>
    </row>
    <row r="53" customFormat="false" ht="15" hidden="false" customHeight="false" outlineLevel="0" collapsed="false">
      <c r="U53" s="0" t="n">
        <f aca="false">SUMPRODUCT((('Aug 1'!$F$8:$F$42=$T15)*'Aug 1'!$AJ$8:$AJ$42+('Aug 1'!$G$8:$G$42=$T15)*'Aug 1'!$AK$8:$AK$42)*LOOKUP((('Aug 1'!$Q$8:$Q$42+'Aug 1'!$R$8:$R$42)*(('Aug 1'!$Q$8:$Q$42+'Aug 1'!$R$8:$R$42)&gt;0)),'Pay Plan'!$D$5:$K$5,INDEX('Pay Plan'!$D$6:$K$12,$BB15,0)))</f>
        <v>0</v>
      </c>
      <c r="V53" s="0" t="n">
        <f aca="false">SUMPRODUCT((('Aug 2'!$F$8:$F$42=$T15)*'Aug 2'!$AJ$8:$AJ$42+('Aug 2'!$G$8:$G$42=$T15)*'Aug 2'!$AK$8:$AK$42)*LOOKUP((('Aug 2'!$Q$8:$Q$42+'Aug 2'!$R$8:$R$42)*(('Aug 2'!$Q$8:$Q$42+'Aug 2'!$R$8:$R$42)&gt;0)),'Pay Plan'!$D$5:$K$5,INDEX('Pay Plan'!$D$6:$K$12,$BB15,0)))</f>
        <v>0</v>
      </c>
      <c r="W53" s="0" t="n">
        <f aca="false">SUMPRODUCT((('Aug 3'!$F$8:$F$42=$T15)*'Aug 3'!$AJ$8:$AJ$42+('Aug 3'!$G$8:$G$42=$T15)*'Aug 3'!$AK$8:$AK$42)*LOOKUP((('Aug 3'!$Q$8:$Q$42+'Aug 3'!$R$8:$R$42)*(('Aug 3'!$Q$8:$Q$42+'Aug 3'!$R$8:$R$42)&gt;0)),'Pay Plan'!$D$5:$K$5,INDEX('Pay Plan'!$D$6:$K$12,$BB15,0)))</f>
        <v>0</v>
      </c>
      <c r="X53" s="0" t="n">
        <f aca="false">SUMPRODUCT((('Aug 4'!$F$8:$F$42=$T15)*'Aug 4'!$AJ$8:$AJ$42+('Aug 4'!$G$8:$G$42=$T15)*'Aug 4'!$AK$8:$AK$42)*LOOKUP((('Aug 4'!$Q$8:$Q$42+'Aug 4'!$R$8:$R$42)*(('Aug 4'!$Q$8:$Q$42+'Aug 4'!$R$8:$R$42)&gt;0)),'Pay Plan'!$D$5:$K$5,INDEX('Pay Plan'!$D$6:$K$12,$BB15,0)))</f>
        <v>0</v>
      </c>
      <c r="Y53" s="0" t="n">
        <f aca="false">SUMPRODUCT((('Aug 5'!$F$8:$F$42=$T15)*'Aug 5'!$AJ$8:$AJ$42+('Aug 5'!$G$8:$G$42=$T15)*'Aug 5'!$AK$8:$AK$42)*LOOKUP((('Aug 5'!$Q$8:$Q$42+'Aug 5'!$R$8:$R$42)*(('Aug 5'!$Q$8:$Q$42+'Aug 5'!$R$8:$R$42)&gt;0)),'Pay Plan'!$D$5:$K$5,INDEX('Pay Plan'!$D$6:$K$12,$BB15,0)))</f>
        <v>0</v>
      </c>
      <c r="Z53" s="0" t="n">
        <f aca="false">SUMPRODUCT((('Aug 6'!$F$8:$F$42=$T15)*'Aug 6'!$AJ$8:$AJ$42+('Aug 6'!$G$8:$G$42=$T15)*'Aug 6'!$AK$8:$AK$42)*LOOKUP((('Aug 6'!$Q$8:$Q$42+'Aug 6'!$R$8:$R$42)*(('Aug 6'!$Q$8:$Q$42+'Aug 6'!$R$8:$R$42)&gt;0)),'Pay Plan'!$D$5:$K$5,INDEX('Pay Plan'!$D$6:$K$12,$BB15,0)))</f>
        <v>0</v>
      </c>
      <c r="AA53" s="0" t="n">
        <f aca="false">SUMPRODUCT((('Aug 7'!$F$8:$F$42=$T15)*'Aug 7'!$AJ$8:$AJ$42+('Aug 7'!$G$8:$G$42=$T15)*'Aug 7'!$AK$8:$AK$42)*LOOKUP((('Aug 7'!$Q$8:$Q$42+'Aug 7'!$R$8:$R$42)*(('Aug 7'!$Q$8:$Q$42+'Aug 7'!$R$8:$R$42)&gt;0)),'Pay Plan'!$D$5:$K$5,INDEX('Pay Plan'!$D$6:$K$12,$BB15,0)))</f>
        <v>0</v>
      </c>
      <c r="AB53" s="0" t="n">
        <f aca="false">SUMPRODUCT((('Aug 8'!$F$8:$F$42=$T15)*'Aug 8'!$AJ$8:$AJ$42+('Aug 8'!$G$8:$G$42=$T15)*'Aug 8'!$AK$8:$AK$42)*LOOKUP((('Aug 8'!$Q$8:$Q$42+'Aug 8'!$R$8:$R$42)*(('Aug 8'!$Q$8:$Q$42+'Aug 8'!$R$8:$R$42)&gt;0)),'Pay Plan'!$D$5:$K$5,INDEX('Pay Plan'!$D$6:$K$12,$BB15,0)))</f>
        <v>0</v>
      </c>
      <c r="AC53" s="0" t="n">
        <f aca="false">SUMPRODUCT((('Aug 9'!$F$8:$F$42=$T15)*'Aug 9'!$AJ$8:$AJ$42+('Aug 9'!$G$8:$G$42=$T15)*'Aug 9'!$AK$8:$AK$42)*LOOKUP((('Aug 9'!$Q$8:$Q$42+'Aug 9'!$R$8:$R$42)*(('Aug 9'!$Q$8:$Q$42+'Aug 9'!$R$8:$R$42)&gt;0)),'Pay Plan'!$D$5:$K$5,INDEX('Pay Plan'!$D$6:$K$12,$BB15,0)))</f>
        <v>0</v>
      </c>
      <c r="AD53" s="0" t="n">
        <f aca="false">SUMPRODUCT((('Aug 10'!$F$8:$F$42=$T15)*'Aug 10'!$AJ$8:$AJ$42+('Aug 10'!$G$8:$G$42=$T15)*'Aug 10'!$AK$8:$AK$42)*LOOKUP((('Aug 10'!$Q$8:$Q$42+'Aug 10'!$R$8:$R$42)*(('Aug 10'!$Q$8:$Q$42+'Aug 10'!$R$8:$R$42)&gt;0)),'Pay Plan'!$D$5:$K$5,INDEX('Pay Plan'!$D$6:$K$12,$BB15,0)))</f>
        <v>0</v>
      </c>
      <c r="AE53" s="0" t="n">
        <f aca="false">SUMPRODUCT((('Aug 11'!$F$8:$F$42=$T15)*'Aug 11'!$AJ$8:$AJ$42+('Aug 11'!$G$8:$G$42=$T15)*'Aug 11'!$AK$8:$AK$42)*LOOKUP((('Aug 11'!$Q$8:$Q$42+'Aug 11'!$R$8:$R$42)*(('Aug 11'!$Q$8:$Q$42+'Aug 11'!$R$8:$R$42)&gt;0)),'Pay Plan'!$D$5:$K$5,INDEX('Pay Plan'!$D$6:$K$12,$BB15,0)))</f>
        <v>0</v>
      </c>
      <c r="AF53" s="0" t="n">
        <f aca="false">SUMPRODUCT((('Aug 12'!$F$8:$F$42=$T15)*'Aug 12'!$AJ$8:$AJ$42+('Aug 12'!$G$8:$G$42=$T15)*'Aug 12'!$AK$8:$AK$42)*LOOKUP((('Aug 12'!$Q$8:$Q$42+'Aug 12'!$R$8:$R$42)*(('Aug 12'!$Q$8:$Q$42+'Aug 12'!$R$8:$R$42)&gt;0)),'Pay Plan'!$D$5:$K$5,INDEX('Pay Plan'!$D$6:$K$12,$BB15,0)))</f>
        <v>0</v>
      </c>
      <c r="AG53" s="0" t="n">
        <f aca="false">SUMPRODUCT((('Aug 13'!$F$8:$F$42=$T15)*'Aug 13'!$AJ$8:$AJ$42+('Aug 13'!$G$8:$G$42=$T15)*'Aug 13'!$AK$8:$AK$42)*LOOKUP((('Aug 13'!$Q$8:$Q$42+'Aug 13'!$R$8:$R$42)*(('Aug 13'!$Q$8:$Q$42+'Aug 13'!$R$8:$R$42)&gt;0)),'Pay Plan'!$D$5:$K$5,INDEX('Pay Plan'!$D$6:$K$12,$BB15,0)))</f>
        <v>0</v>
      </c>
      <c r="AH53" s="0" t="n">
        <f aca="false">SUMPRODUCT((('Aug 14'!$F$8:$F$42=$T15)*'Aug 14'!$AJ$8:$AJ$42+('Aug 14'!$G$8:$G$42=$T15)*'Aug 14'!$AK$8:$AK$42)*LOOKUP((('Aug 14'!$Q$8:$Q$42+'Aug 14'!$R$8:$R$42)*(('Aug 14'!$Q$8:$Q$42+'Aug 14'!$R$8:$R$42)&gt;0)),'Pay Plan'!$D$5:$K$5,INDEX('Pay Plan'!$D$6:$K$12,$BB15,0)))</f>
        <v>0</v>
      </c>
      <c r="AI53" s="0" t="n">
        <f aca="false">SUMPRODUCT((('Aug 15'!$F$8:$F$42=$T15)*'Aug 15'!$AJ$8:$AJ$42+('Aug 15'!$G$8:$G$42=$T15)*'Aug 15'!$AK$8:$AK$42)*LOOKUP((('Aug 15'!$Q$8:$Q$42+'Aug 15'!$R$8:$R$42)*(('Aug 15'!$Q$8:$Q$42+'Aug 15'!$R$8:$R$42)&gt;0)),'Pay Plan'!$D$5:$K$5,INDEX('Pay Plan'!$D$6:$K$12,$BB15,0)))</f>
        <v>0</v>
      </c>
      <c r="AJ53" s="0" t="n">
        <f aca="false">SUMPRODUCT((('Aug 16'!$F$8:$F$42=$T15)*'Aug 16'!$AJ$8:$AJ$42+('Aug 16'!$G$8:$G$42=$T15)*'Aug 16'!$AK$8:$AK$42)*LOOKUP((('Aug 16'!$Q$8:$Q$42+'Aug 16'!$R$8:$R$42)*(('Aug 16'!$Q$8:$Q$42+'Aug 16'!$R$8:$R$42)&gt;0)),'Pay Plan'!$D$5:$K$5,INDEX('Pay Plan'!$D$6:$K$12,$BB15,0)))</f>
        <v>0</v>
      </c>
      <c r="AK53" s="0" t="n">
        <f aca="false">SUMPRODUCT((('Aug 17'!$F$8:$F$42=$T15)*'Aug 17'!$AJ$8:$AJ$42+('Aug 17'!$G$8:$G$42=$T15)*'Aug 17'!$AK$8:$AK$42)*LOOKUP((('Aug 17'!$Q$8:$Q$42+'Aug 17'!$R$8:$R$42)*(('Aug 17'!$Q$8:$Q$42+'Aug 17'!$R$8:$R$42)&gt;0)),'Pay Plan'!$D$5:$K$5,INDEX('Pay Plan'!$D$6:$K$12,$BB15,0)))</f>
        <v>0</v>
      </c>
      <c r="AL53" s="0" t="n">
        <f aca="false">SUMPRODUCT((('Aug 18'!$F$8:$F$42=$T15)*'Aug 18'!$AJ$8:$AJ$42+('Aug 18'!$G$8:$G$42=$T15)*'Aug 18'!$AK$8:$AK$42)*LOOKUP((('Aug 18'!$Q$8:$Q$42+'Aug 18'!$R$8:$R$42)*(('Aug 18'!$Q$8:$Q$42+'Aug 18'!$R$8:$R$42)&gt;0)),'Pay Plan'!$D$5:$K$5,INDEX('Pay Plan'!$D$6:$K$12,$BB15,0)))</f>
        <v>0</v>
      </c>
      <c r="AM53" s="0" t="n">
        <f aca="false">SUMPRODUCT((('Aug 19'!$F$8:$F$42=$T15)*'Aug 19'!$AJ$8:$AJ$42+('Aug 19'!$G$8:$G$42=$T15)*'Aug 19'!$AK$8:$AK$42)*LOOKUP((('Aug 19'!$Q$8:$Q$42+'Aug 19'!$R$8:$R$42)*(('Aug 19'!$Q$8:$Q$42+'Aug 19'!$R$8:$R$42)&gt;0)),'Pay Plan'!$D$5:$K$5,INDEX('Pay Plan'!$D$6:$K$12,$BB15,0)))</f>
        <v>0</v>
      </c>
      <c r="AN53" s="0" t="n">
        <f aca="false">SUMPRODUCT((('Aug 20'!$F$8:$F$42=$T15)*'Aug 20'!$AJ$8:$AJ$42+('Aug 20'!$G$8:$G$42=$T15)*'Aug 20'!$AK$8:$AK$42)*LOOKUP((('Aug 20'!$Q$8:$Q$42+'Aug 20'!$R$8:$R$42)*(('Aug 20'!$Q$8:$Q$42+'Aug 20'!$R$8:$R$42)&gt;0)),'Pay Plan'!$D$5:$K$5,INDEX('Pay Plan'!$D$6:$K$12,$BB15,0)))</f>
        <v>0</v>
      </c>
      <c r="AO53" s="0" t="n">
        <f aca="false">SUMPRODUCT((('Aug 21'!$F$8:$F$42=$T15)*'Aug 21'!$AJ$8:$AJ$42+('Aug 21'!$G$8:$G$42=$T15)*'Aug 21'!$AK$8:$AK$42)*LOOKUP((('Aug 21'!$Q$8:$Q$42+'Aug 21'!$R$8:$R$42)*(('Aug 21'!$Q$8:$Q$42+'Aug 21'!$R$8:$R$42)&gt;0)),'Pay Plan'!$D$5:$K$5,INDEX('Pay Plan'!$D$6:$K$12,$BB15,0)))</f>
        <v>0</v>
      </c>
      <c r="AP53" s="0" t="n">
        <f aca="false">SUMPRODUCT((('Aug 22'!$F$8:$F$42=$T15)*'Aug 22'!$AJ$8:$AJ$42+('Aug 22'!$G$8:$G$42=$T15)*'Aug 22'!$AK$8:$AK$42)*LOOKUP((('Aug 22'!$Q$8:$Q$42+'Aug 22'!$R$8:$R$42)*(('Aug 22'!$Q$8:$Q$42+'Aug 22'!$R$8:$R$42)&gt;0)),'Pay Plan'!$D$5:$K$5,INDEX('Pay Plan'!$D$6:$K$12,$BB15,0)))</f>
        <v>0</v>
      </c>
      <c r="AQ53" s="0" t="n">
        <f aca="false">SUMPRODUCT((('Aug 23'!$F$8:$F$42=$T15)*'Aug 23'!$AJ$8:$AJ$42+('Aug 23'!$G$8:$G$42=$T15)*'Aug 23'!$AK$8:$AK$42)*LOOKUP((('Aug 23'!$Q$8:$Q$42+'Aug 23'!$R$8:$R$42)*(('Aug 23'!$Q$8:$Q$42+'Aug 23'!$R$8:$R$42)&gt;0)),'Pay Plan'!$D$5:$K$5,INDEX('Pay Plan'!$D$6:$K$12,$BB15,0)))</f>
        <v>0</v>
      </c>
      <c r="AR53" s="0" t="n">
        <f aca="false">SUMPRODUCT((('Aug 24'!$F$8:$F$42=$T15)*'Aug 24'!$AJ$8:$AJ$42+('Aug 24'!$G$8:$G$42=$T15)*'Aug 24'!$AK$8:$AK$42)*LOOKUP((('Aug 24'!$Q$8:$Q$42+'Aug 24'!$R$8:$R$42)*(('Aug 24'!$Q$8:$Q$42+'Aug 24'!$R$8:$R$42)&gt;0)),'Pay Plan'!$D$5:$K$5,INDEX('Pay Plan'!$D$6:$K$12,$BB15,0)))</f>
        <v>0</v>
      </c>
      <c r="AS53" s="0" t="n">
        <f aca="false">SUMPRODUCT((('Aug 25'!$F$8:$F$42=$T15)*'Aug 25'!$AJ$8:$AJ$42+('Aug 25'!$G$8:$G$42=$T15)*'Aug 25'!$AK$8:$AK$42)*LOOKUP((('Aug 25'!$Q$8:$Q$42+'Aug 25'!$R$8:$R$42)*(('Aug 25'!$Q$8:$Q$42+'Aug 25'!$R$8:$R$42)&gt;0)),'Pay Plan'!$D$5:$K$5,INDEX('Pay Plan'!$D$6:$K$12,$BB15,0)))</f>
        <v>0</v>
      </c>
      <c r="AT53" s="0" t="n">
        <f aca="false">SUMPRODUCT((('Aug 26'!$F$8:$F$42=$T15)*'Aug 26'!$AJ$8:$AJ$42+('Aug 26'!$G$8:$G$42=$T15)*'Aug 26'!$AK$8:$AK$42)*LOOKUP((('Aug 26'!$Q$8:$Q$42+'Aug 26'!$R$8:$R$42)*(('Aug 26'!$Q$8:$Q$42+'Aug 26'!$R$8:$R$42)&gt;0)),'Pay Plan'!$D$5:$K$5,INDEX('Pay Plan'!$D$6:$K$12,$BB15,0)))</f>
        <v>0</v>
      </c>
      <c r="AU53" s="0" t="n">
        <f aca="false">SUMPRODUCT((('Aug 27'!$F$8:$F$42=$T15)*'Aug 27'!$AJ$8:$AJ$42+('Aug 27'!$G$8:$G$42=$T15)*'Aug 27'!$AK$8:$AK$42)*LOOKUP((('Aug 27'!$Q$8:$Q$42+'Aug 27'!$R$8:$R$42)*(('Aug 27'!$Q$8:$Q$42+'Aug 27'!$R$8:$R$42)&gt;0)),'Pay Plan'!$D$5:$K$5,INDEX('Pay Plan'!$D$6:$K$12,$BB15,0)))</f>
        <v>0</v>
      </c>
      <c r="AV53" s="0" t="n">
        <f aca="false">SUMPRODUCT((('Aug 28'!$F$8:$F$42=$T15)*'Aug 28'!$AJ$8:$AJ$42+('Aug 28'!$G$8:$G$42=$T15)*'Aug 28'!$AK$8:$AK$42)*LOOKUP((('Aug 28'!$Q$8:$Q$42+'Aug 28'!$R$8:$R$42)*(('Aug 28'!$Q$8:$Q$42+'Aug 28'!$R$8:$R$42)&gt;0)),'Pay Plan'!$D$5:$K$5,INDEX('Pay Plan'!$D$6:$K$12,$BB15,0)))</f>
        <v>0</v>
      </c>
      <c r="AW53" s="0" t="n">
        <f aca="false">SUMPRODUCT((('Aug 29'!$F$8:$F$42=$T15)*'Aug 29'!$AJ$8:$AJ$42+('Aug 29'!$G$8:$G$42=$T15)*'Aug 29'!$AK$8:$AK$42)*LOOKUP((('Aug 29'!$Q$8:$Q$42+'Aug 29'!$R$8:$R$42)*(('Aug 29'!$Q$8:$Q$42+'Aug 29'!$R$8:$R$42)&gt;0)),'Pay Plan'!$D$5:$K$5,INDEX('Pay Plan'!$D$6:$K$12,$BB15,0)))</f>
        <v>0</v>
      </c>
      <c r="AX53" s="0" t="n">
        <f aca="false">SUMPRODUCT((('Aug 30'!$F$8:$F$42=$T15)*'Aug 30'!$AJ$8:$AJ$42+('Aug 30'!$G$8:$G$42=$T15)*'Aug 30'!$AK$8:$AK$42)*LOOKUP((('Aug 30'!$Q$8:$Q$42+'Aug 30'!$R$8:$R$42)*(('Aug 30'!$Q$8:$Q$42+'Aug 30'!$R$8:$R$42)&gt;0)),'Pay Plan'!$D$5:$K$5,INDEX('Pay Plan'!$D$6:$K$12,$BB15,0)))</f>
        <v>0</v>
      </c>
      <c r="AY53" s="0" t="n">
        <f aca="false">SUMPRODUCT((('Aug 31'!$F$8:$F$42=$T15)*'Aug 31'!$AJ$8:$AJ$42+('Aug 31'!$G$8:$G$42=$T15)*'Aug 31'!$AK$8:$AK$42)*LOOKUP((('Aug 31'!$Q$8:$Q$42+'Aug 31'!$R$8:$R$42)*(('Aug 31'!$Q$8:$Q$42+'Aug 31'!$R$8:$R$42)&gt;0)),'Pay Plan'!$D$5:$K$5,INDEX('Pay Plan'!$D$6:$K$12,$BB15,0)))</f>
        <v>0</v>
      </c>
    </row>
    <row r="54" customFormat="false" ht="15" hidden="false" customHeight="false" outlineLevel="0" collapsed="false">
      <c r="U54" s="0" t="n">
        <f aca="false">SUMPRODUCT((('Aug 1'!$F$8:$F$42=$T16)*'Aug 1'!$AJ$8:$AJ$42+('Aug 1'!$G$8:$G$42=$T16)*'Aug 1'!$AK$8:$AK$42)*LOOKUP((('Aug 1'!$Q$8:$Q$42+'Aug 1'!$R$8:$R$42)*(('Aug 1'!$Q$8:$Q$42+'Aug 1'!$R$8:$R$42)&gt;0)),'Pay Plan'!$D$5:$K$5,INDEX('Pay Plan'!$D$6:$K$12,$BB16,0)))</f>
        <v>0</v>
      </c>
      <c r="V54" s="0" t="n">
        <f aca="false">SUMPRODUCT((('Aug 2'!$F$8:$F$42=$T16)*'Aug 2'!$AJ$8:$AJ$42+('Aug 2'!$G$8:$G$42=$T16)*'Aug 2'!$AK$8:$AK$42)*LOOKUP((('Aug 2'!$Q$8:$Q$42+'Aug 2'!$R$8:$R$42)*(('Aug 2'!$Q$8:$Q$42+'Aug 2'!$R$8:$R$42)&gt;0)),'Pay Plan'!$D$5:$K$5,INDEX('Pay Plan'!$D$6:$K$12,$BB16,0)))</f>
        <v>0</v>
      </c>
      <c r="W54" s="0" t="n">
        <f aca="false">SUMPRODUCT((('Aug 3'!$F$8:$F$42=$T16)*'Aug 3'!$AJ$8:$AJ$42+('Aug 3'!$G$8:$G$42=$T16)*'Aug 3'!$AK$8:$AK$42)*LOOKUP((('Aug 3'!$Q$8:$Q$42+'Aug 3'!$R$8:$R$42)*(('Aug 3'!$Q$8:$Q$42+'Aug 3'!$R$8:$R$42)&gt;0)),'Pay Plan'!$D$5:$K$5,INDEX('Pay Plan'!$D$6:$K$12,$BB16,0)))</f>
        <v>0</v>
      </c>
      <c r="X54" s="0" t="n">
        <f aca="false">SUMPRODUCT((('Aug 4'!$F$8:$F$42=$T16)*'Aug 4'!$AJ$8:$AJ$42+('Aug 4'!$G$8:$G$42=$T16)*'Aug 4'!$AK$8:$AK$42)*LOOKUP((('Aug 4'!$Q$8:$Q$42+'Aug 4'!$R$8:$R$42)*(('Aug 4'!$Q$8:$Q$42+'Aug 4'!$R$8:$R$42)&gt;0)),'Pay Plan'!$D$5:$K$5,INDEX('Pay Plan'!$D$6:$K$12,$BB16,0)))</f>
        <v>0</v>
      </c>
      <c r="Y54" s="0" t="n">
        <f aca="false">SUMPRODUCT((('Aug 5'!$F$8:$F$42=$T16)*'Aug 5'!$AJ$8:$AJ$42+('Aug 5'!$G$8:$G$42=$T16)*'Aug 5'!$AK$8:$AK$42)*LOOKUP((('Aug 5'!$Q$8:$Q$42+'Aug 5'!$R$8:$R$42)*(('Aug 5'!$Q$8:$Q$42+'Aug 5'!$R$8:$R$42)&gt;0)),'Pay Plan'!$D$5:$K$5,INDEX('Pay Plan'!$D$6:$K$12,$BB16,0)))</f>
        <v>0</v>
      </c>
      <c r="Z54" s="0" t="n">
        <f aca="false">SUMPRODUCT((('Aug 6'!$F$8:$F$42=$T16)*'Aug 6'!$AJ$8:$AJ$42+('Aug 6'!$G$8:$G$42=$T16)*'Aug 6'!$AK$8:$AK$42)*LOOKUP((('Aug 6'!$Q$8:$Q$42+'Aug 6'!$R$8:$R$42)*(('Aug 6'!$Q$8:$Q$42+'Aug 6'!$R$8:$R$42)&gt;0)),'Pay Plan'!$D$5:$K$5,INDEX('Pay Plan'!$D$6:$K$12,$BB16,0)))</f>
        <v>0</v>
      </c>
      <c r="AA54" s="0" t="n">
        <f aca="false">SUMPRODUCT((('Aug 7'!$F$8:$F$42=$T16)*'Aug 7'!$AJ$8:$AJ$42+('Aug 7'!$G$8:$G$42=$T16)*'Aug 7'!$AK$8:$AK$42)*LOOKUP((('Aug 7'!$Q$8:$Q$42+'Aug 7'!$R$8:$R$42)*(('Aug 7'!$Q$8:$Q$42+'Aug 7'!$R$8:$R$42)&gt;0)),'Pay Plan'!$D$5:$K$5,INDEX('Pay Plan'!$D$6:$K$12,$BB16,0)))</f>
        <v>0</v>
      </c>
      <c r="AB54" s="0" t="n">
        <f aca="false">SUMPRODUCT((('Aug 8'!$F$8:$F$42=$T16)*'Aug 8'!$AJ$8:$AJ$42+('Aug 8'!$G$8:$G$42=$T16)*'Aug 8'!$AK$8:$AK$42)*LOOKUP((('Aug 8'!$Q$8:$Q$42+'Aug 8'!$R$8:$R$42)*(('Aug 8'!$Q$8:$Q$42+'Aug 8'!$R$8:$R$42)&gt;0)),'Pay Plan'!$D$5:$K$5,INDEX('Pay Plan'!$D$6:$K$12,$BB16,0)))</f>
        <v>0</v>
      </c>
      <c r="AC54" s="0" t="n">
        <f aca="false">SUMPRODUCT((('Aug 9'!$F$8:$F$42=$T16)*'Aug 9'!$AJ$8:$AJ$42+('Aug 9'!$G$8:$G$42=$T16)*'Aug 9'!$AK$8:$AK$42)*LOOKUP((('Aug 9'!$Q$8:$Q$42+'Aug 9'!$R$8:$R$42)*(('Aug 9'!$Q$8:$Q$42+'Aug 9'!$R$8:$R$42)&gt;0)),'Pay Plan'!$D$5:$K$5,INDEX('Pay Plan'!$D$6:$K$12,$BB16,0)))</f>
        <v>0</v>
      </c>
      <c r="AD54" s="0" t="n">
        <f aca="false">SUMPRODUCT((('Aug 10'!$F$8:$F$42=$T16)*'Aug 10'!$AJ$8:$AJ$42+('Aug 10'!$G$8:$G$42=$T16)*'Aug 10'!$AK$8:$AK$42)*LOOKUP((('Aug 10'!$Q$8:$Q$42+'Aug 10'!$R$8:$R$42)*(('Aug 10'!$Q$8:$Q$42+'Aug 10'!$R$8:$R$42)&gt;0)),'Pay Plan'!$D$5:$K$5,INDEX('Pay Plan'!$D$6:$K$12,$BB16,0)))</f>
        <v>0</v>
      </c>
      <c r="AE54" s="0" t="n">
        <f aca="false">SUMPRODUCT((('Aug 11'!$F$8:$F$42=$T16)*'Aug 11'!$AJ$8:$AJ$42+('Aug 11'!$G$8:$G$42=$T16)*'Aug 11'!$AK$8:$AK$42)*LOOKUP((('Aug 11'!$Q$8:$Q$42+'Aug 11'!$R$8:$R$42)*(('Aug 11'!$Q$8:$Q$42+'Aug 11'!$R$8:$R$42)&gt;0)),'Pay Plan'!$D$5:$K$5,INDEX('Pay Plan'!$D$6:$K$12,$BB16,0)))</f>
        <v>0</v>
      </c>
      <c r="AF54" s="0" t="n">
        <f aca="false">SUMPRODUCT((('Aug 12'!$F$8:$F$42=$T16)*'Aug 12'!$AJ$8:$AJ$42+('Aug 12'!$G$8:$G$42=$T16)*'Aug 12'!$AK$8:$AK$42)*LOOKUP((('Aug 12'!$Q$8:$Q$42+'Aug 12'!$R$8:$R$42)*(('Aug 12'!$Q$8:$Q$42+'Aug 12'!$R$8:$R$42)&gt;0)),'Pay Plan'!$D$5:$K$5,INDEX('Pay Plan'!$D$6:$K$12,$BB16,0)))</f>
        <v>0</v>
      </c>
      <c r="AG54" s="0" t="n">
        <f aca="false">SUMPRODUCT((('Aug 13'!$F$8:$F$42=$T16)*'Aug 13'!$AJ$8:$AJ$42+('Aug 13'!$G$8:$G$42=$T16)*'Aug 13'!$AK$8:$AK$42)*LOOKUP((('Aug 13'!$Q$8:$Q$42+'Aug 13'!$R$8:$R$42)*(('Aug 13'!$Q$8:$Q$42+'Aug 13'!$R$8:$R$42)&gt;0)),'Pay Plan'!$D$5:$K$5,INDEX('Pay Plan'!$D$6:$K$12,$BB16,0)))</f>
        <v>0</v>
      </c>
      <c r="AH54" s="0" t="n">
        <f aca="false">SUMPRODUCT((('Aug 14'!$F$8:$F$42=$T16)*'Aug 14'!$AJ$8:$AJ$42+('Aug 14'!$G$8:$G$42=$T16)*'Aug 14'!$AK$8:$AK$42)*LOOKUP((('Aug 14'!$Q$8:$Q$42+'Aug 14'!$R$8:$R$42)*(('Aug 14'!$Q$8:$Q$42+'Aug 14'!$R$8:$R$42)&gt;0)),'Pay Plan'!$D$5:$K$5,INDEX('Pay Plan'!$D$6:$K$12,$BB16,0)))</f>
        <v>0</v>
      </c>
      <c r="AI54" s="0" t="n">
        <f aca="false">SUMPRODUCT((('Aug 15'!$F$8:$F$42=$T16)*'Aug 15'!$AJ$8:$AJ$42+('Aug 15'!$G$8:$G$42=$T16)*'Aug 15'!$AK$8:$AK$42)*LOOKUP((('Aug 15'!$Q$8:$Q$42+'Aug 15'!$R$8:$R$42)*(('Aug 15'!$Q$8:$Q$42+'Aug 15'!$R$8:$R$42)&gt;0)),'Pay Plan'!$D$5:$K$5,INDEX('Pay Plan'!$D$6:$K$12,$BB16,0)))</f>
        <v>0</v>
      </c>
      <c r="AJ54" s="0" t="n">
        <f aca="false">SUMPRODUCT((('Aug 16'!$F$8:$F$42=$T16)*'Aug 16'!$AJ$8:$AJ$42+('Aug 16'!$G$8:$G$42=$T16)*'Aug 16'!$AK$8:$AK$42)*LOOKUP((('Aug 16'!$Q$8:$Q$42+'Aug 16'!$R$8:$R$42)*(('Aug 16'!$Q$8:$Q$42+'Aug 16'!$R$8:$R$42)&gt;0)),'Pay Plan'!$D$5:$K$5,INDEX('Pay Plan'!$D$6:$K$12,$BB16,0)))</f>
        <v>0</v>
      </c>
      <c r="AK54" s="0" t="n">
        <f aca="false">SUMPRODUCT((('Aug 17'!$F$8:$F$42=$T16)*'Aug 17'!$AJ$8:$AJ$42+('Aug 17'!$G$8:$G$42=$T16)*'Aug 17'!$AK$8:$AK$42)*LOOKUP((('Aug 17'!$Q$8:$Q$42+'Aug 17'!$R$8:$R$42)*(('Aug 17'!$Q$8:$Q$42+'Aug 17'!$R$8:$R$42)&gt;0)),'Pay Plan'!$D$5:$K$5,INDEX('Pay Plan'!$D$6:$K$12,$BB16,0)))</f>
        <v>0</v>
      </c>
      <c r="AL54" s="0" t="n">
        <f aca="false">SUMPRODUCT((('Aug 18'!$F$8:$F$42=$T16)*'Aug 18'!$AJ$8:$AJ$42+('Aug 18'!$G$8:$G$42=$T16)*'Aug 18'!$AK$8:$AK$42)*LOOKUP((('Aug 18'!$Q$8:$Q$42+'Aug 18'!$R$8:$R$42)*(('Aug 18'!$Q$8:$Q$42+'Aug 18'!$R$8:$R$42)&gt;0)),'Pay Plan'!$D$5:$K$5,INDEX('Pay Plan'!$D$6:$K$12,$BB16,0)))</f>
        <v>0</v>
      </c>
      <c r="AM54" s="0" t="n">
        <f aca="false">SUMPRODUCT((('Aug 19'!$F$8:$F$42=$T16)*'Aug 19'!$AJ$8:$AJ$42+('Aug 19'!$G$8:$G$42=$T16)*'Aug 19'!$AK$8:$AK$42)*LOOKUP((('Aug 19'!$Q$8:$Q$42+'Aug 19'!$R$8:$R$42)*(('Aug 19'!$Q$8:$Q$42+'Aug 19'!$R$8:$R$42)&gt;0)),'Pay Plan'!$D$5:$K$5,INDEX('Pay Plan'!$D$6:$K$12,$BB16,0)))</f>
        <v>0</v>
      </c>
      <c r="AN54" s="0" t="n">
        <f aca="false">SUMPRODUCT((('Aug 20'!$F$8:$F$42=$T16)*'Aug 20'!$AJ$8:$AJ$42+('Aug 20'!$G$8:$G$42=$T16)*'Aug 20'!$AK$8:$AK$42)*LOOKUP((('Aug 20'!$Q$8:$Q$42+'Aug 20'!$R$8:$R$42)*(('Aug 20'!$Q$8:$Q$42+'Aug 20'!$R$8:$R$42)&gt;0)),'Pay Plan'!$D$5:$K$5,INDEX('Pay Plan'!$D$6:$K$12,$BB16,0)))</f>
        <v>0</v>
      </c>
      <c r="AO54" s="0" t="n">
        <f aca="false">SUMPRODUCT((('Aug 21'!$F$8:$F$42=$T16)*'Aug 21'!$AJ$8:$AJ$42+('Aug 21'!$G$8:$G$42=$T16)*'Aug 21'!$AK$8:$AK$42)*LOOKUP((('Aug 21'!$Q$8:$Q$42+'Aug 21'!$R$8:$R$42)*(('Aug 21'!$Q$8:$Q$42+'Aug 21'!$R$8:$R$42)&gt;0)),'Pay Plan'!$D$5:$K$5,INDEX('Pay Plan'!$D$6:$K$12,$BB16,0)))</f>
        <v>0</v>
      </c>
      <c r="AP54" s="0" t="n">
        <f aca="false">SUMPRODUCT((('Aug 22'!$F$8:$F$42=$T16)*'Aug 22'!$AJ$8:$AJ$42+('Aug 22'!$G$8:$G$42=$T16)*'Aug 22'!$AK$8:$AK$42)*LOOKUP((('Aug 22'!$Q$8:$Q$42+'Aug 22'!$R$8:$R$42)*(('Aug 22'!$Q$8:$Q$42+'Aug 22'!$R$8:$R$42)&gt;0)),'Pay Plan'!$D$5:$K$5,INDEX('Pay Plan'!$D$6:$K$12,$BB16,0)))</f>
        <v>0</v>
      </c>
      <c r="AQ54" s="0" t="n">
        <f aca="false">SUMPRODUCT((('Aug 23'!$F$8:$F$42=$T16)*'Aug 23'!$AJ$8:$AJ$42+('Aug 23'!$G$8:$G$42=$T16)*'Aug 23'!$AK$8:$AK$42)*LOOKUP((('Aug 23'!$Q$8:$Q$42+'Aug 23'!$R$8:$R$42)*(('Aug 23'!$Q$8:$Q$42+'Aug 23'!$R$8:$R$42)&gt;0)),'Pay Plan'!$D$5:$K$5,INDEX('Pay Plan'!$D$6:$K$12,$BB16,0)))</f>
        <v>0</v>
      </c>
      <c r="AR54" s="0" t="n">
        <f aca="false">SUMPRODUCT((('Aug 24'!$F$8:$F$42=$T16)*'Aug 24'!$AJ$8:$AJ$42+('Aug 24'!$G$8:$G$42=$T16)*'Aug 24'!$AK$8:$AK$42)*LOOKUP((('Aug 24'!$Q$8:$Q$42+'Aug 24'!$R$8:$R$42)*(('Aug 24'!$Q$8:$Q$42+'Aug 24'!$R$8:$R$42)&gt;0)),'Pay Plan'!$D$5:$K$5,INDEX('Pay Plan'!$D$6:$K$12,$BB16,0)))</f>
        <v>0</v>
      </c>
      <c r="AS54" s="0" t="n">
        <f aca="false">SUMPRODUCT((('Aug 25'!$F$8:$F$42=$T16)*'Aug 25'!$AJ$8:$AJ$42+('Aug 25'!$G$8:$G$42=$T16)*'Aug 25'!$AK$8:$AK$42)*LOOKUP((('Aug 25'!$Q$8:$Q$42+'Aug 25'!$R$8:$R$42)*(('Aug 25'!$Q$8:$Q$42+'Aug 25'!$R$8:$R$42)&gt;0)),'Pay Plan'!$D$5:$K$5,INDEX('Pay Plan'!$D$6:$K$12,$BB16,0)))</f>
        <v>0</v>
      </c>
      <c r="AT54" s="0" t="n">
        <f aca="false">SUMPRODUCT((('Aug 26'!$F$8:$F$42=$T16)*'Aug 26'!$AJ$8:$AJ$42+('Aug 26'!$G$8:$G$42=$T16)*'Aug 26'!$AK$8:$AK$42)*LOOKUP((('Aug 26'!$Q$8:$Q$42+'Aug 26'!$R$8:$R$42)*(('Aug 26'!$Q$8:$Q$42+'Aug 26'!$R$8:$R$42)&gt;0)),'Pay Plan'!$D$5:$K$5,INDEX('Pay Plan'!$D$6:$K$12,$BB16,0)))</f>
        <v>0</v>
      </c>
      <c r="AU54" s="0" t="n">
        <f aca="false">SUMPRODUCT((('Aug 27'!$F$8:$F$42=$T16)*'Aug 27'!$AJ$8:$AJ$42+('Aug 27'!$G$8:$G$42=$T16)*'Aug 27'!$AK$8:$AK$42)*LOOKUP((('Aug 27'!$Q$8:$Q$42+'Aug 27'!$R$8:$R$42)*(('Aug 27'!$Q$8:$Q$42+'Aug 27'!$R$8:$R$42)&gt;0)),'Pay Plan'!$D$5:$K$5,INDEX('Pay Plan'!$D$6:$K$12,$BB16,0)))</f>
        <v>0</v>
      </c>
      <c r="AV54" s="0" t="n">
        <f aca="false">SUMPRODUCT((('Aug 28'!$F$8:$F$42=$T16)*'Aug 28'!$AJ$8:$AJ$42+('Aug 28'!$G$8:$G$42=$T16)*'Aug 28'!$AK$8:$AK$42)*LOOKUP((('Aug 28'!$Q$8:$Q$42+'Aug 28'!$R$8:$R$42)*(('Aug 28'!$Q$8:$Q$42+'Aug 28'!$R$8:$R$42)&gt;0)),'Pay Plan'!$D$5:$K$5,INDEX('Pay Plan'!$D$6:$K$12,$BB16,0)))</f>
        <v>0</v>
      </c>
      <c r="AW54" s="0" t="n">
        <f aca="false">SUMPRODUCT((('Aug 29'!$F$8:$F$42=$T16)*'Aug 29'!$AJ$8:$AJ$42+('Aug 29'!$G$8:$G$42=$T16)*'Aug 29'!$AK$8:$AK$42)*LOOKUP((('Aug 29'!$Q$8:$Q$42+'Aug 29'!$R$8:$R$42)*(('Aug 29'!$Q$8:$Q$42+'Aug 29'!$R$8:$R$42)&gt;0)),'Pay Plan'!$D$5:$K$5,INDEX('Pay Plan'!$D$6:$K$12,$BB16,0)))</f>
        <v>0</v>
      </c>
      <c r="AX54" s="0" t="n">
        <f aca="false">SUMPRODUCT((('Aug 30'!$F$8:$F$42=$T16)*'Aug 30'!$AJ$8:$AJ$42+('Aug 30'!$G$8:$G$42=$T16)*'Aug 30'!$AK$8:$AK$42)*LOOKUP((('Aug 30'!$Q$8:$Q$42+'Aug 30'!$R$8:$R$42)*(('Aug 30'!$Q$8:$Q$42+'Aug 30'!$R$8:$R$42)&gt;0)),'Pay Plan'!$D$5:$K$5,INDEX('Pay Plan'!$D$6:$K$12,$BB16,0)))</f>
        <v>0</v>
      </c>
      <c r="AY54" s="0" t="n">
        <f aca="false">SUMPRODUCT((('Aug 31'!$F$8:$F$42=$T16)*'Aug 31'!$AJ$8:$AJ$42+('Aug 31'!$G$8:$G$42=$T16)*'Aug 31'!$AK$8:$AK$42)*LOOKUP((('Aug 31'!$Q$8:$Q$42+'Aug 31'!$R$8:$R$42)*(('Aug 31'!$Q$8:$Q$42+'Aug 31'!$R$8:$R$42)&gt;0)),'Pay Plan'!$D$5:$K$5,INDEX('Pay Plan'!$D$6:$K$12,$BB16,0)))</f>
        <v>0</v>
      </c>
    </row>
    <row r="55" customFormat="false" ht="15" hidden="false" customHeight="false" outlineLevel="0" collapsed="false">
      <c r="U55" s="0" t="n">
        <f aca="false">SUMPRODUCT((('Aug 1'!$F$8:$F$42=$T17)*'Aug 1'!$AJ$8:$AJ$42+('Aug 1'!$G$8:$G$42=$T17)*'Aug 1'!$AK$8:$AK$42)*LOOKUP((('Aug 1'!$Q$8:$Q$42+'Aug 1'!$R$8:$R$42)*(('Aug 1'!$Q$8:$Q$42+'Aug 1'!$R$8:$R$42)&gt;0)),'Pay Plan'!$D$5:$K$5,INDEX('Pay Plan'!$D$6:$K$12,$BB17,0)))</f>
        <v>0</v>
      </c>
      <c r="V55" s="0" t="n">
        <f aca="false">SUMPRODUCT((('Aug 2'!$F$8:$F$42=$T17)*'Aug 2'!$AJ$8:$AJ$42+('Aug 2'!$G$8:$G$42=$T17)*'Aug 2'!$AK$8:$AK$42)*LOOKUP((('Aug 2'!$Q$8:$Q$42+'Aug 2'!$R$8:$R$42)*(('Aug 2'!$Q$8:$Q$42+'Aug 2'!$R$8:$R$42)&gt;0)),'Pay Plan'!$D$5:$K$5,INDEX('Pay Plan'!$D$6:$K$12,$BB17,0)))</f>
        <v>0</v>
      </c>
      <c r="W55" s="0" t="n">
        <f aca="false">SUMPRODUCT((('Aug 3'!$F$8:$F$42=$T17)*'Aug 3'!$AJ$8:$AJ$42+('Aug 3'!$G$8:$G$42=$T17)*'Aug 3'!$AK$8:$AK$42)*LOOKUP((('Aug 3'!$Q$8:$Q$42+'Aug 3'!$R$8:$R$42)*(('Aug 3'!$Q$8:$Q$42+'Aug 3'!$R$8:$R$42)&gt;0)),'Pay Plan'!$D$5:$K$5,INDEX('Pay Plan'!$D$6:$K$12,$BB17,0)))</f>
        <v>0</v>
      </c>
      <c r="X55" s="0" t="n">
        <f aca="false">SUMPRODUCT((('Aug 4'!$F$8:$F$42=$T17)*'Aug 4'!$AJ$8:$AJ$42+('Aug 4'!$G$8:$G$42=$T17)*'Aug 4'!$AK$8:$AK$42)*LOOKUP((('Aug 4'!$Q$8:$Q$42+'Aug 4'!$R$8:$R$42)*(('Aug 4'!$Q$8:$Q$42+'Aug 4'!$R$8:$R$42)&gt;0)),'Pay Plan'!$D$5:$K$5,INDEX('Pay Plan'!$D$6:$K$12,$BB17,0)))</f>
        <v>0</v>
      </c>
      <c r="Y55" s="0" t="n">
        <f aca="false">SUMPRODUCT((('Aug 5'!$F$8:$F$42=$T17)*'Aug 5'!$AJ$8:$AJ$42+('Aug 5'!$G$8:$G$42=$T17)*'Aug 5'!$AK$8:$AK$42)*LOOKUP((('Aug 5'!$Q$8:$Q$42+'Aug 5'!$R$8:$R$42)*(('Aug 5'!$Q$8:$Q$42+'Aug 5'!$R$8:$R$42)&gt;0)),'Pay Plan'!$D$5:$K$5,INDEX('Pay Plan'!$D$6:$K$12,$BB17,0)))</f>
        <v>0</v>
      </c>
      <c r="Z55" s="0" t="n">
        <f aca="false">SUMPRODUCT((('Aug 6'!$F$8:$F$42=$T17)*'Aug 6'!$AJ$8:$AJ$42+('Aug 6'!$G$8:$G$42=$T17)*'Aug 6'!$AK$8:$AK$42)*LOOKUP((('Aug 6'!$Q$8:$Q$42+'Aug 6'!$R$8:$R$42)*(('Aug 6'!$Q$8:$Q$42+'Aug 6'!$R$8:$R$42)&gt;0)),'Pay Plan'!$D$5:$K$5,INDEX('Pay Plan'!$D$6:$K$12,$BB17,0)))</f>
        <v>0</v>
      </c>
      <c r="AA55" s="0" t="n">
        <f aca="false">SUMPRODUCT((('Aug 7'!$F$8:$F$42=$T17)*'Aug 7'!$AJ$8:$AJ$42+('Aug 7'!$G$8:$G$42=$T17)*'Aug 7'!$AK$8:$AK$42)*LOOKUP((('Aug 7'!$Q$8:$Q$42+'Aug 7'!$R$8:$R$42)*(('Aug 7'!$Q$8:$Q$42+'Aug 7'!$R$8:$R$42)&gt;0)),'Pay Plan'!$D$5:$K$5,INDEX('Pay Plan'!$D$6:$K$12,$BB17,0)))</f>
        <v>0</v>
      </c>
      <c r="AB55" s="0" t="n">
        <f aca="false">SUMPRODUCT((('Aug 8'!$F$8:$F$42=$T17)*'Aug 8'!$AJ$8:$AJ$42+('Aug 8'!$G$8:$G$42=$T17)*'Aug 8'!$AK$8:$AK$42)*LOOKUP((('Aug 8'!$Q$8:$Q$42+'Aug 8'!$R$8:$R$42)*(('Aug 8'!$Q$8:$Q$42+'Aug 8'!$R$8:$R$42)&gt;0)),'Pay Plan'!$D$5:$K$5,INDEX('Pay Plan'!$D$6:$K$12,$BB17,0)))</f>
        <v>0</v>
      </c>
      <c r="AC55" s="0" t="n">
        <f aca="false">SUMPRODUCT((('Aug 9'!$F$8:$F$42=$T17)*'Aug 9'!$AJ$8:$AJ$42+('Aug 9'!$G$8:$G$42=$T17)*'Aug 9'!$AK$8:$AK$42)*LOOKUP((('Aug 9'!$Q$8:$Q$42+'Aug 9'!$R$8:$R$42)*(('Aug 9'!$Q$8:$Q$42+'Aug 9'!$R$8:$R$42)&gt;0)),'Pay Plan'!$D$5:$K$5,INDEX('Pay Plan'!$D$6:$K$12,$BB17,0)))</f>
        <v>0</v>
      </c>
      <c r="AD55" s="0" t="n">
        <f aca="false">SUMPRODUCT((('Aug 10'!$F$8:$F$42=$T17)*'Aug 10'!$AJ$8:$AJ$42+('Aug 10'!$G$8:$G$42=$T17)*'Aug 10'!$AK$8:$AK$42)*LOOKUP((('Aug 10'!$Q$8:$Q$42+'Aug 10'!$R$8:$R$42)*(('Aug 10'!$Q$8:$Q$42+'Aug 10'!$R$8:$R$42)&gt;0)),'Pay Plan'!$D$5:$K$5,INDEX('Pay Plan'!$D$6:$K$12,$BB17,0)))</f>
        <v>0</v>
      </c>
      <c r="AE55" s="0" t="n">
        <f aca="false">SUMPRODUCT((('Aug 11'!$F$8:$F$42=$T17)*'Aug 11'!$AJ$8:$AJ$42+('Aug 11'!$G$8:$G$42=$T17)*'Aug 11'!$AK$8:$AK$42)*LOOKUP((('Aug 11'!$Q$8:$Q$42+'Aug 11'!$R$8:$R$42)*(('Aug 11'!$Q$8:$Q$42+'Aug 11'!$R$8:$R$42)&gt;0)),'Pay Plan'!$D$5:$K$5,INDEX('Pay Plan'!$D$6:$K$12,$BB17,0)))</f>
        <v>0</v>
      </c>
      <c r="AF55" s="0" t="n">
        <f aca="false">SUMPRODUCT((('Aug 12'!$F$8:$F$42=$T17)*'Aug 12'!$AJ$8:$AJ$42+('Aug 12'!$G$8:$G$42=$T17)*'Aug 12'!$AK$8:$AK$42)*LOOKUP((('Aug 12'!$Q$8:$Q$42+'Aug 12'!$R$8:$R$42)*(('Aug 12'!$Q$8:$Q$42+'Aug 12'!$R$8:$R$42)&gt;0)),'Pay Plan'!$D$5:$K$5,INDEX('Pay Plan'!$D$6:$K$12,$BB17,0)))</f>
        <v>0</v>
      </c>
      <c r="AG55" s="0" t="n">
        <f aca="false">SUMPRODUCT((('Aug 13'!$F$8:$F$42=$T17)*'Aug 13'!$AJ$8:$AJ$42+('Aug 13'!$G$8:$G$42=$T17)*'Aug 13'!$AK$8:$AK$42)*LOOKUP((('Aug 13'!$Q$8:$Q$42+'Aug 13'!$R$8:$R$42)*(('Aug 13'!$Q$8:$Q$42+'Aug 13'!$R$8:$R$42)&gt;0)),'Pay Plan'!$D$5:$K$5,INDEX('Pay Plan'!$D$6:$K$12,$BB17,0)))</f>
        <v>0</v>
      </c>
      <c r="AH55" s="0" t="n">
        <f aca="false">SUMPRODUCT((('Aug 14'!$F$8:$F$42=$T17)*'Aug 14'!$AJ$8:$AJ$42+('Aug 14'!$G$8:$G$42=$T17)*'Aug 14'!$AK$8:$AK$42)*LOOKUP((('Aug 14'!$Q$8:$Q$42+'Aug 14'!$R$8:$R$42)*(('Aug 14'!$Q$8:$Q$42+'Aug 14'!$R$8:$R$42)&gt;0)),'Pay Plan'!$D$5:$K$5,INDEX('Pay Plan'!$D$6:$K$12,$BB17,0)))</f>
        <v>0</v>
      </c>
      <c r="AI55" s="0" t="n">
        <f aca="false">SUMPRODUCT((('Aug 15'!$F$8:$F$42=$T17)*'Aug 15'!$AJ$8:$AJ$42+('Aug 15'!$G$8:$G$42=$T17)*'Aug 15'!$AK$8:$AK$42)*LOOKUP((('Aug 15'!$Q$8:$Q$42+'Aug 15'!$R$8:$R$42)*(('Aug 15'!$Q$8:$Q$42+'Aug 15'!$R$8:$R$42)&gt;0)),'Pay Plan'!$D$5:$K$5,INDEX('Pay Plan'!$D$6:$K$12,$BB17,0)))</f>
        <v>0</v>
      </c>
      <c r="AJ55" s="0" t="n">
        <f aca="false">SUMPRODUCT((('Aug 16'!$F$8:$F$42=$T17)*'Aug 16'!$AJ$8:$AJ$42+('Aug 16'!$G$8:$G$42=$T17)*'Aug 16'!$AK$8:$AK$42)*LOOKUP((('Aug 16'!$Q$8:$Q$42+'Aug 16'!$R$8:$R$42)*(('Aug 16'!$Q$8:$Q$42+'Aug 16'!$R$8:$R$42)&gt;0)),'Pay Plan'!$D$5:$K$5,INDEX('Pay Plan'!$D$6:$K$12,$BB17,0)))</f>
        <v>0</v>
      </c>
      <c r="AK55" s="0" t="n">
        <f aca="false">SUMPRODUCT((('Aug 17'!$F$8:$F$42=$T17)*'Aug 17'!$AJ$8:$AJ$42+('Aug 17'!$G$8:$G$42=$T17)*'Aug 17'!$AK$8:$AK$42)*LOOKUP((('Aug 17'!$Q$8:$Q$42+'Aug 17'!$R$8:$R$42)*(('Aug 17'!$Q$8:$Q$42+'Aug 17'!$R$8:$R$42)&gt;0)),'Pay Plan'!$D$5:$K$5,INDEX('Pay Plan'!$D$6:$K$12,$BB17,0)))</f>
        <v>0</v>
      </c>
      <c r="AL55" s="0" t="n">
        <f aca="false">SUMPRODUCT((('Aug 18'!$F$8:$F$42=$T17)*'Aug 18'!$AJ$8:$AJ$42+('Aug 18'!$G$8:$G$42=$T17)*'Aug 18'!$AK$8:$AK$42)*LOOKUP((('Aug 18'!$Q$8:$Q$42+'Aug 18'!$R$8:$R$42)*(('Aug 18'!$Q$8:$Q$42+'Aug 18'!$R$8:$R$42)&gt;0)),'Pay Plan'!$D$5:$K$5,INDEX('Pay Plan'!$D$6:$K$12,$BB17,0)))</f>
        <v>0</v>
      </c>
      <c r="AM55" s="0" t="n">
        <f aca="false">SUMPRODUCT((('Aug 19'!$F$8:$F$42=$T17)*'Aug 19'!$AJ$8:$AJ$42+('Aug 19'!$G$8:$G$42=$T17)*'Aug 19'!$AK$8:$AK$42)*LOOKUP((('Aug 19'!$Q$8:$Q$42+'Aug 19'!$R$8:$R$42)*(('Aug 19'!$Q$8:$Q$42+'Aug 19'!$R$8:$R$42)&gt;0)),'Pay Plan'!$D$5:$K$5,INDEX('Pay Plan'!$D$6:$K$12,$BB17,0)))</f>
        <v>0</v>
      </c>
      <c r="AN55" s="0" t="n">
        <f aca="false">SUMPRODUCT((('Aug 20'!$F$8:$F$42=$T17)*'Aug 20'!$AJ$8:$AJ$42+('Aug 20'!$G$8:$G$42=$T17)*'Aug 20'!$AK$8:$AK$42)*LOOKUP((('Aug 20'!$Q$8:$Q$42+'Aug 20'!$R$8:$R$42)*(('Aug 20'!$Q$8:$Q$42+'Aug 20'!$R$8:$R$42)&gt;0)),'Pay Plan'!$D$5:$K$5,INDEX('Pay Plan'!$D$6:$K$12,$BB17,0)))</f>
        <v>0</v>
      </c>
      <c r="AO55" s="0" t="n">
        <f aca="false">SUMPRODUCT((('Aug 21'!$F$8:$F$42=$T17)*'Aug 21'!$AJ$8:$AJ$42+('Aug 21'!$G$8:$G$42=$T17)*'Aug 21'!$AK$8:$AK$42)*LOOKUP((('Aug 21'!$Q$8:$Q$42+'Aug 21'!$R$8:$R$42)*(('Aug 21'!$Q$8:$Q$42+'Aug 21'!$R$8:$R$42)&gt;0)),'Pay Plan'!$D$5:$K$5,INDEX('Pay Plan'!$D$6:$K$12,$BB17,0)))</f>
        <v>0</v>
      </c>
      <c r="AP55" s="0" t="n">
        <f aca="false">SUMPRODUCT((('Aug 22'!$F$8:$F$42=$T17)*'Aug 22'!$AJ$8:$AJ$42+('Aug 22'!$G$8:$G$42=$T17)*'Aug 22'!$AK$8:$AK$42)*LOOKUP((('Aug 22'!$Q$8:$Q$42+'Aug 22'!$R$8:$R$42)*(('Aug 22'!$Q$8:$Q$42+'Aug 22'!$R$8:$R$42)&gt;0)),'Pay Plan'!$D$5:$K$5,INDEX('Pay Plan'!$D$6:$K$12,$BB17,0)))</f>
        <v>0</v>
      </c>
      <c r="AQ55" s="0" t="n">
        <f aca="false">SUMPRODUCT((('Aug 23'!$F$8:$F$42=$T17)*'Aug 23'!$AJ$8:$AJ$42+('Aug 23'!$G$8:$G$42=$T17)*'Aug 23'!$AK$8:$AK$42)*LOOKUP((('Aug 23'!$Q$8:$Q$42+'Aug 23'!$R$8:$R$42)*(('Aug 23'!$Q$8:$Q$42+'Aug 23'!$R$8:$R$42)&gt;0)),'Pay Plan'!$D$5:$K$5,INDEX('Pay Plan'!$D$6:$K$12,$BB17,0)))</f>
        <v>0</v>
      </c>
      <c r="AR55" s="0" t="n">
        <f aca="false">SUMPRODUCT((('Aug 24'!$F$8:$F$42=$T17)*'Aug 24'!$AJ$8:$AJ$42+('Aug 24'!$G$8:$G$42=$T17)*'Aug 24'!$AK$8:$AK$42)*LOOKUP((('Aug 24'!$Q$8:$Q$42+'Aug 24'!$R$8:$R$42)*(('Aug 24'!$Q$8:$Q$42+'Aug 24'!$R$8:$R$42)&gt;0)),'Pay Plan'!$D$5:$K$5,INDEX('Pay Plan'!$D$6:$K$12,$BB17,0)))</f>
        <v>0</v>
      </c>
      <c r="AS55" s="0" t="n">
        <f aca="false">SUMPRODUCT((('Aug 25'!$F$8:$F$42=$T17)*'Aug 25'!$AJ$8:$AJ$42+('Aug 25'!$G$8:$G$42=$T17)*'Aug 25'!$AK$8:$AK$42)*LOOKUP((('Aug 25'!$Q$8:$Q$42+'Aug 25'!$R$8:$R$42)*(('Aug 25'!$Q$8:$Q$42+'Aug 25'!$R$8:$R$42)&gt;0)),'Pay Plan'!$D$5:$K$5,INDEX('Pay Plan'!$D$6:$K$12,$BB17,0)))</f>
        <v>0</v>
      </c>
      <c r="AT55" s="0" t="n">
        <f aca="false">SUMPRODUCT((('Aug 26'!$F$8:$F$42=$T17)*'Aug 26'!$AJ$8:$AJ$42+('Aug 26'!$G$8:$G$42=$T17)*'Aug 26'!$AK$8:$AK$42)*LOOKUP((('Aug 26'!$Q$8:$Q$42+'Aug 26'!$R$8:$R$42)*(('Aug 26'!$Q$8:$Q$42+'Aug 26'!$R$8:$R$42)&gt;0)),'Pay Plan'!$D$5:$K$5,INDEX('Pay Plan'!$D$6:$K$12,$BB17,0)))</f>
        <v>0</v>
      </c>
      <c r="AU55" s="0" t="n">
        <f aca="false">SUMPRODUCT((('Aug 27'!$F$8:$F$42=$T17)*'Aug 27'!$AJ$8:$AJ$42+('Aug 27'!$G$8:$G$42=$T17)*'Aug 27'!$AK$8:$AK$42)*LOOKUP((('Aug 27'!$Q$8:$Q$42+'Aug 27'!$R$8:$R$42)*(('Aug 27'!$Q$8:$Q$42+'Aug 27'!$R$8:$R$42)&gt;0)),'Pay Plan'!$D$5:$K$5,INDEX('Pay Plan'!$D$6:$K$12,$BB17,0)))</f>
        <v>0</v>
      </c>
      <c r="AV55" s="0" t="n">
        <f aca="false">SUMPRODUCT((('Aug 28'!$F$8:$F$42=$T17)*'Aug 28'!$AJ$8:$AJ$42+('Aug 28'!$G$8:$G$42=$T17)*'Aug 28'!$AK$8:$AK$42)*LOOKUP((('Aug 28'!$Q$8:$Q$42+'Aug 28'!$R$8:$R$42)*(('Aug 28'!$Q$8:$Q$42+'Aug 28'!$R$8:$R$42)&gt;0)),'Pay Plan'!$D$5:$K$5,INDEX('Pay Plan'!$D$6:$K$12,$BB17,0)))</f>
        <v>0</v>
      </c>
      <c r="AW55" s="0" t="n">
        <f aca="false">SUMPRODUCT((('Aug 29'!$F$8:$F$42=$T17)*'Aug 29'!$AJ$8:$AJ$42+('Aug 29'!$G$8:$G$42=$T17)*'Aug 29'!$AK$8:$AK$42)*LOOKUP((('Aug 29'!$Q$8:$Q$42+'Aug 29'!$R$8:$R$42)*(('Aug 29'!$Q$8:$Q$42+'Aug 29'!$R$8:$R$42)&gt;0)),'Pay Plan'!$D$5:$K$5,INDEX('Pay Plan'!$D$6:$K$12,$BB17,0)))</f>
        <v>0</v>
      </c>
      <c r="AX55" s="0" t="n">
        <f aca="false">SUMPRODUCT((('Aug 30'!$F$8:$F$42=$T17)*'Aug 30'!$AJ$8:$AJ$42+('Aug 30'!$G$8:$G$42=$T17)*'Aug 30'!$AK$8:$AK$42)*LOOKUP((('Aug 30'!$Q$8:$Q$42+'Aug 30'!$R$8:$R$42)*(('Aug 30'!$Q$8:$Q$42+'Aug 30'!$R$8:$R$42)&gt;0)),'Pay Plan'!$D$5:$K$5,INDEX('Pay Plan'!$D$6:$K$12,$BB17,0)))</f>
        <v>0</v>
      </c>
      <c r="AY55" s="0" t="n">
        <f aca="false">SUMPRODUCT((('Aug 31'!$F$8:$F$42=$T17)*'Aug 31'!$AJ$8:$AJ$42+('Aug 31'!$G$8:$G$42=$T17)*'Aug 31'!$AK$8:$AK$42)*LOOKUP((('Aug 31'!$Q$8:$Q$42+'Aug 31'!$R$8:$R$42)*(('Aug 31'!$Q$8:$Q$42+'Aug 31'!$R$8:$R$42)&gt;0)),'Pay Plan'!$D$5:$K$5,INDEX('Pay Plan'!$D$6:$K$12,$BB17,0)))</f>
        <v>0</v>
      </c>
    </row>
    <row r="56" customFormat="false" ht="15" hidden="false" customHeight="false" outlineLevel="0" collapsed="false">
      <c r="U56" s="0" t="n">
        <f aca="false">SUMPRODUCT((('Aug 1'!$F$8:$F$42=$T18)*'Aug 1'!$AJ$8:$AJ$42+('Aug 1'!$G$8:$G$42=$T18)*'Aug 1'!$AK$8:$AK$42)*LOOKUP((('Aug 1'!$Q$8:$Q$42+'Aug 1'!$R$8:$R$42)*(('Aug 1'!$Q$8:$Q$42+'Aug 1'!$R$8:$R$42)&gt;0)),'Pay Plan'!$D$5:$K$5,INDEX('Pay Plan'!$D$6:$K$12,$BB18,0)))</f>
        <v>0</v>
      </c>
      <c r="V56" s="0" t="n">
        <f aca="false">SUMPRODUCT((('Aug 2'!$F$8:$F$42=$T18)*'Aug 2'!$AJ$8:$AJ$42+('Aug 2'!$G$8:$G$42=$T18)*'Aug 2'!$AK$8:$AK$42)*LOOKUP((('Aug 2'!$Q$8:$Q$42+'Aug 2'!$R$8:$R$42)*(('Aug 2'!$Q$8:$Q$42+'Aug 2'!$R$8:$R$42)&gt;0)),'Pay Plan'!$D$5:$K$5,INDEX('Pay Plan'!$D$6:$K$12,$BB18,0)))</f>
        <v>0</v>
      </c>
      <c r="W56" s="0" t="n">
        <f aca="false">SUMPRODUCT((('Aug 3'!$F$8:$F$42=$T18)*'Aug 3'!$AJ$8:$AJ$42+('Aug 3'!$G$8:$G$42=$T18)*'Aug 3'!$AK$8:$AK$42)*LOOKUP((('Aug 3'!$Q$8:$Q$42+'Aug 3'!$R$8:$R$42)*(('Aug 3'!$Q$8:$Q$42+'Aug 3'!$R$8:$R$42)&gt;0)),'Pay Plan'!$D$5:$K$5,INDEX('Pay Plan'!$D$6:$K$12,$BB18,0)))</f>
        <v>0</v>
      </c>
      <c r="X56" s="0" t="n">
        <f aca="false">SUMPRODUCT((('Aug 4'!$F$8:$F$42=$T18)*'Aug 4'!$AJ$8:$AJ$42+('Aug 4'!$G$8:$G$42=$T18)*'Aug 4'!$AK$8:$AK$42)*LOOKUP((('Aug 4'!$Q$8:$Q$42+'Aug 4'!$R$8:$R$42)*(('Aug 4'!$Q$8:$Q$42+'Aug 4'!$R$8:$R$42)&gt;0)),'Pay Plan'!$D$5:$K$5,INDEX('Pay Plan'!$D$6:$K$12,$BB18,0)))</f>
        <v>0</v>
      </c>
      <c r="Y56" s="0" t="n">
        <f aca="false">SUMPRODUCT((('Aug 5'!$F$8:$F$42=$T18)*'Aug 5'!$AJ$8:$AJ$42+('Aug 5'!$G$8:$G$42=$T18)*'Aug 5'!$AK$8:$AK$42)*LOOKUP((('Aug 5'!$Q$8:$Q$42+'Aug 5'!$R$8:$R$42)*(('Aug 5'!$Q$8:$Q$42+'Aug 5'!$R$8:$R$42)&gt;0)),'Pay Plan'!$D$5:$K$5,INDEX('Pay Plan'!$D$6:$K$12,$BB18,0)))</f>
        <v>0</v>
      </c>
      <c r="Z56" s="0" t="n">
        <f aca="false">SUMPRODUCT((('Aug 6'!$F$8:$F$42=$T18)*'Aug 6'!$AJ$8:$AJ$42+('Aug 6'!$G$8:$G$42=$T18)*'Aug 6'!$AK$8:$AK$42)*LOOKUP((('Aug 6'!$Q$8:$Q$42+'Aug 6'!$R$8:$R$42)*(('Aug 6'!$Q$8:$Q$42+'Aug 6'!$R$8:$R$42)&gt;0)),'Pay Plan'!$D$5:$K$5,INDEX('Pay Plan'!$D$6:$K$12,$BB18,0)))</f>
        <v>0</v>
      </c>
      <c r="AA56" s="0" t="n">
        <f aca="false">SUMPRODUCT((('Aug 7'!$F$8:$F$42=$T18)*'Aug 7'!$AJ$8:$AJ$42+('Aug 7'!$G$8:$G$42=$T18)*'Aug 7'!$AK$8:$AK$42)*LOOKUP((('Aug 7'!$Q$8:$Q$42+'Aug 7'!$R$8:$R$42)*(('Aug 7'!$Q$8:$Q$42+'Aug 7'!$R$8:$R$42)&gt;0)),'Pay Plan'!$D$5:$K$5,INDEX('Pay Plan'!$D$6:$K$12,$BB18,0)))</f>
        <v>0</v>
      </c>
      <c r="AB56" s="0" t="n">
        <f aca="false">SUMPRODUCT((('Aug 8'!$F$8:$F$42=$T18)*'Aug 8'!$AJ$8:$AJ$42+('Aug 8'!$G$8:$G$42=$T18)*'Aug 8'!$AK$8:$AK$42)*LOOKUP((('Aug 8'!$Q$8:$Q$42+'Aug 8'!$R$8:$R$42)*(('Aug 8'!$Q$8:$Q$42+'Aug 8'!$R$8:$R$42)&gt;0)),'Pay Plan'!$D$5:$K$5,INDEX('Pay Plan'!$D$6:$K$12,$BB18,0)))</f>
        <v>0</v>
      </c>
      <c r="AC56" s="0" t="n">
        <f aca="false">SUMPRODUCT((('Aug 9'!$F$8:$F$42=$T18)*'Aug 9'!$AJ$8:$AJ$42+('Aug 9'!$G$8:$G$42=$T18)*'Aug 9'!$AK$8:$AK$42)*LOOKUP((('Aug 9'!$Q$8:$Q$42+'Aug 9'!$R$8:$R$42)*(('Aug 9'!$Q$8:$Q$42+'Aug 9'!$R$8:$R$42)&gt;0)),'Pay Plan'!$D$5:$K$5,INDEX('Pay Plan'!$D$6:$K$12,$BB18,0)))</f>
        <v>0</v>
      </c>
      <c r="AD56" s="0" t="n">
        <f aca="false">SUMPRODUCT((('Aug 10'!$F$8:$F$42=$T18)*'Aug 10'!$AJ$8:$AJ$42+('Aug 10'!$G$8:$G$42=$T18)*'Aug 10'!$AK$8:$AK$42)*LOOKUP((('Aug 10'!$Q$8:$Q$42+'Aug 10'!$R$8:$R$42)*(('Aug 10'!$Q$8:$Q$42+'Aug 10'!$R$8:$R$42)&gt;0)),'Pay Plan'!$D$5:$K$5,INDEX('Pay Plan'!$D$6:$K$12,$BB18,0)))</f>
        <v>0</v>
      </c>
      <c r="AE56" s="0" t="n">
        <f aca="false">SUMPRODUCT((('Aug 11'!$F$8:$F$42=$T18)*'Aug 11'!$AJ$8:$AJ$42+('Aug 11'!$G$8:$G$42=$T18)*'Aug 11'!$AK$8:$AK$42)*LOOKUP((('Aug 11'!$Q$8:$Q$42+'Aug 11'!$R$8:$R$42)*(('Aug 11'!$Q$8:$Q$42+'Aug 11'!$R$8:$R$42)&gt;0)),'Pay Plan'!$D$5:$K$5,INDEX('Pay Plan'!$D$6:$K$12,$BB18,0)))</f>
        <v>0</v>
      </c>
      <c r="AF56" s="0" t="n">
        <f aca="false">SUMPRODUCT((('Aug 12'!$F$8:$F$42=$T18)*'Aug 12'!$AJ$8:$AJ$42+('Aug 12'!$G$8:$G$42=$T18)*'Aug 12'!$AK$8:$AK$42)*LOOKUP((('Aug 12'!$Q$8:$Q$42+'Aug 12'!$R$8:$R$42)*(('Aug 12'!$Q$8:$Q$42+'Aug 12'!$R$8:$R$42)&gt;0)),'Pay Plan'!$D$5:$K$5,INDEX('Pay Plan'!$D$6:$K$12,$BB18,0)))</f>
        <v>0</v>
      </c>
      <c r="AG56" s="0" t="n">
        <f aca="false">SUMPRODUCT((('Aug 13'!$F$8:$F$42=$T18)*'Aug 13'!$AJ$8:$AJ$42+('Aug 13'!$G$8:$G$42=$T18)*'Aug 13'!$AK$8:$AK$42)*LOOKUP((('Aug 13'!$Q$8:$Q$42+'Aug 13'!$R$8:$R$42)*(('Aug 13'!$Q$8:$Q$42+'Aug 13'!$R$8:$R$42)&gt;0)),'Pay Plan'!$D$5:$K$5,INDEX('Pay Plan'!$D$6:$K$12,$BB18,0)))</f>
        <v>0</v>
      </c>
      <c r="AH56" s="0" t="n">
        <f aca="false">SUMPRODUCT((('Aug 14'!$F$8:$F$42=$T18)*'Aug 14'!$AJ$8:$AJ$42+('Aug 14'!$G$8:$G$42=$T18)*'Aug 14'!$AK$8:$AK$42)*LOOKUP((('Aug 14'!$Q$8:$Q$42+'Aug 14'!$R$8:$R$42)*(('Aug 14'!$Q$8:$Q$42+'Aug 14'!$R$8:$R$42)&gt;0)),'Pay Plan'!$D$5:$K$5,INDEX('Pay Plan'!$D$6:$K$12,$BB18,0)))</f>
        <v>0</v>
      </c>
      <c r="AI56" s="0" t="n">
        <f aca="false">SUMPRODUCT((('Aug 15'!$F$8:$F$42=$T18)*'Aug 15'!$AJ$8:$AJ$42+('Aug 15'!$G$8:$G$42=$T18)*'Aug 15'!$AK$8:$AK$42)*LOOKUP((('Aug 15'!$Q$8:$Q$42+'Aug 15'!$R$8:$R$42)*(('Aug 15'!$Q$8:$Q$42+'Aug 15'!$R$8:$R$42)&gt;0)),'Pay Plan'!$D$5:$K$5,INDEX('Pay Plan'!$D$6:$K$12,$BB18,0)))</f>
        <v>0</v>
      </c>
      <c r="AJ56" s="0" t="n">
        <f aca="false">SUMPRODUCT((('Aug 16'!$F$8:$F$42=$T18)*'Aug 16'!$AJ$8:$AJ$42+('Aug 16'!$G$8:$G$42=$T18)*'Aug 16'!$AK$8:$AK$42)*LOOKUP((('Aug 16'!$Q$8:$Q$42+'Aug 16'!$R$8:$R$42)*(('Aug 16'!$Q$8:$Q$42+'Aug 16'!$R$8:$R$42)&gt;0)),'Pay Plan'!$D$5:$K$5,INDEX('Pay Plan'!$D$6:$K$12,$BB18,0)))</f>
        <v>0</v>
      </c>
      <c r="AK56" s="0" t="n">
        <f aca="false">SUMPRODUCT((('Aug 17'!$F$8:$F$42=$T18)*'Aug 17'!$AJ$8:$AJ$42+('Aug 17'!$G$8:$G$42=$T18)*'Aug 17'!$AK$8:$AK$42)*LOOKUP((('Aug 17'!$Q$8:$Q$42+'Aug 17'!$R$8:$R$42)*(('Aug 17'!$Q$8:$Q$42+'Aug 17'!$R$8:$R$42)&gt;0)),'Pay Plan'!$D$5:$K$5,INDEX('Pay Plan'!$D$6:$K$12,$BB18,0)))</f>
        <v>0</v>
      </c>
      <c r="AL56" s="0" t="n">
        <f aca="false">SUMPRODUCT((('Aug 18'!$F$8:$F$42=$T18)*'Aug 18'!$AJ$8:$AJ$42+('Aug 18'!$G$8:$G$42=$T18)*'Aug 18'!$AK$8:$AK$42)*LOOKUP((('Aug 18'!$Q$8:$Q$42+'Aug 18'!$R$8:$R$42)*(('Aug 18'!$Q$8:$Q$42+'Aug 18'!$R$8:$R$42)&gt;0)),'Pay Plan'!$D$5:$K$5,INDEX('Pay Plan'!$D$6:$K$12,$BB18,0)))</f>
        <v>0</v>
      </c>
      <c r="AM56" s="0" t="n">
        <f aca="false">SUMPRODUCT((('Aug 19'!$F$8:$F$42=$T18)*'Aug 19'!$AJ$8:$AJ$42+('Aug 19'!$G$8:$G$42=$T18)*'Aug 19'!$AK$8:$AK$42)*LOOKUP((('Aug 19'!$Q$8:$Q$42+'Aug 19'!$R$8:$R$42)*(('Aug 19'!$Q$8:$Q$42+'Aug 19'!$R$8:$R$42)&gt;0)),'Pay Plan'!$D$5:$K$5,INDEX('Pay Plan'!$D$6:$K$12,$BB18,0)))</f>
        <v>0</v>
      </c>
      <c r="AN56" s="0" t="n">
        <f aca="false">SUMPRODUCT((('Aug 20'!$F$8:$F$42=$T18)*'Aug 20'!$AJ$8:$AJ$42+('Aug 20'!$G$8:$G$42=$T18)*'Aug 20'!$AK$8:$AK$42)*LOOKUP((('Aug 20'!$Q$8:$Q$42+'Aug 20'!$R$8:$R$42)*(('Aug 20'!$Q$8:$Q$42+'Aug 20'!$R$8:$R$42)&gt;0)),'Pay Plan'!$D$5:$K$5,INDEX('Pay Plan'!$D$6:$K$12,$BB18,0)))</f>
        <v>0</v>
      </c>
      <c r="AO56" s="0" t="n">
        <f aca="false">SUMPRODUCT((('Aug 21'!$F$8:$F$42=$T18)*'Aug 21'!$AJ$8:$AJ$42+('Aug 21'!$G$8:$G$42=$T18)*'Aug 21'!$AK$8:$AK$42)*LOOKUP((('Aug 21'!$Q$8:$Q$42+'Aug 21'!$R$8:$R$42)*(('Aug 21'!$Q$8:$Q$42+'Aug 21'!$R$8:$R$42)&gt;0)),'Pay Plan'!$D$5:$K$5,INDEX('Pay Plan'!$D$6:$K$12,$BB18,0)))</f>
        <v>0</v>
      </c>
      <c r="AP56" s="0" t="n">
        <f aca="false">SUMPRODUCT((('Aug 22'!$F$8:$F$42=$T18)*'Aug 22'!$AJ$8:$AJ$42+('Aug 22'!$G$8:$G$42=$T18)*'Aug 22'!$AK$8:$AK$42)*LOOKUP((('Aug 22'!$Q$8:$Q$42+'Aug 22'!$R$8:$R$42)*(('Aug 22'!$Q$8:$Q$42+'Aug 22'!$R$8:$R$42)&gt;0)),'Pay Plan'!$D$5:$K$5,INDEX('Pay Plan'!$D$6:$K$12,$BB18,0)))</f>
        <v>0</v>
      </c>
      <c r="AQ56" s="0" t="n">
        <f aca="false">SUMPRODUCT((('Aug 23'!$F$8:$F$42=$T18)*'Aug 23'!$AJ$8:$AJ$42+('Aug 23'!$G$8:$G$42=$T18)*'Aug 23'!$AK$8:$AK$42)*LOOKUP((('Aug 23'!$Q$8:$Q$42+'Aug 23'!$R$8:$R$42)*(('Aug 23'!$Q$8:$Q$42+'Aug 23'!$R$8:$R$42)&gt;0)),'Pay Plan'!$D$5:$K$5,INDEX('Pay Plan'!$D$6:$K$12,$BB18,0)))</f>
        <v>0</v>
      </c>
      <c r="AR56" s="0" t="n">
        <f aca="false">SUMPRODUCT((('Aug 24'!$F$8:$F$42=$T18)*'Aug 24'!$AJ$8:$AJ$42+('Aug 24'!$G$8:$G$42=$T18)*'Aug 24'!$AK$8:$AK$42)*LOOKUP((('Aug 24'!$Q$8:$Q$42+'Aug 24'!$R$8:$R$42)*(('Aug 24'!$Q$8:$Q$42+'Aug 24'!$R$8:$R$42)&gt;0)),'Pay Plan'!$D$5:$K$5,INDEX('Pay Plan'!$D$6:$K$12,$BB18,0)))</f>
        <v>0</v>
      </c>
      <c r="AS56" s="0" t="n">
        <f aca="false">SUMPRODUCT((('Aug 25'!$F$8:$F$42=$T18)*'Aug 25'!$AJ$8:$AJ$42+('Aug 25'!$G$8:$G$42=$T18)*'Aug 25'!$AK$8:$AK$42)*LOOKUP((('Aug 25'!$Q$8:$Q$42+'Aug 25'!$R$8:$R$42)*(('Aug 25'!$Q$8:$Q$42+'Aug 25'!$R$8:$R$42)&gt;0)),'Pay Plan'!$D$5:$K$5,INDEX('Pay Plan'!$D$6:$K$12,$BB18,0)))</f>
        <v>0</v>
      </c>
      <c r="AT56" s="0" t="n">
        <f aca="false">SUMPRODUCT((('Aug 26'!$F$8:$F$42=$T18)*'Aug 26'!$AJ$8:$AJ$42+('Aug 26'!$G$8:$G$42=$T18)*'Aug 26'!$AK$8:$AK$42)*LOOKUP((('Aug 26'!$Q$8:$Q$42+'Aug 26'!$R$8:$R$42)*(('Aug 26'!$Q$8:$Q$42+'Aug 26'!$R$8:$R$42)&gt;0)),'Pay Plan'!$D$5:$K$5,INDEX('Pay Plan'!$D$6:$K$12,$BB18,0)))</f>
        <v>0</v>
      </c>
      <c r="AU56" s="0" t="n">
        <f aca="false">SUMPRODUCT((('Aug 27'!$F$8:$F$42=$T18)*'Aug 27'!$AJ$8:$AJ$42+('Aug 27'!$G$8:$G$42=$T18)*'Aug 27'!$AK$8:$AK$42)*LOOKUP((('Aug 27'!$Q$8:$Q$42+'Aug 27'!$R$8:$R$42)*(('Aug 27'!$Q$8:$Q$42+'Aug 27'!$R$8:$R$42)&gt;0)),'Pay Plan'!$D$5:$K$5,INDEX('Pay Plan'!$D$6:$K$12,$BB18,0)))</f>
        <v>0</v>
      </c>
      <c r="AV56" s="0" t="n">
        <f aca="false">SUMPRODUCT((('Aug 28'!$F$8:$F$42=$T18)*'Aug 28'!$AJ$8:$AJ$42+('Aug 28'!$G$8:$G$42=$T18)*'Aug 28'!$AK$8:$AK$42)*LOOKUP((('Aug 28'!$Q$8:$Q$42+'Aug 28'!$R$8:$R$42)*(('Aug 28'!$Q$8:$Q$42+'Aug 28'!$R$8:$R$42)&gt;0)),'Pay Plan'!$D$5:$K$5,INDEX('Pay Plan'!$D$6:$K$12,$BB18,0)))</f>
        <v>0</v>
      </c>
      <c r="AW56" s="0" t="n">
        <f aca="false">SUMPRODUCT((('Aug 29'!$F$8:$F$42=$T18)*'Aug 29'!$AJ$8:$AJ$42+('Aug 29'!$G$8:$G$42=$T18)*'Aug 29'!$AK$8:$AK$42)*LOOKUP((('Aug 29'!$Q$8:$Q$42+'Aug 29'!$R$8:$R$42)*(('Aug 29'!$Q$8:$Q$42+'Aug 29'!$R$8:$R$42)&gt;0)),'Pay Plan'!$D$5:$K$5,INDEX('Pay Plan'!$D$6:$K$12,$BB18,0)))</f>
        <v>0</v>
      </c>
      <c r="AX56" s="0" t="n">
        <f aca="false">SUMPRODUCT((('Aug 30'!$F$8:$F$42=$T18)*'Aug 30'!$AJ$8:$AJ$42+('Aug 30'!$G$8:$G$42=$T18)*'Aug 30'!$AK$8:$AK$42)*LOOKUP((('Aug 30'!$Q$8:$Q$42+'Aug 30'!$R$8:$R$42)*(('Aug 30'!$Q$8:$Q$42+'Aug 30'!$R$8:$R$42)&gt;0)),'Pay Plan'!$D$5:$K$5,INDEX('Pay Plan'!$D$6:$K$12,$BB18,0)))</f>
        <v>0</v>
      </c>
      <c r="AY56" s="0" t="n">
        <f aca="false">SUMPRODUCT((('Aug 31'!$F$8:$F$42=$T18)*'Aug 31'!$AJ$8:$AJ$42+('Aug 31'!$G$8:$G$42=$T18)*'Aug 31'!$AK$8:$AK$42)*LOOKUP((('Aug 31'!$Q$8:$Q$42+'Aug 31'!$R$8:$R$42)*(('Aug 31'!$Q$8:$Q$42+'Aug 31'!$R$8:$R$42)&gt;0)),'Pay Plan'!$D$5:$K$5,INDEX('Pay Plan'!$D$6:$K$12,$BB18,0)))</f>
        <v>0</v>
      </c>
    </row>
    <row r="57" customFormat="false" ht="15" hidden="false" customHeight="false" outlineLevel="0" collapsed="false">
      <c r="U57" s="0" t="n">
        <f aca="false">SUMPRODUCT((('Aug 1'!$F$8:$F$42=$T19)*'Aug 1'!$AJ$8:$AJ$42+('Aug 1'!$G$8:$G$42=$T19)*'Aug 1'!$AK$8:$AK$42)*LOOKUP((('Aug 1'!$Q$8:$Q$42+'Aug 1'!$R$8:$R$42)*(('Aug 1'!$Q$8:$Q$42+'Aug 1'!$R$8:$R$42)&gt;0)),'Pay Plan'!$D$5:$K$5,INDEX('Pay Plan'!$D$6:$K$12,$BB19,0)))</f>
        <v>0</v>
      </c>
      <c r="V57" s="0" t="n">
        <f aca="false">SUMPRODUCT((('Aug 2'!$F$8:$F$42=$T19)*'Aug 2'!$AJ$8:$AJ$42+('Aug 2'!$G$8:$G$42=$T19)*'Aug 2'!$AK$8:$AK$42)*LOOKUP((('Aug 2'!$Q$8:$Q$42+'Aug 2'!$R$8:$R$42)*(('Aug 2'!$Q$8:$Q$42+'Aug 2'!$R$8:$R$42)&gt;0)),'Pay Plan'!$D$5:$K$5,INDEX('Pay Plan'!$D$6:$K$12,$BB19,0)))</f>
        <v>0</v>
      </c>
      <c r="W57" s="0" t="n">
        <f aca="false">SUMPRODUCT((('Aug 3'!$F$8:$F$42=$T19)*'Aug 3'!$AJ$8:$AJ$42+('Aug 3'!$G$8:$G$42=$T19)*'Aug 3'!$AK$8:$AK$42)*LOOKUP((('Aug 3'!$Q$8:$Q$42+'Aug 3'!$R$8:$R$42)*(('Aug 3'!$Q$8:$Q$42+'Aug 3'!$R$8:$R$42)&gt;0)),'Pay Plan'!$D$5:$K$5,INDEX('Pay Plan'!$D$6:$K$12,$BB19,0)))</f>
        <v>0</v>
      </c>
      <c r="X57" s="0" t="n">
        <f aca="false">SUMPRODUCT((('Aug 4'!$F$8:$F$42=$T19)*'Aug 4'!$AJ$8:$AJ$42+('Aug 4'!$G$8:$G$42=$T19)*'Aug 4'!$AK$8:$AK$42)*LOOKUP((('Aug 4'!$Q$8:$Q$42+'Aug 4'!$R$8:$R$42)*(('Aug 4'!$Q$8:$Q$42+'Aug 4'!$R$8:$R$42)&gt;0)),'Pay Plan'!$D$5:$K$5,INDEX('Pay Plan'!$D$6:$K$12,$BB19,0)))</f>
        <v>0</v>
      </c>
      <c r="Y57" s="0" t="n">
        <f aca="false">SUMPRODUCT((('Aug 5'!$F$8:$F$42=$T19)*'Aug 5'!$AJ$8:$AJ$42+('Aug 5'!$G$8:$G$42=$T19)*'Aug 5'!$AK$8:$AK$42)*LOOKUP((('Aug 5'!$Q$8:$Q$42+'Aug 5'!$R$8:$R$42)*(('Aug 5'!$Q$8:$Q$42+'Aug 5'!$R$8:$R$42)&gt;0)),'Pay Plan'!$D$5:$K$5,INDEX('Pay Plan'!$D$6:$K$12,$BB19,0)))</f>
        <v>0</v>
      </c>
      <c r="Z57" s="0" t="n">
        <f aca="false">SUMPRODUCT((('Aug 6'!$F$8:$F$42=$T19)*'Aug 6'!$AJ$8:$AJ$42+('Aug 6'!$G$8:$G$42=$T19)*'Aug 6'!$AK$8:$AK$42)*LOOKUP((('Aug 6'!$Q$8:$Q$42+'Aug 6'!$R$8:$R$42)*(('Aug 6'!$Q$8:$Q$42+'Aug 6'!$R$8:$R$42)&gt;0)),'Pay Plan'!$D$5:$K$5,INDEX('Pay Plan'!$D$6:$K$12,$BB19,0)))</f>
        <v>0</v>
      </c>
      <c r="AA57" s="0" t="n">
        <f aca="false">SUMPRODUCT((('Aug 7'!$F$8:$F$42=$T19)*'Aug 7'!$AJ$8:$AJ$42+('Aug 7'!$G$8:$G$42=$T19)*'Aug 7'!$AK$8:$AK$42)*LOOKUP((('Aug 7'!$Q$8:$Q$42+'Aug 7'!$R$8:$R$42)*(('Aug 7'!$Q$8:$Q$42+'Aug 7'!$R$8:$R$42)&gt;0)),'Pay Plan'!$D$5:$K$5,INDEX('Pay Plan'!$D$6:$K$12,$BB19,0)))</f>
        <v>0</v>
      </c>
      <c r="AB57" s="0" t="n">
        <f aca="false">SUMPRODUCT((('Aug 8'!$F$8:$F$42=$T19)*'Aug 8'!$AJ$8:$AJ$42+('Aug 8'!$G$8:$G$42=$T19)*'Aug 8'!$AK$8:$AK$42)*LOOKUP((('Aug 8'!$Q$8:$Q$42+'Aug 8'!$R$8:$R$42)*(('Aug 8'!$Q$8:$Q$42+'Aug 8'!$R$8:$R$42)&gt;0)),'Pay Plan'!$D$5:$K$5,INDEX('Pay Plan'!$D$6:$K$12,$BB19,0)))</f>
        <v>0</v>
      </c>
      <c r="AC57" s="0" t="n">
        <f aca="false">SUMPRODUCT((('Aug 9'!$F$8:$F$42=$T19)*'Aug 9'!$AJ$8:$AJ$42+('Aug 9'!$G$8:$G$42=$T19)*'Aug 9'!$AK$8:$AK$42)*LOOKUP((('Aug 9'!$Q$8:$Q$42+'Aug 9'!$R$8:$R$42)*(('Aug 9'!$Q$8:$Q$42+'Aug 9'!$R$8:$R$42)&gt;0)),'Pay Plan'!$D$5:$K$5,INDEX('Pay Plan'!$D$6:$K$12,$BB19,0)))</f>
        <v>0</v>
      </c>
      <c r="AD57" s="0" t="n">
        <f aca="false">SUMPRODUCT((('Aug 10'!$F$8:$F$42=$T19)*'Aug 10'!$AJ$8:$AJ$42+('Aug 10'!$G$8:$G$42=$T19)*'Aug 10'!$AK$8:$AK$42)*LOOKUP((('Aug 10'!$Q$8:$Q$42+'Aug 10'!$R$8:$R$42)*(('Aug 10'!$Q$8:$Q$42+'Aug 10'!$R$8:$R$42)&gt;0)),'Pay Plan'!$D$5:$K$5,INDEX('Pay Plan'!$D$6:$K$12,$BB19,0)))</f>
        <v>0</v>
      </c>
      <c r="AE57" s="0" t="n">
        <f aca="false">SUMPRODUCT((('Aug 11'!$F$8:$F$42=$T19)*'Aug 11'!$AJ$8:$AJ$42+('Aug 11'!$G$8:$G$42=$T19)*'Aug 11'!$AK$8:$AK$42)*LOOKUP((('Aug 11'!$Q$8:$Q$42+'Aug 11'!$R$8:$R$42)*(('Aug 11'!$Q$8:$Q$42+'Aug 11'!$R$8:$R$42)&gt;0)),'Pay Plan'!$D$5:$K$5,INDEX('Pay Plan'!$D$6:$K$12,$BB19,0)))</f>
        <v>0</v>
      </c>
      <c r="AF57" s="0" t="n">
        <f aca="false">SUMPRODUCT((('Aug 12'!$F$8:$F$42=$T19)*'Aug 12'!$AJ$8:$AJ$42+('Aug 12'!$G$8:$G$42=$T19)*'Aug 12'!$AK$8:$AK$42)*LOOKUP((('Aug 12'!$Q$8:$Q$42+'Aug 12'!$R$8:$R$42)*(('Aug 12'!$Q$8:$Q$42+'Aug 12'!$R$8:$R$42)&gt;0)),'Pay Plan'!$D$5:$K$5,INDEX('Pay Plan'!$D$6:$K$12,$BB19,0)))</f>
        <v>0</v>
      </c>
      <c r="AG57" s="0" t="n">
        <f aca="false">SUMPRODUCT((('Aug 13'!$F$8:$F$42=$T19)*'Aug 13'!$AJ$8:$AJ$42+('Aug 13'!$G$8:$G$42=$T19)*'Aug 13'!$AK$8:$AK$42)*LOOKUP((('Aug 13'!$Q$8:$Q$42+'Aug 13'!$R$8:$R$42)*(('Aug 13'!$Q$8:$Q$42+'Aug 13'!$R$8:$R$42)&gt;0)),'Pay Plan'!$D$5:$K$5,INDEX('Pay Plan'!$D$6:$K$12,$BB19,0)))</f>
        <v>0</v>
      </c>
      <c r="AH57" s="0" t="n">
        <f aca="false">SUMPRODUCT((('Aug 14'!$F$8:$F$42=$T19)*'Aug 14'!$AJ$8:$AJ$42+('Aug 14'!$G$8:$G$42=$T19)*'Aug 14'!$AK$8:$AK$42)*LOOKUP((('Aug 14'!$Q$8:$Q$42+'Aug 14'!$R$8:$R$42)*(('Aug 14'!$Q$8:$Q$42+'Aug 14'!$R$8:$R$42)&gt;0)),'Pay Plan'!$D$5:$K$5,INDEX('Pay Plan'!$D$6:$K$12,$BB19,0)))</f>
        <v>0</v>
      </c>
      <c r="AI57" s="0" t="n">
        <f aca="false">SUMPRODUCT((('Aug 15'!$F$8:$F$42=$T19)*'Aug 15'!$AJ$8:$AJ$42+('Aug 15'!$G$8:$G$42=$T19)*'Aug 15'!$AK$8:$AK$42)*LOOKUP((('Aug 15'!$Q$8:$Q$42+'Aug 15'!$R$8:$R$42)*(('Aug 15'!$Q$8:$Q$42+'Aug 15'!$R$8:$R$42)&gt;0)),'Pay Plan'!$D$5:$K$5,INDEX('Pay Plan'!$D$6:$K$12,$BB19,0)))</f>
        <v>0</v>
      </c>
      <c r="AJ57" s="0" t="n">
        <f aca="false">SUMPRODUCT((('Aug 16'!$F$8:$F$42=$T19)*'Aug 16'!$AJ$8:$AJ$42+('Aug 16'!$G$8:$G$42=$T19)*'Aug 16'!$AK$8:$AK$42)*LOOKUP((('Aug 16'!$Q$8:$Q$42+'Aug 16'!$R$8:$R$42)*(('Aug 16'!$Q$8:$Q$42+'Aug 16'!$R$8:$R$42)&gt;0)),'Pay Plan'!$D$5:$K$5,INDEX('Pay Plan'!$D$6:$K$12,$BB19,0)))</f>
        <v>0</v>
      </c>
      <c r="AK57" s="0" t="n">
        <f aca="false">SUMPRODUCT((('Aug 17'!$F$8:$F$42=$T19)*'Aug 17'!$AJ$8:$AJ$42+('Aug 17'!$G$8:$G$42=$T19)*'Aug 17'!$AK$8:$AK$42)*LOOKUP((('Aug 17'!$Q$8:$Q$42+'Aug 17'!$R$8:$R$42)*(('Aug 17'!$Q$8:$Q$42+'Aug 17'!$R$8:$R$42)&gt;0)),'Pay Plan'!$D$5:$K$5,INDEX('Pay Plan'!$D$6:$K$12,$BB19,0)))</f>
        <v>0</v>
      </c>
      <c r="AL57" s="0" t="n">
        <f aca="false">SUMPRODUCT((('Aug 18'!$F$8:$F$42=$T19)*'Aug 18'!$AJ$8:$AJ$42+('Aug 18'!$G$8:$G$42=$T19)*'Aug 18'!$AK$8:$AK$42)*LOOKUP((('Aug 18'!$Q$8:$Q$42+'Aug 18'!$R$8:$R$42)*(('Aug 18'!$Q$8:$Q$42+'Aug 18'!$R$8:$R$42)&gt;0)),'Pay Plan'!$D$5:$K$5,INDEX('Pay Plan'!$D$6:$K$12,$BB19,0)))</f>
        <v>0</v>
      </c>
      <c r="AM57" s="0" t="n">
        <f aca="false">SUMPRODUCT((('Aug 19'!$F$8:$F$42=$T19)*'Aug 19'!$AJ$8:$AJ$42+('Aug 19'!$G$8:$G$42=$T19)*'Aug 19'!$AK$8:$AK$42)*LOOKUP((('Aug 19'!$Q$8:$Q$42+'Aug 19'!$R$8:$R$42)*(('Aug 19'!$Q$8:$Q$42+'Aug 19'!$R$8:$R$42)&gt;0)),'Pay Plan'!$D$5:$K$5,INDEX('Pay Plan'!$D$6:$K$12,$BB19,0)))</f>
        <v>0</v>
      </c>
      <c r="AN57" s="0" t="n">
        <f aca="false">SUMPRODUCT((('Aug 20'!$F$8:$F$42=$T19)*'Aug 20'!$AJ$8:$AJ$42+('Aug 20'!$G$8:$G$42=$T19)*'Aug 20'!$AK$8:$AK$42)*LOOKUP((('Aug 20'!$Q$8:$Q$42+'Aug 20'!$R$8:$R$42)*(('Aug 20'!$Q$8:$Q$42+'Aug 20'!$R$8:$R$42)&gt;0)),'Pay Plan'!$D$5:$K$5,INDEX('Pay Plan'!$D$6:$K$12,$BB19,0)))</f>
        <v>0</v>
      </c>
      <c r="AO57" s="0" t="n">
        <f aca="false">SUMPRODUCT((('Aug 21'!$F$8:$F$42=$T19)*'Aug 21'!$AJ$8:$AJ$42+('Aug 21'!$G$8:$G$42=$T19)*'Aug 21'!$AK$8:$AK$42)*LOOKUP((('Aug 21'!$Q$8:$Q$42+'Aug 21'!$R$8:$R$42)*(('Aug 21'!$Q$8:$Q$42+'Aug 21'!$R$8:$R$42)&gt;0)),'Pay Plan'!$D$5:$K$5,INDEX('Pay Plan'!$D$6:$K$12,$BB19,0)))</f>
        <v>0</v>
      </c>
      <c r="AP57" s="0" t="n">
        <f aca="false">SUMPRODUCT((('Aug 22'!$F$8:$F$42=$T19)*'Aug 22'!$AJ$8:$AJ$42+('Aug 22'!$G$8:$G$42=$T19)*'Aug 22'!$AK$8:$AK$42)*LOOKUP((('Aug 22'!$Q$8:$Q$42+'Aug 22'!$R$8:$R$42)*(('Aug 22'!$Q$8:$Q$42+'Aug 22'!$R$8:$R$42)&gt;0)),'Pay Plan'!$D$5:$K$5,INDEX('Pay Plan'!$D$6:$K$12,$BB19,0)))</f>
        <v>0</v>
      </c>
      <c r="AQ57" s="0" t="n">
        <f aca="false">SUMPRODUCT((('Aug 23'!$F$8:$F$42=$T19)*'Aug 23'!$AJ$8:$AJ$42+('Aug 23'!$G$8:$G$42=$T19)*'Aug 23'!$AK$8:$AK$42)*LOOKUP((('Aug 23'!$Q$8:$Q$42+'Aug 23'!$R$8:$R$42)*(('Aug 23'!$Q$8:$Q$42+'Aug 23'!$R$8:$R$42)&gt;0)),'Pay Plan'!$D$5:$K$5,INDEX('Pay Plan'!$D$6:$K$12,$BB19,0)))</f>
        <v>0</v>
      </c>
      <c r="AR57" s="0" t="n">
        <f aca="false">SUMPRODUCT((('Aug 24'!$F$8:$F$42=$T19)*'Aug 24'!$AJ$8:$AJ$42+('Aug 24'!$G$8:$G$42=$T19)*'Aug 24'!$AK$8:$AK$42)*LOOKUP((('Aug 24'!$Q$8:$Q$42+'Aug 24'!$R$8:$R$42)*(('Aug 24'!$Q$8:$Q$42+'Aug 24'!$R$8:$R$42)&gt;0)),'Pay Plan'!$D$5:$K$5,INDEX('Pay Plan'!$D$6:$K$12,$BB19,0)))</f>
        <v>0</v>
      </c>
      <c r="AS57" s="0" t="n">
        <f aca="false">SUMPRODUCT((('Aug 25'!$F$8:$F$42=$T19)*'Aug 25'!$AJ$8:$AJ$42+('Aug 25'!$G$8:$G$42=$T19)*'Aug 25'!$AK$8:$AK$42)*LOOKUP((('Aug 25'!$Q$8:$Q$42+'Aug 25'!$R$8:$R$42)*(('Aug 25'!$Q$8:$Q$42+'Aug 25'!$R$8:$R$42)&gt;0)),'Pay Plan'!$D$5:$K$5,INDEX('Pay Plan'!$D$6:$K$12,$BB19,0)))</f>
        <v>0</v>
      </c>
      <c r="AT57" s="0" t="n">
        <f aca="false">SUMPRODUCT((('Aug 26'!$F$8:$F$42=$T19)*'Aug 26'!$AJ$8:$AJ$42+('Aug 26'!$G$8:$G$42=$T19)*'Aug 26'!$AK$8:$AK$42)*LOOKUP((('Aug 26'!$Q$8:$Q$42+'Aug 26'!$R$8:$R$42)*(('Aug 26'!$Q$8:$Q$42+'Aug 26'!$R$8:$R$42)&gt;0)),'Pay Plan'!$D$5:$K$5,INDEX('Pay Plan'!$D$6:$K$12,$BB19,0)))</f>
        <v>0</v>
      </c>
      <c r="AU57" s="0" t="n">
        <f aca="false">SUMPRODUCT((('Aug 27'!$F$8:$F$42=$T19)*'Aug 27'!$AJ$8:$AJ$42+('Aug 27'!$G$8:$G$42=$T19)*'Aug 27'!$AK$8:$AK$42)*LOOKUP((('Aug 27'!$Q$8:$Q$42+'Aug 27'!$R$8:$R$42)*(('Aug 27'!$Q$8:$Q$42+'Aug 27'!$R$8:$R$42)&gt;0)),'Pay Plan'!$D$5:$K$5,INDEX('Pay Plan'!$D$6:$K$12,$BB19,0)))</f>
        <v>0</v>
      </c>
      <c r="AV57" s="0" t="n">
        <f aca="false">SUMPRODUCT((('Aug 28'!$F$8:$F$42=$T19)*'Aug 28'!$AJ$8:$AJ$42+('Aug 28'!$G$8:$G$42=$T19)*'Aug 28'!$AK$8:$AK$42)*LOOKUP((('Aug 28'!$Q$8:$Q$42+'Aug 28'!$R$8:$R$42)*(('Aug 28'!$Q$8:$Q$42+'Aug 28'!$R$8:$R$42)&gt;0)),'Pay Plan'!$D$5:$K$5,INDEX('Pay Plan'!$D$6:$K$12,$BB19,0)))</f>
        <v>0</v>
      </c>
      <c r="AW57" s="0" t="n">
        <f aca="false">SUMPRODUCT((('Aug 29'!$F$8:$F$42=$T19)*'Aug 29'!$AJ$8:$AJ$42+('Aug 29'!$G$8:$G$42=$T19)*'Aug 29'!$AK$8:$AK$42)*LOOKUP((('Aug 29'!$Q$8:$Q$42+'Aug 29'!$R$8:$R$42)*(('Aug 29'!$Q$8:$Q$42+'Aug 29'!$R$8:$R$42)&gt;0)),'Pay Plan'!$D$5:$K$5,INDEX('Pay Plan'!$D$6:$K$12,$BB19,0)))</f>
        <v>0</v>
      </c>
      <c r="AX57" s="0" t="n">
        <f aca="false">SUMPRODUCT((('Aug 30'!$F$8:$F$42=$T19)*'Aug 30'!$AJ$8:$AJ$42+('Aug 30'!$G$8:$G$42=$T19)*'Aug 30'!$AK$8:$AK$42)*LOOKUP((('Aug 30'!$Q$8:$Q$42+'Aug 30'!$R$8:$R$42)*(('Aug 30'!$Q$8:$Q$42+'Aug 30'!$R$8:$R$42)&gt;0)),'Pay Plan'!$D$5:$K$5,INDEX('Pay Plan'!$D$6:$K$12,$BB19,0)))</f>
        <v>0</v>
      </c>
      <c r="AY57" s="0" t="n">
        <f aca="false">SUMPRODUCT((('Aug 31'!$F$8:$F$42=$T19)*'Aug 31'!$AJ$8:$AJ$42+('Aug 31'!$G$8:$G$42=$T19)*'Aug 31'!$AK$8:$AK$42)*LOOKUP((('Aug 31'!$Q$8:$Q$42+'Aug 31'!$R$8:$R$42)*(('Aug 31'!$Q$8:$Q$42+'Aug 31'!$R$8:$R$42)&gt;0)),'Pay Plan'!$D$5:$K$5,INDEX('Pay Plan'!$D$6:$K$12,$BB19,0)))</f>
        <v>0</v>
      </c>
    </row>
  </sheetData>
  <sheetProtection sheet="true" formatColumns="false" formatRows="false"/>
  <mergeCells count="53">
    <mergeCell ref="A1:C3"/>
    <mergeCell ref="D1:M2"/>
    <mergeCell ref="N1:R2"/>
    <mergeCell ref="D3:R3"/>
    <mergeCell ref="K6:M6"/>
    <mergeCell ref="O6:R6"/>
    <mergeCell ref="K7:M7"/>
    <mergeCell ref="O7:R7"/>
    <mergeCell ref="K8:M8"/>
    <mergeCell ref="O8:R8"/>
    <mergeCell ref="K9:M9"/>
    <mergeCell ref="O9:R9"/>
    <mergeCell ref="K10:M10"/>
    <mergeCell ref="O10:R10"/>
    <mergeCell ref="K11:M11"/>
    <mergeCell ref="O11:R11"/>
    <mergeCell ref="K12:M12"/>
    <mergeCell ref="O12:R12"/>
    <mergeCell ref="K13:M13"/>
    <mergeCell ref="O13:R13"/>
    <mergeCell ref="K14:M14"/>
    <mergeCell ref="O14:R14"/>
    <mergeCell ref="K15:M15"/>
    <mergeCell ref="O15:R15"/>
    <mergeCell ref="K16:M16"/>
    <mergeCell ref="O16:R16"/>
    <mergeCell ref="K17:M17"/>
    <mergeCell ref="O17:R17"/>
    <mergeCell ref="K18:M18"/>
    <mergeCell ref="O18:R18"/>
    <mergeCell ref="K19:M19"/>
    <mergeCell ref="O19:R19"/>
    <mergeCell ref="K20:M20"/>
    <mergeCell ref="O20:R20"/>
    <mergeCell ref="K21:M21"/>
    <mergeCell ref="O21:R21"/>
    <mergeCell ref="K22:M22"/>
    <mergeCell ref="O22:R22"/>
    <mergeCell ref="K23:M23"/>
    <mergeCell ref="O23:R23"/>
    <mergeCell ref="A25:R25"/>
    <mergeCell ref="A26:H26"/>
    <mergeCell ref="I26:R26"/>
    <mergeCell ref="A27:H27"/>
    <mergeCell ref="I27:R27"/>
    <mergeCell ref="A28:H28"/>
    <mergeCell ref="I28:R28"/>
    <mergeCell ref="A29:H29"/>
    <mergeCell ref="I29:R29"/>
    <mergeCell ref="A30:H30"/>
    <mergeCell ref="I30:R30"/>
    <mergeCell ref="A31:H31"/>
    <mergeCell ref="I31:R31"/>
  </mergeCells>
  <conditionalFormatting sqref="I26">
    <cfRule type="expression" priority="2" aboveAverage="0" equalAverage="0" bottom="0" percent="0" rank="0" text="" dxfId="6">
      <formula>LEFT($I$26,1)="✓"</formula>
    </cfRule>
    <cfRule type="expression" priority="3" aboveAverage="0" equalAverage="0" bottom="0" percent="0" rank="0" text="" dxfId="7">
      <formula>LEFT($I$26,1)="⚠"</formula>
    </cfRule>
  </conditionalFormatting>
  <conditionalFormatting sqref="I27">
    <cfRule type="expression" priority="4" aboveAverage="0" equalAverage="0" bottom="0" percent="0" rank="0" text="" dxfId="6">
      <formula>LEFT($I$27,1)="✓"</formula>
    </cfRule>
    <cfRule type="expression" priority="5" aboveAverage="0" equalAverage="0" bottom="0" percent="0" rank="0" text="" dxfId="7">
      <formula>LEFT($I$27,1)="⚠"</formula>
    </cfRule>
  </conditionalFormatting>
  <conditionalFormatting sqref="I28">
    <cfRule type="expression" priority="6" aboveAverage="0" equalAverage="0" bottom="0" percent="0" rank="0" text="" dxfId="6">
      <formula>LEFT($I$28,1)="✓"</formula>
    </cfRule>
    <cfRule type="expression" priority="7" aboveAverage="0" equalAverage="0" bottom="0" percent="0" rank="0" text="" dxfId="7">
      <formula>LEFT($I$28,1)="⚠"</formula>
    </cfRule>
  </conditionalFormatting>
  <conditionalFormatting sqref="I29">
    <cfRule type="expression" priority="8" aboveAverage="0" equalAverage="0" bottom="0" percent="0" rank="0" text="" dxfId="6">
      <formula>LEFT($I$29,1)="✓"</formula>
    </cfRule>
    <cfRule type="expression" priority="9" aboveAverage="0" equalAverage="0" bottom="0" percent="0" rank="0" text="" dxfId="7">
      <formula>LEFT($I$29,1)="⚠"</formula>
    </cfRule>
  </conditionalFormatting>
  <conditionalFormatting sqref="I30">
    <cfRule type="expression" priority="10" aboveAverage="0" equalAverage="0" bottom="0" percent="0" rank="0" text="" dxfId="6">
      <formula>LEFT($I$30,1)="✓"</formula>
    </cfRule>
    <cfRule type="expression" priority="11" aboveAverage="0" equalAverage="0" bottom="0" percent="0" rank="0" text="" dxfId="7">
      <formula>LEFT($I$30,1)="⚠"</formula>
    </cfRule>
  </conditionalFormatting>
  <conditionalFormatting sqref="I31">
    <cfRule type="expression" priority="12" aboveAverage="0" equalAverage="0" bottom="0" percent="0" rank="0" text="" dxfId="6">
      <formula>LEFT($I$31,1)="✓"</formula>
    </cfRule>
    <cfRule type="expression" priority="13" aboveAverage="0" equalAverage="0" bottom="0" percent="0" rank="0" text="" dxfId="7">
      <formula>LEFT($I$31,1)="⚠"</formula>
    </cfRule>
  </conditionalFormatting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11" min="4" style="0" width="11"/>
    <col collapsed="false" customWidth="true" hidden="false" outlineLevel="0" max="12" min="12" style="0" width="8"/>
  </cols>
  <sheetData>
    <row r="1" customFormat="false" ht="15" hidden="false" customHeight="false" outlineLevel="0" collapsed="false">
      <c r="A1" s="59" t="s">
        <v>99</v>
      </c>
    </row>
    <row r="2" customFormat="false" ht="15" hidden="false" customHeight="false" outlineLevel="0" collapsed="false">
      <c r="A2" s="60" t="s">
        <v>100</v>
      </c>
    </row>
    <row r="4" customFormat="false" ht="15" hidden="false" customHeight="false" outlineLevel="0" collapsed="false">
      <c r="C4" s="0" t="s">
        <v>101</v>
      </c>
      <c r="D4" s="11" t="s">
        <v>102</v>
      </c>
      <c r="E4" s="11" t="s">
        <v>103</v>
      </c>
      <c r="F4" s="11" t="s">
        <v>104</v>
      </c>
      <c r="G4" s="11" t="s">
        <v>105</v>
      </c>
      <c r="H4" s="11" t="s">
        <v>106</v>
      </c>
      <c r="I4" s="11" t="s">
        <v>107</v>
      </c>
      <c r="J4" s="11" t="s">
        <v>108</v>
      </c>
      <c r="K4" s="11" t="s">
        <v>109</v>
      </c>
    </row>
    <row r="5" customFormat="false" ht="15" hidden="false" customHeight="false" outlineLevel="0" collapsed="false">
      <c r="C5" s="0" t="s">
        <v>110</v>
      </c>
      <c r="D5" s="10" t="n">
        <v>0</v>
      </c>
      <c r="E5" s="10" t="n">
        <v>1500</v>
      </c>
      <c r="F5" s="10" t="n">
        <v>2500</v>
      </c>
      <c r="G5" s="10" t="n">
        <v>3500</v>
      </c>
      <c r="H5" s="10" t="n">
        <v>4000</v>
      </c>
      <c r="I5" s="10" t="n">
        <v>5500</v>
      </c>
      <c r="J5" s="10" t="n">
        <v>7000</v>
      </c>
      <c r="K5" s="10" t="n">
        <v>8500</v>
      </c>
    </row>
    <row r="6" customFormat="false" ht="15" hidden="false" customHeight="false" outlineLevel="0" collapsed="false">
      <c r="B6" s="11" t="s">
        <v>111</v>
      </c>
      <c r="C6" s="10" t="n">
        <v>0</v>
      </c>
      <c r="D6" s="61" t="n">
        <v>200</v>
      </c>
      <c r="E6" s="61" t="n">
        <v>250</v>
      </c>
      <c r="F6" s="61" t="n">
        <v>300</v>
      </c>
      <c r="G6" s="61" t="n">
        <v>350</v>
      </c>
      <c r="H6" s="61" t="n">
        <v>400</v>
      </c>
      <c r="I6" s="61" t="n">
        <v>450</v>
      </c>
      <c r="J6" s="61" t="n">
        <v>500</v>
      </c>
      <c r="K6" s="61" t="n">
        <v>550</v>
      </c>
    </row>
    <row r="7" customFormat="false" ht="15" hidden="false" customHeight="false" outlineLevel="0" collapsed="false">
      <c r="B7" s="11" t="s">
        <v>112</v>
      </c>
      <c r="C7" s="10" t="n">
        <v>8</v>
      </c>
      <c r="D7" s="61" t="n">
        <v>325</v>
      </c>
      <c r="E7" s="61" t="n">
        <v>375</v>
      </c>
      <c r="F7" s="61" t="n">
        <v>425</v>
      </c>
      <c r="G7" s="61" t="n">
        <v>475</v>
      </c>
      <c r="H7" s="61" t="n">
        <v>525</v>
      </c>
      <c r="I7" s="61" t="n">
        <v>575</v>
      </c>
      <c r="J7" s="61" t="n">
        <v>625</v>
      </c>
      <c r="K7" s="61" t="n">
        <v>675</v>
      </c>
    </row>
    <row r="8" customFormat="false" ht="15" hidden="false" customHeight="false" outlineLevel="0" collapsed="false">
      <c r="B8" s="11" t="s">
        <v>113</v>
      </c>
      <c r="C8" s="10" t="n">
        <v>14</v>
      </c>
      <c r="D8" s="61" t="n">
        <v>375</v>
      </c>
      <c r="E8" s="61" t="n">
        <v>425</v>
      </c>
      <c r="F8" s="61" t="n">
        <v>550</v>
      </c>
      <c r="G8" s="61" t="n">
        <v>600</v>
      </c>
      <c r="H8" s="61" t="n">
        <v>650</v>
      </c>
      <c r="I8" s="61" t="n">
        <v>700</v>
      </c>
      <c r="J8" s="61" t="n">
        <v>750</v>
      </c>
      <c r="K8" s="61" t="n">
        <v>800</v>
      </c>
    </row>
    <row r="9" customFormat="false" ht="15" hidden="false" customHeight="false" outlineLevel="0" collapsed="false">
      <c r="B9" s="11" t="s">
        <v>114</v>
      </c>
      <c r="C9" s="10" t="n">
        <v>17</v>
      </c>
      <c r="D9" s="61" t="n">
        <v>400</v>
      </c>
      <c r="E9" s="61" t="n">
        <v>450</v>
      </c>
      <c r="F9" s="61" t="n">
        <v>575</v>
      </c>
      <c r="G9" s="61" t="n">
        <v>625</v>
      </c>
      <c r="H9" s="61" t="n">
        <v>675</v>
      </c>
      <c r="I9" s="61" t="n">
        <v>725</v>
      </c>
      <c r="J9" s="61" t="n">
        <v>775</v>
      </c>
      <c r="K9" s="61" t="n">
        <v>825</v>
      </c>
    </row>
    <row r="10" customFormat="false" ht="15" hidden="false" customHeight="false" outlineLevel="0" collapsed="false">
      <c r="B10" s="11" t="s">
        <v>115</v>
      </c>
      <c r="C10" s="10" t="n">
        <v>20</v>
      </c>
      <c r="D10" s="61" t="n">
        <v>450</v>
      </c>
      <c r="E10" s="61" t="n">
        <v>500</v>
      </c>
      <c r="F10" s="61" t="n">
        <v>625</v>
      </c>
      <c r="G10" s="61" t="n">
        <v>675</v>
      </c>
      <c r="H10" s="61" t="n">
        <v>725</v>
      </c>
      <c r="I10" s="61" t="n">
        <v>775</v>
      </c>
      <c r="J10" s="61" t="n">
        <v>825</v>
      </c>
      <c r="K10" s="61" t="n">
        <v>875</v>
      </c>
    </row>
    <row r="11" customFormat="false" ht="15" hidden="false" customHeight="false" outlineLevel="0" collapsed="false">
      <c r="B11" s="11" t="s">
        <v>116</v>
      </c>
      <c r="C11" s="10" t="n">
        <v>25</v>
      </c>
      <c r="D11" s="61" t="n">
        <v>500</v>
      </c>
      <c r="E11" s="61" t="n">
        <v>550</v>
      </c>
      <c r="F11" s="61" t="n">
        <v>675</v>
      </c>
      <c r="G11" s="61" t="n">
        <v>725</v>
      </c>
      <c r="H11" s="61" t="n">
        <v>775</v>
      </c>
      <c r="I11" s="61" t="n">
        <v>825</v>
      </c>
      <c r="J11" s="61" t="n">
        <v>875</v>
      </c>
      <c r="K11" s="61" t="n">
        <v>925</v>
      </c>
    </row>
    <row r="12" customFormat="false" ht="15" hidden="false" customHeight="false" outlineLevel="0" collapsed="false">
      <c r="B12" s="11" t="s">
        <v>117</v>
      </c>
      <c r="C12" s="10" t="n">
        <v>30</v>
      </c>
      <c r="D12" s="61" t="n">
        <v>525</v>
      </c>
      <c r="E12" s="61" t="n">
        <v>575</v>
      </c>
      <c r="F12" s="61" t="n">
        <v>700</v>
      </c>
      <c r="G12" s="61" t="n">
        <v>750</v>
      </c>
      <c r="H12" s="61" t="n">
        <v>800</v>
      </c>
      <c r="I12" s="61" t="n">
        <v>850</v>
      </c>
      <c r="J12" s="61" t="n">
        <v>900</v>
      </c>
      <c r="K12" s="61" t="n">
        <v>975</v>
      </c>
    </row>
    <row r="14" customFormat="false" ht="15" hidden="false" customHeight="false" outlineLevel="0" collapsed="false">
      <c r="B14" s="0" t="s">
        <v>118</v>
      </c>
      <c r="E14" s="0" t="s">
        <v>119</v>
      </c>
      <c r="H14" s="0" t="s">
        <v>120</v>
      </c>
      <c r="K14" s="0" t="s">
        <v>121</v>
      </c>
    </row>
    <row r="15" customFormat="false" ht="15" hidden="false" customHeight="false" outlineLevel="0" collapsed="false">
      <c r="B15" s="10" t="n">
        <v>0</v>
      </c>
      <c r="C15" s="61" t="n">
        <v>0</v>
      </c>
      <c r="E15" s="10" t="n">
        <v>0</v>
      </c>
      <c r="F15" s="61" t="n">
        <v>0</v>
      </c>
      <c r="H15" s="10" t="s">
        <v>122</v>
      </c>
      <c r="I15" s="61" t="n">
        <v>25</v>
      </c>
      <c r="K15" s="0" t="s">
        <v>123</v>
      </c>
      <c r="L15" s="61" t="n">
        <v>500</v>
      </c>
    </row>
    <row r="16" customFormat="false" ht="15" hidden="false" customHeight="false" outlineLevel="0" collapsed="false">
      <c r="B16" s="10" t="n">
        <v>12</v>
      </c>
      <c r="C16" s="61" t="n">
        <v>500</v>
      </c>
      <c r="E16" s="10" t="n">
        <v>5</v>
      </c>
      <c r="F16" s="61" t="n">
        <v>250</v>
      </c>
      <c r="H16" s="10" t="s">
        <v>124</v>
      </c>
      <c r="I16" s="61" t="n">
        <v>25</v>
      </c>
    </row>
    <row r="17" customFormat="false" ht="15" hidden="false" customHeight="false" outlineLevel="0" collapsed="false">
      <c r="B17" s="10" t="n">
        <v>15</v>
      </c>
      <c r="C17" s="61" t="n">
        <v>750</v>
      </c>
      <c r="E17" s="10" t="n">
        <v>7</v>
      </c>
      <c r="F17" s="61" t="n">
        <v>500</v>
      </c>
      <c r="H17" s="10" t="s">
        <v>125</v>
      </c>
      <c r="I17" s="61" t="n">
        <v>25</v>
      </c>
    </row>
    <row r="18" customFormat="false" ht="15" hidden="false" customHeight="false" outlineLevel="0" collapsed="false">
      <c r="B18" s="10" t="n">
        <v>20</v>
      </c>
      <c r="C18" s="61" t="n">
        <v>1250</v>
      </c>
      <c r="E18" s="10" t="n">
        <v>9</v>
      </c>
      <c r="F18" s="61" t="n">
        <v>750</v>
      </c>
    </row>
    <row r="19" customFormat="false" ht="15" hidden="false" customHeight="false" outlineLevel="0" collapsed="false">
      <c r="B19" s="10" t="n">
        <v>25</v>
      </c>
      <c r="C19" s="61" t="n">
        <v>2000</v>
      </c>
      <c r="E19" s="10" t="n">
        <v>11</v>
      </c>
      <c r="F19" s="61" t="n">
        <v>1000</v>
      </c>
    </row>
    <row r="20" customFormat="false" ht="15" hidden="false" customHeight="false" outlineLevel="0" collapsed="false">
      <c r="B20" s="10" t="n">
        <v>30</v>
      </c>
      <c r="C20" s="61" t="n">
        <v>2500</v>
      </c>
    </row>
    <row r="22" customFormat="false" ht="90" hidden="false" customHeight="true" outlineLevel="0" collapsed="false">
      <c r="B22" s="0" t="s">
        <v>126</v>
      </c>
      <c r="E22" s="62" t="s">
        <v>127</v>
      </c>
    </row>
    <row r="23" customFormat="false" ht="15" hidden="false" customHeight="false" outlineLevel="0" collapsed="false">
      <c r="B23" s="10" t="n">
        <v>0</v>
      </c>
      <c r="C23" s="61" t="n">
        <v>10</v>
      </c>
    </row>
    <row r="24" customFormat="false" ht="15" hidden="false" customHeight="false" outlineLevel="0" collapsed="false">
      <c r="B24" s="10" t="n">
        <v>120</v>
      </c>
      <c r="C24" s="61" t="n">
        <v>15</v>
      </c>
    </row>
    <row r="25" customFormat="false" ht="15" hidden="false" customHeight="false" outlineLevel="0" collapsed="false">
      <c r="B25" s="10" t="n">
        <v>150</v>
      </c>
      <c r="C25" s="61" t="n">
        <v>20</v>
      </c>
    </row>
    <row r="26" customFormat="false" ht="15" hidden="false" customHeight="false" outlineLevel="0" collapsed="false">
      <c r="B26" s="10" t="n">
        <v>200</v>
      </c>
      <c r="C26" s="61" t="n">
        <v>25</v>
      </c>
    </row>
  </sheetData>
  <sheetProtection sheet="true" formatColumns="false" formatRows="false"/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BT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15" min="2" style="0" width="9.43"/>
    <col collapsed="false" customWidth="true" hidden="false" outlineLevel="0" max="18" min="16" style="0" width="11"/>
    <col collapsed="false" customWidth="true" hidden="true" outlineLevel="0" max="72" min="20" style="0" width="13"/>
  </cols>
  <sheetData>
    <row r="1" customFormat="false" ht="19.5" hidden="false" customHeight="true" outlineLevel="0" collapsed="false">
      <c r="A1" s="1" t="s">
        <v>128</v>
      </c>
      <c r="B1" s="1"/>
      <c r="C1" s="1"/>
      <c r="D1" s="2" t="s">
        <v>129</v>
      </c>
      <c r="E1" s="2"/>
      <c r="F1" s="2"/>
      <c r="G1" s="2"/>
      <c r="H1" s="2"/>
      <c r="I1" s="2"/>
      <c r="J1" s="2"/>
      <c r="K1" s="2"/>
      <c r="L1" s="2"/>
      <c r="M1" s="2"/>
      <c r="N1" s="3" t="str">
        <f aca="true">" as of "&amp;TEXT(TODAY(),"ddd mmm d, yyyy")</f>
        <v> as of Sun Aug 2, 2026</v>
      </c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1"/>
      <c r="D3" s="63" t="s">
        <v>130</v>
      </c>
      <c r="E3" s="63"/>
      <c r="F3" s="63"/>
      <c r="G3" s="63"/>
      <c r="H3" s="63"/>
      <c r="I3" s="63"/>
      <c r="J3" s="63"/>
      <c r="K3" s="63"/>
      <c r="L3" s="63"/>
      <c r="M3" s="63"/>
      <c r="N3" s="3"/>
      <c r="O3" s="3"/>
      <c r="P3" s="3"/>
      <c r="Q3" s="3"/>
      <c r="R3" s="3"/>
      <c r="U3" s="0" t="s">
        <v>131</v>
      </c>
    </row>
    <row r="4" customFormat="false" ht="15" hidden="false" customHeight="false" outlineLevel="0" collapsed="false">
      <c r="U4" s="64" t="n">
        <f aca="false">'Aug 1'!$G$47</f>
        <v>0</v>
      </c>
      <c r="V4" s="64" t="n">
        <f aca="false">'Aug 1'!$G$48</f>
        <v>0</v>
      </c>
      <c r="W4" s="0" t="n">
        <f aca="false">'Aug 1'!$C$54</f>
        <v>0</v>
      </c>
      <c r="X4" s="64" t="n">
        <f aca="false">'Aug 1'!$C$55</f>
        <v>0</v>
      </c>
      <c r="Y4" s="0" t="n">
        <f aca="false">'Aug 1'!$C$57</f>
        <v>0</v>
      </c>
      <c r="Z4" s="0" t="n">
        <f aca="false">COUNTIF('Aug 1'!$AM$8:$AM$42,"Y")</f>
        <v>0</v>
      </c>
      <c r="AA4" s="0" t="n">
        <f aca="false">COUNTIF('Aug 1'!$AN$8:$AN$42,"Y")</f>
        <v>0</v>
      </c>
      <c r="AB4" s="0" t="n">
        <f aca="false">COUNTIF('Aug 1'!$AO$8:$AO$42,"Y")</f>
        <v>0</v>
      </c>
      <c r="AC4" s="0" t="n">
        <f aca="false">'Aug 1'!$C$46</f>
        <v>0</v>
      </c>
      <c r="AD4" s="0" t="str">
        <f aca="false">'Staff &amp; Lists'!A5</f>
        <v>FEDY ALI</v>
      </c>
      <c r="AE4" s="0" t="n">
        <f aca="false">SUMPRODUCT(('Aug 1'!$F$8:$F$42=$AD4)*'Aug 1'!$AJ$8:$AJ$42+('Aug 1'!$G$8:$G$42=$AD4)*'Aug 1'!$AK$8:$AK$42)</f>
        <v>0</v>
      </c>
      <c r="AF4" s="0" t="n">
        <f aca="false">SUMPRODUCT(('Aug 2'!$F$8:$F$42=$AD4)*'Aug 2'!$AJ$8:$AJ$42+('Aug 2'!$G$8:$G$42=$AD4)*'Aug 2'!$AK$8:$AK$42)</f>
        <v>0</v>
      </c>
      <c r="AG4" s="0" t="n">
        <f aca="false">SUMPRODUCT(('Aug 3'!$F$8:$F$42=$AD4)*'Aug 3'!$AJ$8:$AJ$42+('Aug 3'!$G$8:$G$42=$AD4)*'Aug 3'!$AK$8:$AK$42)</f>
        <v>0</v>
      </c>
      <c r="AH4" s="0" t="n">
        <f aca="false">SUMPRODUCT(('Aug 4'!$F$8:$F$42=$AD4)*'Aug 4'!$AJ$8:$AJ$42+('Aug 4'!$G$8:$G$42=$AD4)*'Aug 4'!$AK$8:$AK$42)</f>
        <v>0</v>
      </c>
      <c r="AI4" s="0" t="n">
        <f aca="false">SUMPRODUCT(('Aug 5'!$F$8:$F$42=$AD4)*'Aug 5'!$AJ$8:$AJ$42+('Aug 5'!$G$8:$G$42=$AD4)*'Aug 5'!$AK$8:$AK$42)</f>
        <v>0</v>
      </c>
      <c r="AJ4" s="0" t="n">
        <f aca="false">SUMPRODUCT(('Aug 6'!$F$8:$F$42=$AD4)*'Aug 6'!$AJ$8:$AJ$42+('Aug 6'!$G$8:$G$42=$AD4)*'Aug 6'!$AK$8:$AK$42)</f>
        <v>0</v>
      </c>
      <c r="AK4" s="0" t="n">
        <f aca="false">SUMPRODUCT(('Aug 7'!$F$8:$F$42=$AD4)*'Aug 7'!$AJ$8:$AJ$42+('Aug 7'!$G$8:$G$42=$AD4)*'Aug 7'!$AK$8:$AK$42)</f>
        <v>0</v>
      </c>
      <c r="AL4" s="0" t="n">
        <f aca="false">SUMPRODUCT(('Aug 8'!$F$8:$F$42=$AD4)*'Aug 8'!$AJ$8:$AJ$42+('Aug 8'!$G$8:$G$42=$AD4)*'Aug 8'!$AK$8:$AK$42)</f>
        <v>0</v>
      </c>
      <c r="AM4" s="0" t="n">
        <f aca="false">SUMPRODUCT(('Aug 9'!$F$8:$F$42=$AD4)*'Aug 9'!$AJ$8:$AJ$42+('Aug 9'!$G$8:$G$42=$AD4)*'Aug 9'!$AK$8:$AK$42)</f>
        <v>0</v>
      </c>
      <c r="AN4" s="0" t="n">
        <f aca="false">SUMPRODUCT(('Aug 10'!$F$8:$F$42=$AD4)*'Aug 10'!$AJ$8:$AJ$42+('Aug 10'!$G$8:$G$42=$AD4)*'Aug 10'!$AK$8:$AK$42)</f>
        <v>0</v>
      </c>
      <c r="AO4" s="0" t="n">
        <f aca="false">SUMPRODUCT(('Aug 11'!$F$8:$F$42=$AD4)*'Aug 11'!$AJ$8:$AJ$42+('Aug 11'!$G$8:$G$42=$AD4)*'Aug 11'!$AK$8:$AK$42)</f>
        <v>0</v>
      </c>
      <c r="AP4" s="0" t="n">
        <f aca="false">SUMPRODUCT(('Aug 12'!$F$8:$F$42=$AD4)*'Aug 12'!$AJ$8:$AJ$42+('Aug 12'!$G$8:$G$42=$AD4)*'Aug 12'!$AK$8:$AK$42)</f>
        <v>0</v>
      </c>
      <c r="AQ4" s="0" t="n">
        <f aca="false">SUMPRODUCT(('Aug 13'!$F$8:$F$42=$AD4)*'Aug 13'!$AJ$8:$AJ$42+('Aug 13'!$G$8:$G$42=$AD4)*'Aug 13'!$AK$8:$AK$42)</f>
        <v>0</v>
      </c>
      <c r="AR4" s="0" t="n">
        <f aca="false">SUMPRODUCT(('Aug 14'!$F$8:$F$42=$AD4)*'Aug 14'!$AJ$8:$AJ$42+('Aug 14'!$G$8:$G$42=$AD4)*'Aug 14'!$AK$8:$AK$42)</f>
        <v>0</v>
      </c>
      <c r="AS4" s="0" t="n">
        <f aca="false">SUMPRODUCT(('Aug 15'!$F$8:$F$42=$AD4)*'Aug 15'!$AJ$8:$AJ$42+('Aug 15'!$G$8:$G$42=$AD4)*'Aug 15'!$AK$8:$AK$42)</f>
        <v>0</v>
      </c>
      <c r="AT4" s="0" t="n">
        <f aca="false">SUMPRODUCT(('Aug 16'!$F$8:$F$42=$AD4)*'Aug 16'!$AJ$8:$AJ$42+('Aug 16'!$G$8:$G$42=$AD4)*'Aug 16'!$AK$8:$AK$42)</f>
        <v>0</v>
      </c>
      <c r="AU4" s="0" t="n">
        <f aca="false">SUMPRODUCT(('Aug 17'!$F$8:$F$42=$AD4)*'Aug 17'!$AJ$8:$AJ$42+('Aug 17'!$G$8:$G$42=$AD4)*'Aug 17'!$AK$8:$AK$42)</f>
        <v>0</v>
      </c>
      <c r="AV4" s="0" t="n">
        <f aca="false">SUMPRODUCT(('Aug 18'!$F$8:$F$42=$AD4)*'Aug 18'!$AJ$8:$AJ$42+('Aug 18'!$G$8:$G$42=$AD4)*'Aug 18'!$AK$8:$AK$42)</f>
        <v>0</v>
      </c>
      <c r="AW4" s="0" t="n">
        <f aca="false">SUMPRODUCT(('Aug 19'!$F$8:$F$42=$AD4)*'Aug 19'!$AJ$8:$AJ$42+('Aug 19'!$G$8:$G$42=$AD4)*'Aug 19'!$AK$8:$AK$42)</f>
        <v>0</v>
      </c>
      <c r="AX4" s="0" t="n">
        <f aca="false">SUMPRODUCT(('Aug 20'!$F$8:$F$42=$AD4)*'Aug 20'!$AJ$8:$AJ$42+('Aug 20'!$G$8:$G$42=$AD4)*'Aug 20'!$AK$8:$AK$42)</f>
        <v>0</v>
      </c>
      <c r="AY4" s="0" t="n">
        <f aca="false">SUMPRODUCT(('Aug 21'!$F$8:$F$42=$AD4)*'Aug 21'!$AJ$8:$AJ$42+('Aug 21'!$G$8:$G$42=$AD4)*'Aug 21'!$AK$8:$AK$42)</f>
        <v>0</v>
      </c>
      <c r="AZ4" s="0" t="n">
        <f aca="false">SUMPRODUCT(('Aug 22'!$F$8:$F$42=$AD4)*'Aug 22'!$AJ$8:$AJ$42+('Aug 22'!$G$8:$G$42=$AD4)*'Aug 22'!$AK$8:$AK$42)</f>
        <v>0</v>
      </c>
      <c r="BA4" s="0" t="n">
        <f aca="false">SUMPRODUCT(('Aug 23'!$F$8:$F$42=$AD4)*'Aug 23'!$AJ$8:$AJ$42+('Aug 23'!$G$8:$G$42=$AD4)*'Aug 23'!$AK$8:$AK$42)</f>
        <v>0</v>
      </c>
      <c r="BB4" s="0" t="n">
        <f aca="false">SUMPRODUCT(('Aug 24'!$F$8:$F$42=$AD4)*'Aug 24'!$AJ$8:$AJ$42+('Aug 24'!$G$8:$G$42=$AD4)*'Aug 24'!$AK$8:$AK$42)</f>
        <v>0</v>
      </c>
      <c r="BC4" s="0" t="n">
        <f aca="false">SUMPRODUCT(('Aug 25'!$F$8:$F$42=$AD4)*'Aug 25'!$AJ$8:$AJ$42+('Aug 25'!$G$8:$G$42=$AD4)*'Aug 25'!$AK$8:$AK$42)</f>
        <v>0</v>
      </c>
      <c r="BD4" s="0" t="n">
        <f aca="false">SUMPRODUCT(('Aug 26'!$F$8:$F$42=$AD4)*'Aug 26'!$AJ$8:$AJ$42+('Aug 26'!$G$8:$G$42=$AD4)*'Aug 26'!$AK$8:$AK$42)</f>
        <v>0</v>
      </c>
      <c r="BE4" s="0" t="n">
        <f aca="false">SUMPRODUCT(('Aug 27'!$F$8:$F$42=$AD4)*'Aug 27'!$AJ$8:$AJ$42+('Aug 27'!$G$8:$G$42=$AD4)*'Aug 27'!$AK$8:$AK$42)</f>
        <v>0</v>
      </c>
      <c r="BF4" s="0" t="n">
        <f aca="false">SUMPRODUCT(('Aug 28'!$F$8:$F$42=$AD4)*'Aug 28'!$AJ$8:$AJ$42+('Aug 28'!$G$8:$G$42=$AD4)*'Aug 28'!$AK$8:$AK$42)</f>
        <v>0</v>
      </c>
      <c r="BG4" s="0" t="n">
        <f aca="false">SUMPRODUCT(('Aug 29'!$F$8:$F$42=$AD4)*'Aug 29'!$AJ$8:$AJ$42+('Aug 29'!$G$8:$G$42=$AD4)*'Aug 29'!$AK$8:$AK$42)</f>
        <v>0</v>
      </c>
      <c r="BH4" s="0" t="n">
        <f aca="false">SUMPRODUCT(('Aug 30'!$F$8:$F$42=$AD4)*'Aug 30'!$AJ$8:$AJ$42+('Aug 30'!$G$8:$G$42=$AD4)*'Aug 30'!$AK$8:$AK$42)</f>
        <v>0</v>
      </c>
      <c r="BI4" s="0" t="n">
        <f aca="false">SUMPRODUCT(('Aug 31'!$F$8:$F$42=$AD4)*'Aug 31'!$AJ$8:$AJ$42+('Aug 31'!$G$8:$G$42=$AD4)*'Aug 31'!$AK$8:$AK$42)</f>
        <v>0</v>
      </c>
      <c r="BK4" s="0" t="n">
        <f aca="false">SUM(AE4:BI4)</f>
        <v>0</v>
      </c>
      <c r="BM4" s="0" t="n">
        <f aca="false">BK4+BK23/1000000000000</f>
        <v>0</v>
      </c>
      <c r="BN4" s="0" t="n">
        <f aca="false">RANK(BM4,$BM$4:$BM$19,0)+COUNTIF(BM$4:BM4,BM4)-1</f>
        <v>1</v>
      </c>
      <c r="BR4" s="0" t="n">
        <v>46235</v>
      </c>
      <c r="BT4" s="0" t="n">
        <f aca="true">MIN(GoalSellingDays,COUNTIF($BR$4:$BR$29,"&lt;="&amp;TODAY()))</f>
        <v>1</v>
      </c>
    </row>
    <row r="5" customFormat="false" ht="15" hidden="false" customHeight="false" outlineLevel="0" collapsed="false">
      <c r="A5" s="19" t="s">
        <v>132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U5" s="64" t="n">
        <f aca="false">'Aug 2'!$G$47</f>
        <v>0</v>
      </c>
      <c r="V5" s="64" t="n">
        <f aca="false">'Aug 2'!$G$48</f>
        <v>0</v>
      </c>
      <c r="W5" s="0" t="n">
        <f aca="false">'Aug 2'!$C$54</f>
        <v>0</v>
      </c>
      <c r="X5" s="64" t="n">
        <f aca="false">'Aug 2'!$C$55</f>
        <v>0</v>
      </c>
      <c r="Y5" s="0" t="n">
        <f aca="false">'Aug 2'!$C$57</f>
        <v>0</v>
      </c>
      <c r="Z5" s="0" t="n">
        <f aca="false">COUNTIF('Aug 2'!$AM$8:$AM$42,"Y")</f>
        <v>0</v>
      </c>
      <c r="AA5" s="0" t="n">
        <f aca="false">COUNTIF('Aug 2'!$AN$8:$AN$42,"Y")</f>
        <v>0</v>
      </c>
      <c r="AB5" s="0" t="n">
        <f aca="false">COUNTIF('Aug 2'!$AO$8:$AO$42,"Y")</f>
        <v>0</v>
      </c>
      <c r="AC5" s="0" t="n">
        <f aca="false">'Aug 2'!$C$46</f>
        <v>0</v>
      </c>
      <c r="AD5" s="0" t="str">
        <f aca="false">'Staff &amp; Lists'!A6</f>
        <v>CHAD EMBRY</v>
      </c>
      <c r="AE5" s="0" t="n">
        <f aca="false">SUMPRODUCT(('Aug 1'!$F$8:$F$42=$AD5)*'Aug 1'!$AJ$8:$AJ$42+('Aug 1'!$G$8:$G$42=$AD5)*'Aug 1'!$AK$8:$AK$42)</f>
        <v>0</v>
      </c>
      <c r="AF5" s="0" t="n">
        <f aca="false">SUMPRODUCT(('Aug 2'!$F$8:$F$42=$AD5)*'Aug 2'!$AJ$8:$AJ$42+('Aug 2'!$G$8:$G$42=$AD5)*'Aug 2'!$AK$8:$AK$42)</f>
        <v>0</v>
      </c>
      <c r="AG5" s="0" t="n">
        <f aca="false">SUMPRODUCT(('Aug 3'!$F$8:$F$42=$AD5)*'Aug 3'!$AJ$8:$AJ$42+('Aug 3'!$G$8:$G$42=$AD5)*'Aug 3'!$AK$8:$AK$42)</f>
        <v>0</v>
      </c>
      <c r="AH5" s="0" t="n">
        <f aca="false">SUMPRODUCT(('Aug 4'!$F$8:$F$42=$AD5)*'Aug 4'!$AJ$8:$AJ$42+('Aug 4'!$G$8:$G$42=$AD5)*'Aug 4'!$AK$8:$AK$42)</f>
        <v>0</v>
      </c>
      <c r="AI5" s="0" t="n">
        <f aca="false">SUMPRODUCT(('Aug 5'!$F$8:$F$42=$AD5)*'Aug 5'!$AJ$8:$AJ$42+('Aug 5'!$G$8:$G$42=$AD5)*'Aug 5'!$AK$8:$AK$42)</f>
        <v>0</v>
      </c>
      <c r="AJ5" s="0" t="n">
        <f aca="false">SUMPRODUCT(('Aug 6'!$F$8:$F$42=$AD5)*'Aug 6'!$AJ$8:$AJ$42+('Aug 6'!$G$8:$G$42=$AD5)*'Aug 6'!$AK$8:$AK$42)</f>
        <v>0</v>
      </c>
      <c r="AK5" s="0" t="n">
        <f aca="false">SUMPRODUCT(('Aug 7'!$F$8:$F$42=$AD5)*'Aug 7'!$AJ$8:$AJ$42+('Aug 7'!$G$8:$G$42=$AD5)*'Aug 7'!$AK$8:$AK$42)</f>
        <v>0</v>
      </c>
      <c r="AL5" s="0" t="n">
        <f aca="false">SUMPRODUCT(('Aug 8'!$F$8:$F$42=$AD5)*'Aug 8'!$AJ$8:$AJ$42+('Aug 8'!$G$8:$G$42=$AD5)*'Aug 8'!$AK$8:$AK$42)</f>
        <v>0</v>
      </c>
      <c r="AM5" s="0" t="n">
        <f aca="false">SUMPRODUCT(('Aug 9'!$F$8:$F$42=$AD5)*'Aug 9'!$AJ$8:$AJ$42+('Aug 9'!$G$8:$G$42=$AD5)*'Aug 9'!$AK$8:$AK$42)</f>
        <v>0</v>
      </c>
      <c r="AN5" s="0" t="n">
        <f aca="false">SUMPRODUCT(('Aug 10'!$F$8:$F$42=$AD5)*'Aug 10'!$AJ$8:$AJ$42+('Aug 10'!$G$8:$G$42=$AD5)*'Aug 10'!$AK$8:$AK$42)</f>
        <v>0</v>
      </c>
      <c r="AO5" s="0" t="n">
        <f aca="false">SUMPRODUCT(('Aug 11'!$F$8:$F$42=$AD5)*'Aug 11'!$AJ$8:$AJ$42+('Aug 11'!$G$8:$G$42=$AD5)*'Aug 11'!$AK$8:$AK$42)</f>
        <v>0</v>
      </c>
      <c r="AP5" s="0" t="n">
        <f aca="false">SUMPRODUCT(('Aug 12'!$F$8:$F$42=$AD5)*'Aug 12'!$AJ$8:$AJ$42+('Aug 12'!$G$8:$G$42=$AD5)*'Aug 12'!$AK$8:$AK$42)</f>
        <v>0</v>
      </c>
      <c r="AQ5" s="0" t="n">
        <f aca="false">SUMPRODUCT(('Aug 13'!$F$8:$F$42=$AD5)*'Aug 13'!$AJ$8:$AJ$42+('Aug 13'!$G$8:$G$42=$AD5)*'Aug 13'!$AK$8:$AK$42)</f>
        <v>0</v>
      </c>
      <c r="AR5" s="0" t="n">
        <f aca="false">SUMPRODUCT(('Aug 14'!$F$8:$F$42=$AD5)*'Aug 14'!$AJ$8:$AJ$42+('Aug 14'!$G$8:$G$42=$AD5)*'Aug 14'!$AK$8:$AK$42)</f>
        <v>0</v>
      </c>
      <c r="AS5" s="0" t="n">
        <f aca="false">SUMPRODUCT(('Aug 15'!$F$8:$F$42=$AD5)*'Aug 15'!$AJ$8:$AJ$42+('Aug 15'!$G$8:$G$42=$AD5)*'Aug 15'!$AK$8:$AK$42)</f>
        <v>0</v>
      </c>
      <c r="AT5" s="0" t="n">
        <f aca="false">SUMPRODUCT(('Aug 16'!$F$8:$F$42=$AD5)*'Aug 16'!$AJ$8:$AJ$42+('Aug 16'!$G$8:$G$42=$AD5)*'Aug 16'!$AK$8:$AK$42)</f>
        <v>0</v>
      </c>
      <c r="AU5" s="0" t="n">
        <f aca="false">SUMPRODUCT(('Aug 17'!$F$8:$F$42=$AD5)*'Aug 17'!$AJ$8:$AJ$42+('Aug 17'!$G$8:$G$42=$AD5)*'Aug 17'!$AK$8:$AK$42)</f>
        <v>0</v>
      </c>
      <c r="AV5" s="0" t="n">
        <f aca="false">SUMPRODUCT(('Aug 18'!$F$8:$F$42=$AD5)*'Aug 18'!$AJ$8:$AJ$42+('Aug 18'!$G$8:$G$42=$AD5)*'Aug 18'!$AK$8:$AK$42)</f>
        <v>0</v>
      </c>
      <c r="AW5" s="0" t="n">
        <f aca="false">SUMPRODUCT(('Aug 19'!$F$8:$F$42=$AD5)*'Aug 19'!$AJ$8:$AJ$42+('Aug 19'!$G$8:$G$42=$AD5)*'Aug 19'!$AK$8:$AK$42)</f>
        <v>0</v>
      </c>
      <c r="AX5" s="0" t="n">
        <f aca="false">SUMPRODUCT(('Aug 20'!$F$8:$F$42=$AD5)*'Aug 20'!$AJ$8:$AJ$42+('Aug 20'!$G$8:$G$42=$AD5)*'Aug 20'!$AK$8:$AK$42)</f>
        <v>0</v>
      </c>
      <c r="AY5" s="0" t="n">
        <f aca="false">SUMPRODUCT(('Aug 21'!$F$8:$F$42=$AD5)*'Aug 21'!$AJ$8:$AJ$42+('Aug 21'!$G$8:$G$42=$AD5)*'Aug 21'!$AK$8:$AK$42)</f>
        <v>0</v>
      </c>
      <c r="AZ5" s="0" t="n">
        <f aca="false">SUMPRODUCT(('Aug 22'!$F$8:$F$42=$AD5)*'Aug 22'!$AJ$8:$AJ$42+('Aug 22'!$G$8:$G$42=$AD5)*'Aug 22'!$AK$8:$AK$42)</f>
        <v>0</v>
      </c>
      <c r="BA5" s="0" t="n">
        <f aca="false">SUMPRODUCT(('Aug 23'!$F$8:$F$42=$AD5)*'Aug 23'!$AJ$8:$AJ$42+('Aug 23'!$G$8:$G$42=$AD5)*'Aug 23'!$AK$8:$AK$42)</f>
        <v>0</v>
      </c>
      <c r="BB5" s="0" t="n">
        <f aca="false">SUMPRODUCT(('Aug 24'!$F$8:$F$42=$AD5)*'Aug 24'!$AJ$8:$AJ$42+('Aug 24'!$G$8:$G$42=$AD5)*'Aug 24'!$AK$8:$AK$42)</f>
        <v>0</v>
      </c>
      <c r="BC5" s="0" t="n">
        <f aca="false">SUMPRODUCT(('Aug 25'!$F$8:$F$42=$AD5)*'Aug 25'!$AJ$8:$AJ$42+('Aug 25'!$G$8:$G$42=$AD5)*'Aug 25'!$AK$8:$AK$42)</f>
        <v>0</v>
      </c>
      <c r="BD5" s="0" t="n">
        <f aca="false">SUMPRODUCT(('Aug 26'!$F$8:$F$42=$AD5)*'Aug 26'!$AJ$8:$AJ$42+('Aug 26'!$G$8:$G$42=$AD5)*'Aug 26'!$AK$8:$AK$42)</f>
        <v>0</v>
      </c>
      <c r="BE5" s="0" t="n">
        <f aca="false">SUMPRODUCT(('Aug 27'!$F$8:$F$42=$AD5)*'Aug 27'!$AJ$8:$AJ$42+('Aug 27'!$G$8:$G$42=$AD5)*'Aug 27'!$AK$8:$AK$42)</f>
        <v>0</v>
      </c>
      <c r="BF5" s="0" t="n">
        <f aca="false">SUMPRODUCT(('Aug 28'!$F$8:$F$42=$AD5)*'Aug 28'!$AJ$8:$AJ$42+('Aug 28'!$G$8:$G$42=$AD5)*'Aug 28'!$AK$8:$AK$42)</f>
        <v>0</v>
      </c>
      <c r="BG5" s="0" t="n">
        <f aca="false">SUMPRODUCT(('Aug 29'!$F$8:$F$42=$AD5)*'Aug 29'!$AJ$8:$AJ$42+('Aug 29'!$G$8:$G$42=$AD5)*'Aug 29'!$AK$8:$AK$42)</f>
        <v>0</v>
      </c>
      <c r="BH5" s="0" t="n">
        <f aca="false">SUMPRODUCT(('Aug 30'!$F$8:$F$42=$AD5)*'Aug 30'!$AJ$8:$AJ$42+('Aug 30'!$G$8:$G$42=$AD5)*'Aug 30'!$AK$8:$AK$42)</f>
        <v>0</v>
      </c>
      <c r="BI5" s="0" t="n">
        <f aca="false">SUMPRODUCT(('Aug 31'!$F$8:$F$42=$AD5)*'Aug 31'!$AJ$8:$AJ$42+('Aug 31'!$G$8:$G$42=$AD5)*'Aug 31'!$AK$8:$AK$42)</f>
        <v>0</v>
      </c>
      <c r="BK5" s="0" t="n">
        <f aca="false">SUM(AE5:BI5)</f>
        <v>0</v>
      </c>
      <c r="BM5" s="0" t="n">
        <f aca="false">BK5+BK24/1000000000000</f>
        <v>0</v>
      </c>
      <c r="BN5" s="0" t="n">
        <f aca="false">RANK(BM5,$BM$4:$BM$19,0)+COUNTIF(BM$4:BM5,BM5)-1</f>
        <v>2</v>
      </c>
      <c r="BR5" s="0" t="n">
        <v>46237</v>
      </c>
      <c r="BT5" s="0" t="n">
        <f aca="true">MAX(0,COUNTIF($BR$4:$BR$29,"&gt;="&amp;TODAY()))</f>
        <v>25</v>
      </c>
    </row>
    <row r="6" customFormat="false" ht="13.5" hidden="false" customHeight="true" outlineLevel="0" collapsed="false">
      <c r="B6" s="65" t="s">
        <v>45</v>
      </c>
      <c r="C6" s="65"/>
      <c r="D6" s="65" t="s">
        <v>133</v>
      </c>
      <c r="E6" s="65"/>
      <c r="F6" s="65"/>
      <c r="G6" s="65" t="s">
        <v>134</v>
      </c>
      <c r="H6" s="65"/>
      <c r="I6" s="65" t="s">
        <v>135</v>
      </c>
      <c r="J6" s="65"/>
      <c r="K6" s="65" t="s">
        <v>136</v>
      </c>
      <c r="L6" s="65" t="s">
        <v>137</v>
      </c>
      <c r="M6" s="65"/>
      <c r="U6" s="64" t="n">
        <f aca="false">'Aug 3'!$G$47</f>
        <v>0</v>
      </c>
      <c r="V6" s="64" t="n">
        <f aca="false">'Aug 3'!$G$48</f>
        <v>0</v>
      </c>
      <c r="W6" s="0" t="n">
        <f aca="false">'Aug 3'!$C$54</f>
        <v>0</v>
      </c>
      <c r="X6" s="64" t="n">
        <f aca="false">'Aug 3'!$C$55</f>
        <v>0</v>
      </c>
      <c r="Y6" s="0" t="n">
        <f aca="false">'Aug 3'!$C$57</f>
        <v>0</v>
      </c>
      <c r="Z6" s="0" t="n">
        <f aca="false">COUNTIF('Aug 3'!$AM$8:$AM$42,"Y")</f>
        <v>0</v>
      </c>
      <c r="AA6" s="0" t="n">
        <f aca="false">COUNTIF('Aug 3'!$AN$8:$AN$42,"Y")</f>
        <v>0</v>
      </c>
      <c r="AB6" s="0" t="n">
        <f aca="false">COUNTIF('Aug 3'!$AO$8:$AO$42,"Y")</f>
        <v>0</v>
      </c>
      <c r="AC6" s="0" t="n">
        <f aca="false">'Aug 3'!$C$46</f>
        <v>0</v>
      </c>
      <c r="AD6" s="0" t="str">
        <f aca="false">'Staff &amp; Lists'!A7</f>
        <v>RICH AMMERMAN</v>
      </c>
      <c r="AE6" s="0" t="n">
        <f aca="false">SUMPRODUCT(('Aug 1'!$F$8:$F$42=$AD6)*'Aug 1'!$AJ$8:$AJ$42+('Aug 1'!$G$8:$G$42=$AD6)*'Aug 1'!$AK$8:$AK$42)</f>
        <v>0</v>
      </c>
      <c r="AF6" s="0" t="n">
        <f aca="false">SUMPRODUCT(('Aug 2'!$F$8:$F$42=$AD6)*'Aug 2'!$AJ$8:$AJ$42+('Aug 2'!$G$8:$G$42=$AD6)*'Aug 2'!$AK$8:$AK$42)</f>
        <v>0</v>
      </c>
      <c r="AG6" s="0" t="n">
        <f aca="false">SUMPRODUCT(('Aug 3'!$F$8:$F$42=$AD6)*'Aug 3'!$AJ$8:$AJ$42+('Aug 3'!$G$8:$G$42=$AD6)*'Aug 3'!$AK$8:$AK$42)</f>
        <v>0</v>
      </c>
      <c r="AH6" s="0" t="n">
        <f aca="false">SUMPRODUCT(('Aug 4'!$F$8:$F$42=$AD6)*'Aug 4'!$AJ$8:$AJ$42+('Aug 4'!$G$8:$G$42=$AD6)*'Aug 4'!$AK$8:$AK$42)</f>
        <v>0</v>
      </c>
      <c r="AI6" s="0" t="n">
        <f aca="false">SUMPRODUCT(('Aug 5'!$F$8:$F$42=$AD6)*'Aug 5'!$AJ$8:$AJ$42+('Aug 5'!$G$8:$G$42=$AD6)*'Aug 5'!$AK$8:$AK$42)</f>
        <v>0</v>
      </c>
      <c r="AJ6" s="0" t="n">
        <f aca="false">SUMPRODUCT(('Aug 6'!$F$8:$F$42=$AD6)*'Aug 6'!$AJ$8:$AJ$42+('Aug 6'!$G$8:$G$42=$AD6)*'Aug 6'!$AK$8:$AK$42)</f>
        <v>0</v>
      </c>
      <c r="AK6" s="0" t="n">
        <f aca="false">SUMPRODUCT(('Aug 7'!$F$8:$F$42=$AD6)*'Aug 7'!$AJ$8:$AJ$42+('Aug 7'!$G$8:$G$42=$AD6)*'Aug 7'!$AK$8:$AK$42)</f>
        <v>0</v>
      </c>
      <c r="AL6" s="0" t="n">
        <f aca="false">SUMPRODUCT(('Aug 8'!$F$8:$F$42=$AD6)*'Aug 8'!$AJ$8:$AJ$42+('Aug 8'!$G$8:$G$42=$AD6)*'Aug 8'!$AK$8:$AK$42)</f>
        <v>0</v>
      </c>
      <c r="AM6" s="0" t="n">
        <f aca="false">SUMPRODUCT(('Aug 9'!$F$8:$F$42=$AD6)*'Aug 9'!$AJ$8:$AJ$42+('Aug 9'!$G$8:$G$42=$AD6)*'Aug 9'!$AK$8:$AK$42)</f>
        <v>0</v>
      </c>
      <c r="AN6" s="0" t="n">
        <f aca="false">SUMPRODUCT(('Aug 10'!$F$8:$F$42=$AD6)*'Aug 10'!$AJ$8:$AJ$42+('Aug 10'!$G$8:$G$42=$AD6)*'Aug 10'!$AK$8:$AK$42)</f>
        <v>0</v>
      </c>
      <c r="AO6" s="0" t="n">
        <f aca="false">SUMPRODUCT(('Aug 11'!$F$8:$F$42=$AD6)*'Aug 11'!$AJ$8:$AJ$42+('Aug 11'!$G$8:$G$42=$AD6)*'Aug 11'!$AK$8:$AK$42)</f>
        <v>0</v>
      </c>
      <c r="AP6" s="0" t="n">
        <f aca="false">SUMPRODUCT(('Aug 12'!$F$8:$F$42=$AD6)*'Aug 12'!$AJ$8:$AJ$42+('Aug 12'!$G$8:$G$42=$AD6)*'Aug 12'!$AK$8:$AK$42)</f>
        <v>0</v>
      </c>
      <c r="AQ6" s="0" t="n">
        <f aca="false">SUMPRODUCT(('Aug 13'!$F$8:$F$42=$AD6)*'Aug 13'!$AJ$8:$AJ$42+('Aug 13'!$G$8:$G$42=$AD6)*'Aug 13'!$AK$8:$AK$42)</f>
        <v>0</v>
      </c>
      <c r="AR6" s="0" t="n">
        <f aca="false">SUMPRODUCT(('Aug 14'!$F$8:$F$42=$AD6)*'Aug 14'!$AJ$8:$AJ$42+('Aug 14'!$G$8:$G$42=$AD6)*'Aug 14'!$AK$8:$AK$42)</f>
        <v>0</v>
      </c>
      <c r="AS6" s="0" t="n">
        <f aca="false">SUMPRODUCT(('Aug 15'!$F$8:$F$42=$AD6)*'Aug 15'!$AJ$8:$AJ$42+('Aug 15'!$G$8:$G$42=$AD6)*'Aug 15'!$AK$8:$AK$42)</f>
        <v>0</v>
      </c>
      <c r="AT6" s="0" t="n">
        <f aca="false">SUMPRODUCT(('Aug 16'!$F$8:$F$42=$AD6)*'Aug 16'!$AJ$8:$AJ$42+('Aug 16'!$G$8:$G$42=$AD6)*'Aug 16'!$AK$8:$AK$42)</f>
        <v>0</v>
      </c>
      <c r="AU6" s="0" t="n">
        <f aca="false">SUMPRODUCT(('Aug 17'!$F$8:$F$42=$AD6)*'Aug 17'!$AJ$8:$AJ$42+('Aug 17'!$G$8:$G$42=$AD6)*'Aug 17'!$AK$8:$AK$42)</f>
        <v>0</v>
      </c>
      <c r="AV6" s="0" t="n">
        <f aca="false">SUMPRODUCT(('Aug 18'!$F$8:$F$42=$AD6)*'Aug 18'!$AJ$8:$AJ$42+('Aug 18'!$G$8:$G$42=$AD6)*'Aug 18'!$AK$8:$AK$42)</f>
        <v>0</v>
      </c>
      <c r="AW6" s="0" t="n">
        <f aca="false">SUMPRODUCT(('Aug 19'!$F$8:$F$42=$AD6)*'Aug 19'!$AJ$8:$AJ$42+('Aug 19'!$G$8:$G$42=$AD6)*'Aug 19'!$AK$8:$AK$42)</f>
        <v>0</v>
      </c>
      <c r="AX6" s="0" t="n">
        <f aca="false">SUMPRODUCT(('Aug 20'!$F$8:$F$42=$AD6)*'Aug 20'!$AJ$8:$AJ$42+('Aug 20'!$G$8:$G$42=$AD6)*'Aug 20'!$AK$8:$AK$42)</f>
        <v>0</v>
      </c>
      <c r="AY6" s="0" t="n">
        <f aca="false">SUMPRODUCT(('Aug 21'!$F$8:$F$42=$AD6)*'Aug 21'!$AJ$8:$AJ$42+('Aug 21'!$G$8:$G$42=$AD6)*'Aug 21'!$AK$8:$AK$42)</f>
        <v>0</v>
      </c>
      <c r="AZ6" s="0" t="n">
        <f aca="false">SUMPRODUCT(('Aug 22'!$F$8:$F$42=$AD6)*'Aug 22'!$AJ$8:$AJ$42+('Aug 22'!$G$8:$G$42=$AD6)*'Aug 22'!$AK$8:$AK$42)</f>
        <v>0</v>
      </c>
      <c r="BA6" s="0" t="n">
        <f aca="false">SUMPRODUCT(('Aug 23'!$F$8:$F$42=$AD6)*'Aug 23'!$AJ$8:$AJ$42+('Aug 23'!$G$8:$G$42=$AD6)*'Aug 23'!$AK$8:$AK$42)</f>
        <v>0</v>
      </c>
      <c r="BB6" s="0" t="n">
        <f aca="false">SUMPRODUCT(('Aug 24'!$F$8:$F$42=$AD6)*'Aug 24'!$AJ$8:$AJ$42+('Aug 24'!$G$8:$G$42=$AD6)*'Aug 24'!$AK$8:$AK$42)</f>
        <v>0</v>
      </c>
      <c r="BC6" s="0" t="n">
        <f aca="false">SUMPRODUCT(('Aug 25'!$F$8:$F$42=$AD6)*'Aug 25'!$AJ$8:$AJ$42+('Aug 25'!$G$8:$G$42=$AD6)*'Aug 25'!$AK$8:$AK$42)</f>
        <v>0</v>
      </c>
      <c r="BD6" s="0" t="n">
        <f aca="false">SUMPRODUCT(('Aug 26'!$F$8:$F$42=$AD6)*'Aug 26'!$AJ$8:$AJ$42+('Aug 26'!$G$8:$G$42=$AD6)*'Aug 26'!$AK$8:$AK$42)</f>
        <v>0</v>
      </c>
      <c r="BE6" s="0" t="n">
        <f aca="false">SUMPRODUCT(('Aug 27'!$F$8:$F$42=$AD6)*'Aug 27'!$AJ$8:$AJ$42+('Aug 27'!$G$8:$G$42=$AD6)*'Aug 27'!$AK$8:$AK$42)</f>
        <v>0</v>
      </c>
      <c r="BF6" s="0" t="n">
        <f aca="false">SUMPRODUCT(('Aug 28'!$F$8:$F$42=$AD6)*'Aug 28'!$AJ$8:$AJ$42+('Aug 28'!$G$8:$G$42=$AD6)*'Aug 28'!$AK$8:$AK$42)</f>
        <v>0</v>
      </c>
      <c r="BG6" s="0" t="n">
        <f aca="false">SUMPRODUCT(('Aug 29'!$F$8:$F$42=$AD6)*'Aug 29'!$AJ$8:$AJ$42+('Aug 29'!$G$8:$G$42=$AD6)*'Aug 29'!$AK$8:$AK$42)</f>
        <v>0</v>
      </c>
      <c r="BH6" s="0" t="n">
        <f aca="false">SUMPRODUCT(('Aug 30'!$F$8:$F$42=$AD6)*'Aug 30'!$AJ$8:$AJ$42+('Aug 30'!$G$8:$G$42=$AD6)*'Aug 30'!$AK$8:$AK$42)</f>
        <v>0</v>
      </c>
      <c r="BI6" s="0" t="n">
        <f aca="false">SUMPRODUCT(('Aug 31'!$F$8:$F$42=$AD6)*'Aug 31'!$AJ$8:$AJ$42+('Aug 31'!$G$8:$G$42=$AD6)*'Aug 31'!$AK$8:$AK$42)</f>
        <v>0</v>
      </c>
      <c r="BK6" s="0" t="n">
        <f aca="false">SUM(AE6:BI6)</f>
        <v>0</v>
      </c>
      <c r="BM6" s="0" t="n">
        <f aca="false">BK6+BK25/1000000000000</f>
        <v>0</v>
      </c>
      <c r="BN6" s="0" t="n">
        <f aca="false">RANK(BM6,$BM$4:$BM$19,0)+COUNTIF(BM$4:BM6,BM6)-1</f>
        <v>3</v>
      </c>
      <c r="BR6" s="0" t="n">
        <v>46238</v>
      </c>
      <c r="BT6" s="0" t="n">
        <f aca="false">'Aug 31'!$C$62</f>
        <v>0</v>
      </c>
    </row>
    <row r="7" customFormat="false" ht="21.75" hidden="false" customHeight="true" outlineLevel="0" collapsed="false">
      <c r="B7" s="66" t="n">
        <f aca="false">BT6</f>
        <v>0</v>
      </c>
      <c r="C7" s="66"/>
      <c r="D7" s="67" t="n">
        <f aca="false">BT7</f>
        <v>0</v>
      </c>
      <c r="E7" s="67"/>
      <c r="F7" s="67"/>
      <c r="G7" s="67" t="n">
        <f aca="false">SUM(U4:U34)</f>
        <v>0</v>
      </c>
      <c r="H7" s="67"/>
      <c r="I7" s="67" t="n">
        <f aca="false">SUM(V4:V34)</f>
        <v>0</v>
      </c>
      <c r="J7" s="67"/>
      <c r="K7" s="66" t="n">
        <f aca="false">SUM(W4:W34)</f>
        <v>0</v>
      </c>
      <c r="L7" s="66" t="n">
        <f aca="false">SUM(Y4:Y34)</f>
        <v>0</v>
      </c>
      <c r="M7" s="66"/>
      <c r="U7" s="64" t="n">
        <f aca="false">'Aug 4'!$G$47</f>
        <v>0</v>
      </c>
      <c r="V7" s="64" t="n">
        <f aca="false">'Aug 4'!$G$48</f>
        <v>0</v>
      </c>
      <c r="W7" s="0" t="n">
        <f aca="false">'Aug 4'!$C$54</f>
        <v>0</v>
      </c>
      <c r="X7" s="64" t="n">
        <f aca="false">'Aug 4'!$C$55</f>
        <v>0</v>
      </c>
      <c r="Y7" s="0" t="n">
        <f aca="false">'Aug 4'!$C$57</f>
        <v>0</v>
      </c>
      <c r="Z7" s="0" t="n">
        <f aca="false">COUNTIF('Aug 4'!$AM$8:$AM$42,"Y")</f>
        <v>0</v>
      </c>
      <c r="AA7" s="0" t="n">
        <f aca="false">COUNTIF('Aug 4'!$AN$8:$AN$42,"Y")</f>
        <v>0</v>
      </c>
      <c r="AB7" s="0" t="n">
        <f aca="false">COUNTIF('Aug 4'!$AO$8:$AO$42,"Y")</f>
        <v>0</v>
      </c>
      <c r="AC7" s="0" t="n">
        <f aca="false">'Aug 4'!$C$46</f>
        <v>0</v>
      </c>
      <c r="AD7" s="0" t="str">
        <f aca="false">'Staff &amp; Lists'!A8</f>
        <v>GARRET SCHWETTMAN</v>
      </c>
      <c r="AE7" s="0" t="n">
        <f aca="false">SUMPRODUCT(('Aug 1'!$F$8:$F$42=$AD7)*'Aug 1'!$AJ$8:$AJ$42+('Aug 1'!$G$8:$G$42=$AD7)*'Aug 1'!$AK$8:$AK$42)</f>
        <v>0</v>
      </c>
      <c r="AF7" s="0" t="n">
        <f aca="false">SUMPRODUCT(('Aug 2'!$F$8:$F$42=$AD7)*'Aug 2'!$AJ$8:$AJ$42+('Aug 2'!$G$8:$G$42=$AD7)*'Aug 2'!$AK$8:$AK$42)</f>
        <v>0</v>
      </c>
      <c r="AG7" s="0" t="n">
        <f aca="false">SUMPRODUCT(('Aug 3'!$F$8:$F$42=$AD7)*'Aug 3'!$AJ$8:$AJ$42+('Aug 3'!$G$8:$G$42=$AD7)*'Aug 3'!$AK$8:$AK$42)</f>
        <v>0</v>
      </c>
      <c r="AH7" s="0" t="n">
        <f aca="false">SUMPRODUCT(('Aug 4'!$F$8:$F$42=$AD7)*'Aug 4'!$AJ$8:$AJ$42+('Aug 4'!$G$8:$G$42=$AD7)*'Aug 4'!$AK$8:$AK$42)</f>
        <v>0</v>
      </c>
      <c r="AI7" s="0" t="n">
        <f aca="false">SUMPRODUCT(('Aug 5'!$F$8:$F$42=$AD7)*'Aug 5'!$AJ$8:$AJ$42+('Aug 5'!$G$8:$G$42=$AD7)*'Aug 5'!$AK$8:$AK$42)</f>
        <v>0</v>
      </c>
      <c r="AJ7" s="0" t="n">
        <f aca="false">SUMPRODUCT(('Aug 6'!$F$8:$F$42=$AD7)*'Aug 6'!$AJ$8:$AJ$42+('Aug 6'!$G$8:$G$42=$AD7)*'Aug 6'!$AK$8:$AK$42)</f>
        <v>0</v>
      </c>
      <c r="AK7" s="0" t="n">
        <f aca="false">SUMPRODUCT(('Aug 7'!$F$8:$F$42=$AD7)*'Aug 7'!$AJ$8:$AJ$42+('Aug 7'!$G$8:$G$42=$AD7)*'Aug 7'!$AK$8:$AK$42)</f>
        <v>0</v>
      </c>
      <c r="AL7" s="0" t="n">
        <f aca="false">SUMPRODUCT(('Aug 8'!$F$8:$F$42=$AD7)*'Aug 8'!$AJ$8:$AJ$42+('Aug 8'!$G$8:$G$42=$AD7)*'Aug 8'!$AK$8:$AK$42)</f>
        <v>0</v>
      </c>
      <c r="AM7" s="0" t="n">
        <f aca="false">SUMPRODUCT(('Aug 9'!$F$8:$F$42=$AD7)*'Aug 9'!$AJ$8:$AJ$42+('Aug 9'!$G$8:$G$42=$AD7)*'Aug 9'!$AK$8:$AK$42)</f>
        <v>0</v>
      </c>
      <c r="AN7" s="0" t="n">
        <f aca="false">SUMPRODUCT(('Aug 10'!$F$8:$F$42=$AD7)*'Aug 10'!$AJ$8:$AJ$42+('Aug 10'!$G$8:$G$42=$AD7)*'Aug 10'!$AK$8:$AK$42)</f>
        <v>0</v>
      </c>
      <c r="AO7" s="0" t="n">
        <f aca="false">SUMPRODUCT(('Aug 11'!$F$8:$F$42=$AD7)*'Aug 11'!$AJ$8:$AJ$42+('Aug 11'!$G$8:$G$42=$AD7)*'Aug 11'!$AK$8:$AK$42)</f>
        <v>0</v>
      </c>
      <c r="AP7" s="0" t="n">
        <f aca="false">SUMPRODUCT(('Aug 12'!$F$8:$F$42=$AD7)*'Aug 12'!$AJ$8:$AJ$42+('Aug 12'!$G$8:$G$42=$AD7)*'Aug 12'!$AK$8:$AK$42)</f>
        <v>0</v>
      </c>
      <c r="AQ7" s="0" t="n">
        <f aca="false">SUMPRODUCT(('Aug 13'!$F$8:$F$42=$AD7)*'Aug 13'!$AJ$8:$AJ$42+('Aug 13'!$G$8:$G$42=$AD7)*'Aug 13'!$AK$8:$AK$42)</f>
        <v>0</v>
      </c>
      <c r="AR7" s="0" t="n">
        <f aca="false">SUMPRODUCT(('Aug 14'!$F$8:$F$42=$AD7)*'Aug 14'!$AJ$8:$AJ$42+('Aug 14'!$G$8:$G$42=$AD7)*'Aug 14'!$AK$8:$AK$42)</f>
        <v>0</v>
      </c>
      <c r="AS7" s="0" t="n">
        <f aca="false">SUMPRODUCT(('Aug 15'!$F$8:$F$42=$AD7)*'Aug 15'!$AJ$8:$AJ$42+('Aug 15'!$G$8:$G$42=$AD7)*'Aug 15'!$AK$8:$AK$42)</f>
        <v>0</v>
      </c>
      <c r="AT7" s="0" t="n">
        <f aca="false">SUMPRODUCT(('Aug 16'!$F$8:$F$42=$AD7)*'Aug 16'!$AJ$8:$AJ$42+('Aug 16'!$G$8:$G$42=$AD7)*'Aug 16'!$AK$8:$AK$42)</f>
        <v>0</v>
      </c>
      <c r="AU7" s="0" t="n">
        <f aca="false">SUMPRODUCT(('Aug 17'!$F$8:$F$42=$AD7)*'Aug 17'!$AJ$8:$AJ$42+('Aug 17'!$G$8:$G$42=$AD7)*'Aug 17'!$AK$8:$AK$42)</f>
        <v>0</v>
      </c>
      <c r="AV7" s="0" t="n">
        <f aca="false">SUMPRODUCT(('Aug 18'!$F$8:$F$42=$AD7)*'Aug 18'!$AJ$8:$AJ$42+('Aug 18'!$G$8:$G$42=$AD7)*'Aug 18'!$AK$8:$AK$42)</f>
        <v>0</v>
      </c>
      <c r="AW7" s="0" t="n">
        <f aca="false">SUMPRODUCT(('Aug 19'!$F$8:$F$42=$AD7)*'Aug 19'!$AJ$8:$AJ$42+('Aug 19'!$G$8:$G$42=$AD7)*'Aug 19'!$AK$8:$AK$42)</f>
        <v>0</v>
      </c>
      <c r="AX7" s="0" t="n">
        <f aca="false">SUMPRODUCT(('Aug 20'!$F$8:$F$42=$AD7)*'Aug 20'!$AJ$8:$AJ$42+('Aug 20'!$G$8:$G$42=$AD7)*'Aug 20'!$AK$8:$AK$42)</f>
        <v>0</v>
      </c>
      <c r="AY7" s="0" t="n">
        <f aca="false">SUMPRODUCT(('Aug 21'!$F$8:$F$42=$AD7)*'Aug 21'!$AJ$8:$AJ$42+('Aug 21'!$G$8:$G$42=$AD7)*'Aug 21'!$AK$8:$AK$42)</f>
        <v>0</v>
      </c>
      <c r="AZ7" s="0" t="n">
        <f aca="false">SUMPRODUCT(('Aug 22'!$F$8:$F$42=$AD7)*'Aug 22'!$AJ$8:$AJ$42+('Aug 22'!$G$8:$G$42=$AD7)*'Aug 22'!$AK$8:$AK$42)</f>
        <v>0</v>
      </c>
      <c r="BA7" s="0" t="n">
        <f aca="false">SUMPRODUCT(('Aug 23'!$F$8:$F$42=$AD7)*'Aug 23'!$AJ$8:$AJ$42+('Aug 23'!$G$8:$G$42=$AD7)*'Aug 23'!$AK$8:$AK$42)</f>
        <v>0</v>
      </c>
      <c r="BB7" s="0" t="n">
        <f aca="false">SUMPRODUCT(('Aug 24'!$F$8:$F$42=$AD7)*'Aug 24'!$AJ$8:$AJ$42+('Aug 24'!$G$8:$G$42=$AD7)*'Aug 24'!$AK$8:$AK$42)</f>
        <v>0</v>
      </c>
      <c r="BC7" s="0" t="n">
        <f aca="false">SUMPRODUCT(('Aug 25'!$F$8:$F$42=$AD7)*'Aug 25'!$AJ$8:$AJ$42+('Aug 25'!$G$8:$G$42=$AD7)*'Aug 25'!$AK$8:$AK$42)</f>
        <v>0</v>
      </c>
      <c r="BD7" s="0" t="n">
        <f aca="false">SUMPRODUCT(('Aug 26'!$F$8:$F$42=$AD7)*'Aug 26'!$AJ$8:$AJ$42+('Aug 26'!$G$8:$G$42=$AD7)*'Aug 26'!$AK$8:$AK$42)</f>
        <v>0</v>
      </c>
      <c r="BE7" s="0" t="n">
        <f aca="false">SUMPRODUCT(('Aug 27'!$F$8:$F$42=$AD7)*'Aug 27'!$AJ$8:$AJ$42+('Aug 27'!$G$8:$G$42=$AD7)*'Aug 27'!$AK$8:$AK$42)</f>
        <v>0</v>
      </c>
      <c r="BF7" s="0" t="n">
        <f aca="false">SUMPRODUCT(('Aug 28'!$F$8:$F$42=$AD7)*'Aug 28'!$AJ$8:$AJ$42+('Aug 28'!$G$8:$G$42=$AD7)*'Aug 28'!$AK$8:$AK$42)</f>
        <v>0</v>
      </c>
      <c r="BG7" s="0" t="n">
        <f aca="false">SUMPRODUCT(('Aug 29'!$F$8:$F$42=$AD7)*'Aug 29'!$AJ$8:$AJ$42+('Aug 29'!$G$8:$G$42=$AD7)*'Aug 29'!$AK$8:$AK$42)</f>
        <v>0</v>
      </c>
      <c r="BH7" s="0" t="n">
        <f aca="false">SUMPRODUCT(('Aug 30'!$F$8:$F$42=$AD7)*'Aug 30'!$AJ$8:$AJ$42+('Aug 30'!$G$8:$G$42=$AD7)*'Aug 30'!$AK$8:$AK$42)</f>
        <v>0</v>
      </c>
      <c r="BI7" s="0" t="n">
        <f aca="false">SUMPRODUCT(('Aug 31'!$F$8:$F$42=$AD7)*'Aug 31'!$AJ$8:$AJ$42+('Aug 31'!$G$8:$G$42=$AD7)*'Aug 31'!$AK$8:$AK$42)</f>
        <v>0</v>
      </c>
      <c r="BK7" s="0" t="n">
        <f aca="false">SUM(AE7:BI7)</f>
        <v>0</v>
      </c>
      <c r="BM7" s="0" t="n">
        <f aca="false">BK7+BK26/1000000000000</f>
        <v>0</v>
      </c>
      <c r="BN7" s="0" t="n">
        <f aca="false">RANK(BM7,$BM$4:$BM$19,0)+COUNTIF(BM$4:BM7,BM7)-1</f>
        <v>4</v>
      </c>
      <c r="BR7" s="0" t="n">
        <v>46239</v>
      </c>
      <c r="BT7" s="64" t="n">
        <f aca="false">'Aug 31'!$C$63</f>
        <v>0</v>
      </c>
    </row>
    <row r="8" customFormat="false" ht="15" hidden="false" customHeight="false" outlineLevel="0" collapsed="false">
      <c r="U8" s="64" t="n">
        <f aca="false">'Aug 5'!$G$47</f>
        <v>0</v>
      </c>
      <c r="V8" s="64" t="n">
        <f aca="false">'Aug 5'!$G$48</f>
        <v>0</v>
      </c>
      <c r="W8" s="0" t="n">
        <f aca="false">'Aug 5'!$C$54</f>
        <v>0</v>
      </c>
      <c r="X8" s="64" t="n">
        <f aca="false">'Aug 5'!$C$55</f>
        <v>0</v>
      </c>
      <c r="Y8" s="0" t="n">
        <f aca="false">'Aug 5'!$C$57</f>
        <v>0</v>
      </c>
      <c r="Z8" s="0" t="n">
        <f aca="false">COUNTIF('Aug 5'!$AM$8:$AM$42,"Y")</f>
        <v>0</v>
      </c>
      <c r="AA8" s="0" t="n">
        <f aca="false">COUNTIF('Aug 5'!$AN$8:$AN$42,"Y")</f>
        <v>0</v>
      </c>
      <c r="AB8" s="0" t="n">
        <f aca="false">COUNTIF('Aug 5'!$AO$8:$AO$42,"Y")</f>
        <v>0</v>
      </c>
      <c r="AC8" s="0" t="n">
        <f aca="false">'Aug 5'!$C$46</f>
        <v>0</v>
      </c>
      <c r="AD8" s="0" t="str">
        <f aca="false">'Staff &amp; Lists'!A9</f>
        <v>MERCEDES CLARK</v>
      </c>
      <c r="AE8" s="0" t="n">
        <f aca="false">SUMPRODUCT(('Aug 1'!$F$8:$F$42=$AD8)*'Aug 1'!$AJ$8:$AJ$42+('Aug 1'!$G$8:$G$42=$AD8)*'Aug 1'!$AK$8:$AK$42)</f>
        <v>0</v>
      </c>
      <c r="AF8" s="0" t="n">
        <f aca="false">SUMPRODUCT(('Aug 2'!$F$8:$F$42=$AD8)*'Aug 2'!$AJ$8:$AJ$42+('Aug 2'!$G$8:$G$42=$AD8)*'Aug 2'!$AK$8:$AK$42)</f>
        <v>0</v>
      </c>
      <c r="AG8" s="0" t="n">
        <f aca="false">SUMPRODUCT(('Aug 3'!$F$8:$F$42=$AD8)*'Aug 3'!$AJ$8:$AJ$42+('Aug 3'!$G$8:$G$42=$AD8)*'Aug 3'!$AK$8:$AK$42)</f>
        <v>0</v>
      </c>
      <c r="AH8" s="0" t="n">
        <f aca="false">SUMPRODUCT(('Aug 4'!$F$8:$F$42=$AD8)*'Aug 4'!$AJ$8:$AJ$42+('Aug 4'!$G$8:$G$42=$AD8)*'Aug 4'!$AK$8:$AK$42)</f>
        <v>0</v>
      </c>
      <c r="AI8" s="0" t="n">
        <f aca="false">SUMPRODUCT(('Aug 5'!$F$8:$F$42=$AD8)*'Aug 5'!$AJ$8:$AJ$42+('Aug 5'!$G$8:$G$42=$AD8)*'Aug 5'!$AK$8:$AK$42)</f>
        <v>0</v>
      </c>
      <c r="AJ8" s="0" t="n">
        <f aca="false">SUMPRODUCT(('Aug 6'!$F$8:$F$42=$AD8)*'Aug 6'!$AJ$8:$AJ$42+('Aug 6'!$G$8:$G$42=$AD8)*'Aug 6'!$AK$8:$AK$42)</f>
        <v>0</v>
      </c>
      <c r="AK8" s="0" t="n">
        <f aca="false">SUMPRODUCT(('Aug 7'!$F$8:$F$42=$AD8)*'Aug 7'!$AJ$8:$AJ$42+('Aug 7'!$G$8:$G$42=$AD8)*'Aug 7'!$AK$8:$AK$42)</f>
        <v>0</v>
      </c>
      <c r="AL8" s="0" t="n">
        <f aca="false">SUMPRODUCT(('Aug 8'!$F$8:$F$42=$AD8)*'Aug 8'!$AJ$8:$AJ$42+('Aug 8'!$G$8:$G$42=$AD8)*'Aug 8'!$AK$8:$AK$42)</f>
        <v>0</v>
      </c>
      <c r="AM8" s="0" t="n">
        <f aca="false">SUMPRODUCT(('Aug 9'!$F$8:$F$42=$AD8)*'Aug 9'!$AJ$8:$AJ$42+('Aug 9'!$G$8:$G$42=$AD8)*'Aug 9'!$AK$8:$AK$42)</f>
        <v>0</v>
      </c>
      <c r="AN8" s="0" t="n">
        <f aca="false">SUMPRODUCT(('Aug 10'!$F$8:$F$42=$AD8)*'Aug 10'!$AJ$8:$AJ$42+('Aug 10'!$G$8:$G$42=$AD8)*'Aug 10'!$AK$8:$AK$42)</f>
        <v>0</v>
      </c>
      <c r="AO8" s="0" t="n">
        <f aca="false">SUMPRODUCT(('Aug 11'!$F$8:$F$42=$AD8)*'Aug 11'!$AJ$8:$AJ$42+('Aug 11'!$G$8:$G$42=$AD8)*'Aug 11'!$AK$8:$AK$42)</f>
        <v>0</v>
      </c>
      <c r="AP8" s="0" t="n">
        <f aca="false">SUMPRODUCT(('Aug 12'!$F$8:$F$42=$AD8)*'Aug 12'!$AJ$8:$AJ$42+('Aug 12'!$G$8:$G$42=$AD8)*'Aug 12'!$AK$8:$AK$42)</f>
        <v>0</v>
      </c>
      <c r="AQ8" s="0" t="n">
        <f aca="false">SUMPRODUCT(('Aug 13'!$F$8:$F$42=$AD8)*'Aug 13'!$AJ$8:$AJ$42+('Aug 13'!$G$8:$G$42=$AD8)*'Aug 13'!$AK$8:$AK$42)</f>
        <v>0</v>
      </c>
      <c r="AR8" s="0" t="n">
        <f aca="false">SUMPRODUCT(('Aug 14'!$F$8:$F$42=$AD8)*'Aug 14'!$AJ$8:$AJ$42+('Aug 14'!$G$8:$G$42=$AD8)*'Aug 14'!$AK$8:$AK$42)</f>
        <v>0</v>
      </c>
      <c r="AS8" s="0" t="n">
        <f aca="false">SUMPRODUCT(('Aug 15'!$F$8:$F$42=$AD8)*'Aug 15'!$AJ$8:$AJ$42+('Aug 15'!$G$8:$G$42=$AD8)*'Aug 15'!$AK$8:$AK$42)</f>
        <v>0</v>
      </c>
      <c r="AT8" s="0" t="n">
        <f aca="false">SUMPRODUCT(('Aug 16'!$F$8:$F$42=$AD8)*'Aug 16'!$AJ$8:$AJ$42+('Aug 16'!$G$8:$G$42=$AD8)*'Aug 16'!$AK$8:$AK$42)</f>
        <v>0</v>
      </c>
      <c r="AU8" s="0" t="n">
        <f aca="false">SUMPRODUCT(('Aug 17'!$F$8:$F$42=$AD8)*'Aug 17'!$AJ$8:$AJ$42+('Aug 17'!$G$8:$G$42=$AD8)*'Aug 17'!$AK$8:$AK$42)</f>
        <v>0</v>
      </c>
      <c r="AV8" s="0" t="n">
        <f aca="false">SUMPRODUCT(('Aug 18'!$F$8:$F$42=$AD8)*'Aug 18'!$AJ$8:$AJ$42+('Aug 18'!$G$8:$G$42=$AD8)*'Aug 18'!$AK$8:$AK$42)</f>
        <v>0</v>
      </c>
      <c r="AW8" s="0" t="n">
        <f aca="false">SUMPRODUCT(('Aug 19'!$F$8:$F$42=$AD8)*'Aug 19'!$AJ$8:$AJ$42+('Aug 19'!$G$8:$G$42=$AD8)*'Aug 19'!$AK$8:$AK$42)</f>
        <v>0</v>
      </c>
      <c r="AX8" s="0" t="n">
        <f aca="false">SUMPRODUCT(('Aug 20'!$F$8:$F$42=$AD8)*'Aug 20'!$AJ$8:$AJ$42+('Aug 20'!$G$8:$G$42=$AD8)*'Aug 20'!$AK$8:$AK$42)</f>
        <v>0</v>
      </c>
      <c r="AY8" s="0" t="n">
        <f aca="false">SUMPRODUCT(('Aug 21'!$F$8:$F$42=$AD8)*'Aug 21'!$AJ$8:$AJ$42+('Aug 21'!$G$8:$G$42=$AD8)*'Aug 21'!$AK$8:$AK$42)</f>
        <v>0</v>
      </c>
      <c r="AZ8" s="0" t="n">
        <f aca="false">SUMPRODUCT(('Aug 22'!$F$8:$F$42=$AD8)*'Aug 22'!$AJ$8:$AJ$42+('Aug 22'!$G$8:$G$42=$AD8)*'Aug 22'!$AK$8:$AK$42)</f>
        <v>0</v>
      </c>
      <c r="BA8" s="0" t="n">
        <f aca="false">SUMPRODUCT(('Aug 23'!$F$8:$F$42=$AD8)*'Aug 23'!$AJ$8:$AJ$42+('Aug 23'!$G$8:$G$42=$AD8)*'Aug 23'!$AK$8:$AK$42)</f>
        <v>0</v>
      </c>
      <c r="BB8" s="0" t="n">
        <f aca="false">SUMPRODUCT(('Aug 24'!$F$8:$F$42=$AD8)*'Aug 24'!$AJ$8:$AJ$42+('Aug 24'!$G$8:$G$42=$AD8)*'Aug 24'!$AK$8:$AK$42)</f>
        <v>0</v>
      </c>
      <c r="BC8" s="0" t="n">
        <f aca="false">SUMPRODUCT(('Aug 25'!$F$8:$F$42=$AD8)*'Aug 25'!$AJ$8:$AJ$42+('Aug 25'!$G$8:$G$42=$AD8)*'Aug 25'!$AK$8:$AK$42)</f>
        <v>0</v>
      </c>
      <c r="BD8" s="0" t="n">
        <f aca="false">SUMPRODUCT(('Aug 26'!$F$8:$F$42=$AD8)*'Aug 26'!$AJ$8:$AJ$42+('Aug 26'!$G$8:$G$42=$AD8)*'Aug 26'!$AK$8:$AK$42)</f>
        <v>0</v>
      </c>
      <c r="BE8" s="0" t="n">
        <f aca="false">SUMPRODUCT(('Aug 27'!$F$8:$F$42=$AD8)*'Aug 27'!$AJ$8:$AJ$42+('Aug 27'!$G$8:$G$42=$AD8)*'Aug 27'!$AK$8:$AK$42)</f>
        <v>0</v>
      </c>
      <c r="BF8" s="0" t="n">
        <f aca="false">SUMPRODUCT(('Aug 28'!$F$8:$F$42=$AD8)*'Aug 28'!$AJ$8:$AJ$42+('Aug 28'!$G$8:$G$42=$AD8)*'Aug 28'!$AK$8:$AK$42)</f>
        <v>0</v>
      </c>
      <c r="BG8" s="0" t="n">
        <f aca="false">SUMPRODUCT(('Aug 29'!$F$8:$F$42=$AD8)*'Aug 29'!$AJ$8:$AJ$42+('Aug 29'!$G$8:$G$42=$AD8)*'Aug 29'!$AK$8:$AK$42)</f>
        <v>0</v>
      </c>
      <c r="BH8" s="0" t="n">
        <f aca="false">SUMPRODUCT(('Aug 30'!$F$8:$F$42=$AD8)*'Aug 30'!$AJ$8:$AJ$42+('Aug 30'!$G$8:$G$42=$AD8)*'Aug 30'!$AK$8:$AK$42)</f>
        <v>0</v>
      </c>
      <c r="BI8" s="0" t="n">
        <f aca="false">SUMPRODUCT(('Aug 31'!$F$8:$F$42=$AD8)*'Aug 31'!$AJ$8:$AJ$42+('Aug 31'!$G$8:$G$42=$AD8)*'Aug 31'!$AK$8:$AK$42)</f>
        <v>0</v>
      </c>
      <c r="BK8" s="0" t="n">
        <f aca="false">SUM(AE8:BI8)</f>
        <v>0</v>
      </c>
      <c r="BM8" s="0" t="n">
        <f aca="false">BK8+BK27/1000000000000</f>
        <v>0</v>
      </c>
      <c r="BN8" s="0" t="n">
        <f aca="false">RANK(BM8,$BM$4:$BM$19,0)+COUNTIF(BM$4:BM8,BM8)-1</f>
        <v>5</v>
      </c>
      <c r="BR8" s="0" t="n">
        <v>46240</v>
      </c>
    </row>
    <row r="9" customFormat="false" ht="15" hidden="false" customHeight="false" outlineLevel="0" collapsed="false">
      <c r="A9" s="19" t="s">
        <v>138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U9" s="64" t="n">
        <f aca="false">'Aug 6'!$G$47</f>
        <v>0</v>
      </c>
      <c r="V9" s="64" t="n">
        <f aca="false">'Aug 6'!$G$48</f>
        <v>0</v>
      </c>
      <c r="W9" s="0" t="n">
        <f aca="false">'Aug 6'!$C$54</f>
        <v>0</v>
      </c>
      <c r="X9" s="64" t="n">
        <f aca="false">'Aug 6'!$C$55</f>
        <v>0</v>
      </c>
      <c r="Y9" s="0" t="n">
        <f aca="false">'Aug 6'!$C$57</f>
        <v>0</v>
      </c>
      <c r="Z9" s="0" t="n">
        <f aca="false">COUNTIF('Aug 6'!$AM$8:$AM$42,"Y")</f>
        <v>0</v>
      </c>
      <c r="AA9" s="0" t="n">
        <f aca="false">COUNTIF('Aug 6'!$AN$8:$AN$42,"Y")</f>
        <v>0</v>
      </c>
      <c r="AB9" s="0" t="n">
        <f aca="false">COUNTIF('Aug 6'!$AO$8:$AO$42,"Y")</f>
        <v>0</v>
      </c>
      <c r="AC9" s="0" t="n">
        <f aca="false">'Aug 6'!$C$46</f>
        <v>0</v>
      </c>
      <c r="AD9" s="0" t="str">
        <f aca="false">'Staff &amp; Lists'!A10</f>
        <v>ZAY JOHNSON</v>
      </c>
      <c r="AE9" s="0" t="n">
        <f aca="false">SUMPRODUCT(('Aug 1'!$F$8:$F$42=$AD9)*'Aug 1'!$AJ$8:$AJ$42+('Aug 1'!$G$8:$G$42=$AD9)*'Aug 1'!$AK$8:$AK$42)</f>
        <v>0</v>
      </c>
      <c r="AF9" s="0" t="n">
        <f aca="false">SUMPRODUCT(('Aug 2'!$F$8:$F$42=$AD9)*'Aug 2'!$AJ$8:$AJ$42+('Aug 2'!$G$8:$G$42=$AD9)*'Aug 2'!$AK$8:$AK$42)</f>
        <v>0</v>
      </c>
      <c r="AG9" s="0" t="n">
        <f aca="false">SUMPRODUCT(('Aug 3'!$F$8:$F$42=$AD9)*'Aug 3'!$AJ$8:$AJ$42+('Aug 3'!$G$8:$G$42=$AD9)*'Aug 3'!$AK$8:$AK$42)</f>
        <v>0</v>
      </c>
      <c r="AH9" s="0" t="n">
        <f aca="false">SUMPRODUCT(('Aug 4'!$F$8:$F$42=$AD9)*'Aug 4'!$AJ$8:$AJ$42+('Aug 4'!$G$8:$G$42=$AD9)*'Aug 4'!$AK$8:$AK$42)</f>
        <v>0</v>
      </c>
      <c r="AI9" s="0" t="n">
        <f aca="false">SUMPRODUCT(('Aug 5'!$F$8:$F$42=$AD9)*'Aug 5'!$AJ$8:$AJ$42+('Aug 5'!$G$8:$G$42=$AD9)*'Aug 5'!$AK$8:$AK$42)</f>
        <v>0</v>
      </c>
      <c r="AJ9" s="0" t="n">
        <f aca="false">SUMPRODUCT(('Aug 6'!$F$8:$F$42=$AD9)*'Aug 6'!$AJ$8:$AJ$42+('Aug 6'!$G$8:$G$42=$AD9)*'Aug 6'!$AK$8:$AK$42)</f>
        <v>0</v>
      </c>
      <c r="AK9" s="0" t="n">
        <f aca="false">SUMPRODUCT(('Aug 7'!$F$8:$F$42=$AD9)*'Aug 7'!$AJ$8:$AJ$42+('Aug 7'!$G$8:$G$42=$AD9)*'Aug 7'!$AK$8:$AK$42)</f>
        <v>0</v>
      </c>
      <c r="AL9" s="0" t="n">
        <f aca="false">SUMPRODUCT(('Aug 8'!$F$8:$F$42=$AD9)*'Aug 8'!$AJ$8:$AJ$42+('Aug 8'!$G$8:$G$42=$AD9)*'Aug 8'!$AK$8:$AK$42)</f>
        <v>0</v>
      </c>
      <c r="AM9" s="0" t="n">
        <f aca="false">SUMPRODUCT(('Aug 9'!$F$8:$F$42=$AD9)*'Aug 9'!$AJ$8:$AJ$42+('Aug 9'!$G$8:$G$42=$AD9)*'Aug 9'!$AK$8:$AK$42)</f>
        <v>0</v>
      </c>
      <c r="AN9" s="0" t="n">
        <f aca="false">SUMPRODUCT(('Aug 10'!$F$8:$F$42=$AD9)*'Aug 10'!$AJ$8:$AJ$42+('Aug 10'!$G$8:$G$42=$AD9)*'Aug 10'!$AK$8:$AK$42)</f>
        <v>0</v>
      </c>
      <c r="AO9" s="0" t="n">
        <f aca="false">SUMPRODUCT(('Aug 11'!$F$8:$F$42=$AD9)*'Aug 11'!$AJ$8:$AJ$42+('Aug 11'!$G$8:$G$42=$AD9)*'Aug 11'!$AK$8:$AK$42)</f>
        <v>0</v>
      </c>
      <c r="AP9" s="0" t="n">
        <f aca="false">SUMPRODUCT(('Aug 12'!$F$8:$F$42=$AD9)*'Aug 12'!$AJ$8:$AJ$42+('Aug 12'!$G$8:$G$42=$AD9)*'Aug 12'!$AK$8:$AK$42)</f>
        <v>0</v>
      </c>
      <c r="AQ9" s="0" t="n">
        <f aca="false">SUMPRODUCT(('Aug 13'!$F$8:$F$42=$AD9)*'Aug 13'!$AJ$8:$AJ$42+('Aug 13'!$G$8:$G$42=$AD9)*'Aug 13'!$AK$8:$AK$42)</f>
        <v>0</v>
      </c>
      <c r="AR9" s="0" t="n">
        <f aca="false">SUMPRODUCT(('Aug 14'!$F$8:$F$42=$AD9)*'Aug 14'!$AJ$8:$AJ$42+('Aug 14'!$G$8:$G$42=$AD9)*'Aug 14'!$AK$8:$AK$42)</f>
        <v>0</v>
      </c>
      <c r="AS9" s="0" t="n">
        <f aca="false">SUMPRODUCT(('Aug 15'!$F$8:$F$42=$AD9)*'Aug 15'!$AJ$8:$AJ$42+('Aug 15'!$G$8:$G$42=$AD9)*'Aug 15'!$AK$8:$AK$42)</f>
        <v>0</v>
      </c>
      <c r="AT9" s="0" t="n">
        <f aca="false">SUMPRODUCT(('Aug 16'!$F$8:$F$42=$AD9)*'Aug 16'!$AJ$8:$AJ$42+('Aug 16'!$G$8:$G$42=$AD9)*'Aug 16'!$AK$8:$AK$42)</f>
        <v>0</v>
      </c>
      <c r="AU9" s="0" t="n">
        <f aca="false">SUMPRODUCT(('Aug 17'!$F$8:$F$42=$AD9)*'Aug 17'!$AJ$8:$AJ$42+('Aug 17'!$G$8:$G$42=$AD9)*'Aug 17'!$AK$8:$AK$42)</f>
        <v>0</v>
      </c>
      <c r="AV9" s="0" t="n">
        <f aca="false">SUMPRODUCT(('Aug 18'!$F$8:$F$42=$AD9)*'Aug 18'!$AJ$8:$AJ$42+('Aug 18'!$G$8:$G$42=$AD9)*'Aug 18'!$AK$8:$AK$42)</f>
        <v>0</v>
      </c>
      <c r="AW9" s="0" t="n">
        <f aca="false">SUMPRODUCT(('Aug 19'!$F$8:$F$42=$AD9)*'Aug 19'!$AJ$8:$AJ$42+('Aug 19'!$G$8:$G$42=$AD9)*'Aug 19'!$AK$8:$AK$42)</f>
        <v>0</v>
      </c>
      <c r="AX9" s="0" t="n">
        <f aca="false">SUMPRODUCT(('Aug 20'!$F$8:$F$42=$AD9)*'Aug 20'!$AJ$8:$AJ$42+('Aug 20'!$G$8:$G$42=$AD9)*'Aug 20'!$AK$8:$AK$42)</f>
        <v>0</v>
      </c>
      <c r="AY9" s="0" t="n">
        <f aca="false">SUMPRODUCT(('Aug 21'!$F$8:$F$42=$AD9)*'Aug 21'!$AJ$8:$AJ$42+('Aug 21'!$G$8:$G$42=$AD9)*'Aug 21'!$AK$8:$AK$42)</f>
        <v>0</v>
      </c>
      <c r="AZ9" s="0" t="n">
        <f aca="false">SUMPRODUCT(('Aug 22'!$F$8:$F$42=$AD9)*'Aug 22'!$AJ$8:$AJ$42+('Aug 22'!$G$8:$G$42=$AD9)*'Aug 22'!$AK$8:$AK$42)</f>
        <v>0</v>
      </c>
      <c r="BA9" s="0" t="n">
        <f aca="false">SUMPRODUCT(('Aug 23'!$F$8:$F$42=$AD9)*'Aug 23'!$AJ$8:$AJ$42+('Aug 23'!$G$8:$G$42=$AD9)*'Aug 23'!$AK$8:$AK$42)</f>
        <v>0</v>
      </c>
      <c r="BB9" s="0" t="n">
        <f aca="false">SUMPRODUCT(('Aug 24'!$F$8:$F$42=$AD9)*'Aug 24'!$AJ$8:$AJ$42+('Aug 24'!$G$8:$G$42=$AD9)*'Aug 24'!$AK$8:$AK$42)</f>
        <v>0</v>
      </c>
      <c r="BC9" s="0" t="n">
        <f aca="false">SUMPRODUCT(('Aug 25'!$F$8:$F$42=$AD9)*'Aug 25'!$AJ$8:$AJ$42+('Aug 25'!$G$8:$G$42=$AD9)*'Aug 25'!$AK$8:$AK$42)</f>
        <v>0</v>
      </c>
      <c r="BD9" s="0" t="n">
        <f aca="false">SUMPRODUCT(('Aug 26'!$F$8:$F$42=$AD9)*'Aug 26'!$AJ$8:$AJ$42+('Aug 26'!$G$8:$G$42=$AD9)*'Aug 26'!$AK$8:$AK$42)</f>
        <v>0</v>
      </c>
      <c r="BE9" s="0" t="n">
        <f aca="false">SUMPRODUCT(('Aug 27'!$F$8:$F$42=$AD9)*'Aug 27'!$AJ$8:$AJ$42+('Aug 27'!$G$8:$G$42=$AD9)*'Aug 27'!$AK$8:$AK$42)</f>
        <v>0</v>
      </c>
      <c r="BF9" s="0" t="n">
        <f aca="false">SUMPRODUCT(('Aug 28'!$F$8:$F$42=$AD9)*'Aug 28'!$AJ$8:$AJ$42+('Aug 28'!$G$8:$G$42=$AD9)*'Aug 28'!$AK$8:$AK$42)</f>
        <v>0</v>
      </c>
      <c r="BG9" s="0" t="n">
        <f aca="false">SUMPRODUCT(('Aug 29'!$F$8:$F$42=$AD9)*'Aug 29'!$AJ$8:$AJ$42+('Aug 29'!$G$8:$G$42=$AD9)*'Aug 29'!$AK$8:$AK$42)</f>
        <v>0</v>
      </c>
      <c r="BH9" s="0" t="n">
        <f aca="false">SUMPRODUCT(('Aug 30'!$F$8:$F$42=$AD9)*'Aug 30'!$AJ$8:$AJ$42+('Aug 30'!$G$8:$G$42=$AD9)*'Aug 30'!$AK$8:$AK$42)</f>
        <v>0</v>
      </c>
      <c r="BI9" s="0" t="n">
        <f aca="false">SUMPRODUCT(('Aug 31'!$F$8:$F$42=$AD9)*'Aug 31'!$AJ$8:$AJ$42+('Aug 31'!$G$8:$G$42=$AD9)*'Aug 31'!$AK$8:$AK$42)</f>
        <v>0</v>
      </c>
      <c r="BK9" s="0" t="n">
        <f aca="false">SUM(AE9:BI9)</f>
        <v>0</v>
      </c>
      <c r="BM9" s="0" t="n">
        <f aca="false">BK9+BK28/1000000000000</f>
        <v>0</v>
      </c>
      <c r="BN9" s="0" t="n">
        <f aca="false">RANK(BM9,$BM$4:$BM$19,0)+COUNTIF(BM$4:BM9,BM9)-1</f>
        <v>6</v>
      </c>
      <c r="BR9" s="0" t="n">
        <v>46241</v>
      </c>
    </row>
    <row r="10" customFormat="false" ht="12.75" hidden="false" customHeight="true" outlineLevel="0" collapsed="false">
      <c r="B10" s="65" t="s">
        <v>139</v>
      </c>
      <c r="C10" s="65"/>
      <c r="D10" s="65" t="s">
        <v>140</v>
      </c>
      <c r="E10" s="65"/>
      <c r="F10" s="65" t="s">
        <v>141</v>
      </c>
      <c r="G10" s="65"/>
      <c r="H10" s="65"/>
      <c r="I10" s="65" t="s">
        <v>142</v>
      </c>
      <c r="J10" s="65"/>
      <c r="K10" s="65" t="s">
        <v>143</v>
      </c>
      <c r="L10" s="65"/>
      <c r="M10" s="65" t="s">
        <v>144</v>
      </c>
      <c r="N10" s="65"/>
      <c r="O10" s="65"/>
      <c r="P10" s="65"/>
      <c r="Q10" s="65"/>
      <c r="R10" s="65"/>
      <c r="U10" s="64" t="n">
        <f aca="false">'Aug 7'!$G$47</f>
        <v>0</v>
      </c>
      <c r="V10" s="64" t="n">
        <f aca="false">'Aug 7'!$G$48</f>
        <v>0</v>
      </c>
      <c r="W10" s="0" t="n">
        <f aca="false">'Aug 7'!$C$54</f>
        <v>0</v>
      </c>
      <c r="X10" s="64" t="n">
        <f aca="false">'Aug 7'!$C$55</f>
        <v>0</v>
      </c>
      <c r="Y10" s="0" t="n">
        <f aca="false">'Aug 7'!$C$57</f>
        <v>0</v>
      </c>
      <c r="Z10" s="0" t="n">
        <f aca="false">COUNTIF('Aug 7'!$AM$8:$AM$42,"Y")</f>
        <v>0</v>
      </c>
      <c r="AA10" s="0" t="n">
        <f aca="false">COUNTIF('Aug 7'!$AN$8:$AN$42,"Y")</f>
        <v>0</v>
      </c>
      <c r="AB10" s="0" t="n">
        <f aca="false">COUNTIF('Aug 7'!$AO$8:$AO$42,"Y")</f>
        <v>0</v>
      </c>
      <c r="AC10" s="0" t="n">
        <f aca="false">'Aug 7'!$C$46</f>
        <v>0</v>
      </c>
      <c r="AD10" s="0" t="str">
        <f aca="false">'Staff &amp; Lists'!A11</f>
        <v>JUSTIN ROLLER</v>
      </c>
      <c r="AE10" s="0" t="n">
        <f aca="false">SUMPRODUCT(('Aug 1'!$F$8:$F$42=$AD10)*'Aug 1'!$AJ$8:$AJ$42+('Aug 1'!$G$8:$G$42=$AD10)*'Aug 1'!$AK$8:$AK$42)</f>
        <v>0</v>
      </c>
      <c r="AF10" s="0" t="n">
        <f aca="false">SUMPRODUCT(('Aug 2'!$F$8:$F$42=$AD10)*'Aug 2'!$AJ$8:$AJ$42+('Aug 2'!$G$8:$G$42=$AD10)*'Aug 2'!$AK$8:$AK$42)</f>
        <v>0</v>
      </c>
      <c r="AG10" s="0" t="n">
        <f aca="false">SUMPRODUCT(('Aug 3'!$F$8:$F$42=$AD10)*'Aug 3'!$AJ$8:$AJ$42+('Aug 3'!$G$8:$G$42=$AD10)*'Aug 3'!$AK$8:$AK$42)</f>
        <v>0</v>
      </c>
      <c r="AH10" s="0" t="n">
        <f aca="false">SUMPRODUCT(('Aug 4'!$F$8:$F$42=$AD10)*'Aug 4'!$AJ$8:$AJ$42+('Aug 4'!$G$8:$G$42=$AD10)*'Aug 4'!$AK$8:$AK$42)</f>
        <v>0</v>
      </c>
      <c r="AI10" s="0" t="n">
        <f aca="false">SUMPRODUCT(('Aug 5'!$F$8:$F$42=$AD10)*'Aug 5'!$AJ$8:$AJ$42+('Aug 5'!$G$8:$G$42=$AD10)*'Aug 5'!$AK$8:$AK$42)</f>
        <v>0</v>
      </c>
      <c r="AJ10" s="0" t="n">
        <f aca="false">SUMPRODUCT(('Aug 6'!$F$8:$F$42=$AD10)*'Aug 6'!$AJ$8:$AJ$42+('Aug 6'!$G$8:$G$42=$AD10)*'Aug 6'!$AK$8:$AK$42)</f>
        <v>0</v>
      </c>
      <c r="AK10" s="0" t="n">
        <f aca="false">SUMPRODUCT(('Aug 7'!$F$8:$F$42=$AD10)*'Aug 7'!$AJ$8:$AJ$42+('Aug 7'!$G$8:$G$42=$AD10)*'Aug 7'!$AK$8:$AK$42)</f>
        <v>0</v>
      </c>
      <c r="AL10" s="0" t="n">
        <f aca="false">SUMPRODUCT(('Aug 8'!$F$8:$F$42=$AD10)*'Aug 8'!$AJ$8:$AJ$42+('Aug 8'!$G$8:$G$42=$AD10)*'Aug 8'!$AK$8:$AK$42)</f>
        <v>0</v>
      </c>
      <c r="AM10" s="0" t="n">
        <f aca="false">SUMPRODUCT(('Aug 9'!$F$8:$F$42=$AD10)*'Aug 9'!$AJ$8:$AJ$42+('Aug 9'!$G$8:$G$42=$AD10)*'Aug 9'!$AK$8:$AK$42)</f>
        <v>0</v>
      </c>
      <c r="AN10" s="0" t="n">
        <f aca="false">SUMPRODUCT(('Aug 10'!$F$8:$F$42=$AD10)*'Aug 10'!$AJ$8:$AJ$42+('Aug 10'!$G$8:$G$42=$AD10)*'Aug 10'!$AK$8:$AK$42)</f>
        <v>0</v>
      </c>
      <c r="AO10" s="0" t="n">
        <f aca="false">SUMPRODUCT(('Aug 11'!$F$8:$F$42=$AD10)*'Aug 11'!$AJ$8:$AJ$42+('Aug 11'!$G$8:$G$42=$AD10)*'Aug 11'!$AK$8:$AK$42)</f>
        <v>0</v>
      </c>
      <c r="AP10" s="0" t="n">
        <f aca="false">SUMPRODUCT(('Aug 12'!$F$8:$F$42=$AD10)*'Aug 12'!$AJ$8:$AJ$42+('Aug 12'!$G$8:$G$42=$AD10)*'Aug 12'!$AK$8:$AK$42)</f>
        <v>0</v>
      </c>
      <c r="AQ10" s="0" t="n">
        <f aca="false">SUMPRODUCT(('Aug 13'!$F$8:$F$42=$AD10)*'Aug 13'!$AJ$8:$AJ$42+('Aug 13'!$G$8:$G$42=$AD10)*'Aug 13'!$AK$8:$AK$42)</f>
        <v>0</v>
      </c>
      <c r="AR10" s="0" t="n">
        <f aca="false">SUMPRODUCT(('Aug 14'!$F$8:$F$42=$AD10)*'Aug 14'!$AJ$8:$AJ$42+('Aug 14'!$G$8:$G$42=$AD10)*'Aug 14'!$AK$8:$AK$42)</f>
        <v>0</v>
      </c>
      <c r="AS10" s="0" t="n">
        <f aca="false">SUMPRODUCT(('Aug 15'!$F$8:$F$42=$AD10)*'Aug 15'!$AJ$8:$AJ$42+('Aug 15'!$G$8:$G$42=$AD10)*'Aug 15'!$AK$8:$AK$42)</f>
        <v>0</v>
      </c>
      <c r="AT10" s="0" t="n">
        <f aca="false">SUMPRODUCT(('Aug 16'!$F$8:$F$42=$AD10)*'Aug 16'!$AJ$8:$AJ$42+('Aug 16'!$G$8:$G$42=$AD10)*'Aug 16'!$AK$8:$AK$42)</f>
        <v>0</v>
      </c>
      <c r="AU10" s="0" t="n">
        <f aca="false">SUMPRODUCT(('Aug 17'!$F$8:$F$42=$AD10)*'Aug 17'!$AJ$8:$AJ$42+('Aug 17'!$G$8:$G$42=$AD10)*'Aug 17'!$AK$8:$AK$42)</f>
        <v>0</v>
      </c>
      <c r="AV10" s="0" t="n">
        <f aca="false">SUMPRODUCT(('Aug 18'!$F$8:$F$42=$AD10)*'Aug 18'!$AJ$8:$AJ$42+('Aug 18'!$G$8:$G$42=$AD10)*'Aug 18'!$AK$8:$AK$42)</f>
        <v>0</v>
      </c>
      <c r="AW10" s="0" t="n">
        <f aca="false">SUMPRODUCT(('Aug 19'!$F$8:$F$42=$AD10)*'Aug 19'!$AJ$8:$AJ$42+('Aug 19'!$G$8:$G$42=$AD10)*'Aug 19'!$AK$8:$AK$42)</f>
        <v>0</v>
      </c>
      <c r="AX10" s="0" t="n">
        <f aca="false">SUMPRODUCT(('Aug 20'!$F$8:$F$42=$AD10)*'Aug 20'!$AJ$8:$AJ$42+('Aug 20'!$G$8:$G$42=$AD10)*'Aug 20'!$AK$8:$AK$42)</f>
        <v>0</v>
      </c>
      <c r="AY10" s="0" t="n">
        <f aca="false">SUMPRODUCT(('Aug 21'!$F$8:$F$42=$AD10)*'Aug 21'!$AJ$8:$AJ$42+('Aug 21'!$G$8:$G$42=$AD10)*'Aug 21'!$AK$8:$AK$42)</f>
        <v>0</v>
      </c>
      <c r="AZ10" s="0" t="n">
        <f aca="false">SUMPRODUCT(('Aug 22'!$F$8:$F$42=$AD10)*'Aug 22'!$AJ$8:$AJ$42+('Aug 22'!$G$8:$G$42=$AD10)*'Aug 22'!$AK$8:$AK$42)</f>
        <v>0</v>
      </c>
      <c r="BA10" s="0" t="n">
        <f aca="false">SUMPRODUCT(('Aug 23'!$F$8:$F$42=$AD10)*'Aug 23'!$AJ$8:$AJ$42+('Aug 23'!$G$8:$G$42=$AD10)*'Aug 23'!$AK$8:$AK$42)</f>
        <v>0</v>
      </c>
      <c r="BB10" s="0" t="n">
        <f aca="false">SUMPRODUCT(('Aug 24'!$F$8:$F$42=$AD10)*'Aug 24'!$AJ$8:$AJ$42+('Aug 24'!$G$8:$G$42=$AD10)*'Aug 24'!$AK$8:$AK$42)</f>
        <v>0</v>
      </c>
      <c r="BC10" s="0" t="n">
        <f aca="false">SUMPRODUCT(('Aug 25'!$F$8:$F$42=$AD10)*'Aug 25'!$AJ$8:$AJ$42+('Aug 25'!$G$8:$G$42=$AD10)*'Aug 25'!$AK$8:$AK$42)</f>
        <v>0</v>
      </c>
      <c r="BD10" s="0" t="n">
        <f aca="false">SUMPRODUCT(('Aug 26'!$F$8:$F$42=$AD10)*'Aug 26'!$AJ$8:$AJ$42+('Aug 26'!$G$8:$G$42=$AD10)*'Aug 26'!$AK$8:$AK$42)</f>
        <v>0</v>
      </c>
      <c r="BE10" s="0" t="n">
        <f aca="false">SUMPRODUCT(('Aug 27'!$F$8:$F$42=$AD10)*'Aug 27'!$AJ$8:$AJ$42+('Aug 27'!$G$8:$G$42=$AD10)*'Aug 27'!$AK$8:$AK$42)</f>
        <v>0</v>
      </c>
      <c r="BF10" s="0" t="n">
        <f aca="false">SUMPRODUCT(('Aug 28'!$F$8:$F$42=$AD10)*'Aug 28'!$AJ$8:$AJ$42+('Aug 28'!$G$8:$G$42=$AD10)*'Aug 28'!$AK$8:$AK$42)</f>
        <v>0</v>
      </c>
      <c r="BG10" s="0" t="n">
        <f aca="false">SUMPRODUCT(('Aug 29'!$F$8:$F$42=$AD10)*'Aug 29'!$AJ$8:$AJ$42+('Aug 29'!$G$8:$G$42=$AD10)*'Aug 29'!$AK$8:$AK$42)</f>
        <v>0</v>
      </c>
      <c r="BH10" s="0" t="n">
        <f aca="false">SUMPRODUCT(('Aug 30'!$F$8:$F$42=$AD10)*'Aug 30'!$AJ$8:$AJ$42+('Aug 30'!$G$8:$G$42=$AD10)*'Aug 30'!$AK$8:$AK$42)</f>
        <v>0</v>
      </c>
      <c r="BI10" s="0" t="n">
        <f aca="false">SUMPRODUCT(('Aug 31'!$F$8:$F$42=$AD10)*'Aug 31'!$AJ$8:$AJ$42+('Aug 31'!$G$8:$G$42=$AD10)*'Aug 31'!$AK$8:$AK$42)</f>
        <v>0</v>
      </c>
      <c r="BK10" s="0" t="n">
        <f aca="false">SUM(AE10:BI10)</f>
        <v>0</v>
      </c>
      <c r="BM10" s="0" t="n">
        <f aca="false">BK10+BK29/1000000000000</f>
        <v>0</v>
      </c>
      <c r="BN10" s="0" t="n">
        <f aca="false">RANK(BM10,$BM$4:$BM$19,0)+COUNTIF(BM$4:BM10,BM10)-1</f>
        <v>7</v>
      </c>
      <c r="BR10" s="0" t="n">
        <v>46242</v>
      </c>
      <c r="BT10" s="0" t="n">
        <f aca="false">'Aug 1'!$G$57+'Aug 2'!$G$57+'Aug 3'!$G$57+'Aug 4'!$G$57+'Aug 5'!$G$57+'Aug 6'!$G$57+'Aug 7'!$G$57+'Aug 8'!$G$57+'Aug 9'!$G$57+'Aug 10'!$G$57+'Aug 11'!$G$57+'Aug 12'!$G$57+'Aug 13'!$G$57+'Aug 14'!$G$57+'Aug 15'!$G$57+'Aug 16'!$G$57+'Aug 17'!$G$57+'Aug 18'!$G$57+'Aug 19'!$G$57+'Aug 20'!$G$57+'Aug 21'!$G$57+'Aug 22'!$G$57+'Aug 23'!$G$57+'Aug 24'!$G$57+'Aug 25'!$G$57+'Aug 26'!$G$57+'Aug 27'!$G$57+'Aug 28'!$G$57+'Aug 29'!$G$57+'Aug 30'!$G$57+'Aug 31'!$G$57</f>
        <v>0</v>
      </c>
    </row>
    <row r="11" customFormat="false" ht="19.5" hidden="false" customHeight="true" outlineLevel="0" collapsed="false">
      <c r="B11" s="68" t="str">
        <f aca="false">IF(GoalUnitsTotal="","—",GoalUnitsTotal)</f>
        <v>—</v>
      </c>
      <c r="C11" s="68"/>
      <c r="D11" s="69" t="str">
        <f aca="false">IF(OR(GoalUnitsTotal="",GoalUnitsTotal=0),"—",BT6/GoalUnitsTotal)</f>
        <v>—</v>
      </c>
      <c r="E11" s="69"/>
      <c r="F11" s="70" t="str">
        <f aca="false">IF(GoalGrossTotal="","—",GoalGrossTotal)</f>
        <v>—</v>
      </c>
      <c r="G11" s="70"/>
      <c r="H11" s="70"/>
      <c r="I11" s="69" t="str">
        <f aca="false">IF(OR(GoalGrossTotal="",GoalGrossTotal=0),"—",BT7/GoalGrossTotal)</f>
        <v>—</v>
      </c>
      <c r="J11" s="69"/>
      <c r="K11" s="68" t="n">
        <f aca="false">BT5</f>
        <v>25</v>
      </c>
      <c r="L11" s="68"/>
      <c r="M11" s="71" t="str">
        <f aca="false">IF(GoalUnitsTotal="","—",IF(BT4=0,"● MONTH NOT STARTED",IF(BT6&gt;=GoalUnitsTotal,"✓ GOAL HIT",IF(BT6&gt;=GoalUnitsTotal*BT4/GoalSellingDays,"● AHEAD OF PACE",IF(BT6&gt;=0.9*GoalUnitsTotal*BT4/GoalSellingDays,"● ON PACE","● BEHIND PACE")))))</f>
        <v>—</v>
      </c>
      <c r="N11" s="71"/>
      <c r="O11" s="71"/>
      <c r="P11" s="71"/>
      <c r="Q11" s="71"/>
      <c r="R11" s="71"/>
      <c r="U11" s="64" t="n">
        <f aca="false">'Aug 8'!$G$47</f>
        <v>0</v>
      </c>
      <c r="V11" s="64" t="n">
        <f aca="false">'Aug 8'!$G$48</f>
        <v>0</v>
      </c>
      <c r="W11" s="0" t="n">
        <f aca="false">'Aug 8'!$C$54</f>
        <v>0</v>
      </c>
      <c r="X11" s="64" t="n">
        <f aca="false">'Aug 8'!$C$55</f>
        <v>0</v>
      </c>
      <c r="Y11" s="0" t="n">
        <f aca="false">'Aug 8'!$C$57</f>
        <v>0</v>
      </c>
      <c r="Z11" s="0" t="n">
        <f aca="false">COUNTIF('Aug 8'!$AM$8:$AM$42,"Y")</f>
        <v>0</v>
      </c>
      <c r="AA11" s="0" t="n">
        <f aca="false">COUNTIF('Aug 8'!$AN$8:$AN$42,"Y")</f>
        <v>0</v>
      </c>
      <c r="AB11" s="0" t="n">
        <f aca="false">COUNTIF('Aug 8'!$AO$8:$AO$42,"Y")</f>
        <v>0</v>
      </c>
      <c r="AC11" s="0" t="n">
        <f aca="false">'Aug 8'!$C$46</f>
        <v>0</v>
      </c>
      <c r="AD11" s="0" t="str">
        <f aca="false">'Staff &amp; Lists'!A12</f>
        <v>MATT ALFIERI</v>
      </c>
      <c r="AE11" s="0" t="n">
        <f aca="false">SUMPRODUCT(('Aug 1'!$F$8:$F$42=$AD11)*'Aug 1'!$AJ$8:$AJ$42+('Aug 1'!$G$8:$G$42=$AD11)*'Aug 1'!$AK$8:$AK$42)</f>
        <v>0</v>
      </c>
      <c r="AF11" s="0" t="n">
        <f aca="false">SUMPRODUCT(('Aug 2'!$F$8:$F$42=$AD11)*'Aug 2'!$AJ$8:$AJ$42+('Aug 2'!$G$8:$G$42=$AD11)*'Aug 2'!$AK$8:$AK$42)</f>
        <v>0</v>
      </c>
      <c r="AG11" s="0" t="n">
        <f aca="false">SUMPRODUCT(('Aug 3'!$F$8:$F$42=$AD11)*'Aug 3'!$AJ$8:$AJ$42+('Aug 3'!$G$8:$G$42=$AD11)*'Aug 3'!$AK$8:$AK$42)</f>
        <v>0</v>
      </c>
      <c r="AH11" s="0" t="n">
        <f aca="false">SUMPRODUCT(('Aug 4'!$F$8:$F$42=$AD11)*'Aug 4'!$AJ$8:$AJ$42+('Aug 4'!$G$8:$G$42=$AD11)*'Aug 4'!$AK$8:$AK$42)</f>
        <v>0</v>
      </c>
      <c r="AI11" s="0" t="n">
        <f aca="false">SUMPRODUCT(('Aug 5'!$F$8:$F$42=$AD11)*'Aug 5'!$AJ$8:$AJ$42+('Aug 5'!$G$8:$G$42=$AD11)*'Aug 5'!$AK$8:$AK$42)</f>
        <v>0</v>
      </c>
      <c r="AJ11" s="0" t="n">
        <f aca="false">SUMPRODUCT(('Aug 6'!$F$8:$F$42=$AD11)*'Aug 6'!$AJ$8:$AJ$42+('Aug 6'!$G$8:$G$42=$AD11)*'Aug 6'!$AK$8:$AK$42)</f>
        <v>0</v>
      </c>
      <c r="AK11" s="0" t="n">
        <f aca="false">SUMPRODUCT(('Aug 7'!$F$8:$F$42=$AD11)*'Aug 7'!$AJ$8:$AJ$42+('Aug 7'!$G$8:$G$42=$AD11)*'Aug 7'!$AK$8:$AK$42)</f>
        <v>0</v>
      </c>
      <c r="AL11" s="0" t="n">
        <f aca="false">SUMPRODUCT(('Aug 8'!$F$8:$F$42=$AD11)*'Aug 8'!$AJ$8:$AJ$42+('Aug 8'!$G$8:$G$42=$AD11)*'Aug 8'!$AK$8:$AK$42)</f>
        <v>0</v>
      </c>
      <c r="AM11" s="0" t="n">
        <f aca="false">SUMPRODUCT(('Aug 9'!$F$8:$F$42=$AD11)*'Aug 9'!$AJ$8:$AJ$42+('Aug 9'!$G$8:$G$42=$AD11)*'Aug 9'!$AK$8:$AK$42)</f>
        <v>0</v>
      </c>
      <c r="AN11" s="0" t="n">
        <f aca="false">SUMPRODUCT(('Aug 10'!$F$8:$F$42=$AD11)*'Aug 10'!$AJ$8:$AJ$42+('Aug 10'!$G$8:$G$42=$AD11)*'Aug 10'!$AK$8:$AK$42)</f>
        <v>0</v>
      </c>
      <c r="AO11" s="0" t="n">
        <f aca="false">SUMPRODUCT(('Aug 11'!$F$8:$F$42=$AD11)*'Aug 11'!$AJ$8:$AJ$42+('Aug 11'!$G$8:$G$42=$AD11)*'Aug 11'!$AK$8:$AK$42)</f>
        <v>0</v>
      </c>
      <c r="AP11" s="0" t="n">
        <f aca="false">SUMPRODUCT(('Aug 12'!$F$8:$F$42=$AD11)*'Aug 12'!$AJ$8:$AJ$42+('Aug 12'!$G$8:$G$42=$AD11)*'Aug 12'!$AK$8:$AK$42)</f>
        <v>0</v>
      </c>
      <c r="AQ11" s="0" t="n">
        <f aca="false">SUMPRODUCT(('Aug 13'!$F$8:$F$42=$AD11)*'Aug 13'!$AJ$8:$AJ$42+('Aug 13'!$G$8:$G$42=$AD11)*'Aug 13'!$AK$8:$AK$42)</f>
        <v>0</v>
      </c>
      <c r="AR11" s="0" t="n">
        <f aca="false">SUMPRODUCT(('Aug 14'!$F$8:$F$42=$AD11)*'Aug 14'!$AJ$8:$AJ$42+('Aug 14'!$G$8:$G$42=$AD11)*'Aug 14'!$AK$8:$AK$42)</f>
        <v>0</v>
      </c>
      <c r="AS11" s="0" t="n">
        <f aca="false">SUMPRODUCT(('Aug 15'!$F$8:$F$42=$AD11)*'Aug 15'!$AJ$8:$AJ$42+('Aug 15'!$G$8:$G$42=$AD11)*'Aug 15'!$AK$8:$AK$42)</f>
        <v>0</v>
      </c>
      <c r="AT11" s="0" t="n">
        <f aca="false">SUMPRODUCT(('Aug 16'!$F$8:$F$42=$AD11)*'Aug 16'!$AJ$8:$AJ$42+('Aug 16'!$G$8:$G$42=$AD11)*'Aug 16'!$AK$8:$AK$42)</f>
        <v>0</v>
      </c>
      <c r="AU11" s="0" t="n">
        <f aca="false">SUMPRODUCT(('Aug 17'!$F$8:$F$42=$AD11)*'Aug 17'!$AJ$8:$AJ$42+('Aug 17'!$G$8:$G$42=$AD11)*'Aug 17'!$AK$8:$AK$42)</f>
        <v>0</v>
      </c>
      <c r="AV11" s="0" t="n">
        <f aca="false">SUMPRODUCT(('Aug 18'!$F$8:$F$42=$AD11)*'Aug 18'!$AJ$8:$AJ$42+('Aug 18'!$G$8:$G$42=$AD11)*'Aug 18'!$AK$8:$AK$42)</f>
        <v>0</v>
      </c>
      <c r="AW11" s="0" t="n">
        <f aca="false">SUMPRODUCT(('Aug 19'!$F$8:$F$42=$AD11)*'Aug 19'!$AJ$8:$AJ$42+('Aug 19'!$G$8:$G$42=$AD11)*'Aug 19'!$AK$8:$AK$42)</f>
        <v>0</v>
      </c>
      <c r="AX11" s="0" t="n">
        <f aca="false">SUMPRODUCT(('Aug 20'!$F$8:$F$42=$AD11)*'Aug 20'!$AJ$8:$AJ$42+('Aug 20'!$G$8:$G$42=$AD11)*'Aug 20'!$AK$8:$AK$42)</f>
        <v>0</v>
      </c>
      <c r="AY11" s="0" t="n">
        <f aca="false">SUMPRODUCT(('Aug 21'!$F$8:$F$42=$AD11)*'Aug 21'!$AJ$8:$AJ$42+('Aug 21'!$G$8:$G$42=$AD11)*'Aug 21'!$AK$8:$AK$42)</f>
        <v>0</v>
      </c>
      <c r="AZ11" s="0" t="n">
        <f aca="false">SUMPRODUCT(('Aug 22'!$F$8:$F$42=$AD11)*'Aug 22'!$AJ$8:$AJ$42+('Aug 22'!$G$8:$G$42=$AD11)*'Aug 22'!$AK$8:$AK$42)</f>
        <v>0</v>
      </c>
      <c r="BA11" s="0" t="n">
        <f aca="false">SUMPRODUCT(('Aug 23'!$F$8:$F$42=$AD11)*'Aug 23'!$AJ$8:$AJ$42+('Aug 23'!$G$8:$G$42=$AD11)*'Aug 23'!$AK$8:$AK$42)</f>
        <v>0</v>
      </c>
      <c r="BB11" s="0" t="n">
        <f aca="false">SUMPRODUCT(('Aug 24'!$F$8:$F$42=$AD11)*'Aug 24'!$AJ$8:$AJ$42+('Aug 24'!$G$8:$G$42=$AD11)*'Aug 24'!$AK$8:$AK$42)</f>
        <v>0</v>
      </c>
      <c r="BC11" s="0" t="n">
        <f aca="false">SUMPRODUCT(('Aug 25'!$F$8:$F$42=$AD11)*'Aug 25'!$AJ$8:$AJ$42+('Aug 25'!$G$8:$G$42=$AD11)*'Aug 25'!$AK$8:$AK$42)</f>
        <v>0</v>
      </c>
      <c r="BD11" s="0" t="n">
        <f aca="false">SUMPRODUCT(('Aug 26'!$F$8:$F$42=$AD11)*'Aug 26'!$AJ$8:$AJ$42+('Aug 26'!$G$8:$G$42=$AD11)*'Aug 26'!$AK$8:$AK$42)</f>
        <v>0</v>
      </c>
      <c r="BE11" s="0" t="n">
        <f aca="false">SUMPRODUCT(('Aug 27'!$F$8:$F$42=$AD11)*'Aug 27'!$AJ$8:$AJ$42+('Aug 27'!$G$8:$G$42=$AD11)*'Aug 27'!$AK$8:$AK$42)</f>
        <v>0</v>
      </c>
      <c r="BF11" s="0" t="n">
        <f aca="false">SUMPRODUCT(('Aug 28'!$F$8:$F$42=$AD11)*'Aug 28'!$AJ$8:$AJ$42+('Aug 28'!$G$8:$G$42=$AD11)*'Aug 28'!$AK$8:$AK$42)</f>
        <v>0</v>
      </c>
      <c r="BG11" s="0" t="n">
        <f aca="false">SUMPRODUCT(('Aug 29'!$F$8:$F$42=$AD11)*'Aug 29'!$AJ$8:$AJ$42+('Aug 29'!$G$8:$G$42=$AD11)*'Aug 29'!$AK$8:$AK$42)</f>
        <v>0</v>
      </c>
      <c r="BH11" s="0" t="n">
        <f aca="false">SUMPRODUCT(('Aug 30'!$F$8:$F$42=$AD11)*'Aug 30'!$AJ$8:$AJ$42+('Aug 30'!$G$8:$G$42=$AD11)*'Aug 30'!$AK$8:$AK$42)</f>
        <v>0</v>
      </c>
      <c r="BI11" s="0" t="n">
        <f aca="false">SUMPRODUCT(('Aug 31'!$F$8:$F$42=$AD11)*'Aug 31'!$AJ$8:$AJ$42+('Aug 31'!$G$8:$G$42=$AD11)*'Aug 31'!$AK$8:$AK$42)</f>
        <v>0</v>
      </c>
      <c r="BK11" s="0" t="n">
        <f aca="false">SUM(AE11:BI11)</f>
        <v>0</v>
      </c>
      <c r="BM11" s="0" t="n">
        <f aca="false">BK11+BK30/1000000000000</f>
        <v>0</v>
      </c>
      <c r="BN11" s="0" t="n">
        <f aca="false">RANK(BM11,$BM$4:$BM$19,0)+COUNTIF(BM$4:BM11,BM11)-1</f>
        <v>8</v>
      </c>
      <c r="BR11" s="0" t="n">
        <v>46244</v>
      </c>
      <c r="BT11" s="0" t="n">
        <f aca="false">SUM(AC4:AC34)</f>
        <v>0</v>
      </c>
    </row>
    <row r="12" customFormat="false" ht="15" hidden="false" customHeight="false" outlineLevel="0" collapsed="false">
      <c r="B12" s="65" t="s">
        <v>145</v>
      </c>
      <c r="C12" s="72" t="n">
        <f aca="false">IF(BT4=0,"—",ROUND(BT6/BT4*GoalSellingDays,1))</f>
        <v>0</v>
      </c>
      <c r="D12" s="71" t="str">
        <f aca="false">IF(OR(GoalUnitsTotal="",BT4=0),"",IF(C12&gt;=GoalUnitsTotal,"▲ +"&amp;TEXT(C12-GoalUnitsTotal,"0.0"),"▼ "&amp;TEXT(C12-GoalUnitsTotal,"0.0")))</f>
        <v/>
      </c>
      <c r="F12" s="65" t="s">
        <v>146</v>
      </c>
      <c r="G12" s="73" t="n">
        <f aca="false">IF(BT4=0,"—",ROUND(BT7/BT4*GoalSellingDays,0))</f>
        <v>0</v>
      </c>
      <c r="I12" s="71" t="str">
        <f aca="false">IF(OR(GoalGrossTotal="",BT4=0),"",IF(G12&gt;=GoalGrossTotal,"▲ "&amp;TEXT(G12-GoalGrossTotal,"$#,##0"),"▼ "&amp;TEXT(G12-GoalGrossTotal,"$#,##0")))</f>
        <v/>
      </c>
      <c r="U12" s="64" t="n">
        <f aca="false">'Aug 9'!$G$47</f>
        <v>0</v>
      </c>
      <c r="V12" s="64" t="n">
        <f aca="false">'Aug 9'!$G$48</f>
        <v>0</v>
      </c>
      <c r="W12" s="0" t="n">
        <f aca="false">'Aug 9'!$C$54</f>
        <v>0</v>
      </c>
      <c r="X12" s="64" t="n">
        <f aca="false">'Aug 9'!$C$55</f>
        <v>0</v>
      </c>
      <c r="Y12" s="0" t="n">
        <f aca="false">'Aug 9'!$C$57</f>
        <v>0</v>
      </c>
      <c r="Z12" s="0" t="n">
        <f aca="false">COUNTIF('Aug 9'!$AM$8:$AM$42,"Y")</f>
        <v>0</v>
      </c>
      <c r="AA12" s="0" t="n">
        <f aca="false">COUNTIF('Aug 9'!$AN$8:$AN$42,"Y")</f>
        <v>0</v>
      </c>
      <c r="AB12" s="0" t="n">
        <f aca="false">COUNTIF('Aug 9'!$AO$8:$AO$42,"Y")</f>
        <v>0</v>
      </c>
      <c r="AC12" s="0" t="n">
        <f aca="false">'Aug 9'!$C$46</f>
        <v>0</v>
      </c>
      <c r="AD12" s="0" t="str">
        <f aca="false">'Staff &amp; Lists'!A13</f>
        <v>ZACH CUPP</v>
      </c>
      <c r="AE12" s="0" t="n">
        <f aca="false">SUMPRODUCT(('Aug 1'!$F$8:$F$42=$AD12)*'Aug 1'!$AJ$8:$AJ$42+('Aug 1'!$G$8:$G$42=$AD12)*'Aug 1'!$AK$8:$AK$42)</f>
        <v>0</v>
      </c>
      <c r="AF12" s="0" t="n">
        <f aca="false">SUMPRODUCT(('Aug 2'!$F$8:$F$42=$AD12)*'Aug 2'!$AJ$8:$AJ$42+('Aug 2'!$G$8:$G$42=$AD12)*'Aug 2'!$AK$8:$AK$42)</f>
        <v>0</v>
      </c>
      <c r="AG12" s="0" t="n">
        <f aca="false">SUMPRODUCT(('Aug 3'!$F$8:$F$42=$AD12)*'Aug 3'!$AJ$8:$AJ$42+('Aug 3'!$G$8:$G$42=$AD12)*'Aug 3'!$AK$8:$AK$42)</f>
        <v>0</v>
      </c>
      <c r="AH12" s="0" t="n">
        <f aca="false">SUMPRODUCT(('Aug 4'!$F$8:$F$42=$AD12)*'Aug 4'!$AJ$8:$AJ$42+('Aug 4'!$G$8:$G$42=$AD12)*'Aug 4'!$AK$8:$AK$42)</f>
        <v>0</v>
      </c>
      <c r="AI12" s="0" t="n">
        <f aca="false">SUMPRODUCT(('Aug 5'!$F$8:$F$42=$AD12)*'Aug 5'!$AJ$8:$AJ$42+('Aug 5'!$G$8:$G$42=$AD12)*'Aug 5'!$AK$8:$AK$42)</f>
        <v>0</v>
      </c>
      <c r="AJ12" s="0" t="n">
        <f aca="false">SUMPRODUCT(('Aug 6'!$F$8:$F$42=$AD12)*'Aug 6'!$AJ$8:$AJ$42+('Aug 6'!$G$8:$G$42=$AD12)*'Aug 6'!$AK$8:$AK$42)</f>
        <v>0</v>
      </c>
      <c r="AK12" s="0" t="n">
        <f aca="false">SUMPRODUCT(('Aug 7'!$F$8:$F$42=$AD12)*'Aug 7'!$AJ$8:$AJ$42+('Aug 7'!$G$8:$G$42=$AD12)*'Aug 7'!$AK$8:$AK$42)</f>
        <v>0</v>
      </c>
      <c r="AL12" s="0" t="n">
        <f aca="false">SUMPRODUCT(('Aug 8'!$F$8:$F$42=$AD12)*'Aug 8'!$AJ$8:$AJ$42+('Aug 8'!$G$8:$G$42=$AD12)*'Aug 8'!$AK$8:$AK$42)</f>
        <v>0</v>
      </c>
      <c r="AM12" s="0" t="n">
        <f aca="false">SUMPRODUCT(('Aug 9'!$F$8:$F$42=$AD12)*'Aug 9'!$AJ$8:$AJ$42+('Aug 9'!$G$8:$G$42=$AD12)*'Aug 9'!$AK$8:$AK$42)</f>
        <v>0</v>
      </c>
      <c r="AN12" s="0" t="n">
        <f aca="false">SUMPRODUCT(('Aug 10'!$F$8:$F$42=$AD12)*'Aug 10'!$AJ$8:$AJ$42+('Aug 10'!$G$8:$G$42=$AD12)*'Aug 10'!$AK$8:$AK$42)</f>
        <v>0</v>
      </c>
      <c r="AO12" s="0" t="n">
        <f aca="false">SUMPRODUCT(('Aug 11'!$F$8:$F$42=$AD12)*'Aug 11'!$AJ$8:$AJ$42+('Aug 11'!$G$8:$G$42=$AD12)*'Aug 11'!$AK$8:$AK$42)</f>
        <v>0</v>
      </c>
      <c r="AP12" s="0" t="n">
        <f aca="false">SUMPRODUCT(('Aug 12'!$F$8:$F$42=$AD12)*'Aug 12'!$AJ$8:$AJ$42+('Aug 12'!$G$8:$G$42=$AD12)*'Aug 12'!$AK$8:$AK$42)</f>
        <v>0</v>
      </c>
      <c r="AQ12" s="0" t="n">
        <f aca="false">SUMPRODUCT(('Aug 13'!$F$8:$F$42=$AD12)*'Aug 13'!$AJ$8:$AJ$42+('Aug 13'!$G$8:$G$42=$AD12)*'Aug 13'!$AK$8:$AK$42)</f>
        <v>0</v>
      </c>
      <c r="AR12" s="0" t="n">
        <f aca="false">SUMPRODUCT(('Aug 14'!$F$8:$F$42=$AD12)*'Aug 14'!$AJ$8:$AJ$42+('Aug 14'!$G$8:$G$42=$AD12)*'Aug 14'!$AK$8:$AK$42)</f>
        <v>0</v>
      </c>
      <c r="AS12" s="0" t="n">
        <f aca="false">SUMPRODUCT(('Aug 15'!$F$8:$F$42=$AD12)*'Aug 15'!$AJ$8:$AJ$42+('Aug 15'!$G$8:$G$42=$AD12)*'Aug 15'!$AK$8:$AK$42)</f>
        <v>0</v>
      </c>
      <c r="AT12" s="0" t="n">
        <f aca="false">SUMPRODUCT(('Aug 16'!$F$8:$F$42=$AD12)*'Aug 16'!$AJ$8:$AJ$42+('Aug 16'!$G$8:$G$42=$AD12)*'Aug 16'!$AK$8:$AK$42)</f>
        <v>0</v>
      </c>
      <c r="AU12" s="0" t="n">
        <f aca="false">SUMPRODUCT(('Aug 17'!$F$8:$F$42=$AD12)*'Aug 17'!$AJ$8:$AJ$42+('Aug 17'!$G$8:$G$42=$AD12)*'Aug 17'!$AK$8:$AK$42)</f>
        <v>0</v>
      </c>
      <c r="AV12" s="0" t="n">
        <f aca="false">SUMPRODUCT(('Aug 18'!$F$8:$F$42=$AD12)*'Aug 18'!$AJ$8:$AJ$42+('Aug 18'!$G$8:$G$42=$AD12)*'Aug 18'!$AK$8:$AK$42)</f>
        <v>0</v>
      </c>
      <c r="AW12" s="0" t="n">
        <f aca="false">SUMPRODUCT(('Aug 19'!$F$8:$F$42=$AD12)*'Aug 19'!$AJ$8:$AJ$42+('Aug 19'!$G$8:$G$42=$AD12)*'Aug 19'!$AK$8:$AK$42)</f>
        <v>0</v>
      </c>
      <c r="AX12" s="0" t="n">
        <f aca="false">SUMPRODUCT(('Aug 20'!$F$8:$F$42=$AD12)*'Aug 20'!$AJ$8:$AJ$42+('Aug 20'!$G$8:$G$42=$AD12)*'Aug 20'!$AK$8:$AK$42)</f>
        <v>0</v>
      </c>
      <c r="AY12" s="0" t="n">
        <f aca="false">SUMPRODUCT(('Aug 21'!$F$8:$F$42=$AD12)*'Aug 21'!$AJ$8:$AJ$42+('Aug 21'!$G$8:$G$42=$AD12)*'Aug 21'!$AK$8:$AK$42)</f>
        <v>0</v>
      </c>
      <c r="AZ12" s="0" t="n">
        <f aca="false">SUMPRODUCT(('Aug 22'!$F$8:$F$42=$AD12)*'Aug 22'!$AJ$8:$AJ$42+('Aug 22'!$G$8:$G$42=$AD12)*'Aug 22'!$AK$8:$AK$42)</f>
        <v>0</v>
      </c>
      <c r="BA12" s="0" t="n">
        <f aca="false">SUMPRODUCT(('Aug 23'!$F$8:$F$42=$AD12)*'Aug 23'!$AJ$8:$AJ$42+('Aug 23'!$G$8:$G$42=$AD12)*'Aug 23'!$AK$8:$AK$42)</f>
        <v>0</v>
      </c>
      <c r="BB12" s="0" t="n">
        <f aca="false">SUMPRODUCT(('Aug 24'!$F$8:$F$42=$AD12)*'Aug 24'!$AJ$8:$AJ$42+('Aug 24'!$G$8:$G$42=$AD12)*'Aug 24'!$AK$8:$AK$42)</f>
        <v>0</v>
      </c>
      <c r="BC12" s="0" t="n">
        <f aca="false">SUMPRODUCT(('Aug 25'!$F$8:$F$42=$AD12)*'Aug 25'!$AJ$8:$AJ$42+('Aug 25'!$G$8:$G$42=$AD12)*'Aug 25'!$AK$8:$AK$42)</f>
        <v>0</v>
      </c>
      <c r="BD12" s="0" t="n">
        <f aca="false">SUMPRODUCT(('Aug 26'!$F$8:$F$42=$AD12)*'Aug 26'!$AJ$8:$AJ$42+('Aug 26'!$G$8:$G$42=$AD12)*'Aug 26'!$AK$8:$AK$42)</f>
        <v>0</v>
      </c>
      <c r="BE12" s="0" t="n">
        <f aca="false">SUMPRODUCT(('Aug 27'!$F$8:$F$42=$AD12)*'Aug 27'!$AJ$8:$AJ$42+('Aug 27'!$G$8:$G$42=$AD12)*'Aug 27'!$AK$8:$AK$42)</f>
        <v>0</v>
      </c>
      <c r="BF12" s="0" t="n">
        <f aca="false">SUMPRODUCT(('Aug 28'!$F$8:$F$42=$AD12)*'Aug 28'!$AJ$8:$AJ$42+('Aug 28'!$G$8:$G$42=$AD12)*'Aug 28'!$AK$8:$AK$42)</f>
        <v>0</v>
      </c>
      <c r="BG12" s="0" t="n">
        <f aca="false">SUMPRODUCT(('Aug 29'!$F$8:$F$42=$AD12)*'Aug 29'!$AJ$8:$AJ$42+('Aug 29'!$G$8:$G$42=$AD12)*'Aug 29'!$AK$8:$AK$42)</f>
        <v>0</v>
      </c>
      <c r="BH12" s="0" t="n">
        <f aca="false">SUMPRODUCT(('Aug 30'!$F$8:$F$42=$AD12)*'Aug 30'!$AJ$8:$AJ$42+('Aug 30'!$G$8:$G$42=$AD12)*'Aug 30'!$AK$8:$AK$42)</f>
        <v>0</v>
      </c>
      <c r="BI12" s="0" t="n">
        <f aca="false">SUMPRODUCT(('Aug 31'!$F$8:$F$42=$AD12)*'Aug 31'!$AJ$8:$AJ$42+('Aug 31'!$G$8:$G$42=$AD12)*'Aug 31'!$AK$8:$AK$42)</f>
        <v>0</v>
      </c>
      <c r="BK12" s="0" t="n">
        <f aca="false">SUM(AE12:BI12)</f>
        <v>0</v>
      </c>
      <c r="BM12" s="0" t="n">
        <f aca="false">BK12+BK31/1000000000000</f>
        <v>0</v>
      </c>
      <c r="BN12" s="0" t="n">
        <f aca="false">RANK(BM12,$BM$4:$BM$19,0)+COUNTIF(BM$4:BM12,BM12)-1</f>
        <v>9</v>
      </c>
      <c r="BR12" s="0" t="n">
        <v>46245</v>
      </c>
      <c r="BT12" s="0" t="n">
        <f aca="false">'Aug 1'!$G$54+'Aug 2'!$G$54+'Aug 3'!$G$54+'Aug 4'!$G$54+'Aug 5'!$G$54+'Aug 6'!$G$54+'Aug 7'!$G$54+'Aug 8'!$G$54+'Aug 9'!$G$54+'Aug 10'!$G$54+'Aug 11'!$G$54+'Aug 12'!$G$54+'Aug 13'!$G$54+'Aug 14'!$G$54+'Aug 15'!$G$54+'Aug 16'!$G$54+'Aug 17'!$G$54+'Aug 18'!$G$54+'Aug 19'!$G$54+'Aug 20'!$G$54+'Aug 21'!$G$54+'Aug 22'!$G$54+'Aug 23'!$G$54+'Aug 24'!$G$54+'Aug 25'!$G$54+'Aug 26'!$G$54+'Aug 27'!$G$54+'Aug 28'!$G$54+'Aug 29'!$G$54+'Aug 30'!$G$54+'Aug 31'!$G$54</f>
        <v>0</v>
      </c>
    </row>
    <row r="13" customFormat="false" ht="15" hidden="false" customHeight="false" outlineLevel="0" collapsed="false">
      <c r="A13" s="19" t="s">
        <v>147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U13" s="64" t="n">
        <f aca="false">'Aug 10'!$G$47</f>
        <v>0</v>
      </c>
      <c r="V13" s="64" t="n">
        <f aca="false">'Aug 10'!$G$48</f>
        <v>0</v>
      </c>
      <c r="W13" s="0" t="n">
        <f aca="false">'Aug 10'!$C$54</f>
        <v>0</v>
      </c>
      <c r="X13" s="64" t="n">
        <f aca="false">'Aug 10'!$C$55</f>
        <v>0</v>
      </c>
      <c r="Y13" s="0" t="n">
        <f aca="false">'Aug 10'!$C$57</f>
        <v>0</v>
      </c>
      <c r="Z13" s="0" t="n">
        <f aca="false">COUNTIF('Aug 10'!$AM$8:$AM$42,"Y")</f>
        <v>0</v>
      </c>
      <c r="AA13" s="0" t="n">
        <f aca="false">COUNTIF('Aug 10'!$AN$8:$AN$42,"Y")</f>
        <v>0</v>
      </c>
      <c r="AB13" s="0" t="n">
        <f aca="false">COUNTIF('Aug 10'!$AO$8:$AO$42,"Y")</f>
        <v>0</v>
      </c>
      <c r="AC13" s="0" t="n">
        <f aca="false">'Aug 10'!$C$46</f>
        <v>0</v>
      </c>
      <c r="AD13" s="0" t="str">
        <f aca="false">'Staff &amp; Lists'!A14</f>
        <v>ANDREW MIEIR</v>
      </c>
      <c r="AE13" s="0" t="n">
        <f aca="false">SUMPRODUCT(('Aug 1'!$F$8:$F$42=$AD13)*'Aug 1'!$AJ$8:$AJ$42+('Aug 1'!$G$8:$G$42=$AD13)*'Aug 1'!$AK$8:$AK$42)</f>
        <v>0</v>
      </c>
      <c r="AF13" s="0" t="n">
        <f aca="false">SUMPRODUCT(('Aug 2'!$F$8:$F$42=$AD13)*'Aug 2'!$AJ$8:$AJ$42+('Aug 2'!$G$8:$G$42=$AD13)*'Aug 2'!$AK$8:$AK$42)</f>
        <v>0</v>
      </c>
      <c r="AG13" s="0" t="n">
        <f aca="false">SUMPRODUCT(('Aug 3'!$F$8:$F$42=$AD13)*'Aug 3'!$AJ$8:$AJ$42+('Aug 3'!$G$8:$G$42=$AD13)*'Aug 3'!$AK$8:$AK$42)</f>
        <v>0</v>
      </c>
      <c r="AH13" s="0" t="n">
        <f aca="false">SUMPRODUCT(('Aug 4'!$F$8:$F$42=$AD13)*'Aug 4'!$AJ$8:$AJ$42+('Aug 4'!$G$8:$G$42=$AD13)*'Aug 4'!$AK$8:$AK$42)</f>
        <v>0</v>
      </c>
      <c r="AI13" s="0" t="n">
        <f aca="false">SUMPRODUCT(('Aug 5'!$F$8:$F$42=$AD13)*'Aug 5'!$AJ$8:$AJ$42+('Aug 5'!$G$8:$G$42=$AD13)*'Aug 5'!$AK$8:$AK$42)</f>
        <v>0</v>
      </c>
      <c r="AJ13" s="0" t="n">
        <f aca="false">SUMPRODUCT(('Aug 6'!$F$8:$F$42=$AD13)*'Aug 6'!$AJ$8:$AJ$42+('Aug 6'!$G$8:$G$42=$AD13)*'Aug 6'!$AK$8:$AK$42)</f>
        <v>0</v>
      </c>
      <c r="AK13" s="0" t="n">
        <f aca="false">SUMPRODUCT(('Aug 7'!$F$8:$F$42=$AD13)*'Aug 7'!$AJ$8:$AJ$42+('Aug 7'!$G$8:$G$42=$AD13)*'Aug 7'!$AK$8:$AK$42)</f>
        <v>0</v>
      </c>
      <c r="AL13" s="0" t="n">
        <f aca="false">SUMPRODUCT(('Aug 8'!$F$8:$F$42=$AD13)*'Aug 8'!$AJ$8:$AJ$42+('Aug 8'!$G$8:$G$42=$AD13)*'Aug 8'!$AK$8:$AK$42)</f>
        <v>0</v>
      </c>
      <c r="AM13" s="0" t="n">
        <f aca="false">SUMPRODUCT(('Aug 9'!$F$8:$F$42=$AD13)*'Aug 9'!$AJ$8:$AJ$42+('Aug 9'!$G$8:$G$42=$AD13)*'Aug 9'!$AK$8:$AK$42)</f>
        <v>0</v>
      </c>
      <c r="AN13" s="0" t="n">
        <f aca="false">SUMPRODUCT(('Aug 10'!$F$8:$F$42=$AD13)*'Aug 10'!$AJ$8:$AJ$42+('Aug 10'!$G$8:$G$42=$AD13)*'Aug 10'!$AK$8:$AK$42)</f>
        <v>0</v>
      </c>
      <c r="AO13" s="0" t="n">
        <f aca="false">SUMPRODUCT(('Aug 11'!$F$8:$F$42=$AD13)*'Aug 11'!$AJ$8:$AJ$42+('Aug 11'!$G$8:$G$42=$AD13)*'Aug 11'!$AK$8:$AK$42)</f>
        <v>0</v>
      </c>
      <c r="AP13" s="0" t="n">
        <f aca="false">SUMPRODUCT(('Aug 12'!$F$8:$F$42=$AD13)*'Aug 12'!$AJ$8:$AJ$42+('Aug 12'!$G$8:$G$42=$AD13)*'Aug 12'!$AK$8:$AK$42)</f>
        <v>0</v>
      </c>
      <c r="AQ13" s="0" t="n">
        <f aca="false">SUMPRODUCT(('Aug 13'!$F$8:$F$42=$AD13)*'Aug 13'!$AJ$8:$AJ$42+('Aug 13'!$G$8:$G$42=$AD13)*'Aug 13'!$AK$8:$AK$42)</f>
        <v>0</v>
      </c>
      <c r="AR13" s="0" t="n">
        <f aca="false">SUMPRODUCT(('Aug 14'!$F$8:$F$42=$AD13)*'Aug 14'!$AJ$8:$AJ$42+('Aug 14'!$G$8:$G$42=$AD13)*'Aug 14'!$AK$8:$AK$42)</f>
        <v>0</v>
      </c>
      <c r="AS13" s="0" t="n">
        <f aca="false">SUMPRODUCT(('Aug 15'!$F$8:$F$42=$AD13)*'Aug 15'!$AJ$8:$AJ$42+('Aug 15'!$G$8:$G$42=$AD13)*'Aug 15'!$AK$8:$AK$42)</f>
        <v>0</v>
      </c>
      <c r="AT13" s="0" t="n">
        <f aca="false">SUMPRODUCT(('Aug 16'!$F$8:$F$42=$AD13)*'Aug 16'!$AJ$8:$AJ$42+('Aug 16'!$G$8:$G$42=$AD13)*'Aug 16'!$AK$8:$AK$42)</f>
        <v>0</v>
      </c>
      <c r="AU13" s="0" t="n">
        <f aca="false">SUMPRODUCT(('Aug 17'!$F$8:$F$42=$AD13)*'Aug 17'!$AJ$8:$AJ$42+('Aug 17'!$G$8:$G$42=$AD13)*'Aug 17'!$AK$8:$AK$42)</f>
        <v>0</v>
      </c>
      <c r="AV13" s="0" t="n">
        <f aca="false">SUMPRODUCT(('Aug 18'!$F$8:$F$42=$AD13)*'Aug 18'!$AJ$8:$AJ$42+('Aug 18'!$G$8:$G$42=$AD13)*'Aug 18'!$AK$8:$AK$42)</f>
        <v>0</v>
      </c>
      <c r="AW13" s="0" t="n">
        <f aca="false">SUMPRODUCT(('Aug 19'!$F$8:$F$42=$AD13)*'Aug 19'!$AJ$8:$AJ$42+('Aug 19'!$G$8:$G$42=$AD13)*'Aug 19'!$AK$8:$AK$42)</f>
        <v>0</v>
      </c>
      <c r="AX13" s="0" t="n">
        <f aca="false">SUMPRODUCT(('Aug 20'!$F$8:$F$42=$AD13)*'Aug 20'!$AJ$8:$AJ$42+('Aug 20'!$G$8:$G$42=$AD13)*'Aug 20'!$AK$8:$AK$42)</f>
        <v>0</v>
      </c>
      <c r="AY13" s="0" t="n">
        <f aca="false">SUMPRODUCT(('Aug 21'!$F$8:$F$42=$AD13)*'Aug 21'!$AJ$8:$AJ$42+('Aug 21'!$G$8:$G$42=$AD13)*'Aug 21'!$AK$8:$AK$42)</f>
        <v>0</v>
      </c>
      <c r="AZ13" s="0" t="n">
        <f aca="false">SUMPRODUCT(('Aug 22'!$F$8:$F$42=$AD13)*'Aug 22'!$AJ$8:$AJ$42+('Aug 22'!$G$8:$G$42=$AD13)*'Aug 22'!$AK$8:$AK$42)</f>
        <v>0</v>
      </c>
      <c r="BA13" s="0" t="n">
        <f aca="false">SUMPRODUCT(('Aug 23'!$F$8:$F$42=$AD13)*'Aug 23'!$AJ$8:$AJ$42+('Aug 23'!$G$8:$G$42=$AD13)*'Aug 23'!$AK$8:$AK$42)</f>
        <v>0</v>
      </c>
      <c r="BB13" s="0" t="n">
        <f aca="false">SUMPRODUCT(('Aug 24'!$F$8:$F$42=$AD13)*'Aug 24'!$AJ$8:$AJ$42+('Aug 24'!$G$8:$G$42=$AD13)*'Aug 24'!$AK$8:$AK$42)</f>
        <v>0</v>
      </c>
      <c r="BC13" s="0" t="n">
        <f aca="false">SUMPRODUCT(('Aug 25'!$F$8:$F$42=$AD13)*'Aug 25'!$AJ$8:$AJ$42+('Aug 25'!$G$8:$G$42=$AD13)*'Aug 25'!$AK$8:$AK$42)</f>
        <v>0</v>
      </c>
      <c r="BD13" s="0" t="n">
        <f aca="false">SUMPRODUCT(('Aug 26'!$F$8:$F$42=$AD13)*'Aug 26'!$AJ$8:$AJ$42+('Aug 26'!$G$8:$G$42=$AD13)*'Aug 26'!$AK$8:$AK$42)</f>
        <v>0</v>
      </c>
      <c r="BE13" s="0" t="n">
        <f aca="false">SUMPRODUCT(('Aug 27'!$F$8:$F$42=$AD13)*'Aug 27'!$AJ$8:$AJ$42+('Aug 27'!$G$8:$G$42=$AD13)*'Aug 27'!$AK$8:$AK$42)</f>
        <v>0</v>
      </c>
      <c r="BF13" s="0" t="n">
        <f aca="false">SUMPRODUCT(('Aug 28'!$F$8:$F$42=$AD13)*'Aug 28'!$AJ$8:$AJ$42+('Aug 28'!$G$8:$G$42=$AD13)*'Aug 28'!$AK$8:$AK$42)</f>
        <v>0</v>
      </c>
      <c r="BG13" s="0" t="n">
        <f aca="false">SUMPRODUCT(('Aug 29'!$F$8:$F$42=$AD13)*'Aug 29'!$AJ$8:$AJ$42+('Aug 29'!$G$8:$G$42=$AD13)*'Aug 29'!$AK$8:$AK$42)</f>
        <v>0</v>
      </c>
      <c r="BH13" s="0" t="n">
        <f aca="false">SUMPRODUCT(('Aug 30'!$F$8:$F$42=$AD13)*'Aug 30'!$AJ$8:$AJ$42+('Aug 30'!$G$8:$G$42=$AD13)*'Aug 30'!$AK$8:$AK$42)</f>
        <v>0</v>
      </c>
      <c r="BI13" s="0" t="n">
        <f aca="false">SUMPRODUCT(('Aug 31'!$F$8:$F$42=$AD13)*'Aug 31'!$AJ$8:$AJ$42+('Aug 31'!$G$8:$G$42=$AD13)*'Aug 31'!$AK$8:$AK$42)</f>
        <v>0</v>
      </c>
      <c r="BK13" s="0" t="n">
        <f aca="false">SUM(AE13:BI13)</f>
        <v>0</v>
      </c>
      <c r="BM13" s="0" t="n">
        <f aca="false">BK13+BK32/1000000000000</f>
        <v>0</v>
      </c>
      <c r="BN13" s="0" t="n">
        <f aca="false">RANK(BM13,$BM$4:$BM$19,0)+COUNTIF(BM$4:BM13,BM13)-1</f>
        <v>10</v>
      </c>
      <c r="BR13" s="0" t="n">
        <v>46246</v>
      </c>
      <c r="BT13" s="0" t="n">
        <f aca="false">'Aug 1'!$G$55+'Aug 2'!$G$55+'Aug 3'!$G$55+'Aug 4'!$G$55+'Aug 5'!$G$55+'Aug 6'!$G$55+'Aug 7'!$G$55+'Aug 8'!$G$55+'Aug 9'!$G$55+'Aug 10'!$G$55+'Aug 11'!$G$55+'Aug 12'!$G$55+'Aug 13'!$G$55+'Aug 14'!$G$55+'Aug 15'!$G$55+'Aug 16'!$G$55+'Aug 17'!$G$55+'Aug 18'!$G$55+'Aug 19'!$G$55+'Aug 20'!$G$55+'Aug 21'!$G$55+'Aug 22'!$G$55+'Aug 23'!$G$55+'Aug 24'!$G$55+'Aug 25'!$G$55+'Aug 26'!$G$55+'Aug 27'!$G$55+'Aug 28'!$G$55+'Aug 29'!$G$55+'Aug 30'!$G$55+'Aug 31'!$G$55</f>
        <v>0</v>
      </c>
    </row>
    <row r="14" customFormat="false" ht="15" hidden="false" customHeight="false" outlineLevel="0" collapsed="false">
      <c r="B14" s="43" t="s">
        <v>148</v>
      </c>
      <c r="C14" s="43"/>
      <c r="D14" s="43" t="s">
        <v>149</v>
      </c>
      <c r="E14" s="43"/>
      <c r="F14" s="43" t="s">
        <v>150</v>
      </c>
      <c r="G14" s="43"/>
      <c r="H14" s="43" t="s">
        <v>151</v>
      </c>
      <c r="I14" s="43"/>
      <c r="J14" s="43" t="s">
        <v>152</v>
      </c>
      <c r="K14" s="43"/>
      <c r="L14" s="43" t="s">
        <v>153</v>
      </c>
      <c r="M14" s="43"/>
      <c r="N14" s="43" t="s">
        <v>154</v>
      </c>
      <c r="O14" s="43"/>
      <c r="U14" s="64" t="n">
        <f aca="false">'Aug 11'!$G$47</f>
        <v>0</v>
      </c>
      <c r="V14" s="64" t="n">
        <f aca="false">'Aug 11'!$G$48</f>
        <v>0</v>
      </c>
      <c r="W14" s="0" t="n">
        <f aca="false">'Aug 11'!$C$54</f>
        <v>0</v>
      </c>
      <c r="X14" s="64" t="n">
        <f aca="false">'Aug 11'!$C$55</f>
        <v>0</v>
      </c>
      <c r="Y14" s="0" t="n">
        <f aca="false">'Aug 11'!$C$57</f>
        <v>0</v>
      </c>
      <c r="Z14" s="0" t="n">
        <f aca="false">COUNTIF('Aug 11'!$AM$8:$AM$42,"Y")</f>
        <v>0</v>
      </c>
      <c r="AA14" s="0" t="n">
        <f aca="false">COUNTIF('Aug 11'!$AN$8:$AN$42,"Y")</f>
        <v>0</v>
      </c>
      <c r="AB14" s="0" t="n">
        <f aca="false">COUNTIF('Aug 11'!$AO$8:$AO$42,"Y")</f>
        <v>0</v>
      </c>
      <c r="AC14" s="0" t="n">
        <f aca="false">'Aug 11'!$C$46</f>
        <v>0</v>
      </c>
      <c r="AD14" s="0" t="str">
        <f aca="false">'Staff &amp; Lists'!A15</f>
        <v>RAFAEL CAMPOS</v>
      </c>
      <c r="AE14" s="0" t="n">
        <f aca="false">SUMPRODUCT(('Aug 1'!$F$8:$F$42=$AD14)*'Aug 1'!$AJ$8:$AJ$42+('Aug 1'!$G$8:$G$42=$AD14)*'Aug 1'!$AK$8:$AK$42)</f>
        <v>0</v>
      </c>
      <c r="AF14" s="0" t="n">
        <f aca="false">SUMPRODUCT(('Aug 2'!$F$8:$F$42=$AD14)*'Aug 2'!$AJ$8:$AJ$42+('Aug 2'!$G$8:$G$42=$AD14)*'Aug 2'!$AK$8:$AK$42)</f>
        <v>0</v>
      </c>
      <c r="AG14" s="0" t="n">
        <f aca="false">SUMPRODUCT(('Aug 3'!$F$8:$F$42=$AD14)*'Aug 3'!$AJ$8:$AJ$42+('Aug 3'!$G$8:$G$42=$AD14)*'Aug 3'!$AK$8:$AK$42)</f>
        <v>0</v>
      </c>
      <c r="AH14" s="0" t="n">
        <f aca="false">SUMPRODUCT(('Aug 4'!$F$8:$F$42=$AD14)*'Aug 4'!$AJ$8:$AJ$42+('Aug 4'!$G$8:$G$42=$AD14)*'Aug 4'!$AK$8:$AK$42)</f>
        <v>0</v>
      </c>
      <c r="AI14" s="0" t="n">
        <f aca="false">SUMPRODUCT(('Aug 5'!$F$8:$F$42=$AD14)*'Aug 5'!$AJ$8:$AJ$42+('Aug 5'!$G$8:$G$42=$AD14)*'Aug 5'!$AK$8:$AK$42)</f>
        <v>0</v>
      </c>
      <c r="AJ14" s="0" t="n">
        <f aca="false">SUMPRODUCT(('Aug 6'!$F$8:$F$42=$AD14)*'Aug 6'!$AJ$8:$AJ$42+('Aug 6'!$G$8:$G$42=$AD14)*'Aug 6'!$AK$8:$AK$42)</f>
        <v>0</v>
      </c>
      <c r="AK14" s="0" t="n">
        <f aca="false">SUMPRODUCT(('Aug 7'!$F$8:$F$42=$AD14)*'Aug 7'!$AJ$8:$AJ$42+('Aug 7'!$G$8:$G$42=$AD14)*'Aug 7'!$AK$8:$AK$42)</f>
        <v>0</v>
      </c>
      <c r="AL14" s="0" t="n">
        <f aca="false">SUMPRODUCT(('Aug 8'!$F$8:$F$42=$AD14)*'Aug 8'!$AJ$8:$AJ$42+('Aug 8'!$G$8:$G$42=$AD14)*'Aug 8'!$AK$8:$AK$42)</f>
        <v>0</v>
      </c>
      <c r="AM14" s="0" t="n">
        <f aca="false">SUMPRODUCT(('Aug 9'!$F$8:$F$42=$AD14)*'Aug 9'!$AJ$8:$AJ$42+('Aug 9'!$G$8:$G$42=$AD14)*'Aug 9'!$AK$8:$AK$42)</f>
        <v>0</v>
      </c>
      <c r="AN14" s="0" t="n">
        <f aca="false">SUMPRODUCT(('Aug 10'!$F$8:$F$42=$AD14)*'Aug 10'!$AJ$8:$AJ$42+('Aug 10'!$G$8:$G$42=$AD14)*'Aug 10'!$AK$8:$AK$42)</f>
        <v>0</v>
      </c>
      <c r="AO14" s="0" t="n">
        <f aca="false">SUMPRODUCT(('Aug 11'!$F$8:$F$42=$AD14)*'Aug 11'!$AJ$8:$AJ$42+('Aug 11'!$G$8:$G$42=$AD14)*'Aug 11'!$AK$8:$AK$42)</f>
        <v>0</v>
      </c>
      <c r="AP14" s="0" t="n">
        <f aca="false">SUMPRODUCT(('Aug 12'!$F$8:$F$42=$AD14)*'Aug 12'!$AJ$8:$AJ$42+('Aug 12'!$G$8:$G$42=$AD14)*'Aug 12'!$AK$8:$AK$42)</f>
        <v>0</v>
      </c>
      <c r="AQ14" s="0" t="n">
        <f aca="false">SUMPRODUCT(('Aug 13'!$F$8:$F$42=$AD14)*'Aug 13'!$AJ$8:$AJ$42+('Aug 13'!$G$8:$G$42=$AD14)*'Aug 13'!$AK$8:$AK$42)</f>
        <v>0</v>
      </c>
      <c r="AR14" s="0" t="n">
        <f aca="false">SUMPRODUCT(('Aug 14'!$F$8:$F$42=$AD14)*'Aug 14'!$AJ$8:$AJ$42+('Aug 14'!$G$8:$G$42=$AD14)*'Aug 14'!$AK$8:$AK$42)</f>
        <v>0</v>
      </c>
      <c r="AS14" s="0" t="n">
        <f aca="false">SUMPRODUCT(('Aug 15'!$F$8:$F$42=$AD14)*'Aug 15'!$AJ$8:$AJ$42+('Aug 15'!$G$8:$G$42=$AD14)*'Aug 15'!$AK$8:$AK$42)</f>
        <v>0</v>
      </c>
      <c r="AT14" s="0" t="n">
        <f aca="false">SUMPRODUCT(('Aug 16'!$F$8:$F$42=$AD14)*'Aug 16'!$AJ$8:$AJ$42+('Aug 16'!$G$8:$G$42=$AD14)*'Aug 16'!$AK$8:$AK$42)</f>
        <v>0</v>
      </c>
      <c r="AU14" s="0" t="n">
        <f aca="false">SUMPRODUCT(('Aug 17'!$F$8:$F$42=$AD14)*'Aug 17'!$AJ$8:$AJ$42+('Aug 17'!$G$8:$G$42=$AD14)*'Aug 17'!$AK$8:$AK$42)</f>
        <v>0</v>
      </c>
      <c r="AV14" s="0" t="n">
        <f aca="false">SUMPRODUCT(('Aug 18'!$F$8:$F$42=$AD14)*'Aug 18'!$AJ$8:$AJ$42+('Aug 18'!$G$8:$G$42=$AD14)*'Aug 18'!$AK$8:$AK$42)</f>
        <v>0</v>
      </c>
      <c r="AW14" s="0" t="n">
        <f aca="false">SUMPRODUCT(('Aug 19'!$F$8:$F$42=$AD14)*'Aug 19'!$AJ$8:$AJ$42+('Aug 19'!$G$8:$G$42=$AD14)*'Aug 19'!$AK$8:$AK$42)</f>
        <v>0</v>
      </c>
      <c r="AX14" s="0" t="n">
        <f aca="false">SUMPRODUCT(('Aug 20'!$F$8:$F$42=$AD14)*'Aug 20'!$AJ$8:$AJ$42+('Aug 20'!$G$8:$G$42=$AD14)*'Aug 20'!$AK$8:$AK$42)</f>
        <v>0</v>
      </c>
      <c r="AY14" s="0" t="n">
        <f aca="false">SUMPRODUCT(('Aug 21'!$F$8:$F$42=$AD14)*'Aug 21'!$AJ$8:$AJ$42+('Aug 21'!$G$8:$G$42=$AD14)*'Aug 21'!$AK$8:$AK$42)</f>
        <v>0</v>
      </c>
      <c r="AZ14" s="0" t="n">
        <f aca="false">SUMPRODUCT(('Aug 22'!$F$8:$F$42=$AD14)*'Aug 22'!$AJ$8:$AJ$42+('Aug 22'!$G$8:$G$42=$AD14)*'Aug 22'!$AK$8:$AK$42)</f>
        <v>0</v>
      </c>
      <c r="BA14" s="0" t="n">
        <f aca="false">SUMPRODUCT(('Aug 23'!$F$8:$F$42=$AD14)*'Aug 23'!$AJ$8:$AJ$42+('Aug 23'!$G$8:$G$42=$AD14)*'Aug 23'!$AK$8:$AK$42)</f>
        <v>0</v>
      </c>
      <c r="BB14" s="0" t="n">
        <f aca="false">SUMPRODUCT(('Aug 24'!$F$8:$F$42=$AD14)*'Aug 24'!$AJ$8:$AJ$42+('Aug 24'!$G$8:$G$42=$AD14)*'Aug 24'!$AK$8:$AK$42)</f>
        <v>0</v>
      </c>
      <c r="BC14" s="0" t="n">
        <f aca="false">SUMPRODUCT(('Aug 25'!$F$8:$F$42=$AD14)*'Aug 25'!$AJ$8:$AJ$42+('Aug 25'!$G$8:$G$42=$AD14)*'Aug 25'!$AK$8:$AK$42)</f>
        <v>0</v>
      </c>
      <c r="BD14" s="0" t="n">
        <f aca="false">SUMPRODUCT(('Aug 26'!$F$8:$F$42=$AD14)*'Aug 26'!$AJ$8:$AJ$42+('Aug 26'!$G$8:$G$42=$AD14)*'Aug 26'!$AK$8:$AK$42)</f>
        <v>0</v>
      </c>
      <c r="BE14" s="0" t="n">
        <f aca="false">SUMPRODUCT(('Aug 27'!$F$8:$F$42=$AD14)*'Aug 27'!$AJ$8:$AJ$42+('Aug 27'!$G$8:$G$42=$AD14)*'Aug 27'!$AK$8:$AK$42)</f>
        <v>0</v>
      </c>
      <c r="BF14" s="0" t="n">
        <f aca="false">SUMPRODUCT(('Aug 28'!$F$8:$F$42=$AD14)*'Aug 28'!$AJ$8:$AJ$42+('Aug 28'!$G$8:$G$42=$AD14)*'Aug 28'!$AK$8:$AK$42)</f>
        <v>0</v>
      </c>
      <c r="BG14" s="0" t="n">
        <f aca="false">SUMPRODUCT(('Aug 29'!$F$8:$F$42=$AD14)*'Aug 29'!$AJ$8:$AJ$42+('Aug 29'!$G$8:$G$42=$AD14)*'Aug 29'!$AK$8:$AK$42)</f>
        <v>0</v>
      </c>
      <c r="BH14" s="0" t="n">
        <f aca="false">SUMPRODUCT(('Aug 30'!$F$8:$F$42=$AD14)*'Aug 30'!$AJ$8:$AJ$42+('Aug 30'!$G$8:$G$42=$AD14)*'Aug 30'!$AK$8:$AK$42)</f>
        <v>0</v>
      </c>
      <c r="BI14" s="0" t="n">
        <f aca="false">SUMPRODUCT(('Aug 31'!$F$8:$F$42=$AD14)*'Aug 31'!$AJ$8:$AJ$42+('Aug 31'!$G$8:$G$42=$AD14)*'Aug 31'!$AK$8:$AK$42)</f>
        <v>0</v>
      </c>
      <c r="BK14" s="0" t="n">
        <f aca="false">SUM(AE14:BI14)</f>
        <v>0</v>
      </c>
      <c r="BM14" s="0" t="n">
        <f aca="false">BK14+BK33/1000000000000</f>
        <v>0</v>
      </c>
      <c r="BN14" s="0" t="n">
        <f aca="false">RANK(BM14,$BM$4:$BM$19,0)+COUNTIF(BM$4:BM14,BM14)-1</f>
        <v>11</v>
      </c>
      <c r="BR14" s="0" t="n">
        <v>46247</v>
      </c>
      <c r="BT14" s="0" t="n">
        <f aca="false">'Aug 1'!$G$56+'Aug 2'!$G$56+'Aug 3'!$G$56+'Aug 4'!$G$56+'Aug 5'!$G$56+'Aug 6'!$G$56+'Aug 7'!$G$56+'Aug 8'!$G$56+'Aug 9'!$G$56+'Aug 10'!$G$56+'Aug 11'!$G$56+'Aug 12'!$G$56+'Aug 13'!$G$56+'Aug 14'!$G$56+'Aug 15'!$G$56+'Aug 16'!$G$56+'Aug 17'!$G$56+'Aug 18'!$G$56+'Aug 19'!$G$56+'Aug 20'!$G$56+'Aug 21'!$G$56+'Aug 22'!$G$56+'Aug 23'!$G$56+'Aug 24'!$G$56+'Aug 25'!$G$56+'Aug 26'!$G$56+'Aug 27'!$G$56+'Aug 28'!$G$56+'Aug 29'!$G$56+'Aug 30'!$G$56+'Aug 31'!$G$56</f>
        <v>0</v>
      </c>
    </row>
    <row r="15" customFormat="false" ht="15.75" hidden="false" customHeight="true" outlineLevel="0" collapsed="false">
      <c r="N15" s="74" t="str">
        <f aca="false">HYPERLINK("#'Aug 1'!A1","1")</f>
        <v>1</v>
      </c>
      <c r="O15" s="74"/>
      <c r="U15" s="64" t="n">
        <f aca="false">'Aug 12'!$G$47</f>
        <v>0</v>
      </c>
      <c r="V15" s="64" t="n">
        <f aca="false">'Aug 12'!$G$48</f>
        <v>0</v>
      </c>
      <c r="W15" s="0" t="n">
        <f aca="false">'Aug 12'!$C$54</f>
        <v>0</v>
      </c>
      <c r="X15" s="64" t="n">
        <f aca="false">'Aug 12'!$C$55</f>
        <v>0</v>
      </c>
      <c r="Y15" s="0" t="n">
        <f aca="false">'Aug 12'!$C$57</f>
        <v>0</v>
      </c>
      <c r="Z15" s="0" t="n">
        <f aca="false">COUNTIF('Aug 12'!$AM$8:$AM$42,"Y")</f>
        <v>0</v>
      </c>
      <c r="AA15" s="0" t="n">
        <f aca="false">COUNTIF('Aug 12'!$AN$8:$AN$42,"Y")</f>
        <v>0</v>
      </c>
      <c r="AB15" s="0" t="n">
        <f aca="false">COUNTIF('Aug 12'!$AO$8:$AO$42,"Y")</f>
        <v>0</v>
      </c>
      <c r="AC15" s="0" t="n">
        <f aca="false">'Aug 12'!$C$46</f>
        <v>0</v>
      </c>
      <c r="AD15" s="0" t="str">
        <f aca="false">'Staff &amp; Lists'!A16</f>
        <v>JACOB LICHTENSTRAHL</v>
      </c>
      <c r="AE15" s="0" t="n">
        <f aca="false">SUMPRODUCT(('Aug 1'!$F$8:$F$42=$AD15)*'Aug 1'!$AJ$8:$AJ$42+('Aug 1'!$G$8:$G$42=$AD15)*'Aug 1'!$AK$8:$AK$42)</f>
        <v>0</v>
      </c>
      <c r="AF15" s="0" t="n">
        <f aca="false">SUMPRODUCT(('Aug 2'!$F$8:$F$42=$AD15)*'Aug 2'!$AJ$8:$AJ$42+('Aug 2'!$G$8:$G$42=$AD15)*'Aug 2'!$AK$8:$AK$42)</f>
        <v>0</v>
      </c>
      <c r="AG15" s="0" t="n">
        <f aca="false">SUMPRODUCT(('Aug 3'!$F$8:$F$42=$AD15)*'Aug 3'!$AJ$8:$AJ$42+('Aug 3'!$G$8:$G$42=$AD15)*'Aug 3'!$AK$8:$AK$42)</f>
        <v>0</v>
      </c>
      <c r="AH15" s="0" t="n">
        <f aca="false">SUMPRODUCT(('Aug 4'!$F$8:$F$42=$AD15)*'Aug 4'!$AJ$8:$AJ$42+('Aug 4'!$G$8:$G$42=$AD15)*'Aug 4'!$AK$8:$AK$42)</f>
        <v>0</v>
      </c>
      <c r="AI15" s="0" t="n">
        <f aca="false">SUMPRODUCT(('Aug 5'!$F$8:$F$42=$AD15)*'Aug 5'!$AJ$8:$AJ$42+('Aug 5'!$G$8:$G$42=$AD15)*'Aug 5'!$AK$8:$AK$42)</f>
        <v>0</v>
      </c>
      <c r="AJ15" s="0" t="n">
        <f aca="false">SUMPRODUCT(('Aug 6'!$F$8:$F$42=$AD15)*'Aug 6'!$AJ$8:$AJ$42+('Aug 6'!$G$8:$G$42=$AD15)*'Aug 6'!$AK$8:$AK$42)</f>
        <v>0</v>
      </c>
      <c r="AK15" s="0" t="n">
        <f aca="false">SUMPRODUCT(('Aug 7'!$F$8:$F$42=$AD15)*'Aug 7'!$AJ$8:$AJ$42+('Aug 7'!$G$8:$G$42=$AD15)*'Aug 7'!$AK$8:$AK$42)</f>
        <v>0</v>
      </c>
      <c r="AL15" s="0" t="n">
        <f aca="false">SUMPRODUCT(('Aug 8'!$F$8:$F$42=$AD15)*'Aug 8'!$AJ$8:$AJ$42+('Aug 8'!$G$8:$G$42=$AD15)*'Aug 8'!$AK$8:$AK$42)</f>
        <v>0</v>
      </c>
      <c r="AM15" s="0" t="n">
        <f aca="false">SUMPRODUCT(('Aug 9'!$F$8:$F$42=$AD15)*'Aug 9'!$AJ$8:$AJ$42+('Aug 9'!$G$8:$G$42=$AD15)*'Aug 9'!$AK$8:$AK$42)</f>
        <v>0</v>
      </c>
      <c r="AN15" s="0" t="n">
        <f aca="false">SUMPRODUCT(('Aug 10'!$F$8:$F$42=$AD15)*'Aug 10'!$AJ$8:$AJ$42+('Aug 10'!$G$8:$G$42=$AD15)*'Aug 10'!$AK$8:$AK$42)</f>
        <v>0</v>
      </c>
      <c r="AO15" s="0" t="n">
        <f aca="false">SUMPRODUCT(('Aug 11'!$F$8:$F$42=$AD15)*'Aug 11'!$AJ$8:$AJ$42+('Aug 11'!$G$8:$G$42=$AD15)*'Aug 11'!$AK$8:$AK$42)</f>
        <v>0</v>
      </c>
      <c r="AP15" s="0" t="n">
        <f aca="false">SUMPRODUCT(('Aug 12'!$F$8:$F$42=$AD15)*'Aug 12'!$AJ$8:$AJ$42+('Aug 12'!$G$8:$G$42=$AD15)*'Aug 12'!$AK$8:$AK$42)</f>
        <v>0</v>
      </c>
      <c r="AQ15" s="0" t="n">
        <f aca="false">SUMPRODUCT(('Aug 13'!$F$8:$F$42=$AD15)*'Aug 13'!$AJ$8:$AJ$42+('Aug 13'!$G$8:$G$42=$AD15)*'Aug 13'!$AK$8:$AK$42)</f>
        <v>0</v>
      </c>
      <c r="AR15" s="0" t="n">
        <f aca="false">SUMPRODUCT(('Aug 14'!$F$8:$F$42=$AD15)*'Aug 14'!$AJ$8:$AJ$42+('Aug 14'!$G$8:$G$42=$AD15)*'Aug 14'!$AK$8:$AK$42)</f>
        <v>0</v>
      </c>
      <c r="AS15" s="0" t="n">
        <f aca="false">SUMPRODUCT(('Aug 15'!$F$8:$F$42=$AD15)*'Aug 15'!$AJ$8:$AJ$42+('Aug 15'!$G$8:$G$42=$AD15)*'Aug 15'!$AK$8:$AK$42)</f>
        <v>0</v>
      </c>
      <c r="AT15" s="0" t="n">
        <f aca="false">SUMPRODUCT(('Aug 16'!$F$8:$F$42=$AD15)*'Aug 16'!$AJ$8:$AJ$42+('Aug 16'!$G$8:$G$42=$AD15)*'Aug 16'!$AK$8:$AK$42)</f>
        <v>0</v>
      </c>
      <c r="AU15" s="0" t="n">
        <f aca="false">SUMPRODUCT(('Aug 17'!$F$8:$F$42=$AD15)*'Aug 17'!$AJ$8:$AJ$42+('Aug 17'!$G$8:$G$42=$AD15)*'Aug 17'!$AK$8:$AK$42)</f>
        <v>0</v>
      </c>
      <c r="AV15" s="0" t="n">
        <f aca="false">SUMPRODUCT(('Aug 18'!$F$8:$F$42=$AD15)*'Aug 18'!$AJ$8:$AJ$42+('Aug 18'!$G$8:$G$42=$AD15)*'Aug 18'!$AK$8:$AK$42)</f>
        <v>0</v>
      </c>
      <c r="AW15" s="0" t="n">
        <f aca="false">SUMPRODUCT(('Aug 19'!$F$8:$F$42=$AD15)*'Aug 19'!$AJ$8:$AJ$42+('Aug 19'!$G$8:$G$42=$AD15)*'Aug 19'!$AK$8:$AK$42)</f>
        <v>0</v>
      </c>
      <c r="AX15" s="0" t="n">
        <f aca="false">SUMPRODUCT(('Aug 20'!$F$8:$F$42=$AD15)*'Aug 20'!$AJ$8:$AJ$42+('Aug 20'!$G$8:$G$42=$AD15)*'Aug 20'!$AK$8:$AK$42)</f>
        <v>0</v>
      </c>
      <c r="AY15" s="0" t="n">
        <f aca="false">SUMPRODUCT(('Aug 21'!$F$8:$F$42=$AD15)*'Aug 21'!$AJ$8:$AJ$42+('Aug 21'!$G$8:$G$42=$AD15)*'Aug 21'!$AK$8:$AK$42)</f>
        <v>0</v>
      </c>
      <c r="AZ15" s="0" t="n">
        <f aca="false">SUMPRODUCT(('Aug 22'!$F$8:$F$42=$AD15)*'Aug 22'!$AJ$8:$AJ$42+('Aug 22'!$G$8:$G$42=$AD15)*'Aug 22'!$AK$8:$AK$42)</f>
        <v>0</v>
      </c>
      <c r="BA15" s="0" t="n">
        <f aca="false">SUMPRODUCT(('Aug 23'!$F$8:$F$42=$AD15)*'Aug 23'!$AJ$8:$AJ$42+('Aug 23'!$G$8:$G$42=$AD15)*'Aug 23'!$AK$8:$AK$42)</f>
        <v>0</v>
      </c>
      <c r="BB15" s="0" t="n">
        <f aca="false">SUMPRODUCT(('Aug 24'!$F$8:$F$42=$AD15)*'Aug 24'!$AJ$8:$AJ$42+('Aug 24'!$G$8:$G$42=$AD15)*'Aug 24'!$AK$8:$AK$42)</f>
        <v>0</v>
      </c>
      <c r="BC15" s="0" t="n">
        <f aca="false">SUMPRODUCT(('Aug 25'!$F$8:$F$42=$AD15)*'Aug 25'!$AJ$8:$AJ$42+('Aug 25'!$G$8:$G$42=$AD15)*'Aug 25'!$AK$8:$AK$42)</f>
        <v>0</v>
      </c>
      <c r="BD15" s="0" t="n">
        <f aca="false">SUMPRODUCT(('Aug 26'!$F$8:$F$42=$AD15)*'Aug 26'!$AJ$8:$AJ$42+('Aug 26'!$G$8:$G$42=$AD15)*'Aug 26'!$AK$8:$AK$42)</f>
        <v>0</v>
      </c>
      <c r="BE15" s="0" t="n">
        <f aca="false">SUMPRODUCT(('Aug 27'!$F$8:$F$42=$AD15)*'Aug 27'!$AJ$8:$AJ$42+('Aug 27'!$G$8:$G$42=$AD15)*'Aug 27'!$AK$8:$AK$42)</f>
        <v>0</v>
      </c>
      <c r="BF15" s="0" t="n">
        <f aca="false">SUMPRODUCT(('Aug 28'!$F$8:$F$42=$AD15)*'Aug 28'!$AJ$8:$AJ$42+('Aug 28'!$G$8:$G$42=$AD15)*'Aug 28'!$AK$8:$AK$42)</f>
        <v>0</v>
      </c>
      <c r="BG15" s="0" t="n">
        <f aca="false">SUMPRODUCT(('Aug 29'!$F$8:$F$42=$AD15)*'Aug 29'!$AJ$8:$AJ$42+('Aug 29'!$G$8:$G$42=$AD15)*'Aug 29'!$AK$8:$AK$42)</f>
        <v>0</v>
      </c>
      <c r="BH15" s="0" t="n">
        <f aca="false">SUMPRODUCT(('Aug 30'!$F$8:$F$42=$AD15)*'Aug 30'!$AJ$8:$AJ$42+('Aug 30'!$G$8:$G$42=$AD15)*'Aug 30'!$AK$8:$AK$42)</f>
        <v>0</v>
      </c>
      <c r="BI15" s="0" t="n">
        <f aca="false">SUMPRODUCT(('Aug 31'!$F$8:$F$42=$AD15)*'Aug 31'!$AJ$8:$AJ$42+('Aug 31'!$G$8:$G$42=$AD15)*'Aug 31'!$AK$8:$AK$42)</f>
        <v>0</v>
      </c>
      <c r="BK15" s="0" t="n">
        <f aca="false">SUM(AE15:BI15)</f>
        <v>0</v>
      </c>
      <c r="BM15" s="0" t="n">
        <f aca="false">BK15+BK34/1000000000000</f>
        <v>0</v>
      </c>
      <c r="BN15" s="0" t="n">
        <f aca="false">RANK(BM15,$BM$4:$BM$19,0)+COUNTIF(BM$4:BM15,BM15)-1</f>
        <v>12</v>
      </c>
      <c r="BR15" s="0" t="n">
        <v>46248</v>
      </c>
    </row>
    <row r="16" customFormat="false" ht="15" hidden="false" customHeight="true" outlineLevel="0" collapsed="false">
      <c r="N16" s="75" t="str">
        <f aca="false">IF('Aug 1'!$G$46=0,"—",'Aug 1'!$G$46&amp;"u · $"&amp;TEXT('Aug 1'!$G$49/1000,"0.0")&amp;"k")</f>
        <v>—</v>
      </c>
      <c r="O16" s="75"/>
      <c r="U16" s="64" t="n">
        <f aca="false">'Aug 13'!$G$47</f>
        <v>0</v>
      </c>
      <c r="V16" s="64" t="n">
        <f aca="false">'Aug 13'!$G$48</f>
        <v>0</v>
      </c>
      <c r="W16" s="0" t="n">
        <f aca="false">'Aug 13'!$C$54</f>
        <v>0</v>
      </c>
      <c r="X16" s="64" t="n">
        <f aca="false">'Aug 13'!$C$55</f>
        <v>0</v>
      </c>
      <c r="Y16" s="0" t="n">
        <f aca="false">'Aug 13'!$C$57</f>
        <v>0</v>
      </c>
      <c r="Z16" s="0" t="n">
        <f aca="false">COUNTIF('Aug 13'!$AM$8:$AM$42,"Y")</f>
        <v>0</v>
      </c>
      <c r="AA16" s="0" t="n">
        <f aca="false">COUNTIF('Aug 13'!$AN$8:$AN$42,"Y")</f>
        <v>0</v>
      </c>
      <c r="AB16" s="0" t="n">
        <f aca="false">COUNTIF('Aug 13'!$AO$8:$AO$42,"Y")</f>
        <v>0</v>
      </c>
      <c r="AC16" s="0" t="n">
        <f aca="false">'Aug 13'!$C$46</f>
        <v>0</v>
      </c>
      <c r="AD16" s="0" t="str">
        <f aca="false">'Staff &amp; Lists'!A17</f>
        <v>BRAYDON JOHNSON</v>
      </c>
      <c r="AE16" s="0" t="n">
        <f aca="false">SUMPRODUCT(('Aug 1'!$F$8:$F$42=$AD16)*'Aug 1'!$AJ$8:$AJ$42+('Aug 1'!$G$8:$G$42=$AD16)*'Aug 1'!$AK$8:$AK$42)</f>
        <v>0</v>
      </c>
      <c r="AF16" s="0" t="n">
        <f aca="false">SUMPRODUCT(('Aug 2'!$F$8:$F$42=$AD16)*'Aug 2'!$AJ$8:$AJ$42+('Aug 2'!$G$8:$G$42=$AD16)*'Aug 2'!$AK$8:$AK$42)</f>
        <v>0</v>
      </c>
      <c r="AG16" s="0" t="n">
        <f aca="false">SUMPRODUCT(('Aug 3'!$F$8:$F$42=$AD16)*'Aug 3'!$AJ$8:$AJ$42+('Aug 3'!$G$8:$G$42=$AD16)*'Aug 3'!$AK$8:$AK$42)</f>
        <v>0</v>
      </c>
      <c r="AH16" s="0" t="n">
        <f aca="false">SUMPRODUCT(('Aug 4'!$F$8:$F$42=$AD16)*'Aug 4'!$AJ$8:$AJ$42+('Aug 4'!$G$8:$G$42=$AD16)*'Aug 4'!$AK$8:$AK$42)</f>
        <v>0</v>
      </c>
      <c r="AI16" s="0" t="n">
        <f aca="false">SUMPRODUCT(('Aug 5'!$F$8:$F$42=$AD16)*'Aug 5'!$AJ$8:$AJ$42+('Aug 5'!$G$8:$G$42=$AD16)*'Aug 5'!$AK$8:$AK$42)</f>
        <v>0</v>
      </c>
      <c r="AJ16" s="0" t="n">
        <f aca="false">SUMPRODUCT(('Aug 6'!$F$8:$F$42=$AD16)*'Aug 6'!$AJ$8:$AJ$42+('Aug 6'!$G$8:$G$42=$AD16)*'Aug 6'!$AK$8:$AK$42)</f>
        <v>0</v>
      </c>
      <c r="AK16" s="0" t="n">
        <f aca="false">SUMPRODUCT(('Aug 7'!$F$8:$F$42=$AD16)*'Aug 7'!$AJ$8:$AJ$42+('Aug 7'!$G$8:$G$42=$AD16)*'Aug 7'!$AK$8:$AK$42)</f>
        <v>0</v>
      </c>
      <c r="AL16" s="0" t="n">
        <f aca="false">SUMPRODUCT(('Aug 8'!$F$8:$F$42=$AD16)*'Aug 8'!$AJ$8:$AJ$42+('Aug 8'!$G$8:$G$42=$AD16)*'Aug 8'!$AK$8:$AK$42)</f>
        <v>0</v>
      </c>
      <c r="AM16" s="0" t="n">
        <f aca="false">SUMPRODUCT(('Aug 9'!$F$8:$F$42=$AD16)*'Aug 9'!$AJ$8:$AJ$42+('Aug 9'!$G$8:$G$42=$AD16)*'Aug 9'!$AK$8:$AK$42)</f>
        <v>0</v>
      </c>
      <c r="AN16" s="0" t="n">
        <f aca="false">SUMPRODUCT(('Aug 10'!$F$8:$F$42=$AD16)*'Aug 10'!$AJ$8:$AJ$42+('Aug 10'!$G$8:$G$42=$AD16)*'Aug 10'!$AK$8:$AK$42)</f>
        <v>0</v>
      </c>
      <c r="AO16" s="0" t="n">
        <f aca="false">SUMPRODUCT(('Aug 11'!$F$8:$F$42=$AD16)*'Aug 11'!$AJ$8:$AJ$42+('Aug 11'!$G$8:$G$42=$AD16)*'Aug 11'!$AK$8:$AK$42)</f>
        <v>0</v>
      </c>
      <c r="AP16" s="0" t="n">
        <f aca="false">SUMPRODUCT(('Aug 12'!$F$8:$F$42=$AD16)*'Aug 12'!$AJ$8:$AJ$42+('Aug 12'!$G$8:$G$42=$AD16)*'Aug 12'!$AK$8:$AK$42)</f>
        <v>0</v>
      </c>
      <c r="AQ16" s="0" t="n">
        <f aca="false">SUMPRODUCT(('Aug 13'!$F$8:$F$42=$AD16)*'Aug 13'!$AJ$8:$AJ$42+('Aug 13'!$G$8:$G$42=$AD16)*'Aug 13'!$AK$8:$AK$42)</f>
        <v>0</v>
      </c>
      <c r="AR16" s="0" t="n">
        <f aca="false">SUMPRODUCT(('Aug 14'!$F$8:$F$42=$AD16)*'Aug 14'!$AJ$8:$AJ$42+('Aug 14'!$G$8:$G$42=$AD16)*'Aug 14'!$AK$8:$AK$42)</f>
        <v>0</v>
      </c>
      <c r="AS16" s="0" t="n">
        <f aca="false">SUMPRODUCT(('Aug 15'!$F$8:$F$42=$AD16)*'Aug 15'!$AJ$8:$AJ$42+('Aug 15'!$G$8:$G$42=$AD16)*'Aug 15'!$AK$8:$AK$42)</f>
        <v>0</v>
      </c>
      <c r="AT16" s="0" t="n">
        <f aca="false">SUMPRODUCT(('Aug 16'!$F$8:$F$42=$AD16)*'Aug 16'!$AJ$8:$AJ$42+('Aug 16'!$G$8:$G$42=$AD16)*'Aug 16'!$AK$8:$AK$42)</f>
        <v>0</v>
      </c>
      <c r="AU16" s="0" t="n">
        <f aca="false">SUMPRODUCT(('Aug 17'!$F$8:$F$42=$AD16)*'Aug 17'!$AJ$8:$AJ$42+('Aug 17'!$G$8:$G$42=$AD16)*'Aug 17'!$AK$8:$AK$42)</f>
        <v>0</v>
      </c>
      <c r="AV16" s="0" t="n">
        <f aca="false">SUMPRODUCT(('Aug 18'!$F$8:$F$42=$AD16)*'Aug 18'!$AJ$8:$AJ$42+('Aug 18'!$G$8:$G$42=$AD16)*'Aug 18'!$AK$8:$AK$42)</f>
        <v>0</v>
      </c>
      <c r="AW16" s="0" t="n">
        <f aca="false">SUMPRODUCT(('Aug 19'!$F$8:$F$42=$AD16)*'Aug 19'!$AJ$8:$AJ$42+('Aug 19'!$G$8:$G$42=$AD16)*'Aug 19'!$AK$8:$AK$42)</f>
        <v>0</v>
      </c>
      <c r="AX16" s="0" t="n">
        <f aca="false">SUMPRODUCT(('Aug 20'!$F$8:$F$42=$AD16)*'Aug 20'!$AJ$8:$AJ$42+('Aug 20'!$G$8:$G$42=$AD16)*'Aug 20'!$AK$8:$AK$42)</f>
        <v>0</v>
      </c>
      <c r="AY16" s="0" t="n">
        <f aca="false">SUMPRODUCT(('Aug 21'!$F$8:$F$42=$AD16)*'Aug 21'!$AJ$8:$AJ$42+('Aug 21'!$G$8:$G$42=$AD16)*'Aug 21'!$AK$8:$AK$42)</f>
        <v>0</v>
      </c>
      <c r="AZ16" s="0" t="n">
        <f aca="false">SUMPRODUCT(('Aug 22'!$F$8:$F$42=$AD16)*'Aug 22'!$AJ$8:$AJ$42+('Aug 22'!$G$8:$G$42=$AD16)*'Aug 22'!$AK$8:$AK$42)</f>
        <v>0</v>
      </c>
      <c r="BA16" s="0" t="n">
        <f aca="false">SUMPRODUCT(('Aug 23'!$F$8:$F$42=$AD16)*'Aug 23'!$AJ$8:$AJ$42+('Aug 23'!$G$8:$G$42=$AD16)*'Aug 23'!$AK$8:$AK$42)</f>
        <v>0</v>
      </c>
      <c r="BB16" s="0" t="n">
        <f aca="false">SUMPRODUCT(('Aug 24'!$F$8:$F$42=$AD16)*'Aug 24'!$AJ$8:$AJ$42+('Aug 24'!$G$8:$G$42=$AD16)*'Aug 24'!$AK$8:$AK$42)</f>
        <v>0</v>
      </c>
      <c r="BC16" s="0" t="n">
        <f aca="false">SUMPRODUCT(('Aug 25'!$F$8:$F$42=$AD16)*'Aug 25'!$AJ$8:$AJ$42+('Aug 25'!$G$8:$G$42=$AD16)*'Aug 25'!$AK$8:$AK$42)</f>
        <v>0</v>
      </c>
      <c r="BD16" s="0" t="n">
        <f aca="false">SUMPRODUCT(('Aug 26'!$F$8:$F$42=$AD16)*'Aug 26'!$AJ$8:$AJ$42+('Aug 26'!$G$8:$G$42=$AD16)*'Aug 26'!$AK$8:$AK$42)</f>
        <v>0</v>
      </c>
      <c r="BE16" s="0" t="n">
        <f aca="false">SUMPRODUCT(('Aug 27'!$F$8:$F$42=$AD16)*'Aug 27'!$AJ$8:$AJ$42+('Aug 27'!$G$8:$G$42=$AD16)*'Aug 27'!$AK$8:$AK$42)</f>
        <v>0</v>
      </c>
      <c r="BF16" s="0" t="n">
        <f aca="false">SUMPRODUCT(('Aug 28'!$F$8:$F$42=$AD16)*'Aug 28'!$AJ$8:$AJ$42+('Aug 28'!$G$8:$G$42=$AD16)*'Aug 28'!$AK$8:$AK$42)</f>
        <v>0</v>
      </c>
      <c r="BG16" s="0" t="n">
        <f aca="false">SUMPRODUCT(('Aug 29'!$F$8:$F$42=$AD16)*'Aug 29'!$AJ$8:$AJ$42+('Aug 29'!$G$8:$G$42=$AD16)*'Aug 29'!$AK$8:$AK$42)</f>
        <v>0</v>
      </c>
      <c r="BH16" s="0" t="n">
        <f aca="false">SUMPRODUCT(('Aug 30'!$F$8:$F$42=$AD16)*'Aug 30'!$AJ$8:$AJ$42+('Aug 30'!$G$8:$G$42=$AD16)*'Aug 30'!$AK$8:$AK$42)</f>
        <v>0</v>
      </c>
      <c r="BI16" s="0" t="n">
        <f aca="false">SUMPRODUCT(('Aug 31'!$F$8:$F$42=$AD16)*'Aug 31'!$AJ$8:$AJ$42+('Aug 31'!$G$8:$G$42=$AD16)*'Aug 31'!$AK$8:$AK$42)</f>
        <v>0</v>
      </c>
      <c r="BK16" s="0" t="n">
        <f aca="false">SUM(AE16:BI16)</f>
        <v>0</v>
      </c>
      <c r="BM16" s="0" t="n">
        <f aca="false">BK16+BK35/1000000000000</f>
        <v>0</v>
      </c>
      <c r="BN16" s="0" t="n">
        <f aca="false">RANK(BM16,$BM$4:$BM$19,0)+COUNTIF(BM$4:BM16,BM16)-1</f>
        <v>13</v>
      </c>
      <c r="BR16" s="0" t="n">
        <v>46249</v>
      </c>
    </row>
    <row r="17" customFormat="false" ht="15.75" hidden="false" customHeight="true" outlineLevel="0" collapsed="false">
      <c r="B17" s="74" t="str">
        <f aca="false">HYPERLINK("#'Aug 2'!A1","2")</f>
        <v>2</v>
      </c>
      <c r="C17" s="74"/>
      <c r="D17" s="74" t="str">
        <f aca="false">HYPERLINK("#'Aug 3'!A1","3")</f>
        <v>3</v>
      </c>
      <c r="E17" s="74"/>
      <c r="F17" s="74" t="str">
        <f aca="false">HYPERLINK("#'Aug 4'!A1","4")</f>
        <v>4</v>
      </c>
      <c r="G17" s="74"/>
      <c r="H17" s="74" t="str">
        <f aca="false">HYPERLINK("#'Aug 5'!A1","5")</f>
        <v>5</v>
      </c>
      <c r="I17" s="74"/>
      <c r="J17" s="74" t="str">
        <f aca="false">HYPERLINK("#'Aug 6'!A1","6")</f>
        <v>6</v>
      </c>
      <c r="K17" s="74"/>
      <c r="L17" s="74" t="str">
        <f aca="false">HYPERLINK("#'Aug 7'!A1","7")</f>
        <v>7</v>
      </c>
      <c r="M17" s="74"/>
      <c r="N17" s="74" t="str">
        <f aca="false">HYPERLINK("#'Aug 8'!A1","8")</f>
        <v>8</v>
      </c>
      <c r="O17" s="74"/>
      <c r="U17" s="64" t="n">
        <f aca="false">'Aug 14'!$G$47</f>
        <v>0</v>
      </c>
      <c r="V17" s="64" t="n">
        <f aca="false">'Aug 14'!$G$48</f>
        <v>0</v>
      </c>
      <c r="W17" s="0" t="n">
        <f aca="false">'Aug 14'!$C$54</f>
        <v>0</v>
      </c>
      <c r="X17" s="64" t="n">
        <f aca="false">'Aug 14'!$C$55</f>
        <v>0</v>
      </c>
      <c r="Y17" s="0" t="n">
        <f aca="false">'Aug 14'!$C$57</f>
        <v>0</v>
      </c>
      <c r="Z17" s="0" t="n">
        <f aca="false">COUNTIF('Aug 14'!$AM$8:$AM$42,"Y")</f>
        <v>0</v>
      </c>
      <c r="AA17" s="0" t="n">
        <f aca="false">COUNTIF('Aug 14'!$AN$8:$AN$42,"Y")</f>
        <v>0</v>
      </c>
      <c r="AB17" s="0" t="n">
        <f aca="false">COUNTIF('Aug 14'!$AO$8:$AO$42,"Y")</f>
        <v>0</v>
      </c>
      <c r="AC17" s="0" t="n">
        <f aca="false">'Aug 14'!$C$46</f>
        <v>0</v>
      </c>
      <c r="AD17" s="0" t="str">
        <f aca="false">'Staff &amp; Lists'!A18</f>
        <v>CHRIS HORNE</v>
      </c>
      <c r="AE17" s="0" t="n">
        <f aca="false">SUMPRODUCT(('Aug 1'!$F$8:$F$42=$AD17)*'Aug 1'!$AJ$8:$AJ$42+('Aug 1'!$G$8:$G$42=$AD17)*'Aug 1'!$AK$8:$AK$42)</f>
        <v>0</v>
      </c>
      <c r="AF17" s="0" t="n">
        <f aca="false">SUMPRODUCT(('Aug 2'!$F$8:$F$42=$AD17)*'Aug 2'!$AJ$8:$AJ$42+('Aug 2'!$G$8:$G$42=$AD17)*'Aug 2'!$AK$8:$AK$42)</f>
        <v>0</v>
      </c>
      <c r="AG17" s="0" t="n">
        <f aca="false">SUMPRODUCT(('Aug 3'!$F$8:$F$42=$AD17)*'Aug 3'!$AJ$8:$AJ$42+('Aug 3'!$G$8:$G$42=$AD17)*'Aug 3'!$AK$8:$AK$42)</f>
        <v>0</v>
      </c>
      <c r="AH17" s="0" t="n">
        <f aca="false">SUMPRODUCT(('Aug 4'!$F$8:$F$42=$AD17)*'Aug 4'!$AJ$8:$AJ$42+('Aug 4'!$G$8:$G$42=$AD17)*'Aug 4'!$AK$8:$AK$42)</f>
        <v>0</v>
      </c>
      <c r="AI17" s="0" t="n">
        <f aca="false">SUMPRODUCT(('Aug 5'!$F$8:$F$42=$AD17)*'Aug 5'!$AJ$8:$AJ$42+('Aug 5'!$G$8:$G$42=$AD17)*'Aug 5'!$AK$8:$AK$42)</f>
        <v>0</v>
      </c>
      <c r="AJ17" s="0" t="n">
        <f aca="false">SUMPRODUCT(('Aug 6'!$F$8:$F$42=$AD17)*'Aug 6'!$AJ$8:$AJ$42+('Aug 6'!$G$8:$G$42=$AD17)*'Aug 6'!$AK$8:$AK$42)</f>
        <v>0</v>
      </c>
      <c r="AK17" s="0" t="n">
        <f aca="false">SUMPRODUCT(('Aug 7'!$F$8:$F$42=$AD17)*'Aug 7'!$AJ$8:$AJ$42+('Aug 7'!$G$8:$G$42=$AD17)*'Aug 7'!$AK$8:$AK$42)</f>
        <v>0</v>
      </c>
      <c r="AL17" s="0" t="n">
        <f aca="false">SUMPRODUCT(('Aug 8'!$F$8:$F$42=$AD17)*'Aug 8'!$AJ$8:$AJ$42+('Aug 8'!$G$8:$G$42=$AD17)*'Aug 8'!$AK$8:$AK$42)</f>
        <v>0</v>
      </c>
      <c r="AM17" s="0" t="n">
        <f aca="false">SUMPRODUCT(('Aug 9'!$F$8:$F$42=$AD17)*'Aug 9'!$AJ$8:$AJ$42+('Aug 9'!$G$8:$G$42=$AD17)*'Aug 9'!$AK$8:$AK$42)</f>
        <v>0</v>
      </c>
      <c r="AN17" s="0" t="n">
        <f aca="false">SUMPRODUCT(('Aug 10'!$F$8:$F$42=$AD17)*'Aug 10'!$AJ$8:$AJ$42+('Aug 10'!$G$8:$G$42=$AD17)*'Aug 10'!$AK$8:$AK$42)</f>
        <v>0</v>
      </c>
      <c r="AO17" s="0" t="n">
        <f aca="false">SUMPRODUCT(('Aug 11'!$F$8:$F$42=$AD17)*'Aug 11'!$AJ$8:$AJ$42+('Aug 11'!$G$8:$G$42=$AD17)*'Aug 11'!$AK$8:$AK$42)</f>
        <v>0</v>
      </c>
      <c r="AP17" s="0" t="n">
        <f aca="false">SUMPRODUCT(('Aug 12'!$F$8:$F$42=$AD17)*'Aug 12'!$AJ$8:$AJ$42+('Aug 12'!$G$8:$G$42=$AD17)*'Aug 12'!$AK$8:$AK$42)</f>
        <v>0</v>
      </c>
      <c r="AQ17" s="0" t="n">
        <f aca="false">SUMPRODUCT(('Aug 13'!$F$8:$F$42=$AD17)*'Aug 13'!$AJ$8:$AJ$42+('Aug 13'!$G$8:$G$42=$AD17)*'Aug 13'!$AK$8:$AK$42)</f>
        <v>0</v>
      </c>
      <c r="AR17" s="0" t="n">
        <f aca="false">SUMPRODUCT(('Aug 14'!$F$8:$F$42=$AD17)*'Aug 14'!$AJ$8:$AJ$42+('Aug 14'!$G$8:$G$42=$AD17)*'Aug 14'!$AK$8:$AK$42)</f>
        <v>0</v>
      </c>
      <c r="AS17" s="0" t="n">
        <f aca="false">SUMPRODUCT(('Aug 15'!$F$8:$F$42=$AD17)*'Aug 15'!$AJ$8:$AJ$42+('Aug 15'!$G$8:$G$42=$AD17)*'Aug 15'!$AK$8:$AK$42)</f>
        <v>0</v>
      </c>
      <c r="AT17" s="0" t="n">
        <f aca="false">SUMPRODUCT(('Aug 16'!$F$8:$F$42=$AD17)*'Aug 16'!$AJ$8:$AJ$42+('Aug 16'!$G$8:$G$42=$AD17)*'Aug 16'!$AK$8:$AK$42)</f>
        <v>0</v>
      </c>
      <c r="AU17" s="0" t="n">
        <f aca="false">SUMPRODUCT(('Aug 17'!$F$8:$F$42=$AD17)*'Aug 17'!$AJ$8:$AJ$42+('Aug 17'!$G$8:$G$42=$AD17)*'Aug 17'!$AK$8:$AK$42)</f>
        <v>0</v>
      </c>
      <c r="AV17" s="0" t="n">
        <f aca="false">SUMPRODUCT(('Aug 18'!$F$8:$F$42=$AD17)*'Aug 18'!$AJ$8:$AJ$42+('Aug 18'!$G$8:$G$42=$AD17)*'Aug 18'!$AK$8:$AK$42)</f>
        <v>0</v>
      </c>
      <c r="AW17" s="0" t="n">
        <f aca="false">SUMPRODUCT(('Aug 19'!$F$8:$F$42=$AD17)*'Aug 19'!$AJ$8:$AJ$42+('Aug 19'!$G$8:$G$42=$AD17)*'Aug 19'!$AK$8:$AK$42)</f>
        <v>0</v>
      </c>
      <c r="AX17" s="0" t="n">
        <f aca="false">SUMPRODUCT(('Aug 20'!$F$8:$F$42=$AD17)*'Aug 20'!$AJ$8:$AJ$42+('Aug 20'!$G$8:$G$42=$AD17)*'Aug 20'!$AK$8:$AK$42)</f>
        <v>0</v>
      </c>
      <c r="AY17" s="0" t="n">
        <f aca="false">SUMPRODUCT(('Aug 21'!$F$8:$F$42=$AD17)*'Aug 21'!$AJ$8:$AJ$42+('Aug 21'!$G$8:$G$42=$AD17)*'Aug 21'!$AK$8:$AK$42)</f>
        <v>0</v>
      </c>
      <c r="AZ17" s="0" t="n">
        <f aca="false">SUMPRODUCT(('Aug 22'!$F$8:$F$42=$AD17)*'Aug 22'!$AJ$8:$AJ$42+('Aug 22'!$G$8:$G$42=$AD17)*'Aug 22'!$AK$8:$AK$42)</f>
        <v>0</v>
      </c>
      <c r="BA17" s="0" t="n">
        <f aca="false">SUMPRODUCT(('Aug 23'!$F$8:$F$42=$AD17)*'Aug 23'!$AJ$8:$AJ$42+('Aug 23'!$G$8:$G$42=$AD17)*'Aug 23'!$AK$8:$AK$42)</f>
        <v>0</v>
      </c>
      <c r="BB17" s="0" t="n">
        <f aca="false">SUMPRODUCT(('Aug 24'!$F$8:$F$42=$AD17)*'Aug 24'!$AJ$8:$AJ$42+('Aug 24'!$G$8:$G$42=$AD17)*'Aug 24'!$AK$8:$AK$42)</f>
        <v>0</v>
      </c>
      <c r="BC17" s="0" t="n">
        <f aca="false">SUMPRODUCT(('Aug 25'!$F$8:$F$42=$AD17)*'Aug 25'!$AJ$8:$AJ$42+('Aug 25'!$G$8:$G$42=$AD17)*'Aug 25'!$AK$8:$AK$42)</f>
        <v>0</v>
      </c>
      <c r="BD17" s="0" t="n">
        <f aca="false">SUMPRODUCT(('Aug 26'!$F$8:$F$42=$AD17)*'Aug 26'!$AJ$8:$AJ$42+('Aug 26'!$G$8:$G$42=$AD17)*'Aug 26'!$AK$8:$AK$42)</f>
        <v>0</v>
      </c>
      <c r="BE17" s="0" t="n">
        <f aca="false">SUMPRODUCT(('Aug 27'!$F$8:$F$42=$AD17)*'Aug 27'!$AJ$8:$AJ$42+('Aug 27'!$G$8:$G$42=$AD17)*'Aug 27'!$AK$8:$AK$42)</f>
        <v>0</v>
      </c>
      <c r="BF17" s="0" t="n">
        <f aca="false">SUMPRODUCT(('Aug 28'!$F$8:$F$42=$AD17)*'Aug 28'!$AJ$8:$AJ$42+('Aug 28'!$G$8:$G$42=$AD17)*'Aug 28'!$AK$8:$AK$42)</f>
        <v>0</v>
      </c>
      <c r="BG17" s="0" t="n">
        <f aca="false">SUMPRODUCT(('Aug 29'!$F$8:$F$42=$AD17)*'Aug 29'!$AJ$8:$AJ$42+('Aug 29'!$G$8:$G$42=$AD17)*'Aug 29'!$AK$8:$AK$42)</f>
        <v>0</v>
      </c>
      <c r="BH17" s="0" t="n">
        <f aca="false">SUMPRODUCT(('Aug 30'!$F$8:$F$42=$AD17)*'Aug 30'!$AJ$8:$AJ$42+('Aug 30'!$G$8:$G$42=$AD17)*'Aug 30'!$AK$8:$AK$42)</f>
        <v>0</v>
      </c>
      <c r="BI17" s="0" t="n">
        <f aca="false">SUMPRODUCT(('Aug 31'!$F$8:$F$42=$AD17)*'Aug 31'!$AJ$8:$AJ$42+('Aug 31'!$G$8:$G$42=$AD17)*'Aug 31'!$AK$8:$AK$42)</f>
        <v>0</v>
      </c>
      <c r="BK17" s="0" t="n">
        <f aca="false">SUM(AE17:BI17)</f>
        <v>0</v>
      </c>
      <c r="BM17" s="0" t="n">
        <f aca="false">BK17+BK36/1000000000000</f>
        <v>0</v>
      </c>
      <c r="BN17" s="0" t="n">
        <f aca="false">RANK(BM17,$BM$4:$BM$19,0)+COUNTIF(BM$4:BM17,BM17)-1</f>
        <v>14</v>
      </c>
      <c r="BR17" s="0" t="n">
        <v>46251</v>
      </c>
    </row>
    <row r="18" customFormat="false" ht="15" hidden="false" customHeight="true" outlineLevel="0" collapsed="false">
      <c r="B18" s="76" t="s">
        <v>155</v>
      </c>
      <c r="C18" s="76"/>
      <c r="D18" s="75" t="str">
        <f aca="false">IF('Aug 3'!$G$46=0,"—",'Aug 3'!$G$46&amp;"u · $"&amp;TEXT('Aug 3'!$G$49/1000,"0.0")&amp;"k")</f>
        <v>—</v>
      </c>
      <c r="E18" s="75"/>
      <c r="F18" s="75" t="str">
        <f aca="false">IF('Aug 4'!$G$46=0,"—",'Aug 4'!$G$46&amp;"u · $"&amp;TEXT('Aug 4'!$G$49/1000,"0.0")&amp;"k")</f>
        <v>—</v>
      </c>
      <c r="G18" s="75"/>
      <c r="H18" s="75" t="str">
        <f aca="false">IF('Aug 5'!$G$46=0,"—",'Aug 5'!$G$46&amp;"u · $"&amp;TEXT('Aug 5'!$G$49/1000,"0.0")&amp;"k")</f>
        <v>—</v>
      </c>
      <c r="I18" s="75"/>
      <c r="J18" s="75" t="str">
        <f aca="false">IF('Aug 6'!$G$46=0,"—",'Aug 6'!$G$46&amp;"u · $"&amp;TEXT('Aug 6'!$G$49/1000,"0.0")&amp;"k")</f>
        <v>—</v>
      </c>
      <c r="K18" s="75"/>
      <c r="L18" s="75" t="str">
        <f aca="false">IF('Aug 7'!$G$46=0,"—",'Aug 7'!$G$46&amp;"u · $"&amp;TEXT('Aug 7'!$G$49/1000,"0.0")&amp;"k")</f>
        <v>—</v>
      </c>
      <c r="M18" s="75"/>
      <c r="N18" s="75" t="str">
        <f aca="false">IF('Aug 8'!$G$46=0,"—",'Aug 8'!$G$46&amp;"u · $"&amp;TEXT('Aug 8'!$G$49/1000,"0.0")&amp;"k")</f>
        <v>—</v>
      </c>
      <c r="O18" s="75"/>
      <c r="U18" s="64" t="n">
        <f aca="false">'Aug 15'!$G$47</f>
        <v>0</v>
      </c>
      <c r="V18" s="64" t="n">
        <f aca="false">'Aug 15'!$G$48</f>
        <v>0</v>
      </c>
      <c r="W18" s="0" t="n">
        <f aca="false">'Aug 15'!$C$54</f>
        <v>0</v>
      </c>
      <c r="X18" s="64" t="n">
        <f aca="false">'Aug 15'!$C$55</f>
        <v>0</v>
      </c>
      <c r="Y18" s="0" t="n">
        <f aca="false">'Aug 15'!$C$57</f>
        <v>0</v>
      </c>
      <c r="Z18" s="0" t="n">
        <f aca="false">COUNTIF('Aug 15'!$AM$8:$AM$42,"Y")</f>
        <v>0</v>
      </c>
      <c r="AA18" s="0" t="n">
        <f aca="false">COUNTIF('Aug 15'!$AN$8:$AN$42,"Y")</f>
        <v>0</v>
      </c>
      <c r="AB18" s="0" t="n">
        <f aca="false">COUNTIF('Aug 15'!$AO$8:$AO$42,"Y")</f>
        <v>0</v>
      </c>
      <c r="AC18" s="0" t="n">
        <f aca="false">'Aug 15'!$C$46</f>
        <v>0</v>
      </c>
      <c r="AD18" s="0" t="str">
        <f aca="false">'Staff &amp; Lists'!A19</f>
        <v>TIM CAMPBELL</v>
      </c>
      <c r="AE18" s="0" t="n">
        <f aca="false">SUMPRODUCT(('Aug 1'!$F$8:$F$42=$AD18)*'Aug 1'!$AJ$8:$AJ$42+('Aug 1'!$G$8:$G$42=$AD18)*'Aug 1'!$AK$8:$AK$42)</f>
        <v>0</v>
      </c>
      <c r="AF18" s="0" t="n">
        <f aca="false">SUMPRODUCT(('Aug 2'!$F$8:$F$42=$AD18)*'Aug 2'!$AJ$8:$AJ$42+('Aug 2'!$G$8:$G$42=$AD18)*'Aug 2'!$AK$8:$AK$42)</f>
        <v>0</v>
      </c>
      <c r="AG18" s="0" t="n">
        <f aca="false">SUMPRODUCT(('Aug 3'!$F$8:$F$42=$AD18)*'Aug 3'!$AJ$8:$AJ$42+('Aug 3'!$G$8:$G$42=$AD18)*'Aug 3'!$AK$8:$AK$42)</f>
        <v>0</v>
      </c>
      <c r="AH18" s="0" t="n">
        <f aca="false">SUMPRODUCT(('Aug 4'!$F$8:$F$42=$AD18)*'Aug 4'!$AJ$8:$AJ$42+('Aug 4'!$G$8:$G$42=$AD18)*'Aug 4'!$AK$8:$AK$42)</f>
        <v>0</v>
      </c>
      <c r="AI18" s="0" t="n">
        <f aca="false">SUMPRODUCT(('Aug 5'!$F$8:$F$42=$AD18)*'Aug 5'!$AJ$8:$AJ$42+('Aug 5'!$G$8:$G$42=$AD18)*'Aug 5'!$AK$8:$AK$42)</f>
        <v>0</v>
      </c>
      <c r="AJ18" s="0" t="n">
        <f aca="false">SUMPRODUCT(('Aug 6'!$F$8:$F$42=$AD18)*'Aug 6'!$AJ$8:$AJ$42+('Aug 6'!$G$8:$G$42=$AD18)*'Aug 6'!$AK$8:$AK$42)</f>
        <v>0</v>
      </c>
      <c r="AK18" s="0" t="n">
        <f aca="false">SUMPRODUCT(('Aug 7'!$F$8:$F$42=$AD18)*'Aug 7'!$AJ$8:$AJ$42+('Aug 7'!$G$8:$G$42=$AD18)*'Aug 7'!$AK$8:$AK$42)</f>
        <v>0</v>
      </c>
      <c r="AL18" s="0" t="n">
        <f aca="false">SUMPRODUCT(('Aug 8'!$F$8:$F$42=$AD18)*'Aug 8'!$AJ$8:$AJ$42+('Aug 8'!$G$8:$G$42=$AD18)*'Aug 8'!$AK$8:$AK$42)</f>
        <v>0</v>
      </c>
      <c r="AM18" s="0" t="n">
        <f aca="false">SUMPRODUCT(('Aug 9'!$F$8:$F$42=$AD18)*'Aug 9'!$AJ$8:$AJ$42+('Aug 9'!$G$8:$G$42=$AD18)*'Aug 9'!$AK$8:$AK$42)</f>
        <v>0</v>
      </c>
      <c r="AN18" s="0" t="n">
        <f aca="false">SUMPRODUCT(('Aug 10'!$F$8:$F$42=$AD18)*'Aug 10'!$AJ$8:$AJ$42+('Aug 10'!$G$8:$G$42=$AD18)*'Aug 10'!$AK$8:$AK$42)</f>
        <v>0</v>
      </c>
      <c r="AO18" s="0" t="n">
        <f aca="false">SUMPRODUCT(('Aug 11'!$F$8:$F$42=$AD18)*'Aug 11'!$AJ$8:$AJ$42+('Aug 11'!$G$8:$G$42=$AD18)*'Aug 11'!$AK$8:$AK$42)</f>
        <v>0</v>
      </c>
      <c r="AP18" s="0" t="n">
        <f aca="false">SUMPRODUCT(('Aug 12'!$F$8:$F$42=$AD18)*'Aug 12'!$AJ$8:$AJ$42+('Aug 12'!$G$8:$G$42=$AD18)*'Aug 12'!$AK$8:$AK$42)</f>
        <v>0</v>
      </c>
      <c r="AQ18" s="0" t="n">
        <f aca="false">SUMPRODUCT(('Aug 13'!$F$8:$F$42=$AD18)*'Aug 13'!$AJ$8:$AJ$42+('Aug 13'!$G$8:$G$42=$AD18)*'Aug 13'!$AK$8:$AK$42)</f>
        <v>0</v>
      </c>
      <c r="AR18" s="0" t="n">
        <f aca="false">SUMPRODUCT(('Aug 14'!$F$8:$F$42=$AD18)*'Aug 14'!$AJ$8:$AJ$42+('Aug 14'!$G$8:$G$42=$AD18)*'Aug 14'!$AK$8:$AK$42)</f>
        <v>0</v>
      </c>
      <c r="AS18" s="0" t="n">
        <f aca="false">SUMPRODUCT(('Aug 15'!$F$8:$F$42=$AD18)*'Aug 15'!$AJ$8:$AJ$42+('Aug 15'!$G$8:$G$42=$AD18)*'Aug 15'!$AK$8:$AK$42)</f>
        <v>0</v>
      </c>
      <c r="AT18" s="0" t="n">
        <f aca="false">SUMPRODUCT(('Aug 16'!$F$8:$F$42=$AD18)*'Aug 16'!$AJ$8:$AJ$42+('Aug 16'!$G$8:$G$42=$AD18)*'Aug 16'!$AK$8:$AK$42)</f>
        <v>0</v>
      </c>
      <c r="AU18" s="0" t="n">
        <f aca="false">SUMPRODUCT(('Aug 17'!$F$8:$F$42=$AD18)*'Aug 17'!$AJ$8:$AJ$42+('Aug 17'!$G$8:$G$42=$AD18)*'Aug 17'!$AK$8:$AK$42)</f>
        <v>0</v>
      </c>
      <c r="AV18" s="0" t="n">
        <f aca="false">SUMPRODUCT(('Aug 18'!$F$8:$F$42=$AD18)*'Aug 18'!$AJ$8:$AJ$42+('Aug 18'!$G$8:$G$42=$AD18)*'Aug 18'!$AK$8:$AK$42)</f>
        <v>0</v>
      </c>
      <c r="AW18" s="0" t="n">
        <f aca="false">SUMPRODUCT(('Aug 19'!$F$8:$F$42=$AD18)*'Aug 19'!$AJ$8:$AJ$42+('Aug 19'!$G$8:$G$42=$AD18)*'Aug 19'!$AK$8:$AK$42)</f>
        <v>0</v>
      </c>
      <c r="AX18" s="0" t="n">
        <f aca="false">SUMPRODUCT(('Aug 20'!$F$8:$F$42=$AD18)*'Aug 20'!$AJ$8:$AJ$42+('Aug 20'!$G$8:$G$42=$AD18)*'Aug 20'!$AK$8:$AK$42)</f>
        <v>0</v>
      </c>
      <c r="AY18" s="0" t="n">
        <f aca="false">SUMPRODUCT(('Aug 21'!$F$8:$F$42=$AD18)*'Aug 21'!$AJ$8:$AJ$42+('Aug 21'!$G$8:$G$42=$AD18)*'Aug 21'!$AK$8:$AK$42)</f>
        <v>0</v>
      </c>
      <c r="AZ18" s="0" t="n">
        <f aca="false">SUMPRODUCT(('Aug 22'!$F$8:$F$42=$AD18)*'Aug 22'!$AJ$8:$AJ$42+('Aug 22'!$G$8:$G$42=$AD18)*'Aug 22'!$AK$8:$AK$42)</f>
        <v>0</v>
      </c>
      <c r="BA18" s="0" t="n">
        <f aca="false">SUMPRODUCT(('Aug 23'!$F$8:$F$42=$AD18)*'Aug 23'!$AJ$8:$AJ$42+('Aug 23'!$G$8:$G$42=$AD18)*'Aug 23'!$AK$8:$AK$42)</f>
        <v>0</v>
      </c>
      <c r="BB18" s="0" t="n">
        <f aca="false">SUMPRODUCT(('Aug 24'!$F$8:$F$42=$AD18)*'Aug 24'!$AJ$8:$AJ$42+('Aug 24'!$G$8:$G$42=$AD18)*'Aug 24'!$AK$8:$AK$42)</f>
        <v>0</v>
      </c>
      <c r="BC18" s="0" t="n">
        <f aca="false">SUMPRODUCT(('Aug 25'!$F$8:$F$42=$AD18)*'Aug 25'!$AJ$8:$AJ$42+('Aug 25'!$G$8:$G$42=$AD18)*'Aug 25'!$AK$8:$AK$42)</f>
        <v>0</v>
      </c>
      <c r="BD18" s="0" t="n">
        <f aca="false">SUMPRODUCT(('Aug 26'!$F$8:$F$42=$AD18)*'Aug 26'!$AJ$8:$AJ$42+('Aug 26'!$G$8:$G$42=$AD18)*'Aug 26'!$AK$8:$AK$42)</f>
        <v>0</v>
      </c>
      <c r="BE18" s="0" t="n">
        <f aca="false">SUMPRODUCT(('Aug 27'!$F$8:$F$42=$AD18)*'Aug 27'!$AJ$8:$AJ$42+('Aug 27'!$G$8:$G$42=$AD18)*'Aug 27'!$AK$8:$AK$42)</f>
        <v>0</v>
      </c>
      <c r="BF18" s="0" t="n">
        <f aca="false">SUMPRODUCT(('Aug 28'!$F$8:$F$42=$AD18)*'Aug 28'!$AJ$8:$AJ$42+('Aug 28'!$G$8:$G$42=$AD18)*'Aug 28'!$AK$8:$AK$42)</f>
        <v>0</v>
      </c>
      <c r="BG18" s="0" t="n">
        <f aca="false">SUMPRODUCT(('Aug 29'!$F$8:$F$42=$AD18)*'Aug 29'!$AJ$8:$AJ$42+('Aug 29'!$G$8:$G$42=$AD18)*'Aug 29'!$AK$8:$AK$42)</f>
        <v>0</v>
      </c>
      <c r="BH18" s="0" t="n">
        <f aca="false">SUMPRODUCT(('Aug 30'!$F$8:$F$42=$AD18)*'Aug 30'!$AJ$8:$AJ$42+('Aug 30'!$G$8:$G$42=$AD18)*'Aug 30'!$AK$8:$AK$42)</f>
        <v>0</v>
      </c>
      <c r="BI18" s="0" t="n">
        <f aca="false">SUMPRODUCT(('Aug 31'!$F$8:$F$42=$AD18)*'Aug 31'!$AJ$8:$AJ$42+('Aug 31'!$G$8:$G$42=$AD18)*'Aug 31'!$AK$8:$AK$42)</f>
        <v>0</v>
      </c>
      <c r="BK18" s="0" t="n">
        <f aca="false">SUM(AE18:BI18)</f>
        <v>0</v>
      </c>
      <c r="BM18" s="0" t="n">
        <f aca="false">BK18+BK37/1000000000000</f>
        <v>0</v>
      </c>
      <c r="BN18" s="0" t="n">
        <f aca="false">RANK(BM18,$BM$4:$BM$19,0)+COUNTIF(BM$4:BM18,BM18)-1</f>
        <v>15</v>
      </c>
      <c r="BR18" s="0" t="n">
        <v>46252</v>
      </c>
    </row>
    <row r="19" customFormat="false" ht="15.75" hidden="false" customHeight="true" outlineLevel="0" collapsed="false">
      <c r="B19" s="74" t="str">
        <f aca="false">HYPERLINK("#'Aug 9'!A1","9")</f>
        <v>9</v>
      </c>
      <c r="C19" s="74"/>
      <c r="D19" s="74" t="str">
        <f aca="false">HYPERLINK("#'Aug 10'!A1","10")</f>
        <v>10</v>
      </c>
      <c r="E19" s="74"/>
      <c r="F19" s="74" t="str">
        <f aca="false">HYPERLINK("#'Aug 11'!A1","11")</f>
        <v>11</v>
      </c>
      <c r="G19" s="74"/>
      <c r="H19" s="74" t="str">
        <f aca="false">HYPERLINK("#'Aug 12'!A1","12")</f>
        <v>12</v>
      </c>
      <c r="I19" s="74"/>
      <c r="J19" s="74" t="str">
        <f aca="false">HYPERLINK("#'Aug 13'!A1","13")</f>
        <v>13</v>
      </c>
      <c r="K19" s="74"/>
      <c r="L19" s="74" t="str">
        <f aca="false">HYPERLINK("#'Aug 14'!A1","14")</f>
        <v>14</v>
      </c>
      <c r="M19" s="74"/>
      <c r="N19" s="74" t="str">
        <f aca="false">HYPERLINK("#'Aug 15'!A1","15")</f>
        <v>15</v>
      </c>
      <c r="O19" s="74"/>
      <c r="U19" s="64" t="n">
        <f aca="false">'Aug 16'!$G$47</f>
        <v>0</v>
      </c>
      <c r="V19" s="64" t="n">
        <f aca="false">'Aug 16'!$G$48</f>
        <v>0</v>
      </c>
      <c r="W19" s="0" t="n">
        <f aca="false">'Aug 16'!$C$54</f>
        <v>0</v>
      </c>
      <c r="X19" s="64" t="n">
        <f aca="false">'Aug 16'!$C$55</f>
        <v>0</v>
      </c>
      <c r="Y19" s="0" t="n">
        <f aca="false">'Aug 16'!$C$57</f>
        <v>0</v>
      </c>
      <c r="Z19" s="0" t="n">
        <f aca="false">COUNTIF('Aug 16'!$AM$8:$AM$42,"Y")</f>
        <v>0</v>
      </c>
      <c r="AA19" s="0" t="n">
        <f aca="false">COUNTIF('Aug 16'!$AN$8:$AN$42,"Y")</f>
        <v>0</v>
      </c>
      <c r="AB19" s="0" t="n">
        <f aca="false">COUNTIF('Aug 16'!$AO$8:$AO$42,"Y")</f>
        <v>0</v>
      </c>
      <c r="AC19" s="0" t="n">
        <f aca="false">'Aug 16'!$C$46</f>
        <v>0</v>
      </c>
      <c r="AD19" s="0" t="str">
        <f aca="false">'Staff &amp; Lists'!A20</f>
        <v>BILL RISKO</v>
      </c>
      <c r="AE19" s="0" t="n">
        <f aca="false">SUMPRODUCT(('Aug 1'!$F$8:$F$42=$AD19)*'Aug 1'!$AJ$8:$AJ$42+('Aug 1'!$G$8:$G$42=$AD19)*'Aug 1'!$AK$8:$AK$42)</f>
        <v>0</v>
      </c>
      <c r="AF19" s="0" t="n">
        <f aca="false">SUMPRODUCT(('Aug 2'!$F$8:$F$42=$AD19)*'Aug 2'!$AJ$8:$AJ$42+('Aug 2'!$G$8:$G$42=$AD19)*'Aug 2'!$AK$8:$AK$42)</f>
        <v>0</v>
      </c>
      <c r="AG19" s="0" t="n">
        <f aca="false">SUMPRODUCT(('Aug 3'!$F$8:$F$42=$AD19)*'Aug 3'!$AJ$8:$AJ$42+('Aug 3'!$G$8:$G$42=$AD19)*'Aug 3'!$AK$8:$AK$42)</f>
        <v>0</v>
      </c>
      <c r="AH19" s="0" t="n">
        <f aca="false">SUMPRODUCT(('Aug 4'!$F$8:$F$42=$AD19)*'Aug 4'!$AJ$8:$AJ$42+('Aug 4'!$G$8:$G$42=$AD19)*'Aug 4'!$AK$8:$AK$42)</f>
        <v>0</v>
      </c>
      <c r="AI19" s="0" t="n">
        <f aca="false">SUMPRODUCT(('Aug 5'!$F$8:$F$42=$AD19)*'Aug 5'!$AJ$8:$AJ$42+('Aug 5'!$G$8:$G$42=$AD19)*'Aug 5'!$AK$8:$AK$42)</f>
        <v>0</v>
      </c>
      <c r="AJ19" s="0" t="n">
        <f aca="false">SUMPRODUCT(('Aug 6'!$F$8:$F$42=$AD19)*'Aug 6'!$AJ$8:$AJ$42+('Aug 6'!$G$8:$G$42=$AD19)*'Aug 6'!$AK$8:$AK$42)</f>
        <v>0</v>
      </c>
      <c r="AK19" s="0" t="n">
        <f aca="false">SUMPRODUCT(('Aug 7'!$F$8:$F$42=$AD19)*'Aug 7'!$AJ$8:$AJ$42+('Aug 7'!$G$8:$G$42=$AD19)*'Aug 7'!$AK$8:$AK$42)</f>
        <v>0</v>
      </c>
      <c r="AL19" s="0" t="n">
        <f aca="false">SUMPRODUCT(('Aug 8'!$F$8:$F$42=$AD19)*'Aug 8'!$AJ$8:$AJ$42+('Aug 8'!$G$8:$G$42=$AD19)*'Aug 8'!$AK$8:$AK$42)</f>
        <v>0</v>
      </c>
      <c r="AM19" s="0" t="n">
        <f aca="false">SUMPRODUCT(('Aug 9'!$F$8:$F$42=$AD19)*'Aug 9'!$AJ$8:$AJ$42+('Aug 9'!$G$8:$G$42=$AD19)*'Aug 9'!$AK$8:$AK$42)</f>
        <v>0</v>
      </c>
      <c r="AN19" s="0" t="n">
        <f aca="false">SUMPRODUCT(('Aug 10'!$F$8:$F$42=$AD19)*'Aug 10'!$AJ$8:$AJ$42+('Aug 10'!$G$8:$G$42=$AD19)*'Aug 10'!$AK$8:$AK$42)</f>
        <v>0</v>
      </c>
      <c r="AO19" s="0" t="n">
        <f aca="false">SUMPRODUCT(('Aug 11'!$F$8:$F$42=$AD19)*'Aug 11'!$AJ$8:$AJ$42+('Aug 11'!$G$8:$G$42=$AD19)*'Aug 11'!$AK$8:$AK$42)</f>
        <v>0</v>
      </c>
      <c r="AP19" s="0" t="n">
        <f aca="false">SUMPRODUCT(('Aug 12'!$F$8:$F$42=$AD19)*'Aug 12'!$AJ$8:$AJ$42+('Aug 12'!$G$8:$G$42=$AD19)*'Aug 12'!$AK$8:$AK$42)</f>
        <v>0</v>
      </c>
      <c r="AQ19" s="0" t="n">
        <f aca="false">SUMPRODUCT(('Aug 13'!$F$8:$F$42=$AD19)*'Aug 13'!$AJ$8:$AJ$42+('Aug 13'!$G$8:$G$42=$AD19)*'Aug 13'!$AK$8:$AK$42)</f>
        <v>0</v>
      </c>
      <c r="AR19" s="0" t="n">
        <f aca="false">SUMPRODUCT(('Aug 14'!$F$8:$F$42=$AD19)*'Aug 14'!$AJ$8:$AJ$42+('Aug 14'!$G$8:$G$42=$AD19)*'Aug 14'!$AK$8:$AK$42)</f>
        <v>0</v>
      </c>
      <c r="AS19" s="0" t="n">
        <f aca="false">SUMPRODUCT(('Aug 15'!$F$8:$F$42=$AD19)*'Aug 15'!$AJ$8:$AJ$42+('Aug 15'!$G$8:$G$42=$AD19)*'Aug 15'!$AK$8:$AK$42)</f>
        <v>0</v>
      </c>
      <c r="AT19" s="0" t="n">
        <f aca="false">SUMPRODUCT(('Aug 16'!$F$8:$F$42=$AD19)*'Aug 16'!$AJ$8:$AJ$42+('Aug 16'!$G$8:$G$42=$AD19)*'Aug 16'!$AK$8:$AK$42)</f>
        <v>0</v>
      </c>
      <c r="AU19" s="0" t="n">
        <f aca="false">SUMPRODUCT(('Aug 17'!$F$8:$F$42=$AD19)*'Aug 17'!$AJ$8:$AJ$42+('Aug 17'!$G$8:$G$42=$AD19)*'Aug 17'!$AK$8:$AK$42)</f>
        <v>0</v>
      </c>
      <c r="AV19" s="0" t="n">
        <f aca="false">SUMPRODUCT(('Aug 18'!$F$8:$F$42=$AD19)*'Aug 18'!$AJ$8:$AJ$42+('Aug 18'!$G$8:$G$42=$AD19)*'Aug 18'!$AK$8:$AK$42)</f>
        <v>0</v>
      </c>
      <c r="AW19" s="0" t="n">
        <f aca="false">SUMPRODUCT(('Aug 19'!$F$8:$F$42=$AD19)*'Aug 19'!$AJ$8:$AJ$42+('Aug 19'!$G$8:$G$42=$AD19)*'Aug 19'!$AK$8:$AK$42)</f>
        <v>0</v>
      </c>
      <c r="AX19" s="0" t="n">
        <f aca="false">SUMPRODUCT(('Aug 20'!$F$8:$F$42=$AD19)*'Aug 20'!$AJ$8:$AJ$42+('Aug 20'!$G$8:$G$42=$AD19)*'Aug 20'!$AK$8:$AK$42)</f>
        <v>0</v>
      </c>
      <c r="AY19" s="0" t="n">
        <f aca="false">SUMPRODUCT(('Aug 21'!$F$8:$F$42=$AD19)*'Aug 21'!$AJ$8:$AJ$42+('Aug 21'!$G$8:$G$42=$AD19)*'Aug 21'!$AK$8:$AK$42)</f>
        <v>0</v>
      </c>
      <c r="AZ19" s="0" t="n">
        <f aca="false">SUMPRODUCT(('Aug 22'!$F$8:$F$42=$AD19)*'Aug 22'!$AJ$8:$AJ$42+('Aug 22'!$G$8:$G$42=$AD19)*'Aug 22'!$AK$8:$AK$42)</f>
        <v>0</v>
      </c>
      <c r="BA19" s="0" t="n">
        <f aca="false">SUMPRODUCT(('Aug 23'!$F$8:$F$42=$AD19)*'Aug 23'!$AJ$8:$AJ$42+('Aug 23'!$G$8:$G$42=$AD19)*'Aug 23'!$AK$8:$AK$42)</f>
        <v>0</v>
      </c>
      <c r="BB19" s="0" t="n">
        <f aca="false">SUMPRODUCT(('Aug 24'!$F$8:$F$42=$AD19)*'Aug 24'!$AJ$8:$AJ$42+('Aug 24'!$G$8:$G$42=$AD19)*'Aug 24'!$AK$8:$AK$42)</f>
        <v>0</v>
      </c>
      <c r="BC19" s="0" t="n">
        <f aca="false">SUMPRODUCT(('Aug 25'!$F$8:$F$42=$AD19)*'Aug 25'!$AJ$8:$AJ$42+('Aug 25'!$G$8:$G$42=$AD19)*'Aug 25'!$AK$8:$AK$42)</f>
        <v>0</v>
      </c>
      <c r="BD19" s="0" t="n">
        <f aca="false">SUMPRODUCT(('Aug 26'!$F$8:$F$42=$AD19)*'Aug 26'!$AJ$8:$AJ$42+('Aug 26'!$G$8:$G$42=$AD19)*'Aug 26'!$AK$8:$AK$42)</f>
        <v>0</v>
      </c>
      <c r="BE19" s="0" t="n">
        <f aca="false">SUMPRODUCT(('Aug 27'!$F$8:$F$42=$AD19)*'Aug 27'!$AJ$8:$AJ$42+('Aug 27'!$G$8:$G$42=$AD19)*'Aug 27'!$AK$8:$AK$42)</f>
        <v>0</v>
      </c>
      <c r="BF19" s="0" t="n">
        <f aca="false">SUMPRODUCT(('Aug 28'!$F$8:$F$42=$AD19)*'Aug 28'!$AJ$8:$AJ$42+('Aug 28'!$G$8:$G$42=$AD19)*'Aug 28'!$AK$8:$AK$42)</f>
        <v>0</v>
      </c>
      <c r="BG19" s="0" t="n">
        <f aca="false">SUMPRODUCT(('Aug 29'!$F$8:$F$42=$AD19)*'Aug 29'!$AJ$8:$AJ$42+('Aug 29'!$G$8:$G$42=$AD19)*'Aug 29'!$AK$8:$AK$42)</f>
        <v>0</v>
      </c>
      <c r="BH19" s="0" t="n">
        <f aca="false">SUMPRODUCT(('Aug 30'!$F$8:$F$42=$AD19)*'Aug 30'!$AJ$8:$AJ$42+('Aug 30'!$G$8:$G$42=$AD19)*'Aug 30'!$AK$8:$AK$42)</f>
        <v>0</v>
      </c>
      <c r="BI19" s="0" t="n">
        <f aca="false">SUMPRODUCT(('Aug 31'!$F$8:$F$42=$AD19)*'Aug 31'!$AJ$8:$AJ$42+('Aug 31'!$G$8:$G$42=$AD19)*'Aug 31'!$AK$8:$AK$42)</f>
        <v>0</v>
      </c>
      <c r="BK19" s="0" t="n">
        <f aca="false">SUM(AE19:BI19)</f>
        <v>0</v>
      </c>
      <c r="BM19" s="0" t="n">
        <f aca="false">BK19+BK38/1000000000000</f>
        <v>0</v>
      </c>
      <c r="BN19" s="0" t="n">
        <f aca="false">RANK(BM19,$BM$4:$BM$19,0)+COUNTIF(BM$4:BM19,BM19)-1</f>
        <v>16</v>
      </c>
      <c r="BR19" s="0" t="n">
        <v>46253</v>
      </c>
    </row>
    <row r="20" customFormat="false" ht="15" hidden="false" customHeight="true" outlineLevel="0" collapsed="false">
      <c r="B20" s="76" t="s">
        <v>155</v>
      </c>
      <c r="C20" s="76"/>
      <c r="D20" s="75" t="str">
        <f aca="false">IF('Aug 10'!$G$46=0,"—",'Aug 10'!$G$46&amp;"u · $"&amp;TEXT('Aug 10'!$G$49/1000,"0.0")&amp;"k")</f>
        <v>—</v>
      </c>
      <c r="E20" s="75"/>
      <c r="F20" s="75" t="str">
        <f aca="false">IF('Aug 11'!$G$46=0,"—",'Aug 11'!$G$46&amp;"u · $"&amp;TEXT('Aug 11'!$G$49/1000,"0.0")&amp;"k")</f>
        <v>—</v>
      </c>
      <c r="G20" s="75"/>
      <c r="H20" s="75" t="str">
        <f aca="false">IF('Aug 12'!$G$46=0,"—",'Aug 12'!$G$46&amp;"u · $"&amp;TEXT('Aug 12'!$G$49/1000,"0.0")&amp;"k")</f>
        <v>—</v>
      </c>
      <c r="I20" s="75"/>
      <c r="J20" s="75" t="str">
        <f aca="false">IF('Aug 13'!$G$46=0,"—",'Aug 13'!$G$46&amp;"u · $"&amp;TEXT('Aug 13'!$G$49/1000,"0.0")&amp;"k")</f>
        <v>—</v>
      </c>
      <c r="K20" s="75"/>
      <c r="L20" s="75" t="str">
        <f aca="false">IF('Aug 14'!$G$46=0,"—",'Aug 14'!$G$46&amp;"u · $"&amp;TEXT('Aug 14'!$G$49/1000,"0.0")&amp;"k")</f>
        <v>—</v>
      </c>
      <c r="M20" s="75"/>
      <c r="N20" s="75" t="str">
        <f aca="false">IF('Aug 15'!$G$46=0,"—",'Aug 15'!$G$46&amp;"u · $"&amp;TEXT('Aug 15'!$G$49/1000,"0.0")&amp;"k")</f>
        <v>—</v>
      </c>
      <c r="O20" s="75"/>
      <c r="U20" s="64" t="n">
        <f aca="false">'Aug 17'!$G$47</f>
        <v>0</v>
      </c>
      <c r="V20" s="64" t="n">
        <f aca="false">'Aug 17'!$G$48</f>
        <v>0</v>
      </c>
      <c r="W20" s="0" t="n">
        <f aca="false">'Aug 17'!$C$54</f>
        <v>0</v>
      </c>
      <c r="X20" s="64" t="n">
        <f aca="false">'Aug 17'!$C$55</f>
        <v>0</v>
      </c>
      <c r="Y20" s="0" t="n">
        <f aca="false">'Aug 17'!$C$57</f>
        <v>0</v>
      </c>
      <c r="Z20" s="0" t="n">
        <f aca="false">COUNTIF('Aug 17'!$AM$8:$AM$42,"Y")</f>
        <v>0</v>
      </c>
      <c r="AA20" s="0" t="n">
        <f aca="false">COUNTIF('Aug 17'!$AN$8:$AN$42,"Y")</f>
        <v>0</v>
      </c>
      <c r="AB20" s="0" t="n">
        <f aca="false">COUNTIF('Aug 17'!$AO$8:$AO$42,"Y")</f>
        <v>0</v>
      </c>
      <c r="AC20" s="0" t="n">
        <f aca="false">'Aug 17'!$C$46</f>
        <v>0</v>
      </c>
      <c r="BR20" s="0" t="n">
        <v>46254</v>
      </c>
    </row>
    <row r="21" customFormat="false" ht="15.75" hidden="false" customHeight="true" outlineLevel="0" collapsed="false">
      <c r="B21" s="74" t="str">
        <f aca="false">HYPERLINK("#'Aug 16'!A1","16")</f>
        <v>16</v>
      </c>
      <c r="C21" s="74"/>
      <c r="D21" s="74" t="str">
        <f aca="false">HYPERLINK("#'Aug 17'!A1","17")</f>
        <v>17</v>
      </c>
      <c r="E21" s="74"/>
      <c r="F21" s="74" t="str">
        <f aca="false">HYPERLINK("#'Aug 18'!A1","18")</f>
        <v>18</v>
      </c>
      <c r="G21" s="74"/>
      <c r="H21" s="74" t="str">
        <f aca="false">HYPERLINK("#'Aug 19'!A1","19")</f>
        <v>19</v>
      </c>
      <c r="I21" s="74"/>
      <c r="J21" s="74" t="str">
        <f aca="false">HYPERLINK("#'Aug 20'!A1","20")</f>
        <v>20</v>
      </c>
      <c r="K21" s="74"/>
      <c r="L21" s="74" t="str">
        <f aca="false">HYPERLINK("#'Aug 21'!A1","21")</f>
        <v>21</v>
      </c>
      <c r="M21" s="74"/>
      <c r="N21" s="74" t="str">
        <f aca="false">HYPERLINK("#'Aug 22'!A1","22")</f>
        <v>22</v>
      </c>
      <c r="O21" s="74"/>
      <c r="U21" s="64" t="n">
        <f aca="false">'Aug 18'!$G$47</f>
        <v>0</v>
      </c>
      <c r="V21" s="64" t="n">
        <f aca="false">'Aug 18'!$G$48</f>
        <v>0</v>
      </c>
      <c r="W21" s="0" t="n">
        <f aca="false">'Aug 18'!$C$54</f>
        <v>0</v>
      </c>
      <c r="X21" s="64" t="n">
        <f aca="false">'Aug 18'!$C$55</f>
        <v>0</v>
      </c>
      <c r="Y21" s="0" t="n">
        <f aca="false">'Aug 18'!$C$57</f>
        <v>0</v>
      </c>
      <c r="Z21" s="0" t="n">
        <f aca="false">COUNTIF('Aug 18'!$AM$8:$AM$42,"Y")</f>
        <v>0</v>
      </c>
      <c r="AA21" s="0" t="n">
        <f aca="false">COUNTIF('Aug 18'!$AN$8:$AN$42,"Y")</f>
        <v>0</v>
      </c>
      <c r="AB21" s="0" t="n">
        <f aca="false">COUNTIF('Aug 18'!$AO$8:$AO$42,"Y")</f>
        <v>0</v>
      </c>
      <c r="AC21" s="0" t="n">
        <f aca="false">'Aug 18'!$C$46</f>
        <v>0</v>
      </c>
      <c r="BR21" s="0" t="n">
        <v>46255</v>
      </c>
    </row>
    <row r="22" customFormat="false" ht="15" hidden="false" customHeight="true" outlineLevel="0" collapsed="false">
      <c r="B22" s="76" t="s">
        <v>155</v>
      </c>
      <c r="C22" s="76"/>
      <c r="D22" s="75" t="str">
        <f aca="false">IF('Aug 17'!$G$46=0,"—",'Aug 17'!$G$46&amp;"u · $"&amp;TEXT('Aug 17'!$G$49/1000,"0.0")&amp;"k")</f>
        <v>—</v>
      </c>
      <c r="E22" s="75"/>
      <c r="F22" s="75" t="str">
        <f aca="false">IF('Aug 18'!$G$46=0,"—",'Aug 18'!$G$46&amp;"u · $"&amp;TEXT('Aug 18'!$G$49/1000,"0.0")&amp;"k")</f>
        <v>—</v>
      </c>
      <c r="G22" s="75"/>
      <c r="H22" s="75" t="str">
        <f aca="false">IF('Aug 19'!$G$46=0,"—",'Aug 19'!$G$46&amp;"u · $"&amp;TEXT('Aug 19'!$G$49/1000,"0.0")&amp;"k")</f>
        <v>—</v>
      </c>
      <c r="I22" s="75"/>
      <c r="J22" s="75" t="str">
        <f aca="false">IF('Aug 20'!$G$46=0,"—",'Aug 20'!$G$46&amp;"u · $"&amp;TEXT('Aug 20'!$G$49/1000,"0.0")&amp;"k")</f>
        <v>—</v>
      </c>
      <c r="K22" s="75"/>
      <c r="L22" s="75" t="str">
        <f aca="false">IF('Aug 21'!$G$46=0,"—",'Aug 21'!$G$46&amp;"u · $"&amp;TEXT('Aug 21'!$G$49/1000,"0.0")&amp;"k")</f>
        <v>—</v>
      </c>
      <c r="M22" s="75"/>
      <c r="N22" s="75" t="str">
        <f aca="false">IF('Aug 22'!$G$46=0,"—",'Aug 22'!$G$46&amp;"u · $"&amp;TEXT('Aug 22'!$G$49/1000,"0.0")&amp;"k")</f>
        <v>—</v>
      </c>
      <c r="O22" s="75"/>
      <c r="U22" s="64" t="n">
        <f aca="false">'Aug 19'!$G$47</f>
        <v>0</v>
      </c>
      <c r="V22" s="64" t="n">
        <f aca="false">'Aug 19'!$G$48</f>
        <v>0</v>
      </c>
      <c r="W22" s="0" t="n">
        <f aca="false">'Aug 19'!$C$54</f>
        <v>0</v>
      </c>
      <c r="X22" s="64" t="n">
        <f aca="false">'Aug 19'!$C$55</f>
        <v>0</v>
      </c>
      <c r="Y22" s="0" t="n">
        <f aca="false">'Aug 19'!$C$57</f>
        <v>0</v>
      </c>
      <c r="Z22" s="0" t="n">
        <f aca="false">COUNTIF('Aug 19'!$AM$8:$AM$42,"Y")</f>
        <v>0</v>
      </c>
      <c r="AA22" s="0" t="n">
        <f aca="false">COUNTIF('Aug 19'!$AN$8:$AN$42,"Y")</f>
        <v>0</v>
      </c>
      <c r="AB22" s="0" t="n">
        <f aca="false">COUNTIF('Aug 19'!$AO$8:$AO$42,"Y")</f>
        <v>0</v>
      </c>
      <c r="AC22" s="0" t="n">
        <f aca="false">'Aug 19'!$C$46</f>
        <v>0</v>
      </c>
      <c r="BR22" s="0" t="n">
        <v>46256</v>
      </c>
    </row>
    <row r="23" customFormat="false" ht="15.75" hidden="false" customHeight="true" outlineLevel="0" collapsed="false">
      <c r="B23" s="74" t="str">
        <f aca="false">HYPERLINK("#'Aug 23'!A1","23")</f>
        <v>23</v>
      </c>
      <c r="C23" s="74"/>
      <c r="D23" s="74" t="str">
        <f aca="false">HYPERLINK("#'Aug 24'!A1","24")</f>
        <v>24</v>
      </c>
      <c r="E23" s="74"/>
      <c r="F23" s="74" t="str">
        <f aca="false">HYPERLINK("#'Aug 25'!A1","25")</f>
        <v>25</v>
      </c>
      <c r="G23" s="74"/>
      <c r="H23" s="74" t="str">
        <f aca="false">HYPERLINK("#'Aug 26'!A1","26")</f>
        <v>26</v>
      </c>
      <c r="I23" s="74"/>
      <c r="J23" s="74" t="str">
        <f aca="false">HYPERLINK("#'Aug 27'!A1","27")</f>
        <v>27</v>
      </c>
      <c r="K23" s="74"/>
      <c r="L23" s="74" t="str">
        <f aca="false">HYPERLINK("#'Aug 28'!A1","28")</f>
        <v>28</v>
      </c>
      <c r="M23" s="74"/>
      <c r="N23" s="74" t="str">
        <f aca="false">HYPERLINK("#'Aug 29'!A1","29")</f>
        <v>29</v>
      </c>
      <c r="O23" s="74"/>
      <c r="U23" s="64" t="n">
        <f aca="false">'Aug 20'!$G$47</f>
        <v>0</v>
      </c>
      <c r="V23" s="64" t="n">
        <f aca="false">'Aug 20'!$G$48</f>
        <v>0</v>
      </c>
      <c r="W23" s="0" t="n">
        <f aca="false">'Aug 20'!$C$54</f>
        <v>0</v>
      </c>
      <c r="X23" s="64" t="n">
        <f aca="false">'Aug 20'!$C$55</f>
        <v>0</v>
      </c>
      <c r="Y23" s="0" t="n">
        <f aca="false">'Aug 20'!$C$57</f>
        <v>0</v>
      </c>
      <c r="Z23" s="0" t="n">
        <f aca="false">COUNTIF('Aug 20'!$AM$8:$AM$42,"Y")</f>
        <v>0</v>
      </c>
      <c r="AA23" s="0" t="n">
        <f aca="false">COUNTIF('Aug 20'!$AN$8:$AN$42,"Y")</f>
        <v>0</v>
      </c>
      <c r="AB23" s="0" t="n">
        <f aca="false">COUNTIF('Aug 20'!$AO$8:$AO$42,"Y")</f>
        <v>0</v>
      </c>
      <c r="AC23" s="0" t="n">
        <f aca="false">'Aug 20'!$C$46</f>
        <v>0</v>
      </c>
      <c r="AE23" s="0" t="n">
        <f aca="false">SUMPRODUCT((('Aug 1'!$F$8:$F$42=$AD4)*'Aug 1'!$AJ$8:$AJ$42+('Aug 1'!$G$8:$G$42=$AD4)*'Aug 1'!$AK$8:$AK$42)*('Aug 1'!$Q$8:$Q$42+'Aug 1'!$R$8:$R$42))</f>
        <v>0</v>
      </c>
      <c r="AF23" s="0" t="n">
        <f aca="false">SUMPRODUCT((('Aug 2'!$F$8:$F$42=$AD4)*'Aug 2'!$AJ$8:$AJ$42+('Aug 2'!$G$8:$G$42=$AD4)*'Aug 2'!$AK$8:$AK$42)*('Aug 2'!$Q$8:$Q$42+'Aug 2'!$R$8:$R$42))</f>
        <v>0</v>
      </c>
      <c r="AG23" s="0" t="n">
        <f aca="false">SUMPRODUCT((('Aug 3'!$F$8:$F$42=$AD4)*'Aug 3'!$AJ$8:$AJ$42+('Aug 3'!$G$8:$G$42=$AD4)*'Aug 3'!$AK$8:$AK$42)*('Aug 3'!$Q$8:$Q$42+'Aug 3'!$R$8:$R$42))</f>
        <v>0</v>
      </c>
      <c r="AH23" s="0" t="n">
        <f aca="false">SUMPRODUCT((('Aug 4'!$F$8:$F$42=$AD4)*'Aug 4'!$AJ$8:$AJ$42+('Aug 4'!$G$8:$G$42=$AD4)*'Aug 4'!$AK$8:$AK$42)*('Aug 4'!$Q$8:$Q$42+'Aug 4'!$R$8:$R$42))</f>
        <v>0</v>
      </c>
      <c r="AI23" s="0" t="n">
        <f aca="false">SUMPRODUCT((('Aug 5'!$F$8:$F$42=$AD4)*'Aug 5'!$AJ$8:$AJ$42+('Aug 5'!$G$8:$G$42=$AD4)*'Aug 5'!$AK$8:$AK$42)*('Aug 5'!$Q$8:$Q$42+'Aug 5'!$R$8:$R$42))</f>
        <v>0</v>
      </c>
      <c r="AJ23" s="0" t="n">
        <f aca="false">SUMPRODUCT((('Aug 6'!$F$8:$F$42=$AD4)*'Aug 6'!$AJ$8:$AJ$42+('Aug 6'!$G$8:$G$42=$AD4)*'Aug 6'!$AK$8:$AK$42)*('Aug 6'!$Q$8:$Q$42+'Aug 6'!$R$8:$R$42))</f>
        <v>0</v>
      </c>
      <c r="AK23" s="0" t="n">
        <f aca="false">SUMPRODUCT((('Aug 7'!$F$8:$F$42=$AD4)*'Aug 7'!$AJ$8:$AJ$42+('Aug 7'!$G$8:$G$42=$AD4)*'Aug 7'!$AK$8:$AK$42)*('Aug 7'!$Q$8:$Q$42+'Aug 7'!$R$8:$R$42))</f>
        <v>0</v>
      </c>
      <c r="AL23" s="0" t="n">
        <f aca="false">SUMPRODUCT((('Aug 8'!$F$8:$F$42=$AD4)*'Aug 8'!$AJ$8:$AJ$42+('Aug 8'!$G$8:$G$42=$AD4)*'Aug 8'!$AK$8:$AK$42)*('Aug 8'!$Q$8:$Q$42+'Aug 8'!$R$8:$R$42))</f>
        <v>0</v>
      </c>
      <c r="AM23" s="0" t="n">
        <f aca="false">SUMPRODUCT((('Aug 9'!$F$8:$F$42=$AD4)*'Aug 9'!$AJ$8:$AJ$42+('Aug 9'!$G$8:$G$42=$AD4)*'Aug 9'!$AK$8:$AK$42)*('Aug 9'!$Q$8:$Q$42+'Aug 9'!$R$8:$R$42))</f>
        <v>0</v>
      </c>
      <c r="AN23" s="0" t="n">
        <f aca="false">SUMPRODUCT((('Aug 10'!$F$8:$F$42=$AD4)*'Aug 10'!$AJ$8:$AJ$42+('Aug 10'!$G$8:$G$42=$AD4)*'Aug 10'!$AK$8:$AK$42)*('Aug 10'!$Q$8:$Q$42+'Aug 10'!$R$8:$R$42))</f>
        <v>0</v>
      </c>
      <c r="AO23" s="0" t="n">
        <f aca="false">SUMPRODUCT((('Aug 11'!$F$8:$F$42=$AD4)*'Aug 11'!$AJ$8:$AJ$42+('Aug 11'!$G$8:$G$42=$AD4)*'Aug 11'!$AK$8:$AK$42)*('Aug 11'!$Q$8:$Q$42+'Aug 11'!$R$8:$R$42))</f>
        <v>0</v>
      </c>
      <c r="AP23" s="0" t="n">
        <f aca="false">SUMPRODUCT((('Aug 12'!$F$8:$F$42=$AD4)*'Aug 12'!$AJ$8:$AJ$42+('Aug 12'!$G$8:$G$42=$AD4)*'Aug 12'!$AK$8:$AK$42)*('Aug 12'!$Q$8:$Q$42+'Aug 12'!$R$8:$R$42))</f>
        <v>0</v>
      </c>
      <c r="AQ23" s="0" t="n">
        <f aca="false">SUMPRODUCT((('Aug 13'!$F$8:$F$42=$AD4)*'Aug 13'!$AJ$8:$AJ$42+('Aug 13'!$G$8:$G$42=$AD4)*'Aug 13'!$AK$8:$AK$42)*('Aug 13'!$Q$8:$Q$42+'Aug 13'!$R$8:$R$42))</f>
        <v>0</v>
      </c>
      <c r="AR23" s="0" t="n">
        <f aca="false">SUMPRODUCT((('Aug 14'!$F$8:$F$42=$AD4)*'Aug 14'!$AJ$8:$AJ$42+('Aug 14'!$G$8:$G$42=$AD4)*'Aug 14'!$AK$8:$AK$42)*('Aug 14'!$Q$8:$Q$42+'Aug 14'!$R$8:$R$42))</f>
        <v>0</v>
      </c>
      <c r="AS23" s="0" t="n">
        <f aca="false">SUMPRODUCT((('Aug 15'!$F$8:$F$42=$AD4)*'Aug 15'!$AJ$8:$AJ$42+('Aug 15'!$G$8:$G$42=$AD4)*'Aug 15'!$AK$8:$AK$42)*('Aug 15'!$Q$8:$Q$42+'Aug 15'!$R$8:$R$42))</f>
        <v>0</v>
      </c>
      <c r="AT23" s="0" t="n">
        <f aca="false">SUMPRODUCT((('Aug 16'!$F$8:$F$42=$AD4)*'Aug 16'!$AJ$8:$AJ$42+('Aug 16'!$G$8:$G$42=$AD4)*'Aug 16'!$AK$8:$AK$42)*('Aug 16'!$Q$8:$Q$42+'Aug 16'!$R$8:$R$42))</f>
        <v>0</v>
      </c>
      <c r="AU23" s="0" t="n">
        <f aca="false">SUMPRODUCT((('Aug 17'!$F$8:$F$42=$AD4)*'Aug 17'!$AJ$8:$AJ$42+('Aug 17'!$G$8:$G$42=$AD4)*'Aug 17'!$AK$8:$AK$42)*('Aug 17'!$Q$8:$Q$42+'Aug 17'!$R$8:$R$42))</f>
        <v>0</v>
      </c>
      <c r="AV23" s="0" t="n">
        <f aca="false">SUMPRODUCT((('Aug 18'!$F$8:$F$42=$AD4)*'Aug 18'!$AJ$8:$AJ$42+('Aug 18'!$G$8:$G$42=$AD4)*'Aug 18'!$AK$8:$AK$42)*('Aug 18'!$Q$8:$Q$42+'Aug 18'!$R$8:$R$42))</f>
        <v>0</v>
      </c>
      <c r="AW23" s="0" t="n">
        <f aca="false">SUMPRODUCT((('Aug 19'!$F$8:$F$42=$AD4)*'Aug 19'!$AJ$8:$AJ$42+('Aug 19'!$G$8:$G$42=$AD4)*'Aug 19'!$AK$8:$AK$42)*('Aug 19'!$Q$8:$Q$42+'Aug 19'!$R$8:$R$42))</f>
        <v>0</v>
      </c>
      <c r="AX23" s="0" t="n">
        <f aca="false">SUMPRODUCT((('Aug 20'!$F$8:$F$42=$AD4)*'Aug 20'!$AJ$8:$AJ$42+('Aug 20'!$G$8:$G$42=$AD4)*'Aug 20'!$AK$8:$AK$42)*('Aug 20'!$Q$8:$Q$42+'Aug 20'!$R$8:$R$42))</f>
        <v>0</v>
      </c>
      <c r="AY23" s="0" t="n">
        <f aca="false">SUMPRODUCT((('Aug 21'!$F$8:$F$42=$AD4)*'Aug 21'!$AJ$8:$AJ$42+('Aug 21'!$G$8:$G$42=$AD4)*'Aug 21'!$AK$8:$AK$42)*('Aug 21'!$Q$8:$Q$42+'Aug 21'!$R$8:$R$42))</f>
        <v>0</v>
      </c>
      <c r="AZ23" s="0" t="n">
        <f aca="false">SUMPRODUCT((('Aug 22'!$F$8:$F$42=$AD4)*'Aug 22'!$AJ$8:$AJ$42+('Aug 22'!$G$8:$G$42=$AD4)*'Aug 22'!$AK$8:$AK$42)*('Aug 22'!$Q$8:$Q$42+'Aug 22'!$R$8:$R$42))</f>
        <v>0</v>
      </c>
      <c r="BA23" s="0" t="n">
        <f aca="false">SUMPRODUCT((('Aug 23'!$F$8:$F$42=$AD4)*'Aug 23'!$AJ$8:$AJ$42+('Aug 23'!$G$8:$G$42=$AD4)*'Aug 23'!$AK$8:$AK$42)*('Aug 23'!$Q$8:$Q$42+'Aug 23'!$R$8:$R$42))</f>
        <v>0</v>
      </c>
      <c r="BB23" s="0" t="n">
        <f aca="false">SUMPRODUCT((('Aug 24'!$F$8:$F$42=$AD4)*'Aug 24'!$AJ$8:$AJ$42+('Aug 24'!$G$8:$G$42=$AD4)*'Aug 24'!$AK$8:$AK$42)*('Aug 24'!$Q$8:$Q$42+'Aug 24'!$R$8:$R$42))</f>
        <v>0</v>
      </c>
      <c r="BC23" s="0" t="n">
        <f aca="false">SUMPRODUCT((('Aug 25'!$F$8:$F$42=$AD4)*'Aug 25'!$AJ$8:$AJ$42+('Aug 25'!$G$8:$G$42=$AD4)*'Aug 25'!$AK$8:$AK$42)*('Aug 25'!$Q$8:$Q$42+'Aug 25'!$R$8:$R$42))</f>
        <v>0</v>
      </c>
      <c r="BD23" s="0" t="n">
        <f aca="false">SUMPRODUCT((('Aug 26'!$F$8:$F$42=$AD4)*'Aug 26'!$AJ$8:$AJ$42+('Aug 26'!$G$8:$G$42=$AD4)*'Aug 26'!$AK$8:$AK$42)*('Aug 26'!$Q$8:$Q$42+'Aug 26'!$R$8:$R$42))</f>
        <v>0</v>
      </c>
      <c r="BE23" s="0" t="n">
        <f aca="false">SUMPRODUCT((('Aug 27'!$F$8:$F$42=$AD4)*'Aug 27'!$AJ$8:$AJ$42+('Aug 27'!$G$8:$G$42=$AD4)*'Aug 27'!$AK$8:$AK$42)*('Aug 27'!$Q$8:$Q$42+'Aug 27'!$R$8:$R$42))</f>
        <v>0</v>
      </c>
      <c r="BF23" s="0" t="n">
        <f aca="false">SUMPRODUCT((('Aug 28'!$F$8:$F$42=$AD4)*'Aug 28'!$AJ$8:$AJ$42+('Aug 28'!$G$8:$G$42=$AD4)*'Aug 28'!$AK$8:$AK$42)*('Aug 28'!$Q$8:$Q$42+'Aug 28'!$R$8:$R$42))</f>
        <v>0</v>
      </c>
      <c r="BG23" s="0" t="n">
        <f aca="false">SUMPRODUCT((('Aug 29'!$F$8:$F$42=$AD4)*'Aug 29'!$AJ$8:$AJ$42+('Aug 29'!$G$8:$G$42=$AD4)*'Aug 29'!$AK$8:$AK$42)*('Aug 29'!$Q$8:$Q$42+'Aug 29'!$R$8:$R$42))</f>
        <v>0</v>
      </c>
      <c r="BH23" s="0" t="n">
        <f aca="false">SUMPRODUCT((('Aug 30'!$F$8:$F$42=$AD4)*'Aug 30'!$AJ$8:$AJ$42+('Aug 30'!$G$8:$G$42=$AD4)*'Aug 30'!$AK$8:$AK$42)*('Aug 30'!$Q$8:$Q$42+'Aug 30'!$R$8:$R$42))</f>
        <v>0</v>
      </c>
      <c r="BI23" s="0" t="n">
        <f aca="false">SUMPRODUCT((('Aug 31'!$F$8:$F$42=$AD4)*'Aug 31'!$AJ$8:$AJ$42+('Aug 31'!$G$8:$G$42=$AD4)*'Aug 31'!$AK$8:$AK$42)*('Aug 31'!$Q$8:$Q$42+'Aug 31'!$R$8:$R$42))</f>
        <v>0</v>
      </c>
      <c r="BK23" s="0" t="n">
        <f aca="false">SUM(AE23:BI23)</f>
        <v>0</v>
      </c>
      <c r="BR23" s="0" t="n">
        <v>46258</v>
      </c>
    </row>
    <row r="24" customFormat="false" ht="15" hidden="false" customHeight="true" outlineLevel="0" collapsed="false">
      <c r="B24" s="76" t="s">
        <v>155</v>
      </c>
      <c r="C24" s="76"/>
      <c r="D24" s="75" t="str">
        <f aca="false">IF('Aug 24'!$G$46=0,"—",'Aug 24'!$G$46&amp;"u · $"&amp;TEXT('Aug 24'!$G$49/1000,"0.0")&amp;"k")</f>
        <v>—</v>
      </c>
      <c r="E24" s="75"/>
      <c r="F24" s="75" t="str">
        <f aca="false">IF('Aug 25'!$G$46=0,"—",'Aug 25'!$G$46&amp;"u · $"&amp;TEXT('Aug 25'!$G$49/1000,"0.0")&amp;"k")</f>
        <v>—</v>
      </c>
      <c r="G24" s="75"/>
      <c r="H24" s="75" t="str">
        <f aca="false">IF('Aug 26'!$G$46=0,"—",'Aug 26'!$G$46&amp;"u · $"&amp;TEXT('Aug 26'!$G$49/1000,"0.0")&amp;"k")</f>
        <v>—</v>
      </c>
      <c r="I24" s="75"/>
      <c r="J24" s="75" t="str">
        <f aca="false">IF('Aug 27'!$G$46=0,"—",'Aug 27'!$G$46&amp;"u · $"&amp;TEXT('Aug 27'!$G$49/1000,"0.0")&amp;"k")</f>
        <v>—</v>
      </c>
      <c r="K24" s="75"/>
      <c r="L24" s="75" t="str">
        <f aca="false">IF('Aug 28'!$G$46=0,"—",'Aug 28'!$G$46&amp;"u · $"&amp;TEXT('Aug 28'!$G$49/1000,"0.0")&amp;"k")</f>
        <v>—</v>
      </c>
      <c r="M24" s="75"/>
      <c r="N24" s="75" t="str">
        <f aca="false">IF('Aug 29'!$G$46=0,"—",'Aug 29'!$G$46&amp;"u · $"&amp;TEXT('Aug 29'!$G$49/1000,"0.0")&amp;"k")</f>
        <v>—</v>
      </c>
      <c r="O24" s="75"/>
      <c r="U24" s="64" t="n">
        <f aca="false">'Aug 21'!$G$47</f>
        <v>0</v>
      </c>
      <c r="V24" s="64" t="n">
        <f aca="false">'Aug 21'!$G$48</f>
        <v>0</v>
      </c>
      <c r="W24" s="0" t="n">
        <f aca="false">'Aug 21'!$C$54</f>
        <v>0</v>
      </c>
      <c r="X24" s="64" t="n">
        <f aca="false">'Aug 21'!$C$55</f>
        <v>0</v>
      </c>
      <c r="Y24" s="0" t="n">
        <f aca="false">'Aug 21'!$C$57</f>
        <v>0</v>
      </c>
      <c r="Z24" s="0" t="n">
        <f aca="false">COUNTIF('Aug 21'!$AM$8:$AM$42,"Y")</f>
        <v>0</v>
      </c>
      <c r="AA24" s="0" t="n">
        <f aca="false">COUNTIF('Aug 21'!$AN$8:$AN$42,"Y")</f>
        <v>0</v>
      </c>
      <c r="AB24" s="0" t="n">
        <f aca="false">COUNTIF('Aug 21'!$AO$8:$AO$42,"Y")</f>
        <v>0</v>
      </c>
      <c r="AC24" s="0" t="n">
        <f aca="false">'Aug 21'!$C$46</f>
        <v>0</v>
      </c>
      <c r="AE24" s="0" t="n">
        <f aca="false">SUMPRODUCT((('Aug 1'!$F$8:$F$42=$AD5)*'Aug 1'!$AJ$8:$AJ$42+('Aug 1'!$G$8:$G$42=$AD5)*'Aug 1'!$AK$8:$AK$42)*('Aug 1'!$Q$8:$Q$42+'Aug 1'!$R$8:$R$42))</f>
        <v>0</v>
      </c>
      <c r="AF24" s="0" t="n">
        <f aca="false">SUMPRODUCT((('Aug 2'!$F$8:$F$42=$AD5)*'Aug 2'!$AJ$8:$AJ$42+('Aug 2'!$G$8:$G$42=$AD5)*'Aug 2'!$AK$8:$AK$42)*('Aug 2'!$Q$8:$Q$42+'Aug 2'!$R$8:$R$42))</f>
        <v>0</v>
      </c>
      <c r="AG24" s="0" t="n">
        <f aca="false">SUMPRODUCT((('Aug 3'!$F$8:$F$42=$AD5)*'Aug 3'!$AJ$8:$AJ$42+('Aug 3'!$G$8:$G$42=$AD5)*'Aug 3'!$AK$8:$AK$42)*('Aug 3'!$Q$8:$Q$42+'Aug 3'!$R$8:$R$42))</f>
        <v>0</v>
      </c>
      <c r="AH24" s="0" t="n">
        <f aca="false">SUMPRODUCT((('Aug 4'!$F$8:$F$42=$AD5)*'Aug 4'!$AJ$8:$AJ$42+('Aug 4'!$G$8:$G$42=$AD5)*'Aug 4'!$AK$8:$AK$42)*('Aug 4'!$Q$8:$Q$42+'Aug 4'!$R$8:$R$42))</f>
        <v>0</v>
      </c>
      <c r="AI24" s="0" t="n">
        <f aca="false">SUMPRODUCT((('Aug 5'!$F$8:$F$42=$AD5)*'Aug 5'!$AJ$8:$AJ$42+('Aug 5'!$G$8:$G$42=$AD5)*'Aug 5'!$AK$8:$AK$42)*('Aug 5'!$Q$8:$Q$42+'Aug 5'!$R$8:$R$42))</f>
        <v>0</v>
      </c>
      <c r="AJ24" s="0" t="n">
        <f aca="false">SUMPRODUCT((('Aug 6'!$F$8:$F$42=$AD5)*'Aug 6'!$AJ$8:$AJ$42+('Aug 6'!$G$8:$G$42=$AD5)*'Aug 6'!$AK$8:$AK$42)*('Aug 6'!$Q$8:$Q$42+'Aug 6'!$R$8:$R$42))</f>
        <v>0</v>
      </c>
      <c r="AK24" s="0" t="n">
        <f aca="false">SUMPRODUCT((('Aug 7'!$F$8:$F$42=$AD5)*'Aug 7'!$AJ$8:$AJ$42+('Aug 7'!$G$8:$G$42=$AD5)*'Aug 7'!$AK$8:$AK$42)*('Aug 7'!$Q$8:$Q$42+'Aug 7'!$R$8:$R$42))</f>
        <v>0</v>
      </c>
      <c r="AL24" s="0" t="n">
        <f aca="false">SUMPRODUCT((('Aug 8'!$F$8:$F$42=$AD5)*'Aug 8'!$AJ$8:$AJ$42+('Aug 8'!$G$8:$G$42=$AD5)*'Aug 8'!$AK$8:$AK$42)*('Aug 8'!$Q$8:$Q$42+'Aug 8'!$R$8:$R$42))</f>
        <v>0</v>
      </c>
      <c r="AM24" s="0" t="n">
        <f aca="false">SUMPRODUCT((('Aug 9'!$F$8:$F$42=$AD5)*'Aug 9'!$AJ$8:$AJ$42+('Aug 9'!$G$8:$G$42=$AD5)*'Aug 9'!$AK$8:$AK$42)*('Aug 9'!$Q$8:$Q$42+'Aug 9'!$R$8:$R$42))</f>
        <v>0</v>
      </c>
      <c r="AN24" s="0" t="n">
        <f aca="false">SUMPRODUCT((('Aug 10'!$F$8:$F$42=$AD5)*'Aug 10'!$AJ$8:$AJ$42+('Aug 10'!$G$8:$G$42=$AD5)*'Aug 10'!$AK$8:$AK$42)*('Aug 10'!$Q$8:$Q$42+'Aug 10'!$R$8:$R$42))</f>
        <v>0</v>
      </c>
      <c r="AO24" s="0" t="n">
        <f aca="false">SUMPRODUCT((('Aug 11'!$F$8:$F$42=$AD5)*'Aug 11'!$AJ$8:$AJ$42+('Aug 11'!$G$8:$G$42=$AD5)*'Aug 11'!$AK$8:$AK$42)*('Aug 11'!$Q$8:$Q$42+'Aug 11'!$R$8:$R$42))</f>
        <v>0</v>
      </c>
      <c r="AP24" s="0" t="n">
        <f aca="false">SUMPRODUCT((('Aug 12'!$F$8:$F$42=$AD5)*'Aug 12'!$AJ$8:$AJ$42+('Aug 12'!$G$8:$G$42=$AD5)*'Aug 12'!$AK$8:$AK$42)*('Aug 12'!$Q$8:$Q$42+'Aug 12'!$R$8:$R$42))</f>
        <v>0</v>
      </c>
      <c r="AQ24" s="0" t="n">
        <f aca="false">SUMPRODUCT((('Aug 13'!$F$8:$F$42=$AD5)*'Aug 13'!$AJ$8:$AJ$42+('Aug 13'!$G$8:$G$42=$AD5)*'Aug 13'!$AK$8:$AK$42)*('Aug 13'!$Q$8:$Q$42+'Aug 13'!$R$8:$R$42))</f>
        <v>0</v>
      </c>
      <c r="AR24" s="0" t="n">
        <f aca="false">SUMPRODUCT((('Aug 14'!$F$8:$F$42=$AD5)*'Aug 14'!$AJ$8:$AJ$42+('Aug 14'!$G$8:$G$42=$AD5)*'Aug 14'!$AK$8:$AK$42)*('Aug 14'!$Q$8:$Q$42+'Aug 14'!$R$8:$R$42))</f>
        <v>0</v>
      </c>
      <c r="AS24" s="0" t="n">
        <f aca="false">SUMPRODUCT((('Aug 15'!$F$8:$F$42=$AD5)*'Aug 15'!$AJ$8:$AJ$42+('Aug 15'!$G$8:$G$42=$AD5)*'Aug 15'!$AK$8:$AK$42)*('Aug 15'!$Q$8:$Q$42+'Aug 15'!$R$8:$R$42))</f>
        <v>0</v>
      </c>
      <c r="AT24" s="0" t="n">
        <f aca="false">SUMPRODUCT((('Aug 16'!$F$8:$F$42=$AD5)*'Aug 16'!$AJ$8:$AJ$42+('Aug 16'!$G$8:$G$42=$AD5)*'Aug 16'!$AK$8:$AK$42)*('Aug 16'!$Q$8:$Q$42+'Aug 16'!$R$8:$R$42))</f>
        <v>0</v>
      </c>
      <c r="AU24" s="0" t="n">
        <f aca="false">SUMPRODUCT((('Aug 17'!$F$8:$F$42=$AD5)*'Aug 17'!$AJ$8:$AJ$42+('Aug 17'!$G$8:$G$42=$AD5)*'Aug 17'!$AK$8:$AK$42)*('Aug 17'!$Q$8:$Q$42+'Aug 17'!$R$8:$R$42))</f>
        <v>0</v>
      </c>
      <c r="AV24" s="0" t="n">
        <f aca="false">SUMPRODUCT((('Aug 18'!$F$8:$F$42=$AD5)*'Aug 18'!$AJ$8:$AJ$42+('Aug 18'!$G$8:$G$42=$AD5)*'Aug 18'!$AK$8:$AK$42)*('Aug 18'!$Q$8:$Q$42+'Aug 18'!$R$8:$R$42))</f>
        <v>0</v>
      </c>
      <c r="AW24" s="0" t="n">
        <f aca="false">SUMPRODUCT((('Aug 19'!$F$8:$F$42=$AD5)*'Aug 19'!$AJ$8:$AJ$42+('Aug 19'!$G$8:$G$42=$AD5)*'Aug 19'!$AK$8:$AK$42)*('Aug 19'!$Q$8:$Q$42+'Aug 19'!$R$8:$R$42))</f>
        <v>0</v>
      </c>
      <c r="AX24" s="0" t="n">
        <f aca="false">SUMPRODUCT((('Aug 20'!$F$8:$F$42=$AD5)*'Aug 20'!$AJ$8:$AJ$42+('Aug 20'!$G$8:$G$42=$AD5)*'Aug 20'!$AK$8:$AK$42)*('Aug 20'!$Q$8:$Q$42+'Aug 20'!$R$8:$R$42))</f>
        <v>0</v>
      </c>
      <c r="AY24" s="0" t="n">
        <f aca="false">SUMPRODUCT((('Aug 21'!$F$8:$F$42=$AD5)*'Aug 21'!$AJ$8:$AJ$42+('Aug 21'!$G$8:$G$42=$AD5)*'Aug 21'!$AK$8:$AK$42)*('Aug 21'!$Q$8:$Q$42+'Aug 21'!$R$8:$R$42))</f>
        <v>0</v>
      </c>
      <c r="AZ24" s="0" t="n">
        <f aca="false">SUMPRODUCT((('Aug 22'!$F$8:$F$42=$AD5)*'Aug 22'!$AJ$8:$AJ$42+('Aug 22'!$G$8:$G$42=$AD5)*'Aug 22'!$AK$8:$AK$42)*('Aug 22'!$Q$8:$Q$42+'Aug 22'!$R$8:$R$42))</f>
        <v>0</v>
      </c>
      <c r="BA24" s="0" t="n">
        <f aca="false">SUMPRODUCT((('Aug 23'!$F$8:$F$42=$AD5)*'Aug 23'!$AJ$8:$AJ$42+('Aug 23'!$G$8:$G$42=$AD5)*'Aug 23'!$AK$8:$AK$42)*('Aug 23'!$Q$8:$Q$42+'Aug 23'!$R$8:$R$42))</f>
        <v>0</v>
      </c>
      <c r="BB24" s="0" t="n">
        <f aca="false">SUMPRODUCT((('Aug 24'!$F$8:$F$42=$AD5)*'Aug 24'!$AJ$8:$AJ$42+('Aug 24'!$G$8:$G$42=$AD5)*'Aug 24'!$AK$8:$AK$42)*('Aug 24'!$Q$8:$Q$42+'Aug 24'!$R$8:$R$42))</f>
        <v>0</v>
      </c>
      <c r="BC24" s="0" t="n">
        <f aca="false">SUMPRODUCT((('Aug 25'!$F$8:$F$42=$AD5)*'Aug 25'!$AJ$8:$AJ$42+('Aug 25'!$G$8:$G$42=$AD5)*'Aug 25'!$AK$8:$AK$42)*('Aug 25'!$Q$8:$Q$42+'Aug 25'!$R$8:$R$42))</f>
        <v>0</v>
      </c>
      <c r="BD24" s="0" t="n">
        <f aca="false">SUMPRODUCT((('Aug 26'!$F$8:$F$42=$AD5)*'Aug 26'!$AJ$8:$AJ$42+('Aug 26'!$G$8:$G$42=$AD5)*'Aug 26'!$AK$8:$AK$42)*('Aug 26'!$Q$8:$Q$42+'Aug 26'!$R$8:$R$42))</f>
        <v>0</v>
      </c>
      <c r="BE24" s="0" t="n">
        <f aca="false">SUMPRODUCT((('Aug 27'!$F$8:$F$42=$AD5)*'Aug 27'!$AJ$8:$AJ$42+('Aug 27'!$G$8:$G$42=$AD5)*'Aug 27'!$AK$8:$AK$42)*('Aug 27'!$Q$8:$Q$42+'Aug 27'!$R$8:$R$42))</f>
        <v>0</v>
      </c>
      <c r="BF24" s="0" t="n">
        <f aca="false">SUMPRODUCT((('Aug 28'!$F$8:$F$42=$AD5)*'Aug 28'!$AJ$8:$AJ$42+('Aug 28'!$G$8:$G$42=$AD5)*'Aug 28'!$AK$8:$AK$42)*('Aug 28'!$Q$8:$Q$42+'Aug 28'!$R$8:$R$42))</f>
        <v>0</v>
      </c>
      <c r="BG24" s="0" t="n">
        <f aca="false">SUMPRODUCT((('Aug 29'!$F$8:$F$42=$AD5)*'Aug 29'!$AJ$8:$AJ$42+('Aug 29'!$G$8:$G$42=$AD5)*'Aug 29'!$AK$8:$AK$42)*('Aug 29'!$Q$8:$Q$42+'Aug 29'!$R$8:$R$42))</f>
        <v>0</v>
      </c>
      <c r="BH24" s="0" t="n">
        <f aca="false">SUMPRODUCT((('Aug 30'!$F$8:$F$42=$AD5)*'Aug 30'!$AJ$8:$AJ$42+('Aug 30'!$G$8:$G$42=$AD5)*'Aug 30'!$AK$8:$AK$42)*('Aug 30'!$Q$8:$Q$42+'Aug 30'!$R$8:$R$42))</f>
        <v>0</v>
      </c>
      <c r="BI24" s="0" t="n">
        <f aca="false">SUMPRODUCT((('Aug 31'!$F$8:$F$42=$AD5)*'Aug 31'!$AJ$8:$AJ$42+('Aug 31'!$G$8:$G$42=$AD5)*'Aug 31'!$AK$8:$AK$42)*('Aug 31'!$Q$8:$Q$42+'Aug 31'!$R$8:$R$42))</f>
        <v>0</v>
      </c>
      <c r="BK24" s="0" t="n">
        <f aca="false">SUM(AE24:BI24)</f>
        <v>0</v>
      </c>
      <c r="BR24" s="0" t="n">
        <v>46259</v>
      </c>
    </row>
    <row r="25" customFormat="false" ht="15" hidden="false" customHeight="false" outlineLevel="0" collapsed="false">
      <c r="B25" s="74" t="str">
        <f aca="false">HYPERLINK("#'Aug 30'!A1","30")</f>
        <v>30</v>
      </c>
      <c r="C25" s="74"/>
      <c r="D25" s="74" t="str">
        <f aca="false">HYPERLINK("#'Aug 31'!A1","31")</f>
        <v>31</v>
      </c>
      <c r="E25" s="74"/>
      <c r="U25" s="64" t="n">
        <f aca="false">'Aug 22'!$G$47</f>
        <v>0</v>
      </c>
      <c r="V25" s="64" t="n">
        <f aca="false">'Aug 22'!$G$48</f>
        <v>0</v>
      </c>
      <c r="W25" s="0" t="n">
        <f aca="false">'Aug 22'!$C$54</f>
        <v>0</v>
      </c>
      <c r="X25" s="64" t="n">
        <f aca="false">'Aug 22'!$C$55</f>
        <v>0</v>
      </c>
      <c r="Y25" s="0" t="n">
        <f aca="false">'Aug 22'!$C$57</f>
        <v>0</v>
      </c>
      <c r="Z25" s="0" t="n">
        <f aca="false">COUNTIF('Aug 22'!$AM$8:$AM$42,"Y")</f>
        <v>0</v>
      </c>
      <c r="AA25" s="0" t="n">
        <f aca="false">COUNTIF('Aug 22'!$AN$8:$AN$42,"Y")</f>
        <v>0</v>
      </c>
      <c r="AB25" s="0" t="n">
        <f aca="false">COUNTIF('Aug 22'!$AO$8:$AO$42,"Y")</f>
        <v>0</v>
      </c>
      <c r="AC25" s="0" t="n">
        <f aca="false">'Aug 22'!$C$46</f>
        <v>0</v>
      </c>
      <c r="AE25" s="0" t="n">
        <f aca="false">SUMPRODUCT((('Aug 1'!$F$8:$F$42=$AD6)*'Aug 1'!$AJ$8:$AJ$42+('Aug 1'!$G$8:$G$42=$AD6)*'Aug 1'!$AK$8:$AK$42)*('Aug 1'!$Q$8:$Q$42+'Aug 1'!$R$8:$R$42))</f>
        <v>0</v>
      </c>
      <c r="AF25" s="0" t="n">
        <f aca="false">SUMPRODUCT((('Aug 2'!$F$8:$F$42=$AD6)*'Aug 2'!$AJ$8:$AJ$42+('Aug 2'!$G$8:$G$42=$AD6)*'Aug 2'!$AK$8:$AK$42)*('Aug 2'!$Q$8:$Q$42+'Aug 2'!$R$8:$R$42))</f>
        <v>0</v>
      </c>
      <c r="AG25" s="0" t="n">
        <f aca="false">SUMPRODUCT((('Aug 3'!$F$8:$F$42=$AD6)*'Aug 3'!$AJ$8:$AJ$42+('Aug 3'!$G$8:$G$42=$AD6)*'Aug 3'!$AK$8:$AK$42)*('Aug 3'!$Q$8:$Q$42+'Aug 3'!$R$8:$R$42))</f>
        <v>0</v>
      </c>
      <c r="AH25" s="0" t="n">
        <f aca="false">SUMPRODUCT((('Aug 4'!$F$8:$F$42=$AD6)*'Aug 4'!$AJ$8:$AJ$42+('Aug 4'!$G$8:$G$42=$AD6)*'Aug 4'!$AK$8:$AK$42)*('Aug 4'!$Q$8:$Q$42+'Aug 4'!$R$8:$R$42))</f>
        <v>0</v>
      </c>
      <c r="AI25" s="0" t="n">
        <f aca="false">SUMPRODUCT((('Aug 5'!$F$8:$F$42=$AD6)*'Aug 5'!$AJ$8:$AJ$42+('Aug 5'!$G$8:$G$42=$AD6)*'Aug 5'!$AK$8:$AK$42)*('Aug 5'!$Q$8:$Q$42+'Aug 5'!$R$8:$R$42))</f>
        <v>0</v>
      </c>
      <c r="AJ25" s="0" t="n">
        <f aca="false">SUMPRODUCT((('Aug 6'!$F$8:$F$42=$AD6)*'Aug 6'!$AJ$8:$AJ$42+('Aug 6'!$G$8:$G$42=$AD6)*'Aug 6'!$AK$8:$AK$42)*('Aug 6'!$Q$8:$Q$42+'Aug 6'!$R$8:$R$42))</f>
        <v>0</v>
      </c>
      <c r="AK25" s="0" t="n">
        <f aca="false">SUMPRODUCT((('Aug 7'!$F$8:$F$42=$AD6)*'Aug 7'!$AJ$8:$AJ$42+('Aug 7'!$G$8:$G$42=$AD6)*'Aug 7'!$AK$8:$AK$42)*('Aug 7'!$Q$8:$Q$42+'Aug 7'!$R$8:$R$42))</f>
        <v>0</v>
      </c>
      <c r="AL25" s="0" t="n">
        <f aca="false">SUMPRODUCT((('Aug 8'!$F$8:$F$42=$AD6)*'Aug 8'!$AJ$8:$AJ$42+('Aug 8'!$G$8:$G$42=$AD6)*'Aug 8'!$AK$8:$AK$42)*('Aug 8'!$Q$8:$Q$42+'Aug 8'!$R$8:$R$42))</f>
        <v>0</v>
      </c>
      <c r="AM25" s="0" t="n">
        <f aca="false">SUMPRODUCT((('Aug 9'!$F$8:$F$42=$AD6)*'Aug 9'!$AJ$8:$AJ$42+('Aug 9'!$G$8:$G$42=$AD6)*'Aug 9'!$AK$8:$AK$42)*('Aug 9'!$Q$8:$Q$42+'Aug 9'!$R$8:$R$42))</f>
        <v>0</v>
      </c>
      <c r="AN25" s="0" t="n">
        <f aca="false">SUMPRODUCT((('Aug 10'!$F$8:$F$42=$AD6)*'Aug 10'!$AJ$8:$AJ$42+('Aug 10'!$G$8:$G$42=$AD6)*'Aug 10'!$AK$8:$AK$42)*('Aug 10'!$Q$8:$Q$42+'Aug 10'!$R$8:$R$42))</f>
        <v>0</v>
      </c>
      <c r="AO25" s="0" t="n">
        <f aca="false">SUMPRODUCT((('Aug 11'!$F$8:$F$42=$AD6)*'Aug 11'!$AJ$8:$AJ$42+('Aug 11'!$G$8:$G$42=$AD6)*'Aug 11'!$AK$8:$AK$42)*('Aug 11'!$Q$8:$Q$42+'Aug 11'!$R$8:$R$42))</f>
        <v>0</v>
      </c>
      <c r="AP25" s="0" t="n">
        <f aca="false">SUMPRODUCT((('Aug 12'!$F$8:$F$42=$AD6)*'Aug 12'!$AJ$8:$AJ$42+('Aug 12'!$G$8:$G$42=$AD6)*'Aug 12'!$AK$8:$AK$42)*('Aug 12'!$Q$8:$Q$42+'Aug 12'!$R$8:$R$42))</f>
        <v>0</v>
      </c>
      <c r="AQ25" s="0" t="n">
        <f aca="false">SUMPRODUCT((('Aug 13'!$F$8:$F$42=$AD6)*'Aug 13'!$AJ$8:$AJ$42+('Aug 13'!$G$8:$G$42=$AD6)*'Aug 13'!$AK$8:$AK$42)*('Aug 13'!$Q$8:$Q$42+'Aug 13'!$R$8:$R$42))</f>
        <v>0</v>
      </c>
      <c r="AR25" s="0" t="n">
        <f aca="false">SUMPRODUCT((('Aug 14'!$F$8:$F$42=$AD6)*'Aug 14'!$AJ$8:$AJ$42+('Aug 14'!$G$8:$G$42=$AD6)*'Aug 14'!$AK$8:$AK$42)*('Aug 14'!$Q$8:$Q$42+'Aug 14'!$R$8:$R$42))</f>
        <v>0</v>
      </c>
      <c r="AS25" s="0" t="n">
        <f aca="false">SUMPRODUCT((('Aug 15'!$F$8:$F$42=$AD6)*'Aug 15'!$AJ$8:$AJ$42+('Aug 15'!$G$8:$G$42=$AD6)*'Aug 15'!$AK$8:$AK$42)*('Aug 15'!$Q$8:$Q$42+'Aug 15'!$R$8:$R$42))</f>
        <v>0</v>
      </c>
      <c r="AT25" s="0" t="n">
        <f aca="false">SUMPRODUCT((('Aug 16'!$F$8:$F$42=$AD6)*'Aug 16'!$AJ$8:$AJ$42+('Aug 16'!$G$8:$G$42=$AD6)*'Aug 16'!$AK$8:$AK$42)*('Aug 16'!$Q$8:$Q$42+'Aug 16'!$R$8:$R$42))</f>
        <v>0</v>
      </c>
      <c r="AU25" s="0" t="n">
        <f aca="false">SUMPRODUCT((('Aug 17'!$F$8:$F$42=$AD6)*'Aug 17'!$AJ$8:$AJ$42+('Aug 17'!$G$8:$G$42=$AD6)*'Aug 17'!$AK$8:$AK$42)*('Aug 17'!$Q$8:$Q$42+'Aug 17'!$R$8:$R$42))</f>
        <v>0</v>
      </c>
      <c r="AV25" s="0" t="n">
        <f aca="false">SUMPRODUCT((('Aug 18'!$F$8:$F$42=$AD6)*'Aug 18'!$AJ$8:$AJ$42+('Aug 18'!$G$8:$G$42=$AD6)*'Aug 18'!$AK$8:$AK$42)*('Aug 18'!$Q$8:$Q$42+'Aug 18'!$R$8:$R$42))</f>
        <v>0</v>
      </c>
      <c r="AW25" s="0" t="n">
        <f aca="false">SUMPRODUCT((('Aug 19'!$F$8:$F$42=$AD6)*'Aug 19'!$AJ$8:$AJ$42+('Aug 19'!$G$8:$G$42=$AD6)*'Aug 19'!$AK$8:$AK$42)*('Aug 19'!$Q$8:$Q$42+'Aug 19'!$R$8:$R$42))</f>
        <v>0</v>
      </c>
      <c r="AX25" s="0" t="n">
        <f aca="false">SUMPRODUCT((('Aug 20'!$F$8:$F$42=$AD6)*'Aug 20'!$AJ$8:$AJ$42+('Aug 20'!$G$8:$G$42=$AD6)*'Aug 20'!$AK$8:$AK$42)*('Aug 20'!$Q$8:$Q$42+'Aug 20'!$R$8:$R$42))</f>
        <v>0</v>
      </c>
      <c r="AY25" s="0" t="n">
        <f aca="false">SUMPRODUCT((('Aug 21'!$F$8:$F$42=$AD6)*'Aug 21'!$AJ$8:$AJ$42+('Aug 21'!$G$8:$G$42=$AD6)*'Aug 21'!$AK$8:$AK$42)*('Aug 21'!$Q$8:$Q$42+'Aug 21'!$R$8:$R$42))</f>
        <v>0</v>
      </c>
      <c r="AZ25" s="0" t="n">
        <f aca="false">SUMPRODUCT((('Aug 22'!$F$8:$F$42=$AD6)*'Aug 22'!$AJ$8:$AJ$42+('Aug 22'!$G$8:$G$42=$AD6)*'Aug 22'!$AK$8:$AK$42)*('Aug 22'!$Q$8:$Q$42+'Aug 22'!$R$8:$R$42))</f>
        <v>0</v>
      </c>
      <c r="BA25" s="0" t="n">
        <f aca="false">SUMPRODUCT((('Aug 23'!$F$8:$F$42=$AD6)*'Aug 23'!$AJ$8:$AJ$42+('Aug 23'!$G$8:$G$42=$AD6)*'Aug 23'!$AK$8:$AK$42)*('Aug 23'!$Q$8:$Q$42+'Aug 23'!$R$8:$R$42))</f>
        <v>0</v>
      </c>
      <c r="BB25" s="0" t="n">
        <f aca="false">SUMPRODUCT((('Aug 24'!$F$8:$F$42=$AD6)*'Aug 24'!$AJ$8:$AJ$42+('Aug 24'!$G$8:$G$42=$AD6)*'Aug 24'!$AK$8:$AK$42)*('Aug 24'!$Q$8:$Q$42+'Aug 24'!$R$8:$R$42))</f>
        <v>0</v>
      </c>
      <c r="BC25" s="0" t="n">
        <f aca="false">SUMPRODUCT((('Aug 25'!$F$8:$F$42=$AD6)*'Aug 25'!$AJ$8:$AJ$42+('Aug 25'!$G$8:$G$42=$AD6)*'Aug 25'!$AK$8:$AK$42)*('Aug 25'!$Q$8:$Q$42+'Aug 25'!$R$8:$R$42))</f>
        <v>0</v>
      </c>
      <c r="BD25" s="0" t="n">
        <f aca="false">SUMPRODUCT((('Aug 26'!$F$8:$F$42=$AD6)*'Aug 26'!$AJ$8:$AJ$42+('Aug 26'!$G$8:$G$42=$AD6)*'Aug 26'!$AK$8:$AK$42)*('Aug 26'!$Q$8:$Q$42+'Aug 26'!$R$8:$R$42))</f>
        <v>0</v>
      </c>
      <c r="BE25" s="0" t="n">
        <f aca="false">SUMPRODUCT((('Aug 27'!$F$8:$F$42=$AD6)*'Aug 27'!$AJ$8:$AJ$42+('Aug 27'!$G$8:$G$42=$AD6)*'Aug 27'!$AK$8:$AK$42)*('Aug 27'!$Q$8:$Q$42+'Aug 27'!$R$8:$R$42))</f>
        <v>0</v>
      </c>
      <c r="BF25" s="0" t="n">
        <f aca="false">SUMPRODUCT((('Aug 28'!$F$8:$F$42=$AD6)*'Aug 28'!$AJ$8:$AJ$42+('Aug 28'!$G$8:$G$42=$AD6)*'Aug 28'!$AK$8:$AK$42)*('Aug 28'!$Q$8:$Q$42+'Aug 28'!$R$8:$R$42))</f>
        <v>0</v>
      </c>
      <c r="BG25" s="0" t="n">
        <f aca="false">SUMPRODUCT((('Aug 29'!$F$8:$F$42=$AD6)*'Aug 29'!$AJ$8:$AJ$42+('Aug 29'!$G$8:$G$42=$AD6)*'Aug 29'!$AK$8:$AK$42)*('Aug 29'!$Q$8:$Q$42+'Aug 29'!$R$8:$R$42))</f>
        <v>0</v>
      </c>
      <c r="BH25" s="0" t="n">
        <f aca="false">SUMPRODUCT((('Aug 30'!$F$8:$F$42=$AD6)*'Aug 30'!$AJ$8:$AJ$42+('Aug 30'!$G$8:$G$42=$AD6)*'Aug 30'!$AK$8:$AK$42)*('Aug 30'!$Q$8:$Q$42+'Aug 30'!$R$8:$R$42))</f>
        <v>0</v>
      </c>
      <c r="BI25" s="0" t="n">
        <f aca="false">SUMPRODUCT((('Aug 31'!$F$8:$F$42=$AD6)*'Aug 31'!$AJ$8:$AJ$42+('Aug 31'!$G$8:$G$42=$AD6)*'Aug 31'!$AK$8:$AK$42)*('Aug 31'!$Q$8:$Q$42+'Aug 31'!$R$8:$R$42))</f>
        <v>0</v>
      </c>
      <c r="BK25" s="0" t="n">
        <f aca="false">SUM(AE25:BI25)</f>
        <v>0</v>
      </c>
      <c r="BR25" s="0" t="n">
        <v>46260</v>
      </c>
    </row>
    <row r="26" customFormat="false" ht="15" hidden="false" customHeight="false" outlineLevel="0" collapsed="false">
      <c r="B26" s="76" t="s">
        <v>155</v>
      </c>
      <c r="C26" s="76"/>
      <c r="D26" s="75" t="str">
        <f aca="false">IF('Aug 31'!$G$46=0,"—",'Aug 31'!$G$46&amp;"u · $"&amp;TEXT('Aug 31'!$G$49/1000,"0.0")&amp;"k")</f>
        <v>—</v>
      </c>
      <c r="E26" s="75"/>
      <c r="U26" s="64" t="n">
        <f aca="false">'Aug 23'!$G$47</f>
        <v>0</v>
      </c>
      <c r="V26" s="64" t="n">
        <f aca="false">'Aug 23'!$G$48</f>
        <v>0</v>
      </c>
      <c r="W26" s="0" t="n">
        <f aca="false">'Aug 23'!$C$54</f>
        <v>0</v>
      </c>
      <c r="X26" s="64" t="n">
        <f aca="false">'Aug 23'!$C$55</f>
        <v>0</v>
      </c>
      <c r="Y26" s="0" t="n">
        <f aca="false">'Aug 23'!$C$57</f>
        <v>0</v>
      </c>
      <c r="Z26" s="0" t="n">
        <f aca="false">COUNTIF('Aug 23'!$AM$8:$AM$42,"Y")</f>
        <v>0</v>
      </c>
      <c r="AA26" s="0" t="n">
        <f aca="false">COUNTIF('Aug 23'!$AN$8:$AN$42,"Y")</f>
        <v>0</v>
      </c>
      <c r="AB26" s="0" t="n">
        <f aca="false">COUNTIF('Aug 23'!$AO$8:$AO$42,"Y")</f>
        <v>0</v>
      </c>
      <c r="AC26" s="0" t="n">
        <f aca="false">'Aug 23'!$C$46</f>
        <v>0</v>
      </c>
      <c r="AE26" s="0" t="n">
        <f aca="false">SUMPRODUCT((('Aug 1'!$F$8:$F$42=$AD7)*'Aug 1'!$AJ$8:$AJ$42+('Aug 1'!$G$8:$G$42=$AD7)*'Aug 1'!$AK$8:$AK$42)*('Aug 1'!$Q$8:$Q$42+'Aug 1'!$R$8:$R$42))</f>
        <v>0</v>
      </c>
      <c r="AF26" s="0" t="n">
        <f aca="false">SUMPRODUCT((('Aug 2'!$F$8:$F$42=$AD7)*'Aug 2'!$AJ$8:$AJ$42+('Aug 2'!$G$8:$G$42=$AD7)*'Aug 2'!$AK$8:$AK$42)*('Aug 2'!$Q$8:$Q$42+'Aug 2'!$R$8:$R$42))</f>
        <v>0</v>
      </c>
      <c r="AG26" s="0" t="n">
        <f aca="false">SUMPRODUCT((('Aug 3'!$F$8:$F$42=$AD7)*'Aug 3'!$AJ$8:$AJ$42+('Aug 3'!$G$8:$G$42=$AD7)*'Aug 3'!$AK$8:$AK$42)*('Aug 3'!$Q$8:$Q$42+'Aug 3'!$R$8:$R$42))</f>
        <v>0</v>
      </c>
      <c r="AH26" s="0" t="n">
        <f aca="false">SUMPRODUCT((('Aug 4'!$F$8:$F$42=$AD7)*'Aug 4'!$AJ$8:$AJ$42+('Aug 4'!$G$8:$G$42=$AD7)*'Aug 4'!$AK$8:$AK$42)*('Aug 4'!$Q$8:$Q$42+'Aug 4'!$R$8:$R$42))</f>
        <v>0</v>
      </c>
      <c r="AI26" s="0" t="n">
        <f aca="false">SUMPRODUCT((('Aug 5'!$F$8:$F$42=$AD7)*'Aug 5'!$AJ$8:$AJ$42+('Aug 5'!$G$8:$G$42=$AD7)*'Aug 5'!$AK$8:$AK$42)*('Aug 5'!$Q$8:$Q$42+'Aug 5'!$R$8:$R$42))</f>
        <v>0</v>
      </c>
      <c r="AJ26" s="0" t="n">
        <f aca="false">SUMPRODUCT((('Aug 6'!$F$8:$F$42=$AD7)*'Aug 6'!$AJ$8:$AJ$42+('Aug 6'!$G$8:$G$42=$AD7)*'Aug 6'!$AK$8:$AK$42)*('Aug 6'!$Q$8:$Q$42+'Aug 6'!$R$8:$R$42))</f>
        <v>0</v>
      </c>
      <c r="AK26" s="0" t="n">
        <f aca="false">SUMPRODUCT((('Aug 7'!$F$8:$F$42=$AD7)*'Aug 7'!$AJ$8:$AJ$42+('Aug 7'!$G$8:$G$42=$AD7)*'Aug 7'!$AK$8:$AK$42)*('Aug 7'!$Q$8:$Q$42+'Aug 7'!$R$8:$R$42))</f>
        <v>0</v>
      </c>
      <c r="AL26" s="0" t="n">
        <f aca="false">SUMPRODUCT((('Aug 8'!$F$8:$F$42=$AD7)*'Aug 8'!$AJ$8:$AJ$42+('Aug 8'!$G$8:$G$42=$AD7)*'Aug 8'!$AK$8:$AK$42)*('Aug 8'!$Q$8:$Q$42+'Aug 8'!$R$8:$R$42))</f>
        <v>0</v>
      </c>
      <c r="AM26" s="0" t="n">
        <f aca="false">SUMPRODUCT((('Aug 9'!$F$8:$F$42=$AD7)*'Aug 9'!$AJ$8:$AJ$42+('Aug 9'!$G$8:$G$42=$AD7)*'Aug 9'!$AK$8:$AK$42)*('Aug 9'!$Q$8:$Q$42+'Aug 9'!$R$8:$R$42))</f>
        <v>0</v>
      </c>
      <c r="AN26" s="0" t="n">
        <f aca="false">SUMPRODUCT((('Aug 10'!$F$8:$F$42=$AD7)*'Aug 10'!$AJ$8:$AJ$42+('Aug 10'!$G$8:$G$42=$AD7)*'Aug 10'!$AK$8:$AK$42)*('Aug 10'!$Q$8:$Q$42+'Aug 10'!$R$8:$R$42))</f>
        <v>0</v>
      </c>
      <c r="AO26" s="0" t="n">
        <f aca="false">SUMPRODUCT((('Aug 11'!$F$8:$F$42=$AD7)*'Aug 11'!$AJ$8:$AJ$42+('Aug 11'!$G$8:$G$42=$AD7)*'Aug 11'!$AK$8:$AK$42)*('Aug 11'!$Q$8:$Q$42+'Aug 11'!$R$8:$R$42))</f>
        <v>0</v>
      </c>
      <c r="AP26" s="0" t="n">
        <f aca="false">SUMPRODUCT((('Aug 12'!$F$8:$F$42=$AD7)*'Aug 12'!$AJ$8:$AJ$42+('Aug 12'!$G$8:$G$42=$AD7)*'Aug 12'!$AK$8:$AK$42)*('Aug 12'!$Q$8:$Q$42+'Aug 12'!$R$8:$R$42))</f>
        <v>0</v>
      </c>
      <c r="AQ26" s="0" t="n">
        <f aca="false">SUMPRODUCT((('Aug 13'!$F$8:$F$42=$AD7)*'Aug 13'!$AJ$8:$AJ$42+('Aug 13'!$G$8:$G$42=$AD7)*'Aug 13'!$AK$8:$AK$42)*('Aug 13'!$Q$8:$Q$42+'Aug 13'!$R$8:$R$42))</f>
        <v>0</v>
      </c>
      <c r="AR26" s="0" t="n">
        <f aca="false">SUMPRODUCT((('Aug 14'!$F$8:$F$42=$AD7)*'Aug 14'!$AJ$8:$AJ$42+('Aug 14'!$G$8:$G$42=$AD7)*'Aug 14'!$AK$8:$AK$42)*('Aug 14'!$Q$8:$Q$42+'Aug 14'!$R$8:$R$42))</f>
        <v>0</v>
      </c>
      <c r="AS26" s="0" t="n">
        <f aca="false">SUMPRODUCT((('Aug 15'!$F$8:$F$42=$AD7)*'Aug 15'!$AJ$8:$AJ$42+('Aug 15'!$G$8:$G$42=$AD7)*'Aug 15'!$AK$8:$AK$42)*('Aug 15'!$Q$8:$Q$42+'Aug 15'!$R$8:$R$42))</f>
        <v>0</v>
      </c>
      <c r="AT26" s="0" t="n">
        <f aca="false">SUMPRODUCT((('Aug 16'!$F$8:$F$42=$AD7)*'Aug 16'!$AJ$8:$AJ$42+('Aug 16'!$G$8:$G$42=$AD7)*'Aug 16'!$AK$8:$AK$42)*('Aug 16'!$Q$8:$Q$42+'Aug 16'!$R$8:$R$42))</f>
        <v>0</v>
      </c>
      <c r="AU26" s="0" t="n">
        <f aca="false">SUMPRODUCT((('Aug 17'!$F$8:$F$42=$AD7)*'Aug 17'!$AJ$8:$AJ$42+('Aug 17'!$G$8:$G$42=$AD7)*'Aug 17'!$AK$8:$AK$42)*('Aug 17'!$Q$8:$Q$42+'Aug 17'!$R$8:$R$42))</f>
        <v>0</v>
      </c>
      <c r="AV26" s="0" t="n">
        <f aca="false">SUMPRODUCT((('Aug 18'!$F$8:$F$42=$AD7)*'Aug 18'!$AJ$8:$AJ$42+('Aug 18'!$G$8:$G$42=$AD7)*'Aug 18'!$AK$8:$AK$42)*('Aug 18'!$Q$8:$Q$42+'Aug 18'!$R$8:$R$42))</f>
        <v>0</v>
      </c>
      <c r="AW26" s="0" t="n">
        <f aca="false">SUMPRODUCT((('Aug 19'!$F$8:$F$42=$AD7)*'Aug 19'!$AJ$8:$AJ$42+('Aug 19'!$G$8:$G$42=$AD7)*'Aug 19'!$AK$8:$AK$42)*('Aug 19'!$Q$8:$Q$42+'Aug 19'!$R$8:$R$42))</f>
        <v>0</v>
      </c>
      <c r="AX26" s="0" t="n">
        <f aca="false">SUMPRODUCT((('Aug 20'!$F$8:$F$42=$AD7)*'Aug 20'!$AJ$8:$AJ$42+('Aug 20'!$G$8:$G$42=$AD7)*'Aug 20'!$AK$8:$AK$42)*('Aug 20'!$Q$8:$Q$42+'Aug 20'!$R$8:$R$42))</f>
        <v>0</v>
      </c>
      <c r="AY26" s="0" t="n">
        <f aca="false">SUMPRODUCT((('Aug 21'!$F$8:$F$42=$AD7)*'Aug 21'!$AJ$8:$AJ$42+('Aug 21'!$G$8:$G$42=$AD7)*'Aug 21'!$AK$8:$AK$42)*('Aug 21'!$Q$8:$Q$42+'Aug 21'!$R$8:$R$42))</f>
        <v>0</v>
      </c>
      <c r="AZ26" s="0" t="n">
        <f aca="false">SUMPRODUCT((('Aug 22'!$F$8:$F$42=$AD7)*'Aug 22'!$AJ$8:$AJ$42+('Aug 22'!$G$8:$G$42=$AD7)*'Aug 22'!$AK$8:$AK$42)*('Aug 22'!$Q$8:$Q$42+'Aug 22'!$R$8:$R$42))</f>
        <v>0</v>
      </c>
      <c r="BA26" s="0" t="n">
        <f aca="false">SUMPRODUCT((('Aug 23'!$F$8:$F$42=$AD7)*'Aug 23'!$AJ$8:$AJ$42+('Aug 23'!$G$8:$G$42=$AD7)*'Aug 23'!$AK$8:$AK$42)*('Aug 23'!$Q$8:$Q$42+'Aug 23'!$R$8:$R$42))</f>
        <v>0</v>
      </c>
      <c r="BB26" s="0" t="n">
        <f aca="false">SUMPRODUCT((('Aug 24'!$F$8:$F$42=$AD7)*'Aug 24'!$AJ$8:$AJ$42+('Aug 24'!$G$8:$G$42=$AD7)*'Aug 24'!$AK$8:$AK$42)*('Aug 24'!$Q$8:$Q$42+'Aug 24'!$R$8:$R$42))</f>
        <v>0</v>
      </c>
      <c r="BC26" s="0" t="n">
        <f aca="false">SUMPRODUCT((('Aug 25'!$F$8:$F$42=$AD7)*'Aug 25'!$AJ$8:$AJ$42+('Aug 25'!$G$8:$G$42=$AD7)*'Aug 25'!$AK$8:$AK$42)*('Aug 25'!$Q$8:$Q$42+'Aug 25'!$R$8:$R$42))</f>
        <v>0</v>
      </c>
      <c r="BD26" s="0" t="n">
        <f aca="false">SUMPRODUCT((('Aug 26'!$F$8:$F$42=$AD7)*'Aug 26'!$AJ$8:$AJ$42+('Aug 26'!$G$8:$G$42=$AD7)*'Aug 26'!$AK$8:$AK$42)*('Aug 26'!$Q$8:$Q$42+'Aug 26'!$R$8:$R$42))</f>
        <v>0</v>
      </c>
      <c r="BE26" s="0" t="n">
        <f aca="false">SUMPRODUCT((('Aug 27'!$F$8:$F$42=$AD7)*'Aug 27'!$AJ$8:$AJ$42+('Aug 27'!$G$8:$G$42=$AD7)*'Aug 27'!$AK$8:$AK$42)*('Aug 27'!$Q$8:$Q$42+'Aug 27'!$R$8:$R$42))</f>
        <v>0</v>
      </c>
      <c r="BF26" s="0" t="n">
        <f aca="false">SUMPRODUCT((('Aug 28'!$F$8:$F$42=$AD7)*'Aug 28'!$AJ$8:$AJ$42+('Aug 28'!$G$8:$G$42=$AD7)*'Aug 28'!$AK$8:$AK$42)*('Aug 28'!$Q$8:$Q$42+'Aug 28'!$R$8:$R$42))</f>
        <v>0</v>
      </c>
      <c r="BG26" s="0" t="n">
        <f aca="false">SUMPRODUCT((('Aug 29'!$F$8:$F$42=$AD7)*'Aug 29'!$AJ$8:$AJ$42+('Aug 29'!$G$8:$G$42=$AD7)*'Aug 29'!$AK$8:$AK$42)*('Aug 29'!$Q$8:$Q$42+'Aug 29'!$R$8:$R$42))</f>
        <v>0</v>
      </c>
      <c r="BH26" s="0" t="n">
        <f aca="false">SUMPRODUCT((('Aug 30'!$F$8:$F$42=$AD7)*'Aug 30'!$AJ$8:$AJ$42+('Aug 30'!$G$8:$G$42=$AD7)*'Aug 30'!$AK$8:$AK$42)*('Aug 30'!$Q$8:$Q$42+'Aug 30'!$R$8:$R$42))</f>
        <v>0</v>
      </c>
      <c r="BI26" s="0" t="n">
        <f aca="false">SUMPRODUCT((('Aug 31'!$F$8:$F$42=$AD7)*'Aug 31'!$AJ$8:$AJ$42+('Aug 31'!$G$8:$G$42=$AD7)*'Aug 31'!$AK$8:$AK$42)*('Aug 31'!$Q$8:$Q$42+'Aug 31'!$R$8:$R$42))</f>
        <v>0</v>
      </c>
      <c r="BK26" s="0" t="n">
        <f aca="false">SUM(AE26:BI26)</f>
        <v>0</v>
      </c>
      <c r="BR26" s="0" t="n">
        <v>46261</v>
      </c>
    </row>
    <row r="27" customFormat="false" ht="15" hidden="false" customHeight="false" outlineLevel="0" collapsed="false">
      <c r="U27" s="64" t="n">
        <f aca="false">'Aug 24'!$G$47</f>
        <v>0</v>
      </c>
      <c r="V27" s="64" t="n">
        <f aca="false">'Aug 24'!$G$48</f>
        <v>0</v>
      </c>
      <c r="W27" s="0" t="n">
        <f aca="false">'Aug 24'!$C$54</f>
        <v>0</v>
      </c>
      <c r="X27" s="64" t="n">
        <f aca="false">'Aug 24'!$C$55</f>
        <v>0</v>
      </c>
      <c r="Y27" s="0" t="n">
        <f aca="false">'Aug 24'!$C$57</f>
        <v>0</v>
      </c>
      <c r="Z27" s="0" t="n">
        <f aca="false">COUNTIF('Aug 24'!$AM$8:$AM$42,"Y")</f>
        <v>0</v>
      </c>
      <c r="AA27" s="0" t="n">
        <f aca="false">COUNTIF('Aug 24'!$AN$8:$AN$42,"Y")</f>
        <v>0</v>
      </c>
      <c r="AB27" s="0" t="n">
        <f aca="false">COUNTIF('Aug 24'!$AO$8:$AO$42,"Y")</f>
        <v>0</v>
      </c>
      <c r="AC27" s="0" t="n">
        <f aca="false">'Aug 24'!$C$46</f>
        <v>0</v>
      </c>
      <c r="AE27" s="0" t="n">
        <f aca="false">SUMPRODUCT((('Aug 1'!$F$8:$F$42=$AD8)*'Aug 1'!$AJ$8:$AJ$42+('Aug 1'!$G$8:$G$42=$AD8)*'Aug 1'!$AK$8:$AK$42)*('Aug 1'!$Q$8:$Q$42+'Aug 1'!$R$8:$R$42))</f>
        <v>0</v>
      </c>
      <c r="AF27" s="0" t="n">
        <f aca="false">SUMPRODUCT((('Aug 2'!$F$8:$F$42=$AD8)*'Aug 2'!$AJ$8:$AJ$42+('Aug 2'!$G$8:$G$42=$AD8)*'Aug 2'!$AK$8:$AK$42)*('Aug 2'!$Q$8:$Q$42+'Aug 2'!$R$8:$R$42))</f>
        <v>0</v>
      </c>
      <c r="AG27" s="0" t="n">
        <f aca="false">SUMPRODUCT((('Aug 3'!$F$8:$F$42=$AD8)*'Aug 3'!$AJ$8:$AJ$42+('Aug 3'!$G$8:$G$42=$AD8)*'Aug 3'!$AK$8:$AK$42)*('Aug 3'!$Q$8:$Q$42+'Aug 3'!$R$8:$R$42))</f>
        <v>0</v>
      </c>
      <c r="AH27" s="0" t="n">
        <f aca="false">SUMPRODUCT((('Aug 4'!$F$8:$F$42=$AD8)*'Aug 4'!$AJ$8:$AJ$42+('Aug 4'!$G$8:$G$42=$AD8)*'Aug 4'!$AK$8:$AK$42)*('Aug 4'!$Q$8:$Q$42+'Aug 4'!$R$8:$R$42))</f>
        <v>0</v>
      </c>
      <c r="AI27" s="0" t="n">
        <f aca="false">SUMPRODUCT((('Aug 5'!$F$8:$F$42=$AD8)*'Aug 5'!$AJ$8:$AJ$42+('Aug 5'!$G$8:$G$42=$AD8)*'Aug 5'!$AK$8:$AK$42)*('Aug 5'!$Q$8:$Q$42+'Aug 5'!$R$8:$R$42))</f>
        <v>0</v>
      </c>
      <c r="AJ27" s="0" t="n">
        <f aca="false">SUMPRODUCT((('Aug 6'!$F$8:$F$42=$AD8)*'Aug 6'!$AJ$8:$AJ$42+('Aug 6'!$G$8:$G$42=$AD8)*'Aug 6'!$AK$8:$AK$42)*('Aug 6'!$Q$8:$Q$42+'Aug 6'!$R$8:$R$42))</f>
        <v>0</v>
      </c>
      <c r="AK27" s="0" t="n">
        <f aca="false">SUMPRODUCT((('Aug 7'!$F$8:$F$42=$AD8)*'Aug 7'!$AJ$8:$AJ$42+('Aug 7'!$G$8:$G$42=$AD8)*'Aug 7'!$AK$8:$AK$42)*('Aug 7'!$Q$8:$Q$42+'Aug 7'!$R$8:$R$42))</f>
        <v>0</v>
      </c>
      <c r="AL27" s="0" t="n">
        <f aca="false">SUMPRODUCT((('Aug 8'!$F$8:$F$42=$AD8)*'Aug 8'!$AJ$8:$AJ$42+('Aug 8'!$G$8:$G$42=$AD8)*'Aug 8'!$AK$8:$AK$42)*('Aug 8'!$Q$8:$Q$42+'Aug 8'!$R$8:$R$42))</f>
        <v>0</v>
      </c>
      <c r="AM27" s="0" t="n">
        <f aca="false">SUMPRODUCT((('Aug 9'!$F$8:$F$42=$AD8)*'Aug 9'!$AJ$8:$AJ$42+('Aug 9'!$G$8:$G$42=$AD8)*'Aug 9'!$AK$8:$AK$42)*('Aug 9'!$Q$8:$Q$42+'Aug 9'!$R$8:$R$42))</f>
        <v>0</v>
      </c>
      <c r="AN27" s="0" t="n">
        <f aca="false">SUMPRODUCT((('Aug 10'!$F$8:$F$42=$AD8)*'Aug 10'!$AJ$8:$AJ$42+('Aug 10'!$G$8:$G$42=$AD8)*'Aug 10'!$AK$8:$AK$42)*('Aug 10'!$Q$8:$Q$42+'Aug 10'!$R$8:$R$42))</f>
        <v>0</v>
      </c>
      <c r="AO27" s="0" t="n">
        <f aca="false">SUMPRODUCT((('Aug 11'!$F$8:$F$42=$AD8)*'Aug 11'!$AJ$8:$AJ$42+('Aug 11'!$G$8:$G$42=$AD8)*'Aug 11'!$AK$8:$AK$42)*('Aug 11'!$Q$8:$Q$42+'Aug 11'!$R$8:$R$42))</f>
        <v>0</v>
      </c>
      <c r="AP27" s="0" t="n">
        <f aca="false">SUMPRODUCT((('Aug 12'!$F$8:$F$42=$AD8)*'Aug 12'!$AJ$8:$AJ$42+('Aug 12'!$G$8:$G$42=$AD8)*'Aug 12'!$AK$8:$AK$42)*('Aug 12'!$Q$8:$Q$42+'Aug 12'!$R$8:$R$42))</f>
        <v>0</v>
      </c>
      <c r="AQ27" s="0" t="n">
        <f aca="false">SUMPRODUCT((('Aug 13'!$F$8:$F$42=$AD8)*'Aug 13'!$AJ$8:$AJ$42+('Aug 13'!$G$8:$G$42=$AD8)*'Aug 13'!$AK$8:$AK$42)*('Aug 13'!$Q$8:$Q$42+'Aug 13'!$R$8:$R$42))</f>
        <v>0</v>
      </c>
      <c r="AR27" s="0" t="n">
        <f aca="false">SUMPRODUCT((('Aug 14'!$F$8:$F$42=$AD8)*'Aug 14'!$AJ$8:$AJ$42+('Aug 14'!$G$8:$G$42=$AD8)*'Aug 14'!$AK$8:$AK$42)*('Aug 14'!$Q$8:$Q$42+'Aug 14'!$R$8:$R$42))</f>
        <v>0</v>
      </c>
      <c r="AS27" s="0" t="n">
        <f aca="false">SUMPRODUCT((('Aug 15'!$F$8:$F$42=$AD8)*'Aug 15'!$AJ$8:$AJ$42+('Aug 15'!$G$8:$G$42=$AD8)*'Aug 15'!$AK$8:$AK$42)*('Aug 15'!$Q$8:$Q$42+'Aug 15'!$R$8:$R$42))</f>
        <v>0</v>
      </c>
      <c r="AT27" s="0" t="n">
        <f aca="false">SUMPRODUCT((('Aug 16'!$F$8:$F$42=$AD8)*'Aug 16'!$AJ$8:$AJ$42+('Aug 16'!$G$8:$G$42=$AD8)*'Aug 16'!$AK$8:$AK$42)*('Aug 16'!$Q$8:$Q$42+'Aug 16'!$R$8:$R$42))</f>
        <v>0</v>
      </c>
      <c r="AU27" s="0" t="n">
        <f aca="false">SUMPRODUCT((('Aug 17'!$F$8:$F$42=$AD8)*'Aug 17'!$AJ$8:$AJ$42+('Aug 17'!$G$8:$G$42=$AD8)*'Aug 17'!$AK$8:$AK$42)*('Aug 17'!$Q$8:$Q$42+'Aug 17'!$R$8:$R$42))</f>
        <v>0</v>
      </c>
      <c r="AV27" s="0" t="n">
        <f aca="false">SUMPRODUCT((('Aug 18'!$F$8:$F$42=$AD8)*'Aug 18'!$AJ$8:$AJ$42+('Aug 18'!$G$8:$G$42=$AD8)*'Aug 18'!$AK$8:$AK$42)*('Aug 18'!$Q$8:$Q$42+'Aug 18'!$R$8:$R$42))</f>
        <v>0</v>
      </c>
      <c r="AW27" s="0" t="n">
        <f aca="false">SUMPRODUCT((('Aug 19'!$F$8:$F$42=$AD8)*'Aug 19'!$AJ$8:$AJ$42+('Aug 19'!$G$8:$G$42=$AD8)*'Aug 19'!$AK$8:$AK$42)*('Aug 19'!$Q$8:$Q$42+'Aug 19'!$R$8:$R$42))</f>
        <v>0</v>
      </c>
      <c r="AX27" s="0" t="n">
        <f aca="false">SUMPRODUCT((('Aug 20'!$F$8:$F$42=$AD8)*'Aug 20'!$AJ$8:$AJ$42+('Aug 20'!$G$8:$G$42=$AD8)*'Aug 20'!$AK$8:$AK$42)*('Aug 20'!$Q$8:$Q$42+'Aug 20'!$R$8:$R$42))</f>
        <v>0</v>
      </c>
      <c r="AY27" s="0" t="n">
        <f aca="false">SUMPRODUCT((('Aug 21'!$F$8:$F$42=$AD8)*'Aug 21'!$AJ$8:$AJ$42+('Aug 21'!$G$8:$G$42=$AD8)*'Aug 21'!$AK$8:$AK$42)*('Aug 21'!$Q$8:$Q$42+'Aug 21'!$R$8:$R$42))</f>
        <v>0</v>
      </c>
      <c r="AZ27" s="0" t="n">
        <f aca="false">SUMPRODUCT((('Aug 22'!$F$8:$F$42=$AD8)*'Aug 22'!$AJ$8:$AJ$42+('Aug 22'!$G$8:$G$42=$AD8)*'Aug 22'!$AK$8:$AK$42)*('Aug 22'!$Q$8:$Q$42+'Aug 22'!$R$8:$R$42))</f>
        <v>0</v>
      </c>
      <c r="BA27" s="0" t="n">
        <f aca="false">SUMPRODUCT((('Aug 23'!$F$8:$F$42=$AD8)*'Aug 23'!$AJ$8:$AJ$42+('Aug 23'!$G$8:$G$42=$AD8)*'Aug 23'!$AK$8:$AK$42)*('Aug 23'!$Q$8:$Q$42+'Aug 23'!$R$8:$R$42))</f>
        <v>0</v>
      </c>
      <c r="BB27" s="0" t="n">
        <f aca="false">SUMPRODUCT((('Aug 24'!$F$8:$F$42=$AD8)*'Aug 24'!$AJ$8:$AJ$42+('Aug 24'!$G$8:$G$42=$AD8)*'Aug 24'!$AK$8:$AK$42)*('Aug 24'!$Q$8:$Q$42+'Aug 24'!$R$8:$R$42))</f>
        <v>0</v>
      </c>
      <c r="BC27" s="0" t="n">
        <f aca="false">SUMPRODUCT((('Aug 25'!$F$8:$F$42=$AD8)*'Aug 25'!$AJ$8:$AJ$42+('Aug 25'!$G$8:$G$42=$AD8)*'Aug 25'!$AK$8:$AK$42)*('Aug 25'!$Q$8:$Q$42+'Aug 25'!$R$8:$R$42))</f>
        <v>0</v>
      </c>
      <c r="BD27" s="0" t="n">
        <f aca="false">SUMPRODUCT((('Aug 26'!$F$8:$F$42=$AD8)*'Aug 26'!$AJ$8:$AJ$42+('Aug 26'!$G$8:$G$42=$AD8)*'Aug 26'!$AK$8:$AK$42)*('Aug 26'!$Q$8:$Q$42+'Aug 26'!$R$8:$R$42))</f>
        <v>0</v>
      </c>
      <c r="BE27" s="0" t="n">
        <f aca="false">SUMPRODUCT((('Aug 27'!$F$8:$F$42=$AD8)*'Aug 27'!$AJ$8:$AJ$42+('Aug 27'!$G$8:$G$42=$AD8)*'Aug 27'!$AK$8:$AK$42)*('Aug 27'!$Q$8:$Q$42+'Aug 27'!$R$8:$R$42))</f>
        <v>0</v>
      </c>
      <c r="BF27" s="0" t="n">
        <f aca="false">SUMPRODUCT((('Aug 28'!$F$8:$F$42=$AD8)*'Aug 28'!$AJ$8:$AJ$42+('Aug 28'!$G$8:$G$42=$AD8)*'Aug 28'!$AK$8:$AK$42)*('Aug 28'!$Q$8:$Q$42+'Aug 28'!$R$8:$R$42))</f>
        <v>0</v>
      </c>
      <c r="BG27" s="0" t="n">
        <f aca="false">SUMPRODUCT((('Aug 29'!$F$8:$F$42=$AD8)*'Aug 29'!$AJ$8:$AJ$42+('Aug 29'!$G$8:$G$42=$AD8)*'Aug 29'!$AK$8:$AK$42)*('Aug 29'!$Q$8:$Q$42+'Aug 29'!$R$8:$R$42))</f>
        <v>0</v>
      </c>
      <c r="BH27" s="0" t="n">
        <f aca="false">SUMPRODUCT((('Aug 30'!$F$8:$F$42=$AD8)*'Aug 30'!$AJ$8:$AJ$42+('Aug 30'!$G$8:$G$42=$AD8)*'Aug 30'!$AK$8:$AK$42)*('Aug 30'!$Q$8:$Q$42+'Aug 30'!$R$8:$R$42))</f>
        <v>0</v>
      </c>
      <c r="BI27" s="0" t="n">
        <f aca="false">SUMPRODUCT((('Aug 31'!$F$8:$F$42=$AD8)*'Aug 31'!$AJ$8:$AJ$42+('Aug 31'!$G$8:$G$42=$AD8)*'Aug 31'!$AK$8:$AK$42)*('Aug 31'!$Q$8:$Q$42+'Aug 31'!$R$8:$R$42))</f>
        <v>0</v>
      </c>
      <c r="BK27" s="0" t="n">
        <f aca="false">SUM(AE27:BI27)</f>
        <v>0</v>
      </c>
      <c r="BR27" s="0" t="n">
        <v>46262</v>
      </c>
    </row>
    <row r="28" customFormat="false" ht="15" hidden="false" customHeight="true" outlineLevel="0" collapsed="false">
      <c r="A28" s="19" t="s">
        <v>156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157</v>
      </c>
      <c r="O28" s="19"/>
      <c r="P28" s="19"/>
      <c r="Q28" s="19"/>
      <c r="R28" s="19"/>
      <c r="U28" s="64" t="n">
        <f aca="false">'Aug 25'!$G$47</f>
        <v>0</v>
      </c>
      <c r="V28" s="64" t="n">
        <f aca="false">'Aug 25'!$G$48</f>
        <v>0</v>
      </c>
      <c r="W28" s="0" t="n">
        <f aca="false">'Aug 25'!$C$54</f>
        <v>0</v>
      </c>
      <c r="X28" s="64" t="n">
        <f aca="false">'Aug 25'!$C$55</f>
        <v>0</v>
      </c>
      <c r="Y28" s="0" t="n">
        <f aca="false">'Aug 25'!$C$57</f>
        <v>0</v>
      </c>
      <c r="Z28" s="0" t="n">
        <f aca="false">COUNTIF('Aug 25'!$AM$8:$AM$42,"Y")</f>
        <v>0</v>
      </c>
      <c r="AA28" s="0" t="n">
        <f aca="false">COUNTIF('Aug 25'!$AN$8:$AN$42,"Y")</f>
        <v>0</v>
      </c>
      <c r="AB28" s="0" t="n">
        <f aca="false">COUNTIF('Aug 25'!$AO$8:$AO$42,"Y")</f>
        <v>0</v>
      </c>
      <c r="AC28" s="0" t="n">
        <f aca="false">'Aug 25'!$C$46</f>
        <v>0</v>
      </c>
      <c r="AE28" s="0" t="n">
        <f aca="false">SUMPRODUCT((('Aug 1'!$F$8:$F$42=$AD9)*'Aug 1'!$AJ$8:$AJ$42+('Aug 1'!$G$8:$G$42=$AD9)*'Aug 1'!$AK$8:$AK$42)*('Aug 1'!$Q$8:$Q$42+'Aug 1'!$R$8:$R$42))</f>
        <v>0</v>
      </c>
      <c r="AF28" s="0" t="n">
        <f aca="false">SUMPRODUCT((('Aug 2'!$F$8:$F$42=$AD9)*'Aug 2'!$AJ$8:$AJ$42+('Aug 2'!$G$8:$G$42=$AD9)*'Aug 2'!$AK$8:$AK$42)*('Aug 2'!$Q$8:$Q$42+'Aug 2'!$R$8:$R$42))</f>
        <v>0</v>
      </c>
      <c r="AG28" s="0" t="n">
        <f aca="false">SUMPRODUCT((('Aug 3'!$F$8:$F$42=$AD9)*'Aug 3'!$AJ$8:$AJ$42+('Aug 3'!$G$8:$G$42=$AD9)*'Aug 3'!$AK$8:$AK$42)*('Aug 3'!$Q$8:$Q$42+'Aug 3'!$R$8:$R$42))</f>
        <v>0</v>
      </c>
      <c r="AH28" s="0" t="n">
        <f aca="false">SUMPRODUCT((('Aug 4'!$F$8:$F$42=$AD9)*'Aug 4'!$AJ$8:$AJ$42+('Aug 4'!$G$8:$G$42=$AD9)*'Aug 4'!$AK$8:$AK$42)*('Aug 4'!$Q$8:$Q$42+'Aug 4'!$R$8:$R$42))</f>
        <v>0</v>
      </c>
      <c r="AI28" s="0" t="n">
        <f aca="false">SUMPRODUCT((('Aug 5'!$F$8:$F$42=$AD9)*'Aug 5'!$AJ$8:$AJ$42+('Aug 5'!$G$8:$G$42=$AD9)*'Aug 5'!$AK$8:$AK$42)*('Aug 5'!$Q$8:$Q$42+'Aug 5'!$R$8:$R$42))</f>
        <v>0</v>
      </c>
      <c r="AJ28" s="0" t="n">
        <f aca="false">SUMPRODUCT((('Aug 6'!$F$8:$F$42=$AD9)*'Aug 6'!$AJ$8:$AJ$42+('Aug 6'!$G$8:$G$42=$AD9)*'Aug 6'!$AK$8:$AK$42)*('Aug 6'!$Q$8:$Q$42+'Aug 6'!$R$8:$R$42))</f>
        <v>0</v>
      </c>
      <c r="AK28" s="0" t="n">
        <f aca="false">SUMPRODUCT((('Aug 7'!$F$8:$F$42=$AD9)*'Aug 7'!$AJ$8:$AJ$42+('Aug 7'!$G$8:$G$42=$AD9)*'Aug 7'!$AK$8:$AK$42)*('Aug 7'!$Q$8:$Q$42+'Aug 7'!$R$8:$R$42))</f>
        <v>0</v>
      </c>
      <c r="AL28" s="0" t="n">
        <f aca="false">SUMPRODUCT((('Aug 8'!$F$8:$F$42=$AD9)*'Aug 8'!$AJ$8:$AJ$42+('Aug 8'!$G$8:$G$42=$AD9)*'Aug 8'!$AK$8:$AK$42)*('Aug 8'!$Q$8:$Q$42+'Aug 8'!$R$8:$R$42))</f>
        <v>0</v>
      </c>
      <c r="AM28" s="0" t="n">
        <f aca="false">SUMPRODUCT((('Aug 9'!$F$8:$F$42=$AD9)*'Aug 9'!$AJ$8:$AJ$42+('Aug 9'!$G$8:$G$42=$AD9)*'Aug 9'!$AK$8:$AK$42)*('Aug 9'!$Q$8:$Q$42+'Aug 9'!$R$8:$R$42))</f>
        <v>0</v>
      </c>
      <c r="AN28" s="0" t="n">
        <f aca="false">SUMPRODUCT((('Aug 10'!$F$8:$F$42=$AD9)*'Aug 10'!$AJ$8:$AJ$42+('Aug 10'!$G$8:$G$42=$AD9)*'Aug 10'!$AK$8:$AK$42)*('Aug 10'!$Q$8:$Q$42+'Aug 10'!$R$8:$R$42))</f>
        <v>0</v>
      </c>
      <c r="AO28" s="0" t="n">
        <f aca="false">SUMPRODUCT((('Aug 11'!$F$8:$F$42=$AD9)*'Aug 11'!$AJ$8:$AJ$42+('Aug 11'!$G$8:$G$42=$AD9)*'Aug 11'!$AK$8:$AK$42)*('Aug 11'!$Q$8:$Q$42+'Aug 11'!$R$8:$R$42))</f>
        <v>0</v>
      </c>
      <c r="AP28" s="0" t="n">
        <f aca="false">SUMPRODUCT((('Aug 12'!$F$8:$F$42=$AD9)*'Aug 12'!$AJ$8:$AJ$42+('Aug 12'!$G$8:$G$42=$AD9)*'Aug 12'!$AK$8:$AK$42)*('Aug 12'!$Q$8:$Q$42+'Aug 12'!$R$8:$R$42))</f>
        <v>0</v>
      </c>
      <c r="AQ28" s="0" t="n">
        <f aca="false">SUMPRODUCT((('Aug 13'!$F$8:$F$42=$AD9)*'Aug 13'!$AJ$8:$AJ$42+('Aug 13'!$G$8:$G$42=$AD9)*'Aug 13'!$AK$8:$AK$42)*('Aug 13'!$Q$8:$Q$42+'Aug 13'!$R$8:$R$42))</f>
        <v>0</v>
      </c>
      <c r="AR28" s="0" t="n">
        <f aca="false">SUMPRODUCT((('Aug 14'!$F$8:$F$42=$AD9)*'Aug 14'!$AJ$8:$AJ$42+('Aug 14'!$G$8:$G$42=$AD9)*'Aug 14'!$AK$8:$AK$42)*('Aug 14'!$Q$8:$Q$42+'Aug 14'!$R$8:$R$42))</f>
        <v>0</v>
      </c>
      <c r="AS28" s="0" t="n">
        <f aca="false">SUMPRODUCT((('Aug 15'!$F$8:$F$42=$AD9)*'Aug 15'!$AJ$8:$AJ$42+('Aug 15'!$G$8:$G$42=$AD9)*'Aug 15'!$AK$8:$AK$42)*('Aug 15'!$Q$8:$Q$42+'Aug 15'!$R$8:$R$42))</f>
        <v>0</v>
      </c>
      <c r="AT28" s="0" t="n">
        <f aca="false">SUMPRODUCT((('Aug 16'!$F$8:$F$42=$AD9)*'Aug 16'!$AJ$8:$AJ$42+('Aug 16'!$G$8:$G$42=$AD9)*'Aug 16'!$AK$8:$AK$42)*('Aug 16'!$Q$8:$Q$42+'Aug 16'!$R$8:$R$42))</f>
        <v>0</v>
      </c>
      <c r="AU28" s="0" t="n">
        <f aca="false">SUMPRODUCT((('Aug 17'!$F$8:$F$42=$AD9)*'Aug 17'!$AJ$8:$AJ$42+('Aug 17'!$G$8:$G$42=$AD9)*'Aug 17'!$AK$8:$AK$42)*('Aug 17'!$Q$8:$Q$42+'Aug 17'!$R$8:$R$42))</f>
        <v>0</v>
      </c>
      <c r="AV28" s="0" t="n">
        <f aca="false">SUMPRODUCT((('Aug 18'!$F$8:$F$42=$AD9)*'Aug 18'!$AJ$8:$AJ$42+('Aug 18'!$G$8:$G$42=$AD9)*'Aug 18'!$AK$8:$AK$42)*('Aug 18'!$Q$8:$Q$42+'Aug 18'!$R$8:$R$42))</f>
        <v>0</v>
      </c>
      <c r="AW28" s="0" t="n">
        <f aca="false">SUMPRODUCT((('Aug 19'!$F$8:$F$42=$AD9)*'Aug 19'!$AJ$8:$AJ$42+('Aug 19'!$G$8:$G$42=$AD9)*'Aug 19'!$AK$8:$AK$42)*('Aug 19'!$Q$8:$Q$42+'Aug 19'!$R$8:$R$42))</f>
        <v>0</v>
      </c>
      <c r="AX28" s="0" t="n">
        <f aca="false">SUMPRODUCT((('Aug 20'!$F$8:$F$42=$AD9)*'Aug 20'!$AJ$8:$AJ$42+('Aug 20'!$G$8:$G$42=$AD9)*'Aug 20'!$AK$8:$AK$42)*('Aug 20'!$Q$8:$Q$42+'Aug 20'!$R$8:$R$42))</f>
        <v>0</v>
      </c>
      <c r="AY28" s="0" t="n">
        <f aca="false">SUMPRODUCT((('Aug 21'!$F$8:$F$42=$AD9)*'Aug 21'!$AJ$8:$AJ$42+('Aug 21'!$G$8:$G$42=$AD9)*'Aug 21'!$AK$8:$AK$42)*('Aug 21'!$Q$8:$Q$42+'Aug 21'!$R$8:$R$42))</f>
        <v>0</v>
      </c>
      <c r="AZ28" s="0" t="n">
        <f aca="false">SUMPRODUCT((('Aug 22'!$F$8:$F$42=$AD9)*'Aug 22'!$AJ$8:$AJ$42+('Aug 22'!$G$8:$G$42=$AD9)*'Aug 22'!$AK$8:$AK$42)*('Aug 22'!$Q$8:$Q$42+'Aug 22'!$R$8:$R$42))</f>
        <v>0</v>
      </c>
      <c r="BA28" s="0" t="n">
        <f aca="false">SUMPRODUCT((('Aug 23'!$F$8:$F$42=$AD9)*'Aug 23'!$AJ$8:$AJ$42+('Aug 23'!$G$8:$G$42=$AD9)*'Aug 23'!$AK$8:$AK$42)*('Aug 23'!$Q$8:$Q$42+'Aug 23'!$R$8:$R$42))</f>
        <v>0</v>
      </c>
      <c r="BB28" s="0" t="n">
        <f aca="false">SUMPRODUCT((('Aug 24'!$F$8:$F$42=$AD9)*'Aug 24'!$AJ$8:$AJ$42+('Aug 24'!$G$8:$G$42=$AD9)*'Aug 24'!$AK$8:$AK$42)*('Aug 24'!$Q$8:$Q$42+'Aug 24'!$R$8:$R$42))</f>
        <v>0</v>
      </c>
      <c r="BC28" s="0" t="n">
        <f aca="false">SUMPRODUCT((('Aug 25'!$F$8:$F$42=$AD9)*'Aug 25'!$AJ$8:$AJ$42+('Aug 25'!$G$8:$G$42=$AD9)*'Aug 25'!$AK$8:$AK$42)*('Aug 25'!$Q$8:$Q$42+'Aug 25'!$R$8:$R$42))</f>
        <v>0</v>
      </c>
      <c r="BD28" s="0" t="n">
        <f aca="false">SUMPRODUCT((('Aug 26'!$F$8:$F$42=$AD9)*'Aug 26'!$AJ$8:$AJ$42+('Aug 26'!$G$8:$G$42=$AD9)*'Aug 26'!$AK$8:$AK$42)*('Aug 26'!$Q$8:$Q$42+'Aug 26'!$R$8:$R$42))</f>
        <v>0</v>
      </c>
      <c r="BE28" s="0" t="n">
        <f aca="false">SUMPRODUCT((('Aug 27'!$F$8:$F$42=$AD9)*'Aug 27'!$AJ$8:$AJ$42+('Aug 27'!$G$8:$G$42=$AD9)*'Aug 27'!$AK$8:$AK$42)*('Aug 27'!$Q$8:$Q$42+'Aug 27'!$R$8:$R$42))</f>
        <v>0</v>
      </c>
      <c r="BF28" s="0" t="n">
        <f aca="false">SUMPRODUCT((('Aug 28'!$F$8:$F$42=$AD9)*'Aug 28'!$AJ$8:$AJ$42+('Aug 28'!$G$8:$G$42=$AD9)*'Aug 28'!$AK$8:$AK$42)*('Aug 28'!$Q$8:$Q$42+'Aug 28'!$R$8:$R$42))</f>
        <v>0</v>
      </c>
      <c r="BG28" s="0" t="n">
        <f aca="false">SUMPRODUCT((('Aug 29'!$F$8:$F$42=$AD9)*'Aug 29'!$AJ$8:$AJ$42+('Aug 29'!$G$8:$G$42=$AD9)*'Aug 29'!$AK$8:$AK$42)*('Aug 29'!$Q$8:$Q$42+'Aug 29'!$R$8:$R$42))</f>
        <v>0</v>
      </c>
      <c r="BH28" s="0" t="n">
        <f aca="false">SUMPRODUCT((('Aug 30'!$F$8:$F$42=$AD9)*'Aug 30'!$AJ$8:$AJ$42+('Aug 30'!$G$8:$G$42=$AD9)*'Aug 30'!$AK$8:$AK$42)*('Aug 30'!$Q$8:$Q$42+'Aug 30'!$R$8:$R$42))</f>
        <v>0</v>
      </c>
      <c r="BI28" s="0" t="n">
        <f aca="false">SUMPRODUCT((('Aug 31'!$F$8:$F$42=$AD9)*'Aug 31'!$AJ$8:$AJ$42+('Aug 31'!$G$8:$G$42=$AD9)*'Aug 31'!$AK$8:$AK$42)*('Aug 31'!$Q$8:$Q$42+'Aug 31'!$R$8:$R$42))</f>
        <v>0</v>
      </c>
      <c r="BK28" s="0" t="n">
        <f aca="false">SUM(AE28:BI28)</f>
        <v>0</v>
      </c>
      <c r="BR28" s="0" t="n">
        <v>46263</v>
      </c>
    </row>
    <row r="29" customFormat="false" ht="15" hidden="false" customHeight="true" outlineLevel="0" collapsed="false">
      <c r="A29" s="36" t="s">
        <v>80</v>
      </c>
      <c r="B29" s="77" t="s">
        <v>81</v>
      </c>
      <c r="C29" s="77"/>
      <c r="D29" s="77"/>
      <c r="E29" s="77"/>
      <c r="F29" s="77"/>
      <c r="G29" s="77"/>
      <c r="H29" s="43" t="s">
        <v>29</v>
      </c>
      <c r="I29" s="43"/>
      <c r="J29" s="43" t="s">
        <v>30</v>
      </c>
      <c r="K29" s="43"/>
      <c r="L29" s="43" t="s">
        <v>158</v>
      </c>
      <c r="M29" s="43"/>
      <c r="N29" s="77" t="s">
        <v>159</v>
      </c>
      <c r="O29" s="77"/>
      <c r="P29" s="36" t="s">
        <v>160</v>
      </c>
      <c r="Q29" s="43" t="s">
        <v>161</v>
      </c>
      <c r="R29" s="43"/>
      <c r="U29" s="64" t="n">
        <f aca="false">'Aug 26'!$G$47</f>
        <v>0</v>
      </c>
      <c r="V29" s="64" t="n">
        <f aca="false">'Aug 26'!$G$48</f>
        <v>0</v>
      </c>
      <c r="W29" s="0" t="n">
        <f aca="false">'Aug 26'!$C$54</f>
        <v>0</v>
      </c>
      <c r="X29" s="64" t="n">
        <f aca="false">'Aug 26'!$C$55</f>
        <v>0</v>
      </c>
      <c r="Y29" s="0" t="n">
        <f aca="false">'Aug 26'!$C$57</f>
        <v>0</v>
      </c>
      <c r="Z29" s="0" t="n">
        <f aca="false">COUNTIF('Aug 26'!$AM$8:$AM$42,"Y")</f>
        <v>0</v>
      </c>
      <c r="AA29" s="0" t="n">
        <f aca="false">COUNTIF('Aug 26'!$AN$8:$AN$42,"Y")</f>
        <v>0</v>
      </c>
      <c r="AB29" s="0" t="n">
        <f aca="false">COUNTIF('Aug 26'!$AO$8:$AO$42,"Y")</f>
        <v>0</v>
      </c>
      <c r="AC29" s="0" t="n">
        <f aca="false">'Aug 26'!$C$46</f>
        <v>0</v>
      </c>
      <c r="AE29" s="0" t="n">
        <f aca="false">SUMPRODUCT((('Aug 1'!$F$8:$F$42=$AD10)*'Aug 1'!$AJ$8:$AJ$42+('Aug 1'!$G$8:$G$42=$AD10)*'Aug 1'!$AK$8:$AK$42)*('Aug 1'!$Q$8:$Q$42+'Aug 1'!$R$8:$R$42))</f>
        <v>0</v>
      </c>
      <c r="AF29" s="0" t="n">
        <f aca="false">SUMPRODUCT((('Aug 2'!$F$8:$F$42=$AD10)*'Aug 2'!$AJ$8:$AJ$42+('Aug 2'!$G$8:$G$42=$AD10)*'Aug 2'!$AK$8:$AK$42)*('Aug 2'!$Q$8:$Q$42+'Aug 2'!$R$8:$R$42))</f>
        <v>0</v>
      </c>
      <c r="AG29" s="0" t="n">
        <f aca="false">SUMPRODUCT((('Aug 3'!$F$8:$F$42=$AD10)*'Aug 3'!$AJ$8:$AJ$42+('Aug 3'!$G$8:$G$42=$AD10)*'Aug 3'!$AK$8:$AK$42)*('Aug 3'!$Q$8:$Q$42+'Aug 3'!$R$8:$R$42))</f>
        <v>0</v>
      </c>
      <c r="AH29" s="0" t="n">
        <f aca="false">SUMPRODUCT((('Aug 4'!$F$8:$F$42=$AD10)*'Aug 4'!$AJ$8:$AJ$42+('Aug 4'!$G$8:$G$42=$AD10)*'Aug 4'!$AK$8:$AK$42)*('Aug 4'!$Q$8:$Q$42+'Aug 4'!$R$8:$R$42))</f>
        <v>0</v>
      </c>
      <c r="AI29" s="0" t="n">
        <f aca="false">SUMPRODUCT((('Aug 5'!$F$8:$F$42=$AD10)*'Aug 5'!$AJ$8:$AJ$42+('Aug 5'!$G$8:$G$42=$AD10)*'Aug 5'!$AK$8:$AK$42)*('Aug 5'!$Q$8:$Q$42+'Aug 5'!$R$8:$R$42))</f>
        <v>0</v>
      </c>
      <c r="AJ29" s="0" t="n">
        <f aca="false">SUMPRODUCT((('Aug 6'!$F$8:$F$42=$AD10)*'Aug 6'!$AJ$8:$AJ$42+('Aug 6'!$G$8:$G$42=$AD10)*'Aug 6'!$AK$8:$AK$42)*('Aug 6'!$Q$8:$Q$42+'Aug 6'!$R$8:$R$42))</f>
        <v>0</v>
      </c>
      <c r="AK29" s="0" t="n">
        <f aca="false">SUMPRODUCT((('Aug 7'!$F$8:$F$42=$AD10)*'Aug 7'!$AJ$8:$AJ$42+('Aug 7'!$G$8:$G$42=$AD10)*'Aug 7'!$AK$8:$AK$42)*('Aug 7'!$Q$8:$Q$42+'Aug 7'!$R$8:$R$42))</f>
        <v>0</v>
      </c>
      <c r="AL29" s="0" t="n">
        <f aca="false">SUMPRODUCT((('Aug 8'!$F$8:$F$42=$AD10)*'Aug 8'!$AJ$8:$AJ$42+('Aug 8'!$G$8:$G$42=$AD10)*'Aug 8'!$AK$8:$AK$42)*('Aug 8'!$Q$8:$Q$42+'Aug 8'!$R$8:$R$42))</f>
        <v>0</v>
      </c>
      <c r="AM29" s="0" t="n">
        <f aca="false">SUMPRODUCT((('Aug 9'!$F$8:$F$42=$AD10)*'Aug 9'!$AJ$8:$AJ$42+('Aug 9'!$G$8:$G$42=$AD10)*'Aug 9'!$AK$8:$AK$42)*('Aug 9'!$Q$8:$Q$42+'Aug 9'!$R$8:$R$42))</f>
        <v>0</v>
      </c>
      <c r="AN29" s="0" t="n">
        <f aca="false">SUMPRODUCT((('Aug 10'!$F$8:$F$42=$AD10)*'Aug 10'!$AJ$8:$AJ$42+('Aug 10'!$G$8:$G$42=$AD10)*'Aug 10'!$AK$8:$AK$42)*('Aug 10'!$Q$8:$Q$42+'Aug 10'!$R$8:$R$42))</f>
        <v>0</v>
      </c>
      <c r="AO29" s="0" t="n">
        <f aca="false">SUMPRODUCT((('Aug 11'!$F$8:$F$42=$AD10)*'Aug 11'!$AJ$8:$AJ$42+('Aug 11'!$G$8:$G$42=$AD10)*'Aug 11'!$AK$8:$AK$42)*('Aug 11'!$Q$8:$Q$42+'Aug 11'!$R$8:$R$42))</f>
        <v>0</v>
      </c>
      <c r="AP29" s="0" t="n">
        <f aca="false">SUMPRODUCT((('Aug 12'!$F$8:$F$42=$AD10)*'Aug 12'!$AJ$8:$AJ$42+('Aug 12'!$G$8:$G$42=$AD10)*'Aug 12'!$AK$8:$AK$42)*('Aug 12'!$Q$8:$Q$42+'Aug 12'!$R$8:$R$42))</f>
        <v>0</v>
      </c>
      <c r="AQ29" s="0" t="n">
        <f aca="false">SUMPRODUCT((('Aug 13'!$F$8:$F$42=$AD10)*'Aug 13'!$AJ$8:$AJ$42+('Aug 13'!$G$8:$G$42=$AD10)*'Aug 13'!$AK$8:$AK$42)*('Aug 13'!$Q$8:$Q$42+'Aug 13'!$R$8:$R$42))</f>
        <v>0</v>
      </c>
      <c r="AR29" s="0" t="n">
        <f aca="false">SUMPRODUCT((('Aug 14'!$F$8:$F$42=$AD10)*'Aug 14'!$AJ$8:$AJ$42+('Aug 14'!$G$8:$G$42=$AD10)*'Aug 14'!$AK$8:$AK$42)*('Aug 14'!$Q$8:$Q$42+'Aug 14'!$R$8:$R$42))</f>
        <v>0</v>
      </c>
      <c r="AS29" s="0" t="n">
        <f aca="false">SUMPRODUCT((('Aug 15'!$F$8:$F$42=$AD10)*'Aug 15'!$AJ$8:$AJ$42+('Aug 15'!$G$8:$G$42=$AD10)*'Aug 15'!$AK$8:$AK$42)*('Aug 15'!$Q$8:$Q$42+'Aug 15'!$R$8:$R$42))</f>
        <v>0</v>
      </c>
      <c r="AT29" s="0" t="n">
        <f aca="false">SUMPRODUCT((('Aug 16'!$F$8:$F$42=$AD10)*'Aug 16'!$AJ$8:$AJ$42+('Aug 16'!$G$8:$G$42=$AD10)*'Aug 16'!$AK$8:$AK$42)*('Aug 16'!$Q$8:$Q$42+'Aug 16'!$R$8:$R$42))</f>
        <v>0</v>
      </c>
      <c r="AU29" s="0" t="n">
        <f aca="false">SUMPRODUCT((('Aug 17'!$F$8:$F$42=$AD10)*'Aug 17'!$AJ$8:$AJ$42+('Aug 17'!$G$8:$G$42=$AD10)*'Aug 17'!$AK$8:$AK$42)*('Aug 17'!$Q$8:$Q$42+'Aug 17'!$R$8:$R$42))</f>
        <v>0</v>
      </c>
      <c r="AV29" s="0" t="n">
        <f aca="false">SUMPRODUCT((('Aug 18'!$F$8:$F$42=$AD10)*'Aug 18'!$AJ$8:$AJ$42+('Aug 18'!$G$8:$G$42=$AD10)*'Aug 18'!$AK$8:$AK$42)*('Aug 18'!$Q$8:$Q$42+'Aug 18'!$R$8:$R$42))</f>
        <v>0</v>
      </c>
      <c r="AW29" s="0" t="n">
        <f aca="false">SUMPRODUCT((('Aug 19'!$F$8:$F$42=$AD10)*'Aug 19'!$AJ$8:$AJ$42+('Aug 19'!$G$8:$G$42=$AD10)*'Aug 19'!$AK$8:$AK$42)*('Aug 19'!$Q$8:$Q$42+'Aug 19'!$R$8:$R$42))</f>
        <v>0</v>
      </c>
      <c r="AX29" s="0" t="n">
        <f aca="false">SUMPRODUCT((('Aug 20'!$F$8:$F$42=$AD10)*'Aug 20'!$AJ$8:$AJ$42+('Aug 20'!$G$8:$G$42=$AD10)*'Aug 20'!$AK$8:$AK$42)*('Aug 20'!$Q$8:$Q$42+'Aug 20'!$R$8:$R$42))</f>
        <v>0</v>
      </c>
      <c r="AY29" s="0" t="n">
        <f aca="false">SUMPRODUCT((('Aug 21'!$F$8:$F$42=$AD10)*'Aug 21'!$AJ$8:$AJ$42+('Aug 21'!$G$8:$G$42=$AD10)*'Aug 21'!$AK$8:$AK$42)*('Aug 21'!$Q$8:$Q$42+'Aug 21'!$R$8:$R$42))</f>
        <v>0</v>
      </c>
      <c r="AZ29" s="0" t="n">
        <f aca="false">SUMPRODUCT((('Aug 22'!$F$8:$F$42=$AD10)*'Aug 22'!$AJ$8:$AJ$42+('Aug 22'!$G$8:$G$42=$AD10)*'Aug 22'!$AK$8:$AK$42)*('Aug 22'!$Q$8:$Q$42+'Aug 22'!$R$8:$R$42))</f>
        <v>0</v>
      </c>
      <c r="BA29" s="0" t="n">
        <f aca="false">SUMPRODUCT((('Aug 23'!$F$8:$F$42=$AD10)*'Aug 23'!$AJ$8:$AJ$42+('Aug 23'!$G$8:$G$42=$AD10)*'Aug 23'!$AK$8:$AK$42)*('Aug 23'!$Q$8:$Q$42+'Aug 23'!$R$8:$R$42))</f>
        <v>0</v>
      </c>
      <c r="BB29" s="0" t="n">
        <f aca="false">SUMPRODUCT((('Aug 24'!$F$8:$F$42=$AD10)*'Aug 24'!$AJ$8:$AJ$42+('Aug 24'!$G$8:$G$42=$AD10)*'Aug 24'!$AK$8:$AK$42)*('Aug 24'!$Q$8:$Q$42+'Aug 24'!$R$8:$R$42))</f>
        <v>0</v>
      </c>
      <c r="BC29" s="0" t="n">
        <f aca="false">SUMPRODUCT((('Aug 25'!$F$8:$F$42=$AD10)*'Aug 25'!$AJ$8:$AJ$42+('Aug 25'!$G$8:$G$42=$AD10)*'Aug 25'!$AK$8:$AK$42)*('Aug 25'!$Q$8:$Q$42+'Aug 25'!$R$8:$R$42))</f>
        <v>0</v>
      </c>
      <c r="BD29" s="0" t="n">
        <f aca="false">SUMPRODUCT((('Aug 26'!$F$8:$F$42=$AD10)*'Aug 26'!$AJ$8:$AJ$42+('Aug 26'!$G$8:$G$42=$AD10)*'Aug 26'!$AK$8:$AK$42)*('Aug 26'!$Q$8:$Q$42+'Aug 26'!$R$8:$R$42))</f>
        <v>0</v>
      </c>
      <c r="BE29" s="0" t="n">
        <f aca="false">SUMPRODUCT((('Aug 27'!$F$8:$F$42=$AD10)*'Aug 27'!$AJ$8:$AJ$42+('Aug 27'!$G$8:$G$42=$AD10)*'Aug 27'!$AK$8:$AK$42)*('Aug 27'!$Q$8:$Q$42+'Aug 27'!$R$8:$R$42))</f>
        <v>0</v>
      </c>
      <c r="BF29" s="0" t="n">
        <f aca="false">SUMPRODUCT((('Aug 28'!$F$8:$F$42=$AD10)*'Aug 28'!$AJ$8:$AJ$42+('Aug 28'!$G$8:$G$42=$AD10)*'Aug 28'!$AK$8:$AK$42)*('Aug 28'!$Q$8:$Q$42+'Aug 28'!$R$8:$R$42))</f>
        <v>0</v>
      </c>
      <c r="BG29" s="0" t="n">
        <f aca="false">SUMPRODUCT((('Aug 29'!$F$8:$F$42=$AD10)*'Aug 29'!$AJ$8:$AJ$42+('Aug 29'!$G$8:$G$42=$AD10)*'Aug 29'!$AK$8:$AK$42)*('Aug 29'!$Q$8:$Q$42+'Aug 29'!$R$8:$R$42))</f>
        <v>0</v>
      </c>
      <c r="BH29" s="0" t="n">
        <f aca="false">SUMPRODUCT((('Aug 30'!$F$8:$F$42=$AD10)*'Aug 30'!$AJ$8:$AJ$42+('Aug 30'!$G$8:$G$42=$AD10)*'Aug 30'!$AK$8:$AK$42)*('Aug 30'!$Q$8:$Q$42+'Aug 30'!$R$8:$R$42))</f>
        <v>0</v>
      </c>
      <c r="BI29" s="0" t="n">
        <f aca="false">SUMPRODUCT((('Aug 31'!$F$8:$F$42=$AD10)*'Aug 31'!$AJ$8:$AJ$42+('Aug 31'!$G$8:$G$42=$AD10)*'Aug 31'!$AK$8:$AK$42)*('Aug 31'!$Q$8:$Q$42+'Aug 31'!$R$8:$R$42))</f>
        <v>0</v>
      </c>
      <c r="BK29" s="0" t="n">
        <f aca="false">SUM(AE29:BI29)</f>
        <v>0</v>
      </c>
      <c r="BR29" s="0" t="n">
        <v>46265</v>
      </c>
    </row>
    <row r="30" customFormat="false" ht="15" hidden="false" customHeight="true" outlineLevel="0" collapsed="false">
      <c r="A30" s="78" t="n">
        <v>1</v>
      </c>
      <c r="B30" s="45" t="str">
        <f aca="false">IFERROR(INDEX($AD$4:$AD$19,MATCH(1,$BN$4:$BN$19,0)),"")</f>
        <v>FEDY ALI</v>
      </c>
      <c r="C30" s="45"/>
      <c r="D30" s="45"/>
      <c r="E30" s="45"/>
      <c r="F30" s="45"/>
      <c r="G30" s="45"/>
      <c r="H30" s="31" t="n">
        <f aca="false">IFERROR(INDEX($BK$4:$BK$19,MATCH(1,$BN$4:$BN$19,0)),0)</f>
        <v>0</v>
      </c>
      <c r="I30" s="31"/>
      <c r="J30" s="25" t="n">
        <f aca="false">IFERROR(INDEX($BK$23:$BK$38,MATCH(1,$BN$4:$BN$19,0)),0)</f>
        <v>0</v>
      </c>
      <c r="K30" s="25"/>
      <c r="L30" s="25" t="str">
        <f aca="false">IF(N(H30)=0,"—",J30/H30)</f>
        <v>—</v>
      </c>
      <c r="M30" s="25"/>
      <c r="N30" s="45" t="str">
        <f aca="false">$BP41</f>
        <v>Internet</v>
      </c>
      <c r="O30" s="45"/>
      <c r="P30" s="29" t="n">
        <f aca="false">$BK41</f>
        <v>0</v>
      </c>
      <c r="Q30" s="23" t="str">
        <f aca="false">IF(SUM($BK$41:$BK$45)=0,"—",$BK41/SUM($BK$41:$BK$45))</f>
        <v>—</v>
      </c>
      <c r="R30" s="23"/>
      <c r="U30" s="64" t="n">
        <f aca="false">'Aug 27'!$G$47</f>
        <v>0</v>
      </c>
      <c r="V30" s="64" t="n">
        <f aca="false">'Aug 27'!$G$48</f>
        <v>0</v>
      </c>
      <c r="W30" s="0" t="n">
        <f aca="false">'Aug 27'!$C$54</f>
        <v>0</v>
      </c>
      <c r="X30" s="64" t="n">
        <f aca="false">'Aug 27'!$C$55</f>
        <v>0</v>
      </c>
      <c r="Y30" s="0" t="n">
        <f aca="false">'Aug 27'!$C$57</f>
        <v>0</v>
      </c>
      <c r="Z30" s="0" t="n">
        <f aca="false">COUNTIF('Aug 27'!$AM$8:$AM$42,"Y")</f>
        <v>0</v>
      </c>
      <c r="AA30" s="0" t="n">
        <f aca="false">COUNTIF('Aug 27'!$AN$8:$AN$42,"Y")</f>
        <v>0</v>
      </c>
      <c r="AB30" s="0" t="n">
        <f aca="false">COUNTIF('Aug 27'!$AO$8:$AO$42,"Y")</f>
        <v>0</v>
      </c>
      <c r="AC30" s="0" t="n">
        <f aca="false">'Aug 27'!$C$46</f>
        <v>0</v>
      </c>
      <c r="AE30" s="0" t="n">
        <f aca="false">SUMPRODUCT((('Aug 1'!$F$8:$F$42=$AD11)*'Aug 1'!$AJ$8:$AJ$42+('Aug 1'!$G$8:$G$42=$AD11)*'Aug 1'!$AK$8:$AK$42)*('Aug 1'!$Q$8:$Q$42+'Aug 1'!$R$8:$R$42))</f>
        <v>0</v>
      </c>
      <c r="AF30" s="0" t="n">
        <f aca="false">SUMPRODUCT((('Aug 2'!$F$8:$F$42=$AD11)*'Aug 2'!$AJ$8:$AJ$42+('Aug 2'!$G$8:$G$42=$AD11)*'Aug 2'!$AK$8:$AK$42)*('Aug 2'!$Q$8:$Q$42+'Aug 2'!$R$8:$R$42))</f>
        <v>0</v>
      </c>
      <c r="AG30" s="0" t="n">
        <f aca="false">SUMPRODUCT((('Aug 3'!$F$8:$F$42=$AD11)*'Aug 3'!$AJ$8:$AJ$42+('Aug 3'!$G$8:$G$42=$AD11)*'Aug 3'!$AK$8:$AK$42)*('Aug 3'!$Q$8:$Q$42+'Aug 3'!$R$8:$R$42))</f>
        <v>0</v>
      </c>
      <c r="AH30" s="0" t="n">
        <f aca="false">SUMPRODUCT((('Aug 4'!$F$8:$F$42=$AD11)*'Aug 4'!$AJ$8:$AJ$42+('Aug 4'!$G$8:$G$42=$AD11)*'Aug 4'!$AK$8:$AK$42)*('Aug 4'!$Q$8:$Q$42+'Aug 4'!$R$8:$R$42))</f>
        <v>0</v>
      </c>
      <c r="AI30" s="0" t="n">
        <f aca="false">SUMPRODUCT((('Aug 5'!$F$8:$F$42=$AD11)*'Aug 5'!$AJ$8:$AJ$42+('Aug 5'!$G$8:$G$42=$AD11)*'Aug 5'!$AK$8:$AK$42)*('Aug 5'!$Q$8:$Q$42+'Aug 5'!$R$8:$R$42))</f>
        <v>0</v>
      </c>
      <c r="AJ30" s="0" t="n">
        <f aca="false">SUMPRODUCT((('Aug 6'!$F$8:$F$42=$AD11)*'Aug 6'!$AJ$8:$AJ$42+('Aug 6'!$G$8:$G$42=$AD11)*'Aug 6'!$AK$8:$AK$42)*('Aug 6'!$Q$8:$Q$42+'Aug 6'!$R$8:$R$42))</f>
        <v>0</v>
      </c>
      <c r="AK30" s="0" t="n">
        <f aca="false">SUMPRODUCT((('Aug 7'!$F$8:$F$42=$AD11)*'Aug 7'!$AJ$8:$AJ$42+('Aug 7'!$G$8:$G$42=$AD11)*'Aug 7'!$AK$8:$AK$42)*('Aug 7'!$Q$8:$Q$42+'Aug 7'!$R$8:$R$42))</f>
        <v>0</v>
      </c>
      <c r="AL30" s="0" t="n">
        <f aca="false">SUMPRODUCT((('Aug 8'!$F$8:$F$42=$AD11)*'Aug 8'!$AJ$8:$AJ$42+('Aug 8'!$G$8:$G$42=$AD11)*'Aug 8'!$AK$8:$AK$42)*('Aug 8'!$Q$8:$Q$42+'Aug 8'!$R$8:$R$42))</f>
        <v>0</v>
      </c>
      <c r="AM30" s="0" t="n">
        <f aca="false">SUMPRODUCT((('Aug 9'!$F$8:$F$42=$AD11)*'Aug 9'!$AJ$8:$AJ$42+('Aug 9'!$G$8:$G$42=$AD11)*'Aug 9'!$AK$8:$AK$42)*('Aug 9'!$Q$8:$Q$42+'Aug 9'!$R$8:$R$42))</f>
        <v>0</v>
      </c>
      <c r="AN30" s="0" t="n">
        <f aca="false">SUMPRODUCT((('Aug 10'!$F$8:$F$42=$AD11)*'Aug 10'!$AJ$8:$AJ$42+('Aug 10'!$G$8:$G$42=$AD11)*'Aug 10'!$AK$8:$AK$42)*('Aug 10'!$Q$8:$Q$42+'Aug 10'!$R$8:$R$42))</f>
        <v>0</v>
      </c>
      <c r="AO30" s="0" t="n">
        <f aca="false">SUMPRODUCT((('Aug 11'!$F$8:$F$42=$AD11)*'Aug 11'!$AJ$8:$AJ$42+('Aug 11'!$G$8:$G$42=$AD11)*'Aug 11'!$AK$8:$AK$42)*('Aug 11'!$Q$8:$Q$42+'Aug 11'!$R$8:$R$42))</f>
        <v>0</v>
      </c>
      <c r="AP30" s="0" t="n">
        <f aca="false">SUMPRODUCT((('Aug 12'!$F$8:$F$42=$AD11)*'Aug 12'!$AJ$8:$AJ$42+('Aug 12'!$G$8:$G$42=$AD11)*'Aug 12'!$AK$8:$AK$42)*('Aug 12'!$Q$8:$Q$42+'Aug 12'!$R$8:$R$42))</f>
        <v>0</v>
      </c>
      <c r="AQ30" s="0" t="n">
        <f aca="false">SUMPRODUCT((('Aug 13'!$F$8:$F$42=$AD11)*'Aug 13'!$AJ$8:$AJ$42+('Aug 13'!$G$8:$G$42=$AD11)*'Aug 13'!$AK$8:$AK$42)*('Aug 13'!$Q$8:$Q$42+'Aug 13'!$R$8:$R$42))</f>
        <v>0</v>
      </c>
      <c r="AR30" s="0" t="n">
        <f aca="false">SUMPRODUCT((('Aug 14'!$F$8:$F$42=$AD11)*'Aug 14'!$AJ$8:$AJ$42+('Aug 14'!$G$8:$G$42=$AD11)*'Aug 14'!$AK$8:$AK$42)*('Aug 14'!$Q$8:$Q$42+'Aug 14'!$R$8:$R$42))</f>
        <v>0</v>
      </c>
      <c r="AS30" s="0" t="n">
        <f aca="false">SUMPRODUCT((('Aug 15'!$F$8:$F$42=$AD11)*'Aug 15'!$AJ$8:$AJ$42+('Aug 15'!$G$8:$G$42=$AD11)*'Aug 15'!$AK$8:$AK$42)*('Aug 15'!$Q$8:$Q$42+'Aug 15'!$R$8:$R$42))</f>
        <v>0</v>
      </c>
      <c r="AT30" s="0" t="n">
        <f aca="false">SUMPRODUCT((('Aug 16'!$F$8:$F$42=$AD11)*'Aug 16'!$AJ$8:$AJ$42+('Aug 16'!$G$8:$G$42=$AD11)*'Aug 16'!$AK$8:$AK$42)*('Aug 16'!$Q$8:$Q$42+'Aug 16'!$R$8:$R$42))</f>
        <v>0</v>
      </c>
      <c r="AU30" s="0" t="n">
        <f aca="false">SUMPRODUCT((('Aug 17'!$F$8:$F$42=$AD11)*'Aug 17'!$AJ$8:$AJ$42+('Aug 17'!$G$8:$G$42=$AD11)*'Aug 17'!$AK$8:$AK$42)*('Aug 17'!$Q$8:$Q$42+'Aug 17'!$R$8:$R$42))</f>
        <v>0</v>
      </c>
      <c r="AV30" s="0" t="n">
        <f aca="false">SUMPRODUCT((('Aug 18'!$F$8:$F$42=$AD11)*'Aug 18'!$AJ$8:$AJ$42+('Aug 18'!$G$8:$G$42=$AD11)*'Aug 18'!$AK$8:$AK$42)*('Aug 18'!$Q$8:$Q$42+'Aug 18'!$R$8:$R$42))</f>
        <v>0</v>
      </c>
      <c r="AW30" s="0" t="n">
        <f aca="false">SUMPRODUCT((('Aug 19'!$F$8:$F$42=$AD11)*'Aug 19'!$AJ$8:$AJ$42+('Aug 19'!$G$8:$G$42=$AD11)*'Aug 19'!$AK$8:$AK$42)*('Aug 19'!$Q$8:$Q$42+'Aug 19'!$R$8:$R$42))</f>
        <v>0</v>
      </c>
      <c r="AX30" s="0" t="n">
        <f aca="false">SUMPRODUCT((('Aug 20'!$F$8:$F$42=$AD11)*'Aug 20'!$AJ$8:$AJ$42+('Aug 20'!$G$8:$G$42=$AD11)*'Aug 20'!$AK$8:$AK$42)*('Aug 20'!$Q$8:$Q$42+'Aug 20'!$R$8:$R$42))</f>
        <v>0</v>
      </c>
      <c r="AY30" s="0" t="n">
        <f aca="false">SUMPRODUCT((('Aug 21'!$F$8:$F$42=$AD11)*'Aug 21'!$AJ$8:$AJ$42+('Aug 21'!$G$8:$G$42=$AD11)*'Aug 21'!$AK$8:$AK$42)*('Aug 21'!$Q$8:$Q$42+'Aug 21'!$R$8:$R$42))</f>
        <v>0</v>
      </c>
      <c r="AZ30" s="0" t="n">
        <f aca="false">SUMPRODUCT((('Aug 22'!$F$8:$F$42=$AD11)*'Aug 22'!$AJ$8:$AJ$42+('Aug 22'!$G$8:$G$42=$AD11)*'Aug 22'!$AK$8:$AK$42)*('Aug 22'!$Q$8:$Q$42+'Aug 22'!$R$8:$R$42))</f>
        <v>0</v>
      </c>
      <c r="BA30" s="0" t="n">
        <f aca="false">SUMPRODUCT((('Aug 23'!$F$8:$F$42=$AD11)*'Aug 23'!$AJ$8:$AJ$42+('Aug 23'!$G$8:$G$42=$AD11)*'Aug 23'!$AK$8:$AK$42)*('Aug 23'!$Q$8:$Q$42+'Aug 23'!$R$8:$R$42))</f>
        <v>0</v>
      </c>
      <c r="BB30" s="0" t="n">
        <f aca="false">SUMPRODUCT((('Aug 24'!$F$8:$F$42=$AD11)*'Aug 24'!$AJ$8:$AJ$42+('Aug 24'!$G$8:$G$42=$AD11)*'Aug 24'!$AK$8:$AK$42)*('Aug 24'!$Q$8:$Q$42+'Aug 24'!$R$8:$R$42))</f>
        <v>0</v>
      </c>
      <c r="BC30" s="0" t="n">
        <f aca="false">SUMPRODUCT((('Aug 25'!$F$8:$F$42=$AD11)*'Aug 25'!$AJ$8:$AJ$42+('Aug 25'!$G$8:$G$42=$AD11)*'Aug 25'!$AK$8:$AK$42)*('Aug 25'!$Q$8:$Q$42+'Aug 25'!$R$8:$R$42))</f>
        <v>0</v>
      </c>
      <c r="BD30" s="0" t="n">
        <f aca="false">SUMPRODUCT((('Aug 26'!$F$8:$F$42=$AD11)*'Aug 26'!$AJ$8:$AJ$42+('Aug 26'!$G$8:$G$42=$AD11)*'Aug 26'!$AK$8:$AK$42)*('Aug 26'!$Q$8:$Q$42+'Aug 26'!$R$8:$R$42))</f>
        <v>0</v>
      </c>
      <c r="BE30" s="0" t="n">
        <f aca="false">SUMPRODUCT((('Aug 27'!$F$8:$F$42=$AD11)*'Aug 27'!$AJ$8:$AJ$42+('Aug 27'!$G$8:$G$42=$AD11)*'Aug 27'!$AK$8:$AK$42)*('Aug 27'!$Q$8:$Q$42+'Aug 27'!$R$8:$R$42))</f>
        <v>0</v>
      </c>
      <c r="BF30" s="0" t="n">
        <f aca="false">SUMPRODUCT((('Aug 28'!$F$8:$F$42=$AD11)*'Aug 28'!$AJ$8:$AJ$42+('Aug 28'!$G$8:$G$42=$AD11)*'Aug 28'!$AK$8:$AK$42)*('Aug 28'!$Q$8:$Q$42+'Aug 28'!$R$8:$R$42))</f>
        <v>0</v>
      </c>
      <c r="BG30" s="0" t="n">
        <f aca="false">SUMPRODUCT((('Aug 29'!$F$8:$F$42=$AD11)*'Aug 29'!$AJ$8:$AJ$42+('Aug 29'!$G$8:$G$42=$AD11)*'Aug 29'!$AK$8:$AK$42)*('Aug 29'!$Q$8:$Q$42+'Aug 29'!$R$8:$R$42))</f>
        <v>0</v>
      </c>
      <c r="BH30" s="0" t="n">
        <f aca="false">SUMPRODUCT((('Aug 30'!$F$8:$F$42=$AD11)*'Aug 30'!$AJ$8:$AJ$42+('Aug 30'!$G$8:$G$42=$AD11)*'Aug 30'!$AK$8:$AK$42)*('Aug 30'!$Q$8:$Q$42+'Aug 30'!$R$8:$R$42))</f>
        <v>0</v>
      </c>
      <c r="BI30" s="0" t="n">
        <f aca="false">SUMPRODUCT((('Aug 31'!$F$8:$F$42=$AD11)*'Aug 31'!$AJ$8:$AJ$42+('Aug 31'!$G$8:$G$42=$AD11)*'Aug 31'!$AK$8:$AK$42)*('Aug 31'!$Q$8:$Q$42+'Aug 31'!$R$8:$R$42))</f>
        <v>0</v>
      </c>
      <c r="BK30" s="0" t="n">
        <f aca="false">SUM(AE30:BI30)</f>
        <v>0</v>
      </c>
    </row>
    <row r="31" customFormat="false" ht="15" hidden="false" customHeight="true" outlineLevel="0" collapsed="false">
      <c r="A31" s="79" t="n">
        <v>2</v>
      </c>
      <c r="B31" s="49" t="str">
        <f aca="false">IFERROR(INDEX($AD$4:$AD$19,MATCH(2,$BN$4:$BN$19,0)),"")</f>
        <v>CHAD EMBRY</v>
      </c>
      <c r="C31" s="49"/>
      <c r="D31" s="49"/>
      <c r="E31" s="49"/>
      <c r="F31" s="49"/>
      <c r="G31" s="49"/>
      <c r="H31" s="80" t="n">
        <f aca="false">IFERROR(INDEX($BK$4:$BK$19,MATCH(2,$BN$4:$BN$19,0)),0)</f>
        <v>0</v>
      </c>
      <c r="I31" s="80"/>
      <c r="J31" s="51" t="n">
        <f aca="false">IFERROR(INDEX($BK$23:$BK$38,MATCH(2,$BN$4:$BN$19,0)),0)</f>
        <v>0</v>
      </c>
      <c r="K31" s="51"/>
      <c r="L31" s="51" t="str">
        <f aca="false">IF(N(H31)=0,"—",J31/H31)</f>
        <v>—</v>
      </c>
      <c r="M31" s="51"/>
      <c r="N31" s="45" t="str">
        <f aca="false">$BP42</f>
        <v>Phone</v>
      </c>
      <c r="O31" s="45"/>
      <c r="P31" s="29" t="n">
        <f aca="false">$BK42</f>
        <v>0</v>
      </c>
      <c r="Q31" s="23" t="str">
        <f aca="false">IF(SUM($BK$41:$BK$45)=0,"—",$BK42/SUM($BK$41:$BK$45))</f>
        <v>—</v>
      </c>
      <c r="R31" s="23"/>
      <c r="U31" s="64" t="n">
        <f aca="false">'Aug 28'!$G$47</f>
        <v>0</v>
      </c>
      <c r="V31" s="64" t="n">
        <f aca="false">'Aug 28'!$G$48</f>
        <v>0</v>
      </c>
      <c r="W31" s="0" t="n">
        <f aca="false">'Aug 28'!$C$54</f>
        <v>0</v>
      </c>
      <c r="X31" s="64" t="n">
        <f aca="false">'Aug 28'!$C$55</f>
        <v>0</v>
      </c>
      <c r="Y31" s="0" t="n">
        <f aca="false">'Aug 28'!$C$57</f>
        <v>0</v>
      </c>
      <c r="Z31" s="0" t="n">
        <f aca="false">COUNTIF('Aug 28'!$AM$8:$AM$42,"Y")</f>
        <v>0</v>
      </c>
      <c r="AA31" s="0" t="n">
        <f aca="false">COUNTIF('Aug 28'!$AN$8:$AN$42,"Y")</f>
        <v>0</v>
      </c>
      <c r="AB31" s="0" t="n">
        <f aca="false">COUNTIF('Aug 28'!$AO$8:$AO$42,"Y")</f>
        <v>0</v>
      </c>
      <c r="AC31" s="0" t="n">
        <f aca="false">'Aug 28'!$C$46</f>
        <v>0</v>
      </c>
      <c r="AE31" s="0" t="n">
        <f aca="false">SUMPRODUCT((('Aug 1'!$F$8:$F$42=$AD12)*'Aug 1'!$AJ$8:$AJ$42+('Aug 1'!$G$8:$G$42=$AD12)*'Aug 1'!$AK$8:$AK$42)*('Aug 1'!$Q$8:$Q$42+'Aug 1'!$R$8:$R$42))</f>
        <v>0</v>
      </c>
      <c r="AF31" s="0" t="n">
        <f aca="false">SUMPRODUCT((('Aug 2'!$F$8:$F$42=$AD12)*'Aug 2'!$AJ$8:$AJ$42+('Aug 2'!$G$8:$G$42=$AD12)*'Aug 2'!$AK$8:$AK$42)*('Aug 2'!$Q$8:$Q$42+'Aug 2'!$R$8:$R$42))</f>
        <v>0</v>
      </c>
      <c r="AG31" s="0" t="n">
        <f aca="false">SUMPRODUCT((('Aug 3'!$F$8:$F$42=$AD12)*'Aug 3'!$AJ$8:$AJ$42+('Aug 3'!$G$8:$G$42=$AD12)*'Aug 3'!$AK$8:$AK$42)*('Aug 3'!$Q$8:$Q$42+'Aug 3'!$R$8:$R$42))</f>
        <v>0</v>
      </c>
      <c r="AH31" s="0" t="n">
        <f aca="false">SUMPRODUCT((('Aug 4'!$F$8:$F$42=$AD12)*'Aug 4'!$AJ$8:$AJ$42+('Aug 4'!$G$8:$G$42=$AD12)*'Aug 4'!$AK$8:$AK$42)*('Aug 4'!$Q$8:$Q$42+'Aug 4'!$R$8:$R$42))</f>
        <v>0</v>
      </c>
      <c r="AI31" s="0" t="n">
        <f aca="false">SUMPRODUCT((('Aug 5'!$F$8:$F$42=$AD12)*'Aug 5'!$AJ$8:$AJ$42+('Aug 5'!$G$8:$G$42=$AD12)*'Aug 5'!$AK$8:$AK$42)*('Aug 5'!$Q$8:$Q$42+'Aug 5'!$R$8:$R$42))</f>
        <v>0</v>
      </c>
      <c r="AJ31" s="0" t="n">
        <f aca="false">SUMPRODUCT((('Aug 6'!$F$8:$F$42=$AD12)*'Aug 6'!$AJ$8:$AJ$42+('Aug 6'!$G$8:$G$42=$AD12)*'Aug 6'!$AK$8:$AK$42)*('Aug 6'!$Q$8:$Q$42+'Aug 6'!$R$8:$R$42))</f>
        <v>0</v>
      </c>
      <c r="AK31" s="0" t="n">
        <f aca="false">SUMPRODUCT((('Aug 7'!$F$8:$F$42=$AD12)*'Aug 7'!$AJ$8:$AJ$42+('Aug 7'!$G$8:$G$42=$AD12)*'Aug 7'!$AK$8:$AK$42)*('Aug 7'!$Q$8:$Q$42+'Aug 7'!$R$8:$R$42))</f>
        <v>0</v>
      </c>
      <c r="AL31" s="0" t="n">
        <f aca="false">SUMPRODUCT((('Aug 8'!$F$8:$F$42=$AD12)*'Aug 8'!$AJ$8:$AJ$42+('Aug 8'!$G$8:$G$42=$AD12)*'Aug 8'!$AK$8:$AK$42)*('Aug 8'!$Q$8:$Q$42+'Aug 8'!$R$8:$R$42))</f>
        <v>0</v>
      </c>
      <c r="AM31" s="0" t="n">
        <f aca="false">SUMPRODUCT((('Aug 9'!$F$8:$F$42=$AD12)*'Aug 9'!$AJ$8:$AJ$42+('Aug 9'!$G$8:$G$42=$AD12)*'Aug 9'!$AK$8:$AK$42)*('Aug 9'!$Q$8:$Q$42+'Aug 9'!$R$8:$R$42))</f>
        <v>0</v>
      </c>
      <c r="AN31" s="0" t="n">
        <f aca="false">SUMPRODUCT((('Aug 10'!$F$8:$F$42=$AD12)*'Aug 10'!$AJ$8:$AJ$42+('Aug 10'!$G$8:$G$42=$AD12)*'Aug 10'!$AK$8:$AK$42)*('Aug 10'!$Q$8:$Q$42+'Aug 10'!$R$8:$R$42))</f>
        <v>0</v>
      </c>
      <c r="AO31" s="0" t="n">
        <f aca="false">SUMPRODUCT((('Aug 11'!$F$8:$F$42=$AD12)*'Aug 11'!$AJ$8:$AJ$42+('Aug 11'!$G$8:$G$42=$AD12)*'Aug 11'!$AK$8:$AK$42)*('Aug 11'!$Q$8:$Q$42+'Aug 11'!$R$8:$R$42))</f>
        <v>0</v>
      </c>
      <c r="AP31" s="0" t="n">
        <f aca="false">SUMPRODUCT((('Aug 12'!$F$8:$F$42=$AD12)*'Aug 12'!$AJ$8:$AJ$42+('Aug 12'!$G$8:$G$42=$AD12)*'Aug 12'!$AK$8:$AK$42)*('Aug 12'!$Q$8:$Q$42+'Aug 12'!$R$8:$R$42))</f>
        <v>0</v>
      </c>
      <c r="AQ31" s="0" t="n">
        <f aca="false">SUMPRODUCT((('Aug 13'!$F$8:$F$42=$AD12)*'Aug 13'!$AJ$8:$AJ$42+('Aug 13'!$G$8:$G$42=$AD12)*'Aug 13'!$AK$8:$AK$42)*('Aug 13'!$Q$8:$Q$42+'Aug 13'!$R$8:$R$42))</f>
        <v>0</v>
      </c>
      <c r="AR31" s="0" t="n">
        <f aca="false">SUMPRODUCT((('Aug 14'!$F$8:$F$42=$AD12)*'Aug 14'!$AJ$8:$AJ$42+('Aug 14'!$G$8:$G$42=$AD12)*'Aug 14'!$AK$8:$AK$42)*('Aug 14'!$Q$8:$Q$42+'Aug 14'!$R$8:$R$42))</f>
        <v>0</v>
      </c>
      <c r="AS31" s="0" t="n">
        <f aca="false">SUMPRODUCT((('Aug 15'!$F$8:$F$42=$AD12)*'Aug 15'!$AJ$8:$AJ$42+('Aug 15'!$G$8:$G$42=$AD12)*'Aug 15'!$AK$8:$AK$42)*('Aug 15'!$Q$8:$Q$42+'Aug 15'!$R$8:$R$42))</f>
        <v>0</v>
      </c>
      <c r="AT31" s="0" t="n">
        <f aca="false">SUMPRODUCT((('Aug 16'!$F$8:$F$42=$AD12)*'Aug 16'!$AJ$8:$AJ$42+('Aug 16'!$G$8:$G$42=$AD12)*'Aug 16'!$AK$8:$AK$42)*('Aug 16'!$Q$8:$Q$42+'Aug 16'!$R$8:$R$42))</f>
        <v>0</v>
      </c>
      <c r="AU31" s="0" t="n">
        <f aca="false">SUMPRODUCT((('Aug 17'!$F$8:$F$42=$AD12)*'Aug 17'!$AJ$8:$AJ$42+('Aug 17'!$G$8:$G$42=$AD12)*'Aug 17'!$AK$8:$AK$42)*('Aug 17'!$Q$8:$Q$42+'Aug 17'!$R$8:$R$42))</f>
        <v>0</v>
      </c>
      <c r="AV31" s="0" t="n">
        <f aca="false">SUMPRODUCT((('Aug 18'!$F$8:$F$42=$AD12)*'Aug 18'!$AJ$8:$AJ$42+('Aug 18'!$G$8:$G$42=$AD12)*'Aug 18'!$AK$8:$AK$42)*('Aug 18'!$Q$8:$Q$42+'Aug 18'!$R$8:$R$42))</f>
        <v>0</v>
      </c>
      <c r="AW31" s="0" t="n">
        <f aca="false">SUMPRODUCT((('Aug 19'!$F$8:$F$42=$AD12)*'Aug 19'!$AJ$8:$AJ$42+('Aug 19'!$G$8:$G$42=$AD12)*'Aug 19'!$AK$8:$AK$42)*('Aug 19'!$Q$8:$Q$42+'Aug 19'!$R$8:$R$42))</f>
        <v>0</v>
      </c>
      <c r="AX31" s="0" t="n">
        <f aca="false">SUMPRODUCT((('Aug 20'!$F$8:$F$42=$AD12)*'Aug 20'!$AJ$8:$AJ$42+('Aug 20'!$G$8:$G$42=$AD12)*'Aug 20'!$AK$8:$AK$42)*('Aug 20'!$Q$8:$Q$42+'Aug 20'!$R$8:$R$42))</f>
        <v>0</v>
      </c>
      <c r="AY31" s="0" t="n">
        <f aca="false">SUMPRODUCT((('Aug 21'!$F$8:$F$42=$AD12)*'Aug 21'!$AJ$8:$AJ$42+('Aug 21'!$G$8:$G$42=$AD12)*'Aug 21'!$AK$8:$AK$42)*('Aug 21'!$Q$8:$Q$42+'Aug 21'!$R$8:$R$42))</f>
        <v>0</v>
      </c>
      <c r="AZ31" s="0" t="n">
        <f aca="false">SUMPRODUCT((('Aug 22'!$F$8:$F$42=$AD12)*'Aug 22'!$AJ$8:$AJ$42+('Aug 22'!$G$8:$G$42=$AD12)*'Aug 22'!$AK$8:$AK$42)*('Aug 22'!$Q$8:$Q$42+'Aug 22'!$R$8:$R$42))</f>
        <v>0</v>
      </c>
      <c r="BA31" s="0" t="n">
        <f aca="false">SUMPRODUCT((('Aug 23'!$F$8:$F$42=$AD12)*'Aug 23'!$AJ$8:$AJ$42+('Aug 23'!$G$8:$G$42=$AD12)*'Aug 23'!$AK$8:$AK$42)*('Aug 23'!$Q$8:$Q$42+'Aug 23'!$R$8:$R$42))</f>
        <v>0</v>
      </c>
      <c r="BB31" s="0" t="n">
        <f aca="false">SUMPRODUCT((('Aug 24'!$F$8:$F$42=$AD12)*'Aug 24'!$AJ$8:$AJ$42+('Aug 24'!$G$8:$G$42=$AD12)*'Aug 24'!$AK$8:$AK$42)*('Aug 24'!$Q$8:$Q$42+'Aug 24'!$R$8:$R$42))</f>
        <v>0</v>
      </c>
      <c r="BC31" s="0" t="n">
        <f aca="false">SUMPRODUCT((('Aug 25'!$F$8:$F$42=$AD12)*'Aug 25'!$AJ$8:$AJ$42+('Aug 25'!$G$8:$G$42=$AD12)*'Aug 25'!$AK$8:$AK$42)*('Aug 25'!$Q$8:$Q$42+'Aug 25'!$R$8:$R$42))</f>
        <v>0</v>
      </c>
      <c r="BD31" s="0" t="n">
        <f aca="false">SUMPRODUCT((('Aug 26'!$F$8:$F$42=$AD12)*'Aug 26'!$AJ$8:$AJ$42+('Aug 26'!$G$8:$G$42=$AD12)*'Aug 26'!$AK$8:$AK$42)*('Aug 26'!$Q$8:$Q$42+'Aug 26'!$R$8:$R$42))</f>
        <v>0</v>
      </c>
      <c r="BE31" s="0" t="n">
        <f aca="false">SUMPRODUCT((('Aug 27'!$F$8:$F$42=$AD12)*'Aug 27'!$AJ$8:$AJ$42+('Aug 27'!$G$8:$G$42=$AD12)*'Aug 27'!$AK$8:$AK$42)*('Aug 27'!$Q$8:$Q$42+'Aug 27'!$R$8:$R$42))</f>
        <v>0</v>
      </c>
      <c r="BF31" s="0" t="n">
        <f aca="false">SUMPRODUCT((('Aug 28'!$F$8:$F$42=$AD12)*'Aug 28'!$AJ$8:$AJ$42+('Aug 28'!$G$8:$G$42=$AD12)*'Aug 28'!$AK$8:$AK$42)*('Aug 28'!$Q$8:$Q$42+'Aug 28'!$R$8:$R$42))</f>
        <v>0</v>
      </c>
      <c r="BG31" s="0" t="n">
        <f aca="false">SUMPRODUCT((('Aug 29'!$F$8:$F$42=$AD12)*'Aug 29'!$AJ$8:$AJ$42+('Aug 29'!$G$8:$G$42=$AD12)*'Aug 29'!$AK$8:$AK$42)*('Aug 29'!$Q$8:$Q$42+'Aug 29'!$R$8:$R$42))</f>
        <v>0</v>
      </c>
      <c r="BH31" s="0" t="n">
        <f aca="false">SUMPRODUCT((('Aug 30'!$F$8:$F$42=$AD12)*'Aug 30'!$AJ$8:$AJ$42+('Aug 30'!$G$8:$G$42=$AD12)*'Aug 30'!$AK$8:$AK$42)*('Aug 30'!$Q$8:$Q$42+'Aug 30'!$R$8:$R$42))</f>
        <v>0</v>
      </c>
      <c r="BI31" s="0" t="n">
        <f aca="false">SUMPRODUCT((('Aug 31'!$F$8:$F$42=$AD12)*'Aug 31'!$AJ$8:$AJ$42+('Aug 31'!$G$8:$G$42=$AD12)*'Aug 31'!$AK$8:$AK$42)*('Aug 31'!$Q$8:$Q$42+'Aug 31'!$R$8:$R$42))</f>
        <v>0</v>
      </c>
      <c r="BK31" s="0" t="n">
        <f aca="false">SUM(AE31:BI31)</f>
        <v>0</v>
      </c>
    </row>
    <row r="32" customFormat="false" ht="15" hidden="false" customHeight="true" outlineLevel="0" collapsed="false">
      <c r="A32" s="78" t="n">
        <v>3</v>
      </c>
      <c r="B32" s="45" t="str">
        <f aca="false">IFERROR(INDEX($AD$4:$AD$19,MATCH(3,$BN$4:$BN$19,0)),"")</f>
        <v>RICH AMMERMAN</v>
      </c>
      <c r="C32" s="45"/>
      <c r="D32" s="45"/>
      <c r="E32" s="45"/>
      <c r="F32" s="45"/>
      <c r="G32" s="45"/>
      <c r="H32" s="31" t="n">
        <f aca="false">IFERROR(INDEX($BK$4:$BK$19,MATCH(3,$BN$4:$BN$19,0)),0)</f>
        <v>0</v>
      </c>
      <c r="I32" s="31"/>
      <c r="J32" s="25" t="n">
        <f aca="false">IFERROR(INDEX($BK$23:$BK$38,MATCH(3,$BN$4:$BN$19,0)),0)</f>
        <v>0</v>
      </c>
      <c r="K32" s="25"/>
      <c r="L32" s="25" t="str">
        <f aca="false">IF(N(H32)=0,"—",J32/H32)</f>
        <v>—</v>
      </c>
      <c r="M32" s="25"/>
      <c r="N32" s="45" t="str">
        <f aca="false">$BP43</f>
        <v>Showroom</v>
      </c>
      <c r="O32" s="45"/>
      <c r="P32" s="29" t="n">
        <f aca="false">$BK43</f>
        <v>0</v>
      </c>
      <c r="Q32" s="23" t="str">
        <f aca="false">IF(SUM($BK$41:$BK$45)=0,"—",$BK43/SUM($BK$41:$BK$45))</f>
        <v>—</v>
      </c>
      <c r="R32" s="23"/>
      <c r="U32" s="64" t="n">
        <f aca="false">'Aug 29'!$G$47</f>
        <v>0</v>
      </c>
      <c r="V32" s="64" t="n">
        <f aca="false">'Aug 29'!$G$48</f>
        <v>0</v>
      </c>
      <c r="W32" s="0" t="n">
        <f aca="false">'Aug 29'!$C$54</f>
        <v>0</v>
      </c>
      <c r="X32" s="64" t="n">
        <f aca="false">'Aug 29'!$C$55</f>
        <v>0</v>
      </c>
      <c r="Y32" s="0" t="n">
        <f aca="false">'Aug 29'!$C$57</f>
        <v>0</v>
      </c>
      <c r="Z32" s="0" t="n">
        <f aca="false">COUNTIF('Aug 29'!$AM$8:$AM$42,"Y")</f>
        <v>0</v>
      </c>
      <c r="AA32" s="0" t="n">
        <f aca="false">COUNTIF('Aug 29'!$AN$8:$AN$42,"Y")</f>
        <v>0</v>
      </c>
      <c r="AB32" s="0" t="n">
        <f aca="false">COUNTIF('Aug 29'!$AO$8:$AO$42,"Y")</f>
        <v>0</v>
      </c>
      <c r="AC32" s="0" t="n">
        <f aca="false">'Aug 29'!$C$46</f>
        <v>0</v>
      </c>
      <c r="AE32" s="0" t="n">
        <f aca="false">SUMPRODUCT((('Aug 1'!$F$8:$F$42=$AD13)*'Aug 1'!$AJ$8:$AJ$42+('Aug 1'!$G$8:$G$42=$AD13)*'Aug 1'!$AK$8:$AK$42)*('Aug 1'!$Q$8:$Q$42+'Aug 1'!$R$8:$R$42))</f>
        <v>0</v>
      </c>
      <c r="AF32" s="0" t="n">
        <f aca="false">SUMPRODUCT((('Aug 2'!$F$8:$F$42=$AD13)*'Aug 2'!$AJ$8:$AJ$42+('Aug 2'!$G$8:$G$42=$AD13)*'Aug 2'!$AK$8:$AK$42)*('Aug 2'!$Q$8:$Q$42+'Aug 2'!$R$8:$R$42))</f>
        <v>0</v>
      </c>
      <c r="AG32" s="0" t="n">
        <f aca="false">SUMPRODUCT((('Aug 3'!$F$8:$F$42=$AD13)*'Aug 3'!$AJ$8:$AJ$42+('Aug 3'!$G$8:$G$42=$AD13)*'Aug 3'!$AK$8:$AK$42)*('Aug 3'!$Q$8:$Q$42+'Aug 3'!$R$8:$R$42))</f>
        <v>0</v>
      </c>
      <c r="AH32" s="0" t="n">
        <f aca="false">SUMPRODUCT((('Aug 4'!$F$8:$F$42=$AD13)*'Aug 4'!$AJ$8:$AJ$42+('Aug 4'!$G$8:$G$42=$AD13)*'Aug 4'!$AK$8:$AK$42)*('Aug 4'!$Q$8:$Q$42+'Aug 4'!$R$8:$R$42))</f>
        <v>0</v>
      </c>
      <c r="AI32" s="0" t="n">
        <f aca="false">SUMPRODUCT((('Aug 5'!$F$8:$F$42=$AD13)*'Aug 5'!$AJ$8:$AJ$42+('Aug 5'!$G$8:$G$42=$AD13)*'Aug 5'!$AK$8:$AK$42)*('Aug 5'!$Q$8:$Q$42+'Aug 5'!$R$8:$R$42))</f>
        <v>0</v>
      </c>
      <c r="AJ32" s="0" t="n">
        <f aca="false">SUMPRODUCT((('Aug 6'!$F$8:$F$42=$AD13)*'Aug 6'!$AJ$8:$AJ$42+('Aug 6'!$G$8:$G$42=$AD13)*'Aug 6'!$AK$8:$AK$42)*('Aug 6'!$Q$8:$Q$42+'Aug 6'!$R$8:$R$42))</f>
        <v>0</v>
      </c>
      <c r="AK32" s="0" t="n">
        <f aca="false">SUMPRODUCT((('Aug 7'!$F$8:$F$42=$AD13)*'Aug 7'!$AJ$8:$AJ$42+('Aug 7'!$G$8:$G$42=$AD13)*'Aug 7'!$AK$8:$AK$42)*('Aug 7'!$Q$8:$Q$42+'Aug 7'!$R$8:$R$42))</f>
        <v>0</v>
      </c>
      <c r="AL32" s="0" t="n">
        <f aca="false">SUMPRODUCT((('Aug 8'!$F$8:$F$42=$AD13)*'Aug 8'!$AJ$8:$AJ$42+('Aug 8'!$G$8:$G$42=$AD13)*'Aug 8'!$AK$8:$AK$42)*('Aug 8'!$Q$8:$Q$42+'Aug 8'!$R$8:$R$42))</f>
        <v>0</v>
      </c>
      <c r="AM32" s="0" t="n">
        <f aca="false">SUMPRODUCT((('Aug 9'!$F$8:$F$42=$AD13)*'Aug 9'!$AJ$8:$AJ$42+('Aug 9'!$G$8:$G$42=$AD13)*'Aug 9'!$AK$8:$AK$42)*('Aug 9'!$Q$8:$Q$42+'Aug 9'!$R$8:$R$42))</f>
        <v>0</v>
      </c>
      <c r="AN32" s="0" t="n">
        <f aca="false">SUMPRODUCT((('Aug 10'!$F$8:$F$42=$AD13)*'Aug 10'!$AJ$8:$AJ$42+('Aug 10'!$G$8:$G$42=$AD13)*'Aug 10'!$AK$8:$AK$42)*('Aug 10'!$Q$8:$Q$42+'Aug 10'!$R$8:$R$42))</f>
        <v>0</v>
      </c>
      <c r="AO32" s="0" t="n">
        <f aca="false">SUMPRODUCT((('Aug 11'!$F$8:$F$42=$AD13)*'Aug 11'!$AJ$8:$AJ$42+('Aug 11'!$G$8:$G$42=$AD13)*'Aug 11'!$AK$8:$AK$42)*('Aug 11'!$Q$8:$Q$42+'Aug 11'!$R$8:$R$42))</f>
        <v>0</v>
      </c>
      <c r="AP32" s="0" t="n">
        <f aca="false">SUMPRODUCT((('Aug 12'!$F$8:$F$42=$AD13)*'Aug 12'!$AJ$8:$AJ$42+('Aug 12'!$G$8:$G$42=$AD13)*'Aug 12'!$AK$8:$AK$42)*('Aug 12'!$Q$8:$Q$42+'Aug 12'!$R$8:$R$42))</f>
        <v>0</v>
      </c>
      <c r="AQ32" s="0" t="n">
        <f aca="false">SUMPRODUCT((('Aug 13'!$F$8:$F$42=$AD13)*'Aug 13'!$AJ$8:$AJ$42+('Aug 13'!$G$8:$G$42=$AD13)*'Aug 13'!$AK$8:$AK$42)*('Aug 13'!$Q$8:$Q$42+'Aug 13'!$R$8:$R$42))</f>
        <v>0</v>
      </c>
      <c r="AR32" s="0" t="n">
        <f aca="false">SUMPRODUCT((('Aug 14'!$F$8:$F$42=$AD13)*'Aug 14'!$AJ$8:$AJ$42+('Aug 14'!$G$8:$G$42=$AD13)*'Aug 14'!$AK$8:$AK$42)*('Aug 14'!$Q$8:$Q$42+'Aug 14'!$R$8:$R$42))</f>
        <v>0</v>
      </c>
      <c r="AS32" s="0" t="n">
        <f aca="false">SUMPRODUCT((('Aug 15'!$F$8:$F$42=$AD13)*'Aug 15'!$AJ$8:$AJ$42+('Aug 15'!$G$8:$G$42=$AD13)*'Aug 15'!$AK$8:$AK$42)*('Aug 15'!$Q$8:$Q$42+'Aug 15'!$R$8:$R$42))</f>
        <v>0</v>
      </c>
      <c r="AT32" s="0" t="n">
        <f aca="false">SUMPRODUCT((('Aug 16'!$F$8:$F$42=$AD13)*'Aug 16'!$AJ$8:$AJ$42+('Aug 16'!$G$8:$G$42=$AD13)*'Aug 16'!$AK$8:$AK$42)*('Aug 16'!$Q$8:$Q$42+'Aug 16'!$R$8:$R$42))</f>
        <v>0</v>
      </c>
      <c r="AU32" s="0" t="n">
        <f aca="false">SUMPRODUCT((('Aug 17'!$F$8:$F$42=$AD13)*'Aug 17'!$AJ$8:$AJ$42+('Aug 17'!$G$8:$G$42=$AD13)*'Aug 17'!$AK$8:$AK$42)*('Aug 17'!$Q$8:$Q$42+'Aug 17'!$R$8:$R$42))</f>
        <v>0</v>
      </c>
      <c r="AV32" s="0" t="n">
        <f aca="false">SUMPRODUCT((('Aug 18'!$F$8:$F$42=$AD13)*'Aug 18'!$AJ$8:$AJ$42+('Aug 18'!$G$8:$G$42=$AD13)*'Aug 18'!$AK$8:$AK$42)*('Aug 18'!$Q$8:$Q$42+'Aug 18'!$R$8:$R$42))</f>
        <v>0</v>
      </c>
      <c r="AW32" s="0" t="n">
        <f aca="false">SUMPRODUCT((('Aug 19'!$F$8:$F$42=$AD13)*'Aug 19'!$AJ$8:$AJ$42+('Aug 19'!$G$8:$G$42=$AD13)*'Aug 19'!$AK$8:$AK$42)*('Aug 19'!$Q$8:$Q$42+'Aug 19'!$R$8:$R$42))</f>
        <v>0</v>
      </c>
      <c r="AX32" s="0" t="n">
        <f aca="false">SUMPRODUCT((('Aug 20'!$F$8:$F$42=$AD13)*'Aug 20'!$AJ$8:$AJ$42+('Aug 20'!$G$8:$G$42=$AD13)*'Aug 20'!$AK$8:$AK$42)*('Aug 20'!$Q$8:$Q$42+'Aug 20'!$R$8:$R$42))</f>
        <v>0</v>
      </c>
      <c r="AY32" s="0" t="n">
        <f aca="false">SUMPRODUCT((('Aug 21'!$F$8:$F$42=$AD13)*'Aug 21'!$AJ$8:$AJ$42+('Aug 21'!$G$8:$G$42=$AD13)*'Aug 21'!$AK$8:$AK$42)*('Aug 21'!$Q$8:$Q$42+'Aug 21'!$R$8:$R$42))</f>
        <v>0</v>
      </c>
      <c r="AZ32" s="0" t="n">
        <f aca="false">SUMPRODUCT((('Aug 22'!$F$8:$F$42=$AD13)*'Aug 22'!$AJ$8:$AJ$42+('Aug 22'!$G$8:$G$42=$AD13)*'Aug 22'!$AK$8:$AK$42)*('Aug 22'!$Q$8:$Q$42+'Aug 22'!$R$8:$R$42))</f>
        <v>0</v>
      </c>
      <c r="BA32" s="0" t="n">
        <f aca="false">SUMPRODUCT((('Aug 23'!$F$8:$F$42=$AD13)*'Aug 23'!$AJ$8:$AJ$42+('Aug 23'!$G$8:$G$42=$AD13)*'Aug 23'!$AK$8:$AK$42)*('Aug 23'!$Q$8:$Q$42+'Aug 23'!$R$8:$R$42))</f>
        <v>0</v>
      </c>
      <c r="BB32" s="0" t="n">
        <f aca="false">SUMPRODUCT((('Aug 24'!$F$8:$F$42=$AD13)*'Aug 24'!$AJ$8:$AJ$42+('Aug 24'!$G$8:$G$42=$AD13)*'Aug 24'!$AK$8:$AK$42)*('Aug 24'!$Q$8:$Q$42+'Aug 24'!$R$8:$R$42))</f>
        <v>0</v>
      </c>
      <c r="BC32" s="0" t="n">
        <f aca="false">SUMPRODUCT((('Aug 25'!$F$8:$F$42=$AD13)*'Aug 25'!$AJ$8:$AJ$42+('Aug 25'!$G$8:$G$42=$AD13)*'Aug 25'!$AK$8:$AK$42)*('Aug 25'!$Q$8:$Q$42+'Aug 25'!$R$8:$R$42))</f>
        <v>0</v>
      </c>
      <c r="BD32" s="0" t="n">
        <f aca="false">SUMPRODUCT((('Aug 26'!$F$8:$F$42=$AD13)*'Aug 26'!$AJ$8:$AJ$42+('Aug 26'!$G$8:$G$42=$AD13)*'Aug 26'!$AK$8:$AK$42)*('Aug 26'!$Q$8:$Q$42+'Aug 26'!$R$8:$R$42))</f>
        <v>0</v>
      </c>
      <c r="BE32" s="0" t="n">
        <f aca="false">SUMPRODUCT((('Aug 27'!$F$8:$F$42=$AD13)*'Aug 27'!$AJ$8:$AJ$42+('Aug 27'!$G$8:$G$42=$AD13)*'Aug 27'!$AK$8:$AK$42)*('Aug 27'!$Q$8:$Q$42+'Aug 27'!$R$8:$R$42))</f>
        <v>0</v>
      </c>
      <c r="BF32" s="0" t="n">
        <f aca="false">SUMPRODUCT((('Aug 28'!$F$8:$F$42=$AD13)*'Aug 28'!$AJ$8:$AJ$42+('Aug 28'!$G$8:$G$42=$AD13)*'Aug 28'!$AK$8:$AK$42)*('Aug 28'!$Q$8:$Q$42+'Aug 28'!$R$8:$R$42))</f>
        <v>0</v>
      </c>
      <c r="BG32" s="0" t="n">
        <f aca="false">SUMPRODUCT((('Aug 29'!$F$8:$F$42=$AD13)*'Aug 29'!$AJ$8:$AJ$42+('Aug 29'!$G$8:$G$42=$AD13)*'Aug 29'!$AK$8:$AK$42)*('Aug 29'!$Q$8:$Q$42+'Aug 29'!$R$8:$R$42))</f>
        <v>0</v>
      </c>
      <c r="BH32" s="0" t="n">
        <f aca="false">SUMPRODUCT((('Aug 30'!$F$8:$F$42=$AD13)*'Aug 30'!$AJ$8:$AJ$42+('Aug 30'!$G$8:$G$42=$AD13)*'Aug 30'!$AK$8:$AK$42)*('Aug 30'!$Q$8:$Q$42+'Aug 30'!$R$8:$R$42))</f>
        <v>0</v>
      </c>
      <c r="BI32" s="0" t="n">
        <f aca="false">SUMPRODUCT((('Aug 31'!$F$8:$F$42=$AD13)*'Aug 31'!$AJ$8:$AJ$42+('Aug 31'!$G$8:$G$42=$AD13)*'Aug 31'!$AK$8:$AK$42)*('Aug 31'!$Q$8:$Q$42+'Aug 31'!$R$8:$R$42))</f>
        <v>0</v>
      </c>
      <c r="BK32" s="0" t="n">
        <f aca="false">SUM(AE32:BI32)</f>
        <v>0</v>
      </c>
    </row>
    <row r="33" customFormat="false" ht="15" hidden="false" customHeight="true" outlineLevel="0" collapsed="false">
      <c r="A33" s="81" t="n">
        <v>4</v>
      </c>
      <c r="B33" s="49" t="str">
        <f aca="false">IFERROR(INDEX($AD$4:$AD$19,MATCH(4,$BN$4:$BN$19,0)),"")</f>
        <v>GARRET SCHWETTMAN</v>
      </c>
      <c r="C33" s="49"/>
      <c r="D33" s="49"/>
      <c r="E33" s="49"/>
      <c r="F33" s="49"/>
      <c r="G33" s="49"/>
      <c r="H33" s="80" t="n">
        <f aca="false">IFERROR(INDEX($BK$4:$BK$19,MATCH(4,$BN$4:$BN$19,0)),0)</f>
        <v>0</v>
      </c>
      <c r="I33" s="80"/>
      <c r="J33" s="51" t="n">
        <f aca="false">IFERROR(INDEX($BK$23:$BK$38,MATCH(4,$BN$4:$BN$19,0)),0)</f>
        <v>0</v>
      </c>
      <c r="K33" s="51"/>
      <c r="L33" s="51" t="str">
        <f aca="false">IF(N(H33)=0,"—",J33/H33)</f>
        <v>—</v>
      </c>
      <c r="M33" s="51"/>
      <c r="N33" s="45" t="str">
        <f aca="false">$BP44</f>
        <v>Campaign</v>
      </c>
      <c r="O33" s="45"/>
      <c r="P33" s="29" t="n">
        <f aca="false">$BK44</f>
        <v>0</v>
      </c>
      <c r="Q33" s="23" t="str">
        <f aca="false">IF(SUM($BK$41:$BK$45)=0,"—",$BK44/SUM($BK$41:$BK$45))</f>
        <v>—</v>
      </c>
      <c r="R33" s="23"/>
      <c r="U33" s="64" t="n">
        <f aca="false">'Aug 30'!$G$47</f>
        <v>0</v>
      </c>
      <c r="V33" s="64" t="n">
        <f aca="false">'Aug 30'!$G$48</f>
        <v>0</v>
      </c>
      <c r="W33" s="0" t="n">
        <f aca="false">'Aug 30'!$C$54</f>
        <v>0</v>
      </c>
      <c r="X33" s="64" t="n">
        <f aca="false">'Aug 30'!$C$55</f>
        <v>0</v>
      </c>
      <c r="Y33" s="0" t="n">
        <f aca="false">'Aug 30'!$C$57</f>
        <v>0</v>
      </c>
      <c r="Z33" s="0" t="n">
        <f aca="false">COUNTIF('Aug 30'!$AM$8:$AM$42,"Y")</f>
        <v>0</v>
      </c>
      <c r="AA33" s="0" t="n">
        <f aca="false">COUNTIF('Aug 30'!$AN$8:$AN$42,"Y")</f>
        <v>0</v>
      </c>
      <c r="AB33" s="0" t="n">
        <f aca="false">COUNTIF('Aug 30'!$AO$8:$AO$42,"Y")</f>
        <v>0</v>
      </c>
      <c r="AC33" s="0" t="n">
        <f aca="false">'Aug 30'!$C$46</f>
        <v>0</v>
      </c>
      <c r="AE33" s="0" t="n">
        <f aca="false">SUMPRODUCT((('Aug 1'!$F$8:$F$42=$AD14)*'Aug 1'!$AJ$8:$AJ$42+('Aug 1'!$G$8:$G$42=$AD14)*'Aug 1'!$AK$8:$AK$42)*('Aug 1'!$Q$8:$Q$42+'Aug 1'!$R$8:$R$42))</f>
        <v>0</v>
      </c>
      <c r="AF33" s="0" t="n">
        <f aca="false">SUMPRODUCT((('Aug 2'!$F$8:$F$42=$AD14)*'Aug 2'!$AJ$8:$AJ$42+('Aug 2'!$G$8:$G$42=$AD14)*'Aug 2'!$AK$8:$AK$42)*('Aug 2'!$Q$8:$Q$42+'Aug 2'!$R$8:$R$42))</f>
        <v>0</v>
      </c>
      <c r="AG33" s="0" t="n">
        <f aca="false">SUMPRODUCT((('Aug 3'!$F$8:$F$42=$AD14)*'Aug 3'!$AJ$8:$AJ$42+('Aug 3'!$G$8:$G$42=$AD14)*'Aug 3'!$AK$8:$AK$42)*('Aug 3'!$Q$8:$Q$42+'Aug 3'!$R$8:$R$42))</f>
        <v>0</v>
      </c>
      <c r="AH33" s="0" t="n">
        <f aca="false">SUMPRODUCT((('Aug 4'!$F$8:$F$42=$AD14)*'Aug 4'!$AJ$8:$AJ$42+('Aug 4'!$G$8:$G$42=$AD14)*'Aug 4'!$AK$8:$AK$42)*('Aug 4'!$Q$8:$Q$42+'Aug 4'!$R$8:$R$42))</f>
        <v>0</v>
      </c>
      <c r="AI33" s="0" t="n">
        <f aca="false">SUMPRODUCT((('Aug 5'!$F$8:$F$42=$AD14)*'Aug 5'!$AJ$8:$AJ$42+('Aug 5'!$G$8:$G$42=$AD14)*'Aug 5'!$AK$8:$AK$42)*('Aug 5'!$Q$8:$Q$42+'Aug 5'!$R$8:$R$42))</f>
        <v>0</v>
      </c>
      <c r="AJ33" s="0" t="n">
        <f aca="false">SUMPRODUCT((('Aug 6'!$F$8:$F$42=$AD14)*'Aug 6'!$AJ$8:$AJ$42+('Aug 6'!$G$8:$G$42=$AD14)*'Aug 6'!$AK$8:$AK$42)*('Aug 6'!$Q$8:$Q$42+'Aug 6'!$R$8:$R$42))</f>
        <v>0</v>
      </c>
      <c r="AK33" s="0" t="n">
        <f aca="false">SUMPRODUCT((('Aug 7'!$F$8:$F$42=$AD14)*'Aug 7'!$AJ$8:$AJ$42+('Aug 7'!$G$8:$G$42=$AD14)*'Aug 7'!$AK$8:$AK$42)*('Aug 7'!$Q$8:$Q$42+'Aug 7'!$R$8:$R$42))</f>
        <v>0</v>
      </c>
      <c r="AL33" s="0" t="n">
        <f aca="false">SUMPRODUCT((('Aug 8'!$F$8:$F$42=$AD14)*'Aug 8'!$AJ$8:$AJ$42+('Aug 8'!$G$8:$G$42=$AD14)*'Aug 8'!$AK$8:$AK$42)*('Aug 8'!$Q$8:$Q$42+'Aug 8'!$R$8:$R$42))</f>
        <v>0</v>
      </c>
      <c r="AM33" s="0" t="n">
        <f aca="false">SUMPRODUCT((('Aug 9'!$F$8:$F$42=$AD14)*'Aug 9'!$AJ$8:$AJ$42+('Aug 9'!$G$8:$G$42=$AD14)*'Aug 9'!$AK$8:$AK$42)*('Aug 9'!$Q$8:$Q$42+'Aug 9'!$R$8:$R$42))</f>
        <v>0</v>
      </c>
      <c r="AN33" s="0" t="n">
        <f aca="false">SUMPRODUCT((('Aug 10'!$F$8:$F$42=$AD14)*'Aug 10'!$AJ$8:$AJ$42+('Aug 10'!$G$8:$G$42=$AD14)*'Aug 10'!$AK$8:$AK$42)*('Aug 10'!$Q$8:$Q$42+'Aug 10'!$R$8:$R$42))</f>
        <v>0</v>
      </c>
      <c r="AO33" s="0" t="n">
        <f aca="false">SUMPRODUCT((('Aug 11'!$F$8:$F$42=$AD14)*'Aug 11'!$AJ$8:$AJ$42+('Aug 11'!$G$8:$G$42=$AD14)*'Aug 11'!$AK$8:$AK$42)*('Aug 11'!$Q$8:$Q$42+'Aug 11'!$R$8:$R$42))</f>
        <v>0</v>
      </c>
      <c r="AP33" s="0" t="n">
        <f aca="false">SUMPRODUCT((('Aug 12'!$F$8:$F$42=$AD14)*'Aug 12'!$AJ$8:$AJ$42+('Aug 12'!$G$8:$G$42=$AD14)*'Aug 12'!$AK$8:$AK$42)*('Aug 12'!$Q$8:$Q$42+'Aug 12'!$R$8:$R$42))</f>
        <v>0</v>
      </c>
      <c r="AQ33" s="0" t="n">
        <f aca="false">SUMPRODUCT((('Aug 13'!$F$8:$F$42=$AD14)*'Aug 13'!$AJ$8:$AJ$42+('Aug 13'!$G$8:$G$42=$AD14)*'Aug 13'!$AK$8:$AK$42)*('Aug 13'!$Q$8:$Q$42+'Aug 13'!$R$8:$R$42))</f>
        <v>0</v>
      </c>
      <c r="AR33" s="0" t="n">
        <f aca="false">SUMPRODUCT((('Aug 14'!$F$8:$F$42=$AD14)*'Aug 14'!$AJ$8:$AJ$42+('Aug 14'!$G$8:$G$42=$AD14)*'Aug 14'!$AK$8:$AK$42)*('Aug 14'!$Q$8:$Q$42+'Aug 14'!$R$8:$R$42))</f>
        <v>0</v>
      </c>
      <c r="AS33" s="0" t="n">
        <f aca="false">SUMPRODUCT((('Aug 15'!$F$8:$F$42=$AD14)*'Aug 15'!$AJ$8:$AJ$42+('Aug 15'!$G$8:$G$42=$AD14)*'Aug 15'!$AK$8:$AK$42)*('Aug 15'!$Q$8:$Q$42+'Aug 15'!$R$8:$R$42))</f>
        <v>0</v>
      </c>
      <c r="AT33" s="0" t="n">
        <f aca="false">SUMPRODUCT((('Aug 16'!$F$8:$F$42=$AD14)*'Aug 16'!$AJ$8:$AJ$42+('Aug 16'!$G$8:$G$42=$AD14)*'Aug 16'!$AK$8:$AK$42)*('Aug 16'!$Q$8:$Q$42+'Aug 16'!$R$8:$R$42))</f>
        <v>0</v>
      </c>
      <c r="AU33" s="0" t="n">
        <f aca="false">SUMPRODUCT((('Aug 17'!$F$8:$F$42=$AD14)*'Aug 17'!$AJ$8:$AJ$42+('Aug 17'!$G$8:$G$42=$AD14)*'Aug 17'!$AK$8:$AK$42)*('Aug 17'!$Q$8:$Q$42+'Aug 17'!$R$8:$R$42))</f>
        <v>0</v>
      </c>
      <c r="AV33" s="0" t="n">
        <f aca="false">SUMPRODUCT((('Aug 18'!$F$8:$F$42=$AD14)*'Aug 18'!$AJ$8:$AJ$42+('Aug 18'!$G$8:$G$42=$AD14)*'Aug 18'!$AK$8:$AK$42)*('Aug 18'!$Q$8:$Q$42+'Aug 18'!$R$8:$R$42))</f>
        <v>0</v>
      </c>
      <c r="AW33" s="0" t="n">
        <f aca="false">SUMPRODUCT((('Aug 19'!$F$8:$F$42=$AD14)*'Aug 19'!$AJ$8:$AJ$42+('Aug 19'!$G$8:$G$42=$AD14)*'Aug 19'!$AK$8:$AK$42)*('Aug 19'!$Q$8:$Q$42+'Aug 19'!$R$8:$R$42))</f>
        <v>0</v>
      </c>
      <c r="AX33" s="0" t="n">
        <f aca="false">SUMPRODUCT((('Aug 20'!$F$8:$F$42=$AD14)*'Aug 20'!$AJ$8:$AJ$42+('Aug 20'!$G$8:$G$42=$AD14)*'Aug 20'!$AK$8:$AK$42)*('Aug 20'!$Q$8:$Q$42+'Aug 20'!$R$8:$R$42))</f>
        <v>0</v>
      </c>
      <c r="AY33" s="0" t="n">
        <f aca="false">SUMPRODUCT((('Aug 21'!$F$8:$F$42=$AD14)*'Aug 21'!$AJ$8:$AJ$42+('Aug 21'!$G$8:$G$42=$AD14)*'Aug 21'!$AK$8:$AK$42)*('Aug 21'!$Q$8:$Q$42+'Aug 21'!$R$8:$R$42))</f>
        <v>0</v>
      </c>
      <c r="AZ33" s="0" t="n">
        <f aca="false">SUMPRODUCT((('Aug 22'!$F$8:$F$42=$AD14)*'Aug 22'!$AJ$8:$AJ$42+('Aug 22'!$G$8:$G$42=$AD14)*'Aug 22'!$AK$8:$AK$42)*('Aug 22'!$Q$8:$Q$42+'Aug 22'!$R$8:$R$42))</f>
        <v>0</v>
      </c>
      <c r="BA33" s="0" t="n">
        <f aca="false">SUMPRODUCT((('Aug 23'!$F$8:$F$42=$AD14)*'Aug 23'!$AJ$8:$AJ$42+('Aug 23'!$G$8:$G$42=$AD14)*'Aug 23'!$AK$8:$AK$42)*('Aug 23'!$Q$8:$Q$42+'Aug 23'!$R$8:$R$42))</f>
        <v>0</v>
      </c>
      <c r="BB33" s="0" t="n">
        <f aca="false">SUMPRODUCT((('Aug 24'!$F$8:$F$42=$AD14)*'Aug 24'!$AJ$8:$AJ$42+('Aug 24'!$G$8:$G$42=$AD14)*'Aug 24'!$AK$8:$AK$42)*('Aug 24'!$Q$8:$Q$42+'Aug 24'!$R$8:$R$42))</f>
        <v>0</v>
      </c>
      <c r="BC33" s="0" t="n">
        <f aca="false">SUMPRODUCT((('Aug 25'!$F$8:$F$42=$AD14)*'Aug 25'!$AJ$8:$AJ$42+('Aug 25'!$G$8:$G$42=$AD14)*'Aug 25'!$AK$8:$AK$42)*('Aug 25'!$Q$8:$Q$42+'Aug 25'!$R$8:$R$42))</f>
        <v>0</v>
      </c>
      <c r="BD33" s="0" t="n">
        <f aca="false">SUMPRODUCT((('Aug 26'!$F$8:$F$42=$AD14)*'Aug 26'!$AJ$8:$AJ$42+('Aug 26'!$G$8:$G$42=$AD14)*'Aug 26'!$AK$8:$AK$42)*('Aug 26'!$Q$8:$Q$42+'Aug 26'!$R$8:$R$42))</f>
        <v>0</v>
      </c>
      <c r="BE33" s="0" t="n">
        <f aca="false">SUMPRODUCT((('Aug 27'!$F$8:$F$42=$AD14)*'Aug 27'!$AJ$8:$AJ$42+('Aug 27'!$G$8:$G$42=$AD14)*'Aug 27'!$AK$8:$AK$42)*('Aug 27'!$Q$8:$Q$42+'Aug 27'!$R$8:$R$42))</f>
        <v>0</v>
      </c>
      <c r="BF33" s="0" t="n">
        <f aca="false">SUMPRODUCT((('Aug 28'!$F$8:$F$42=$AD14)*'Aug 28'!$AJ$8:$AJ$42+('Aug 28'!$G$8:$G$42=$AD14)*'Aug 28'!$AK$8:$AK$42)*('Aug 28'!$Q$8:$Q$42+'Aug 28'!$R$8:$R$42))</f>
        <v>0</v>
      </c>
      <c r="BG33" s="0" t="n">
        <f aca="false">SUMPRODUCT((('Aug 29'!$F$8:$F$42=$AD14)*'Aug 29'!$AJ$8:$AJ$42+('Aug 29'!$G$8:$G$42=$AD14)*'Aug 29'!$AK$8:$AK$42)*('Aug 29'!$Q$8:$Q$42+'Aug 29'!$R$8:$R$42))</f>
        <v>0</v>
      </c>
      <c r="BH33" s="0" t="n">
        <f aca="false">SUMPRODUCT((('Aug 30'!$F$8:$F$42=$AD14)*'Aug 30'!$AJ$8:$AJ$42+('Aug 30'!$G$8:$G$42=$AD14)*'Aug 30'!$AK$8:$AK$42)*('Aug 30'!$Q$8:$Q$42+'Aug 30'!$R$8:$R$42))</f>
        <v>0</v>
      </c>
      <c r="BI33" s="0" t="n">
        <f aca="false">SUMPRODUCT((('Aug 31'!$F$8:$F$42=$AD14)*'Aug 31'!$AJ$8:$AJ$42+('Aug 31'!$G$8:$G$42=$AD14)*'Aug 31'!$AK$8:$AK$42)*('Aug 31'!$Q$8:$Q$42+'Aug 31'!$R$8:$R$42))</f>
        <v>0</v>
      </c>
      <c r="BK33" s="0" t="n">
        <f aca="false">SUM(AE33:BI33)</f>
        <v>0</v>
      </c>
    </row>
    <row r="34" customFormat="false" ht="15" hidden="false" customHeight="true" outlineLevel="0" collapsed="false">
      <c r="A34" s="29" t="n">
        <v>5</v>
      </c>
      <c r="B34" s="45" t="str">
        <f aca="false">IFERROR(INDEX($AD$4:$AD$19,MATCH(5,$BN$4:$BN$19,0)),"")</f>
        <v>MERCEDES CLARK</v>
      </c>
      <c r="C34" s="45"/>
      <c r="D34" s="45"/>
      <c r="E34" s="45"/>
      <c r="F34" s="45"/>
      <c r="G34" s="45"/>
      <c r="H34" s="31" t="n">
        <f aca="false">IFERROR(INDEX($BK$4:$BK$19,MATCH(5,$BN$4:$BN$19,0)),0)</f>
        <v>0</v>
      </c>
      <c r="I34" s="31"/>
      <c r="J34" s="25" t="n">
        <f aca="false">IFERROR(INDEX($BK$23:$BK$38,MATCH(5,$BN$4:$BN$19,0)),0)</f>
        <v>0</v>
      </c>
      <c r="K34" s="25"/>
      <c r="L34" s="25" t="str">
        <f aca="false">IF(N(H34)=0,"—",J34/H34)</f>
        <v>—</v>
      </c>
      <c r="M34" s="25"/>
      <c r="N34" s="45" t="str">
        <f aca="false">$BP45</f>
        <v>Untagged</v>
      </c>
      <c r="O34" s="45"/>
      <c r="P34" s="29" t="n">
        <f aca="false">$BK45</f>
        <v>0</v>
      </c>
      <c r="Q34" s="23" t="str">
        <f aca="false">IF(SUM($BK$41:$BK$45)=0,"—",$BK45/SUM($BK$41:$BK$45))</f>
        <v>—</v>
      </c>
      <c r="R34" s="23"/>
      <c r="U34" s="64" t="n">
        <f aca="false">'Aug 31'!$G$47</f>
        <v>0</v>
      </c>
      <c r="V34" s="64" t="n">
        <f aca="false">'Aug 31'!$G$48</f>
        <v>0</v>
      </c>
      <c r="W34" s="0" t="n">
        <f aca="false">'Aug 31'!$C$54</f>
        <v>0</v>
      </c>
      <c r="X34" s="64" t="n">
        <f aca="false">'Aug 31'!$C$55</f>
        <v>0</v>
      </c>
      <c r="Y34" s="0" t="n">
        <f aca="false">'Aug 31'!$C$57</f>
        <v>0</v>
      </c>
      <c r="Z34" s="0" t="n">
        <f aca="false">COUNTIF('Aug 31'!$AM$8:$AM$42,"Y")</f>
        <v>0</v>
      </c>
      <c r="AA34" s="0" t="n">
        <f aca="false">COUNTIF('Aug 31'!$AN$8:$AN$42,"Y")</f>
        <v>0</v>
      </c>
      <c r="AB34" s="0" t="n">
        <f aca="false">COUNTIF('Aug 31'!$AO$8:$AO$42,"Y")</f>
        <v>0</v>
      </c>
      <c r="AC34" s="0" t="n">
        <f aca="false">'Aug 31'!$C$46</f>
        <v>0</v>
      </c>
      <c r="AE34" s="0" t="n">
        <f aca="false">SUMPRODUCT((('Aug 1'!$F$8:$F$42=$AD15)*'Aug 1'!$AJ$8:$AJ$42+('Aug 1'!$G$8:$G$42=$AD15)*'Aug 1'!$AK$8:$AK$42)*('Aug 1'!$Q$8:$Q$42+'Aug 1'!$R$8:$R$42))</f>
        <v>0</v>
      </c>
      <c r="AF34" s="0" t="n">
        <f aca="false">SUMPRODUCT((('Aug 2'!$F$8:$F$42=$AD15)*'Aug 2'!$AJ$8:$AJ$42+('Aug 2'!$G$8:$G$42=$AD15)*'Aug 2'!$AK$8:$AK$42)*('Aug 2'!$Q$8:$Q$42+'Aug 2'!$R$8:$R$42))</f>
        <v>0</v>
      </c>
      <c r="AG34" s="0" t="n">
        <f aca="false">SUMPRODUCT((('Aug 3'!$F$8:$F$42=$AD15)*'Aug 3'!$AJ$8:$AJ$42+('Aug 3'!$G$8:$G$42=$AD15)*'Aug 3'!$AK$8:$AK$42)*('Aug 3'!$Q$8:$Q$42+'Aug 3'!$R$8:$R$42))</f>
        <v>0</v>
      </c>
      <c r="AH34" s="0" t="n">
        <f aca="false">SUMPRODUCT((('Aug 4'!$F$8:$F$42=$AD15)*'Aug 4'!$AJ$8:$AJ$42+('Aug 4'!$G$8:$G$42=$AD15)*'Aug 4'!$AK$8:$AK$42)*('Aug 4'!$Q$8:$Q$42+'Aug 4'!$R$8:$R$42))</f>
        <v>0</v>
      </c>
      <c r="AI34" s="0" t="n">
        <f aca="false">SUMPRODUCT((('Aug 5'!$F$8:$F$42=$AD15)*'Aug 5'!$AJ$8:$AJ$42+('Aug 5'!$G$8:$G$42=$AD15)*'Aug 5'!$AK$8:$AK$42)*('Aug 5'!$Q$8:$Q$42+'Aug 5'!$R$8:$R$42))</f>
        <v>0</v>
      </c>
      <c r="AJ34" s="0" t="n">
        <f aca="false">SUMPRODUCT((('Aug 6'!$F$8:$F$42=$AD15)*'Aug 6'!$AJ$8:$AJ$42+('Aug 6'!$G$8:$G$42=$AD15)*'Aug 6'!$AK$8:$AK$42)*('Aug 6'!$Q$8:$Q$42+'Aug 6'!$R$8:$R$42))</f>
        <v>0</v>
      </c>
      <c r="AK34" s="0" t="n">
        <f aca="false">SUMPRODUCT((('Aug 7'!$F$8:$F$42=$AD15)*'Aug 7'!$AJ$8:$AJ$42+('Aug 7'!$G$8:$G$42=$AD15)*'Aug 7'!$AK$8:$AK$42)*('Aug 7'!$Q$8:$Q$42+'Aug 7'!$R$8:$R$42))</f>
        <v>0</v>
      </c>
      <c r="AL34" s="0" t="n">
        <f aca="false">SUMPRODUCT((('Aug 8'!$F$8:$F$42=$AD15)*'Aug 8'!$AJ$8:$AJ$42+('Aug 8'!$G$8:$G$42=$AD15)*'Aug 8'!$AK$8:$AK$42)*('Aug 8'!$Q$8:$Q$42+'Aug 8'!$R$8:$R$42))</f>
        <v>0</v>
      </c>
      <c r="AM34" s="0" t="n">
        <f aca="false">SUMPRODUCT((('Aug 9'!$F$8:$F$42=$AD15)*'Aug 9'!$AJ$8:$AJ$42+('Aug 9'!$G$8:$G$42=$AD15)*'Aug 9'!$AK$8:$AK$42)*('Aug 9'!$Q$8:$Q$42+'Aug 9'!$R$8:$R$42))</f>
        <v>0</v>
      </c>
      <c r="AN34" s="0" t="n">
        <f aca="false">SUMPRODUCT((('Aug 10'!$F$8:$F$42=$AD15)*'Aug 10'!$AJ$8:$AJ$42+('Aug 10'!$G$8:$G$42=$AD15)*'Aug 10'!$AK$8:$AK$42)*('Aug 10'!$Q$8:$Q$42+'Aug 10'!$R$8:$R$42))</f>
        <v>0</v>
      </c>
      <c r="AO34" s="0" t="n">
        <f aca="false">SUMPRODUCT((('Aug 11'!$F$8:$F$42=$AD15)*'Aug 11'!$AJ$8:$AJ$42+('Aug 11'!$G$8:$G$42=$AD15)*'Aug 11'!$AK$8:$AK$42)*('Aug 11'!$Q$8:$Q$42+'Aug 11'!$R$8:$R$42))</f>
        <v>0</v>
      </c>
      <c r="AP34" s="0" t="n">
        <f aca="false">SUMPRODUCT((('Aug 12'!$F$8:$F$42=$AD15)*'Aug 12'!$AJ$8:$AJ$42+('Aug 12'!$G$8:$G$42=$AD15)*'Aug 12'!$AK$8:$AK$42)*('Aug 12'!$Q$8:$Q$42+'Aug 12'!$R$8:$R$42))</f>
        <v>0</v>
      </c>
      <c r="AQ34" s="0" t="n">
        <f aca="false">SUMPRODUCT((('Aug 13'!$F$8:$F$42=$AD15)*'Aug 13'!$AJ$8:$AJ$42+('Aug 13'!$G$8:$G$42=$AD15)*'Aug 13'!$AK$8:$AK$42)*('Aug 13'!$Q$8:$Q$42+'Aug 13'!$R$8:$R$42))</f>
        <v>0</v>
      </c>
      <c r="AR34" s="0" t="n">
        <f aca="false">SUMPRODUCT((('Aug 14'!$F$8:$F$42=$AD15)*'Aug 14'!$AJ$8:$AJ$42+('Aug 14'!$G$8:$G$42=$AD15)*'Aug 14'!$AK$8:$AK$42)*('Aug 14'!$Q$8:$Q$42+'Aug 14'!$R$8:$R$42))</f>
        <v>0</v>
      </c>
      <c r="AS34" s="0" t="n">
        <f aca="false">SUMPRODUCT((('Aug 15'!$F$8:$F$42=$AD15)*'Aug 15'!$AJ$8:$AJ$42+('Aug 15'!$G$8:$G$42=$AD15)*'Aug 15'!$AK$8:$AK$42)*('Aug 15'!$Q$8:$Q$42+'Aug 15'!$R$8:$R$42))</f>
        <v>0</v>
      </c>
      <c r="AT34" s="0" t="n">
        <f aca="false">SUMPRODUCT((('Aug 16'!$F$8:$F$42=$AD15)*'Aug 16'!$AJ$8:$AJ$42+('Aug 16'!$G$8:$G$42=$AD15)*'Aug 16'!$AK$8:$AK$42)*('Aug 16'!$Q$8:$Q$42+'Aug 16'!$R$8:$R$42))</f>
        <v>0</v>
      </c>
      <c r="AU34" s="0" t="n">
        <f aca="false">SUMPRODUCT((('Aug 17'!$F$8:$F$42=$AD15)*'Aug 17'!$AJ$8:$AJ$42+('Aug 17'!$G$8:$G$42=$AD15)*'Aug 17'!$AK$8:$AK$42)*('Aug 17'!$Q$8:$Q$42+'Aug 17'!$R$8:$R$42))</f>
        <v>0</v>
      </c>
      <c r="AV34" s="0" t="n">
        <f aca="false">SUMPRODUCT((('Aug 18'!$F$8:$F$42=$AD15)*'Aug 18'!$AJ$8:$AJ$42+('Aug 18'!$G$8:$G$42=$AD15)*'Aug 18'!$AK$8:$AK$42)*('Aug 18'!$Q$8:$Q$42+'Aug 18'!$R$8:$R$42))</f>
        <v>0</v>
      </c>
      <c r="AW34" s="0" t="n">
        <f aca="false">SUMPRODUCT((('Aug 19'!$F$8:$F$42=$AD15)*'Aug 19'!$AJ$8:$AJ$42+('Aug 19'!$G$8:$G$42=$AD15)*'Aug 19'!$AK$8:$AK$42)*('Aug 19'!$Q$8:$Q$42+'Aug 19'!$R$8:$R$42))</f>
        <v>0</v>
      </c>
      <c r="AX34" s="0" t="n">
        <f aca="false">SUMPRODUCT((('Aug 20'!$F$8:$F$42=$AD15)*'Aug 20'!$AJ$8:$AJ$42+('Aug 20'!$G$8:$G$42=$AD15)*'Aug 20'!$AK$8:$AK$42)*('Aug 20'!$Q$8:$Q$42+'Aug 20'!$R$8:$R$42))</f>
        <v>0</v>
      </c>
      <c r="AY34" s="0" t="n">
        <f aca="false">SUMPRODUCT((('Aug 21'!$F$8:$F$42=$AD15)*'Aug 21'!$AJ$8:$AJ$42+('Aug 21'!$G$8:$G$42=$AD15)*'Aug 21'!$AK$8:$AK$42)*('Aug 21'!$Q$8:$Q$42+'Aug 21'!$R$8:$R$42))</f>
        <v>0</v>
      </c>
      <c r="AZ34" s="0" t="n">
        <f aca="false">SUMPRODUCT((('Aug 22'!$F$8:$F$42=$AD15)*'Aug 22'!$AJ$8:$AJ$42+('Aug 22'!$G$8:$G$42=$AD15)*'Aug 22'!$AK$8:$AK$42)*('Aug 22'!$Q$8:$Q$42+'Aug 22'!$R$8:$R$42))</f>
        <v>0</v>
      </c>
      <c r="BA34" s="0" t="n">
        <f aca="false">SUMPRODUCT((('Aug 23'!$F$8:$F$42=$AD15)*'Aug 23'!$AJ$8:$AJ$42+('Aug 23'!$G$8:$G$42=$AD15)*'Aug 23'!$AK$8:$AK$42)*('Aug 23'!$Q$8:$Q$42+'Aug 23'!$R$8:$R$42))</f>
        <v>0</v>
      </c>
      <c r="BB34" s="0" t="n">
        <f aca="false">SUMPRODUCT((('Aug 24'!$F$8:$F$42=$AD15)*'Aug 24'!$AJ$8:$AJ$42+('Aug 24'!$G$8:$G$42=$AD15)*'Aug 24'!$AK$8:$AK$42)*('Aug 24'!$Q$8:$Q$42+'Aug 24'!$R$8:$R$42))</f>
        <v>0</v>
      </c>
      <c r="BC34" s="0" t="n">
        <f aca="false">SUMPRODUCT((('Aug 25'!$F$8:$F$42=$AD15)*'Aug 25'!$AJ$8:$AJ$42+('Aug 25'!$G$8:$G$42=$AD15)*'Aug 25'!$AK$8:$AK$42)*('Aug 25'!$Q$8:$Q$42+'Aug 25'!$R$8:$R$42))</f>
        <v>0</v>
      </c>
      <c r="BD34" s="0" t="n">
        <f aca="false">SUMPRODUCT((('Aug 26'!$F$8:$F$42=$AD15)*'Aug 26'!$AJ$8:$AJ$42+('Aug 26'!$G$8:$G$42=$AD15)*'Aug 26'!$AK$8:$AK$42)*('Aug 26'!$Q$8:$Q$42+'Aug 26'!$R$8:$R$42))</f>
        <v>0</v>
      </c>
      <c r="BE34" s="0" t="n">
        <f aca="false">SUMPRODUCT((('Aug 27'!$F$8:$F$42=$AD15)*'Aug 27'!$AJ$8:$AJ$42+('Aug 27'!$G$8:$G$42=$AD15)*'Aug 27'!$AK$8:$AK$42)*('Aug 27'!$Q$8:$Q$42+'Aug 27'!$R$8:$R$42))</f>
        <v>0</v>
      </c>
      <c r="BF34" s="0" t="n">
        <f aca="false">SUMPRODUCT((('Aug 28'!$F$8:$F$42=$AD15)*'Aug 28'!$AJ$8:$AJ$42+('Aug 28'!$G$8:$G$42=$AD15)*'Aug 28'!$AK$8:$AK$42)*('Aug 28'!$Q$8:$Q$42+'Aug 28'!$R$8:$R$42))</f>
        <v>0</v>
      </c>
      <c r="BG34" s="0" t="n">
        <f aca="false">SUMPRODUCT((('Aug 29'!$F$8:$F$42=$AD15)*'Aug 29'!$AJ$8:$AJ$42+('Aug 29'!$G$8:$G$42=$AD15)*'Aug 29'!$AK$8:$AK$42)*('Aug 29'!$Q$8:$Q$42+'Aug 29'!$R$8:$R$42))</f>
        <v>0</v>
      </c>
      <c r="BH34" s="0" t="n">
        <f aca="false">SUMPRODUCT((('Aug 30'!$F$8:$F$42=$AD15)*'Aug 30'!$AJ$8:$AJ$42+('Aug 30'!$G$8:$G$42=$AD15)*'Aug 30'!$AK$8:$AK$42)*('Aug 30'!$Q$8:$Q$42+'Aug 30'!$R$8:$R$42))</f>
        <v>0</v>
      </c>
      <c r="BI34" s="0" t="n">
        <f aca="false">SUMPRODUCT((('Aug 31'!$F$8:$F$42=$AD15)*'Aug 31'!$AJ$8:$AJ$42+('Aug 31'!$G$8:$G$42=$AD15)*'Aug 31'!$AK$8:$AK$42)*('Aug 31'!$Q$8:$Q$42+'Aug 31'!$R$8:$R$42))</f>
        <v>0</v>
      </c>
      <c r="BK34" s="0" t="n">
        <f aca="false">SUM(AE34:BI34)</f>
        <v>0</v>
      </c>
    </row>
    <row r="35" customFormat="false" ht="15" hidden="false" customHeight="true" outlineLevel="0" collapsed="false">
      <c r="A35" s="81" t="n">
        <v>6</v>
      </c>
      <c r="B35" s="49" t="str">
        <f aca="false">IFERROR(INDEX($AD$4:$AD$19,MATCH(6,$BN$4:$BN$19,0)),"")</f>
        <v>ZAY JOHNSON</v>
      </c>
      <c r="C35" s="49"/>
      <c r="D35" s="49"/>
      <c r="E35" s="49"/>
      <c r="F35" s="49"/>
      <c r="G35" s="49"/>
      <c r="H35" s="80" t="n">
        <f aca="false">IFERROR(INDEX($BK$4:$BK$19,MATCH(6,$BN$4:$BN$19,0)),0)</f>
        <v>0</v>
      </c>
      <c r="I35" s="80"/>
      <c r="J35" s="51" t="n">
        <f aca="false">IFERROR(INDEX($BK$23:$BK$38,MATCH(6,$BN$4:$BN$19,0)),0)</f>
        <v>0</v>
      </c>
      <c r="K35" s="51"/>
      <c r="L35" s="51" t="str">
        <f aca="false">IF(N(H35)=0,"—",J35/H35)</f>
        <v>—</v>
      </c>
      <c r="M35" s="51"/>
      <c r="AE35" s="0" t="n">
        <f aca="false">SUMPRODUCT((('Aug 1'!$F$8:$F$42=$AD16)*'Aug 1'!$AJ$8:$AJ$42+('Aug 1'!$G$8:$G$42=$AD16)*'Aug 1'!$AK$8:$AK$42)*('Aug 1'!$Q$8:$Q$42+'Aug 1'!$R$8:$R$42))</f>
        <v>0</v>
      </c>
      <c r="AF35" s="0" t="n">
        <f aca="false">SUMPRODUCT((('Aug 2'!$F$8:$F$42=$AD16)*'Aug 2'!$AJ$8:$AJ$42+('Aug 2'!$G$8:$G$42=$AD16)*'Aug 2'!$AK$8:$AK$42)*('Aug 2'!$Q$8:$Q$42+'Aug 2'!$R$8:$R$42))</f>
        <v>0</v>
      </c>
      <c r="AG35" s="0" t="n">
        <f aca="false">SUMPRODUCT((('Aug 3'!$F$8:$F$42=$AD16)*'Aug 3'!$AJ$8:$AJ$42+('Aug 3'!$G$8:$G$42=$AD16)*'Aug 3'!$AK$8:$AK$42)*('Aug 3'!$Q$8:$Q$42+'Aug 3'!$R$8:$R$42))</f>
        <v>0</v>
      </c>
      <c r="AH35" s="0" t="n">
        <f aca="false">SUMPRODUCT((('Aug 4'!$F$8:$F$42=$AD16)*'Aug 4'!$AJ$8:$AJ$42+('Aug 4'!$G$8:$G$42=$AD16)*'Aug 4'!$AK$8:$AK$42)*('Aug 4'!$Q$8:$Q$42+'Aug 4'!$R$8:$R$42))</f>
        <v>0</v>
      </c>
      <c r="AI35" s="0" t="n">
        <f aca="false">SUMPRODUCT((('Aug 5'!$F$8:$F$42=$AD16)*'Aug 5'!$AJ$8:$AJ$42+('Aug 5'!$G$8:$G$42=$AD16)*'Aug 5'!$AK$8:$AK$42)*('Aug 5'!$Q$8:$Q$42+'Aug 5'!$R$8:$R$42))</f>
        <v>0</v>
      </c>
      <c r="AJ35" s="0" t="n">
        <f aca="false">SUMPRODUCT((('Aug 6'!$F$8:$F$42=$AD16)*'Aug 6'!$AJ$8:$AJ$42+('Aug 6'!$G$8:$G$42=$AD16)*'Aug 6'!$AK$8:$AK$42)*('Aug 6'!$Q$8:$Q$42+'Aug 6'!$R$8:$R$42))</f>
        <v>0</v>
      </c>
      <c r="AK35" s="0" t="n">
        <f aca="false">SUMPRODUCT((('Aug 7'!$F$8:$F$42=$AD16)*'Aug 7'!$AJ$8:$AJ$42+('Aug 7'!$G$8:$G$42=$AD16)*'Aug 7'!$AK$8:$AK$42)*('Aug 7'!$Q$8:$Q$42+'Aug 7'!$R$8:$R$42))</f>
        <v>0</v>
      </c>
      <c r="AL35" s="0" t="n">
        <f aca="false">SUMPRODUCT((('Aug 8'!$F$8:$F$42=$AD16)*'Aug 8'!$AJ$8:$AJ$42+('Aug 8'!$G$8:$G$42=$AD16)*'Aug 8'!$AK$8:$AK$42)*('Aug 8'!$Q$8:$Q$42+'Aug 8'!$R$8:$R$42))</f>
        <v>0</v>
      </c>
      <c r="AM35" s="0" t="n">
        <f aca="false">SUMPRODUCT((('Aug 9'!$F$8:$F$42=$AD16)*'Aug 9'!$AJ$8:$AJ$42+('Aug 9'!$G$8:$G$42=$AD16)*'Aug 9'!$AK$8:$AK$42)*('Aug 9'!$Q$8:$Q$42+'Aug 9'!$R$8:$R$42))</f>
        <v>0</v>
      </c>
      <c r="AN35" s="0" t="n">
        <f aca="false">SUMPRODUCT((('Aug 10'!$F$8:$F$42=$AD16)*'Aug 10'!$AJ$8:$AJ$42+('Aug 10'!$G$8:$G$42=$AD16)*'Aug 10'!$AK$8:$AK$42)*('Aug 10'!$Q$8:$Q$42+'Aug 10'!$R$8:$R$42))</f>
        <v>0</v>
      </c>
      <c r="AO35" s="0" t="n">
        <f aca="false">SUMPRODUCT((('Aug 11'!$F$8:$F$42=$AD16)*'Aug 11'!$AJ$8:$AJ$42+('Aug 11'!$G$8:$G$42=$AD16)*'Aug 11'!$AK$8:$AK$42)*('Aug 11'!$Q$8:$Q$42+'Aug 11'!$R$8:$R$42))</f>
        <v>0</v>
      </c>
      <c r="AP35" s="0" t="n">
        <f aca="false">SUMPRODUCT((('Aug 12'!$F$8:$F$42=$AD16)*'Aug 12'!$AJ$8:$AJ$42+('Aug 12'!$G$8:$G$42=$AD16)*'Aug 12'!$AK$8:$AK$42)*('Aug 12'!$Q$8:$Q$42+'Aug 12'!$R$8:$R$42))</f>
        <v>0</v>
      </c>
      <c r="AQ35" s="0" t="n">
        <f aca="false">SUMPRODUCT((('Aug 13'!$F$8:$F$42=$AD16)*'Aug 13'!$AJ$8:$AJ$42+('Aug 13'!$G$8:$G$42=$AD16)*'Aug 13'!$AK$8:$AK$42)*('Aug 13'!$Q$8:$Q$42+'Aug 13'!$R$8:$R$42))</f>
        <v>0</v>
      </c>
      <c r="AR35" s="0" t="n">
        <f aca="false">SUMPRODUCT((('Aug 14'!$F$8:$F$42=$AD16)*'Aug 14'!$AJ$8:$AJ$42+('Aug 14'!$G$8:$G$42=$AD16)*'Aug 14'!$AK$8:$AK$42)*('Aug 14'!$Q$8:$Q$42+'Aug 14'!$R$8:$R$42))</f>
        <v>0</v>
      </c>
      <c r="AS35" s="0" t="n">
        <f aca="false">SUMPRODUCT((('Aug 15'!$F$8:$F$42=$AD16)*'Aug 15'!$AJ$8:$AJ$42+('Aug 15'!$G$8:$G$42=$AD16)*'Aug 15'!$AK$8:$AK$42)*('Aug 15'!$Q$8:$Q$42+'Aug 15'!$R$8:$R$42))</f>
        <v>0</v>
      </c>
      <c r="AT35" s="0" t="n">
        <f aca="false">SUMPRODUCT((('Aug 16'!$F$8:$F$42=$AD16)*'Aug 16'!$AJ$8:$AJ$42+('Aug 16'!$G$8:$G$42=$AD16)*'Aug 16'!$AK$8:$AK$42)*('Aug 16'!$Q$8:$Q$42+'Aug 16'!$R$8:$R$42))</f>
        <v>0</v>
      </c>
      <c r="AU35" s="0" t="n">
        <f aca="false">SUMPRODUCT((('Aug 17'!$F$8:$F$42=$AD16)*'Aug 17'!$AJ$8:$AJ$42+('Aug 17'!$G$8:$G$42=$AD16)*'Aug 17'!$AK$8:$AK$42)*('Aug 17'!$Q$8:$Q$42+'Aug 17'!$R$8:$R$42))</f>
        <v>0</v>
      </c>
      <c r="AV35" s="0" t="n">
        <f aca="false">SUMPRODUCT((('Aug 18'!$F$8:$F$42=$AD16)*'Aug 18'!$AJ$8:$AJ$42+('Aug 18'!$G$8:$G$42=$AD16)*'Aug 18'!$AK$8:$AK$42)*('Aug 18'!$Q$8:$Q$42+'Aug 18'!$R$8:$R$42))</f>
        <v>0</v>
      </c>
      <c r="AW35" s="0" t="n">
        <f aca="false">SUMPRODUCT((('Aug 19'!$F$8:$F$42=$AD16)*'Aug 19'!$AJ$8:$AJ$42+('Aug 19'!$G$8:$G$42=$AD16)*'Aug 19'!$AK$8:$AK$42)*('Aug 19'!$Q$8:$Q$42+'Aug 19'!$R$8:$R$42))</f>
        <v>0</v>
      </c>
      <c r="AX35" s="0" t="n">
        <f aca="false">SUMPRODUCT((('Aug 20'!$F$8:$F$42=$AD16)*'Aug 20'!$AJ$8:$AJ$42+('Aug 20'!$G$8:$G$42=$AD16)*'Aug 20'!$AK$8:$AK$42)*('Aug 20'!$Q$8:$Q$42+'Aug 20'!$R$8:$R$42))</f>
        <v>0</v>
      </c>
      <c r="AY35" s="0" t="n">
        <f aca="false">SUMPRODUCT((('Aug 21'!$F$8:$F$42=$AD16)*'Aug 21'!$AJ$8:$AJ$42+('Aug 21'!$G$8:$G$42=$AD16)*'Aug 21'!$AK$8:$AK$42)*('Aug 21'!$Q$8:$Q$42+'Aug 21'!$R$8:$R$42))</f>
        <v>0</v>
      </c>
      <c r="AZ35" s="0" t="n">
        <f aca="false">SUMPRODUCT((('Aug 22'!$F$8:$F$42=$AD16)*'Aug 22'!$AJ$8:$AJ$42+('Aug 22'!$G$8:$G$42=$AD16)*'Aug 22'!$AK$8:$AK$42)*('Aug 22'!$Q$8:$Q$42+'Aug 22'!$R$8:$R$42))</f>
        <v>0</v>
      </c>
      <c r="BA35" s="0" t="n">
        <f aca="false">SUMPRODUCT((('Aug 23'!$F$8:$F$42=$AD16)*'Aug 23'!$AJ$8:$AJ$42+('Aug 23'!$G$8:$G$42=$AD16)*'Aug 23'!$AK$8:$AK$42)*('Aug 23'!$Q$8:$Q$42+'Aug 23'!$R$8:$R$42))</f>
        <v>0</v>
      </c>
      <c r="BB35" s="0" t="n">
        <f aca="false">SUMPRODUCT((('Aug 24'!$F$8:$F$42=$AD16)*'Aug 24'!$AJ$8:$AJ$42+('Aug 24'!$G$8:$G$42=$AD16)*'Aug 24'!$AK$8:$AK$42)*('Aug 24'!$Q$8:$Q$42+'Aug 24'!$R$8:$R$42))</f>
        <v>0</v>
      </c>
      <c r="BC35" s="0" t="n">
        <f aca="false">SUMPRODUCT((('Aug 25'!$F$8:$F$42=$AD16)*'Aug 25'!$AJ$8:$AJ$42+('Aug 25'!$G$8:$G$42=$AD16)*'Aug 25'!$AK$8:$AK$42)*('Aug 25'!$Q$8:$Q$42+'Aug 25'!$R$8:$R$42))</f>
        <v>0</v>
      </c>
      <c r="BD35" s="0" t="n">
        <f aca="false">SUMPRODUCT((('Aug 26'!$F$8:$F$42=$AD16)*'Aug 26'!$AJ$8:$AJ$42+('Aug 26'!$G$8:$G$42=$AD16)*'Aug 26'!$AK$8:$AK$42)*('Aug 26'!$Q$8:$Q$42+'Aug 26'!$R$8:$R$42))</f>
        <v>0</v>
      </c>
      <c r="BE35" s="0" t="n">
        <f aca="false">SUMPRODUCT((('Aug 27'!$F$8:$F$42=$AD16)*'Aug 27'!$AJ$8:$AJ$42+('Aug 27'!$G$8:$G$42=$AD16)*'Aug 27'!$AK$8:$AK$42)*('Aug 27'!$Q$8:$Q$42+'Aug 27'!$R$8:$R$42))</f>
        <v>0</v>
      </c>
      <c r="BF35" s="0" t="n">
        <f aca="false">SUMPRODUCT((('Aug 28'!$F$8:$F$42=$AD16)*'Aug 28'!$AJ$8:$AJ$42+('Aug 28'!$G$8:$G$42=$AD16)*'Aug 28'!$AK$8:$AK$42)*('Aug 28'!$Q$8:$Q$42+'Aug 28'!$R$8:$R$42))</f>
        <v>0</v>
      </c>
      <c r="BG35" s="0" t="n">
        <f aca="false">SUMPRODUCT((('Aug 29'!$F$8:$F$42=$AD16)*'Aug 29'!$AJ$8:$AJ$42+('Aug 29'!$G$8:$G$42=$AD16)*'Aug 29'!$AK$8:$AK$42)*('Aug 29'!$Q$8:$Q$42+'Aug 29'!$R$8:$R$42))</f>
        <v>0</v>
      </c>
      <c r="BH35" s="0" t="n">
        <f aca="false">SUMPRODUCT((('Aug 30'!$F$8:$F$42=$AD16)*'Aug 30'!$AJ$8:$AJ$42+('Aug 30'!$G$8:$G$42=$AD16)*'Aug 30'!$AK$8:$AK$42)*('Aug 30'!$Q$8:$Q$42+'Aug 30'!$R$8:$R$42))</f>
        <v>0</v>
      </c>
      <c r="BI35" s="0" t="n">
        <f aca="false">SUMPRODUCT((('Aug 31'!$F$8:$F$42=$AD16)*'Aug 31'!$AJ$8:$AJ$42+('Aug 31'!$G$8:$G$42=$AD16)*'Aug 31'!$AK$8:$AK$42)*('Aug 31'!$Q$8:$Q$42+'Aug 31'!$R$8:$R$42))</f>
        <v>0</v>
      </c>
      <c r="BK35" s="0" t="n">
        <f aca="false">SUM(AE35:BI35)</f>
        <v>0</v>
      </c>
    </row>
    <row r="36" customFormat="false" ht="15" hidden="false" customHeight="true" outlineLevel="0" collapsed="false">
      <c r="A36" s="29" t="n">
        <v>7</v>
      </c>
      <c r="B36" s="45" t="str">
        <f aca="false">IFERROR(INDEX($AD$4:$AD$19,MATCH(7,$BN$4:$BN$19,0)),"")</f>
        <v>JUSTIN ROLLER</v>
      </c>
      <c r="C36" s="45"/>
      <c r="D36" s="45"/>
      <c r="E36" s="45"/>
      <c r="F36" s="45"/>
      <c r="G36" s="45"/>
      <c r="H36" s="31" t="n">
        <f aca="false">IFERROR(INDEX($BK$4:$BK$19,MATCH(7,$BN$4:$BN$19,0)),0)</f>
        <v>0</v>
      </c>
      <c r="I36" s="31"/>
      <c r="J36" s="25" t="n">
        <f aca="false">IFERROR(INDEX($BK$23:$BK$38,MATCH(7,$BN$4:$BN$19,0)),0)</f>
        <v>0</v>
      </c>
      <c r="K36" s="25"/>
      <c r="L36" s="25" t="str">
        <f aca="false">IF(N(H36)=0,"—",J36/H36)</f>
        <v>—</v>
      </c>
      <c r="M36" s="25"/>
      <c r="N36" s="19" t="s">
        <v>162</v>
      </c>
      <c r="O36" s="19"/>
      <c r="P36" s="19"/>
      <c r="Q36" s="19"/>
      <c r="R36" s="19"/>
      <c r="AE36" s="0" t="n">
        <f aca="false">SUMPRODUCT((('Aug 1'!$F$8:$F$42=$AD17)*'Aug 1'!$AJ$8:$AJ$42+('Aug 1'!$G$8:$G$42=$AD17)*'Aug 1'!$AK$8:$AK$42)*('Aug 1'!$Q$8:$Q$42+'Aug 1'!$R$8:$R$42))</f>
        <v>0</v>
      </c>
      <c r="AF36" s="0" t="n">
        <f aca="false">SUMPRODUCT((('Aug 2'!$F$8:$F$42=$AD17)*'Aug 2'!$AJ$8:$AJ$42+('Aug 2'!$G$8:$G$42=$AD17)*'Aug 2'!$AK$8:$AK$42)*('Aug 2'!$Q$8:$Q$42+'Aug 2'!$R$8:$R$42))</f>
        <v>0</v>
      </c>
      <c r="AG36" s="0" t="n">
        <f aca="false">SUMPRODUCT((('Aug 3'!$F$8:$F$42=$AD17)*'Aug 3'!$AJ$8:$AJ$42+('Aug 3'!$G$8:$G$42=$AD17)*'Aug 3'!$AK$8:$AK$42)*('Aug 3'!$Q$8:$Q$42+'Aug 3'!$R$8:$R$42))</f>
        <v>0</v>
      </c>
      <c r="AH36" s="0" t="n">
        <f aca="false">SUMPRODUCT((('Aug 4'!$F$8:$F$42=$AD17)*'Aug 4'!$AJ$8:$AJ$42+('Aug 4'!$G$8:$G$42=$AD17)*'Aug 4'!$AK$8:$AK$42)*('Aug 4'!$Q$8:$Q$42+'Aug 4'!$R$8:$R$42))</f>
        <v>0</v>
      </c>
      <c r="AI36" s="0" t="n">
        <f aca="false">SUMPRODUCT((('Aug 5'!$F$8:$F$42=$AD17)*'Aug 5'!$AJ$8:$AJ$42+('Aug 5'!$G$8:$G$42=$AD17)*'Aug 5'!$AK$8:$AK$42)*('Aug 5'!$Q$8:$Q$42+'Aug 5'!$R$8:$R$42))</f>
        <v>0</v>
      </c>
      <c r="AJ36" s="0" t="n">
        <f aca="false">SUMPRODUCT((('Aug 6'!$F$8:$F$42=$AD17)*'Aug 6'!$AJ$8:$AJ$42+('Aug 6'!$G$8:$G$42=$AD17)*'Aug 6'!$AK$8:$AK$42)*('Aug 6'!$Q$8:$Q$42+'Aug 6'!$R$8:$R$42))</f>
        <v>0</v>
      </c>
      <c r="AK36" s="0" t="n">
        <f aca="false">SUMPRODUCT((('Aug 7'!$F$8:$F$42=$AD17)*'Aug 7'!$AJ$8:$AJ$42+('Aug 7'!$G$8:$G$42=$AD17)*'Aug 7'!$AK$8:$AK$42)*('Aug 7'!$Q$8:$Q$42+'Aug 7'!$R$8:$R$42))</f>
        <v>0</v>
      </c>
      <c r="AL36" s="0" t="n">
        <f aca="false">SUMPRODUCT((('Aug 8'!$F$8:$F$42=$AD17)*'Aug 8'!$AJ$8:$AJ$42+('Aug 8'!$G$8:$G$42=$AD17)*'Aug 8'!$AK$8:$AK$42)*('Aug 8'!$Q$8:$Q$42+'Aug 8'!$R$8:$R$42))</f>
        <v>0</v>
      </c>
      <c r="AM36" s="0" t="n">
        <f aca="false">SUMPRODUCT((('Aug 9'!$F$8:$F$42=$AD17)*'Aug 9'!$AJ$8:$AJ$42+('Aug 9'!$G$8:$G$42=$AD17)*'Aug 9'!$AK$8:$AK$42)*('Aug 9'!$Q$8:$Q$42+'Aug 9'!$R$8:$R$42))</f>
        <v>0</v>
      </c>
      <c r="AN36" s="0" t="n">
        <f aca="false">SUMPRODUCT((('Aug 10'!$F$8:$F$42=$AD17)*'Aug 10'!$AJ$8:$AJ$42+('Aug 10'!$G$8:$G$42=$AD17)*'Aug 10'!$AK$8:$AK$42)*('Aug 10'!$Q$8:$Q$42+'Aug 10'!$R$8:$R$42))</f>
        <v>0</v>
      </c>
      <c r="AO36" s="0" t="n">
        <f aca="false">SUMPRODUCT((('Aug 11'!$F$8:$F$42=$AD17)*'Aug 11'!$AJ$8:$AJ$42+('Aug 11'!$G$8:$G$42=$AD17)*'Aug 11'!$AK$8:$AK$42)*('Aug 11'!$Q$8:$Q$42+'Aug 11'!$R$8:$R$42))</f>
        <v>0</v>
      </c>
      <c r="AP36" s="0" t="n">
        <f aca="false">SUMPRODUCT((('Aug 12'!$F$8:$F$42=$AD17)*'Aug 12'!$AJ$8:$AJ$42+('Aug 12'!$G$8:$G$42=$AD17)*'Aug 12'!$AK$8:$AK$42)*('Aug 12'!$Q$8:$Q$42+'Aug 12'!$R$8:$R$42))</f>
        <v>0</v>
      </c>
      <c r="AQ36" s="0" t="n">
        <f aca="false">SUMPRODUCT((('Aug 13'!$F$8:$F$42=$AD17)*'Aug 13'!$AJ$8:$AJ$42+('Aug 13'!$G$8:$G$42=$AD17)*'Aug 13'!$AK$8:$AK$42)*('Aug 13'!$Q$8:$Q$42+'Aug 13'!$R$8:$R$42))</f>
        <v>0</v>
      </c>
      <c r="AR36" s="0" t="n">
        <f aca="false">SUMPRODUCT((('Aug 14'!$F$8:$F$42=$AD17)*'Aug 14'!$AJ$8:$AJ$42+('Aug 14'!$G$8:$G$42=$AD17)*'Aug 14'!$AK$8:$AK$42)*('Aug 14'!$Q$8:$Q$42+'Aug 14'!$R$8:$R$42))</f>
        <v>0</v>
      </c>
      <c r="AS36" s="0" t="n">
        <f aca="false">SUMPRODUCT((('Aug 15'!$F$8:$F$42=$AD17)*'Aug 15'!$AJ$8:$AJ$42+('Aug 15'!$G$8:$G$42=$AD17)*'Aug 15'!$AK$8:$AK$42)*('Aug 15'!$Q$8:$Q$42+'Aug 15'!$R$8:$R$42))</f>
        <v>0</v>
      </c>
      <c r="AT36" s="0" t="n">
        <f aca="false">SUMPRODUCT((('Aug 16'!$F$8:$F$42=$AD17)*'Aug 16'!$AJ$8:$AJ$42+('Aug 16'!$G$8:$G$42=$AD17)*'Aug 16'!$AK$8:$AK$42)*('Aug 16'!$Q$8:$Q$42+'Aug 16'!$R$8:$R$42))</f>
        <v>0</v>
      </c>
      <c r="AU36" s="0" t="n">
        <f aca="false">SUMPRODUCT((('Aug 17'!$F$8:$F$42=$AD17)*'Aug 17'!$AJ$8:$AJ$42+('Aug 17'!$G$8:$G$42=$AD17)*'Aug 17'!$AK$8:$AK$42)*('Aug 17'!$Q$8:$Q$42+'Aug 17'!$R$8:$R$42))</f>
        <v>0</v>
      </c>
      <c r="AV36" s="0" t="n">
        <f aca="false">SUMPRODUCT((('Aug 18'!$F$8:$F$42=$AD17)*'Aug 18'!$AJ$8:$AJ$42+('Aug 18'!$G$8:$G$42=$AD17)*'Aug 18'!$AK$8:$AK$42)*('Aug 18'!$Q$8:$Q$42+'Aug 18'!$R$8:$R$42))</f>
        <v>0</v>
      </c>
      <c r="AW36" s="0" t="n">
        <f aca="false">SUMPRODUCT((('Aug 19'!$F$8:$F$42=$AD17)*'Aug 19'!$AJ$8:$AJ$42+('Aug 19'!$G$8:$G$42=$AD17)*'Aug 19'!$AK$8:$AK$42)*('Aug 19'!$Q$8:$Q$42+'Aug 19'!$R$8:$R$42))</f>
        <v>0</v>
      </c>
      <c r="AX36" s="0" t="n">
        <f aca="false">SUMPRODUCT((('Aug 20'!$F$8:$F$42=$AD17)*'Aug 20'!$AJ$8:$AJ$42+('Aug 20'!$G$8:$G$42=$AD17)*'Aug 20'!$AK$8:$AK$42)*('Aug 20'!$Q$8:$Q$42+'Aug 20'!$R$8:$R$42))</f>
        <v>0</v>
      </c>
      <c r="AY36" s="0" t="n">
        <f aca="false">SUMPRODUCT((('Aug 21'!$F$8:$F$42=$AD17)*'Aug 21'!$AJ$8:$AJ$42+('Aug 21'!$G$8:$G$42=$AD17)*'Aug 21'!$AK$8:$AK$42)*('Aug 21'!$Q$8:$Q$42+'Aug 21'!$R$8:$R$42))</f>
        <v>0</v>
      </c>
      <c r="AZ36" s="0" t="n">
        <f aca="false">SUMPRODUCT((('Aug 22'!$F$8:$F$42=$AD17)*'Aug 22'!$AJ$8:$AJ$42+('Aug 22'!$G$8:$G$42=$AD17)*'Aug 22'!$AK$8:$AK$42)*('Aug 22'!$Q$8:$Q$42+'Aug 22'!$R$8:$R$42))</f>
        <v>0</v>
      </c>
      <c r="BA36" s="0" t="n">
        <f aca="false">SUMPRODUCT((('Aug 23'!$F$8:$F$42=$AD17)*'Aug 23'!$AJ$8:$AJ$42+('Aug 23'!$G$8:$G$42=$AD17)*'Aug 23'!$AK$8:$AK$42)*('Aug 23'!$Q$8:$Q$42+'Aug 23'!$R$8:$R$42))</f>
        <v>0</v>
      </c>
      <c r="BB36" s="0" t="n">
        <f aca="false">SUMPRODUCT((('Aug 24'!$F$8:$F$42=$AD17)*'Aug 24'!$AJ$8:$AJ$42+('Aug 24'!$G$8:$G$42=$AD17)*'Aug 24'!$AK$8:$AK$42)*('Aug 24'!$Q$8:$Q$42+'Aug 24'!$R$8:$R$42))</f>
        <v>0</v>
      </c>
      <c r="BC36" s="0" t="n">
        <f aca="false">SUMPRODUCT((('Aug 25'!$F$8:$F$42=$AD17)*'Aug 25'!$AJ$8:$AJ$42+('Aug 25'!$G$8:$G$42=$AD17)*'Aug 25'!$AK$8:$AK$42)*('Aug 25'!$Q$8:$Q$42+'Aug 25'!$R$8:$R$42))</f>
        <v>0</v>
      </c>
      <c r="BD36" s="0" t="n">
        <f aca="false">SUMPRODUCT((('Aug 26'!$F$8:$F$42=$AD17)*'Aug 26'!$AJ$8:$AJ$42+('Aug 26'!$G$8:$G$42=$AD17)*'Aug 26'!$AK$8:$AK$42)*('Aug 26'!$Q$8:$Q$42+'Aug 26'!$R$8:$R$42))</f>
        <v>0</v>
      </c>
      <c r="BE36" s="0" t="n">
        <f aca="false">SUMPRODUCT((('Aug 27'!$F$8:$F$42=$AD17)*'Aug 27'!$AJ$8:$AJ$42+('Aug 27'!$G$8:$G$42=$AD17)*'Aug 27'!$AK$8:$AK$42)*('Aug 27'!$Q$8:$Q$42+'Aug 27'!$R$8:$R$42))</f>
        <v>0</v>
      </c>
      <c r="BF36" s="0" t="n">
        <f aca="false">SUMPRODUCT((('Aug 28'!$F$8:$F$42=$AD17)*'Aug 28'!$AJ$8:$AJ$42+('Aug 28'!$G$8:$G$42=$AD17)*'Aug 28'!$AK$8:$AK$42)*('Aug 28'!$Q$8:$Q$42+'Aug 28'!$R$8:$R$42))</f>
        <v>0</v>
      </c>
      <c r="BG36" s="0" t="n">
        <f aca="false">SUMPRODUCT((('Aug 29'!$F$8:$F$42=$AD17)*'Aug 29'!$AJ$8:$AJ$42+('Aug 29'!$G$8:$G$42=$AD17)*'Aug 29'!$AK$8:$AK$42)*('Aug 29'!$Q$8:$Q$42+'Aug 29'!$R$8:$R$42))</f>
        <v>0</v>
      </c>
      <c r="BH36" s="0" t="n">
        <f aca="false">SUMPRODUCT((('Aug 30'!$F$8:$F$42=$AD17)*'Aug 30'!$AJ$8:$AJ$42+('Aug 30'!$G$8:$G$42=$AD17)*'Aug 30'!$AK$8:$AK$42)*('Aug 30'!$Q$8:$Q$42+'Aug 30'!$R$8:$R$42))</f>
        <v>0</v>
      </c>
      <c r="BI36" s="0" t="n">
        <f aca="false">SUMPRODUCT((('Aug 31'!$F$8:$F$42=$AD17)*'Aug 31'!$AJ$8:$AJ$42+('Aug 31'!$G$8:$G$42=$AD17)*'Aug 31'!$AK$8:$AK$42)*('Aug 31'!$Q$8:$Q$42+'Aug 31'!$R$8:$R$42))</f>
        <v>0</v>
      </c>
      <c r="BK36" s="0" t="n">
        <f aca="false">SUM(AE36:BI36)</f>
        <v>0</v>
      </c>
    </row>
    <row r="37" customFormat="false" ht="15" hidden="false" customHeight="true" outlineLevel="0" collapsed="false">
      <c r="A37" s="81" t="n">
        <v>8</v>
      </c>
      <c r="B37" s="49" t="str">
        <f aca="false">IFERROR(INDEX($AD$4:$AD$19,MATCH(8,$BN$4:$BN$19,0)),"")</f>
        <v>MATT ALFIERI</v>
      </c>
      <c r="C37" s="49"/>
      <c r="D37" s="49"/>
      <c r="E37" s="49"/>
      <c r="F37" s="49"/>
      <c r="G37" s="49"/>
      <c r="H37" s="80" t="n">
        <f aca="false">IFERROR(INDEX($BK$4:$BK$19,MATCH(8,$BN$4:$BN$19,0)),0)</f>
        <v>0</v>
      </c>
      <c r="I37" s="80"/>
      <c r="J37" s="51" t="n">
        <f aca="false">IFERROR(INDEX($BK$23:$BK$38,MATCH(8,$BN$4:$BN$19,0)),0)</f>
        <v>0</v>
      </c>
      <c r="K37" s="51"/>
      <c r="L37" s="51" t="str">
        <f aca="false">IF(N(H37)=0,"—",J37/H37)</f>
        <v>—</v>
      </c>
      <c r="M37" s="51"/>
      <c r="N37" s="45" t="s">
        <v>125</v>
      </c>
      <c r="O37" s="45"/>
      <c r="P37" s="45"/>
      <c r="Q37" s="29" t="n">
        <f aca="false">SUM(Z4:Z34)</f>
        <v>0</v>
      </c>
      <c r="R37" s="29"/>
      <c r="AE37" s="0" t="n">
        <f aca="false">SUMPRODUCT((('Aug 1'!$F$8:$F$42=$AD18)*'Aug 1'!$AJ$8:$AJ$42+('Aug 1'!$G$8:$G$42=$AD18)*'Aug 1'!$AK$8:$AK$42)*('Aug 1'!$Q$8:$Q$42+'Aug 1'!$R$8:$R$42))</f>
        <v>0</v>
      </c>
      <c r="AF37" s="0" t="n">
        <f aca="false">SUMPRODUCT((('Aug 2'!$F$8:$F$42=$AD18)*'Aug 2'!$AJ$8:$AJ$42+('Aug 2'!$G$8:$G$42=$AD18)*'Aug 2'!$AK$8:$AK$42)*('Aug 2'!$Q$8:$Q$42+'Aug 2'!$R$8:$R$42))</f>
        <v>0</v>
      </c>
      <c r="AG37" s="0" t="n">
        <f aca="false">SUMPRODUCT((('Aug 3'!$F$8:$F$42=$AD18)*'Aug 3'!$AJ$8:$AJ$42+('Aug 3'!$G$8:$G$42=$AD18)*'Aug 3'!$AK$8:$AK$42)*('Aug 3'!$Q$8:$Q$42+'Aug 3'!$R$8:$R$42))</f>
        <v>0</v>
      </c>
      <c r="AH37" s="0" t="n">
        <f aca="false">SUMPRODUCT((('Aug 4'!$F$8:$F$42=$AD18)*'Aug 4'!$AJ$8:$AJ$42+('Aug 4'!$G$8:$G$42=$AD18)*'Aug 4'!$AK$8:$AK$42)*('Aug 4'!$Q$8:$Q$42+'Aug 4'!$R$8:$R$42))</f>
        <v>0</v>
      </c>
      <c r="AI37" s="0" t="n">
        <f aca="false">SUMPRODUCT((('Aug 5'!$F$8:$F$42=$AD18)*'Aug 5'!$AJ$8:$AJ$42+('Aug 5'!$G$8:$G$42=$AD18)*'Aug 5'!$AK$8:$AK$42)*('Aug 5'!$Q$8:$Q$42+'Aug 5'!$R$8:$R$42))</f>
        <v>0</v>
      </c>
      <c r="AJ37" s="0" t="n">
        <f aca="false">SUMPRODUCT((('Aug 6'!$F$8:$F$42=$AD18)*'Aug 6'!$AJ$8:$AJ$42+('Aug 6'!$G$8:$G$42=$AD18)*'Aug 6'!$AK$8:$AK$42)*('Aug 6'!$Q$8:$Q$42+'Aug 6'!$R$8:$R$42))</f>
        <v>0</v>
      </c>
      <c r="AK37" s="0" t="n">
        <f aca="false">SUMPRODUCT((('Aug 7'!$F$8:$F$42=$AD18)*'Aug 7'!$AJ$8:$AJ$42+('Aug 7'!$G$8:$G$42=$AD18)*'Aug 7'!$AK$8:$AK$42)*('Aug 7'!$Q$8:$Q$42+'Aug 7'!$R$8:$R$42))</f>
        <v>0</v>
      </c>
      <c r="AL37" s="0" t="n">
        <f aca="false">SUMPRODUCT((('Aug 8'!$F$8:$F$42=$AD18)*'Aug 8'!$AJ$8:$AJ$42+('Aug 8'!$G$8:$G$42=$AD18)*'Aug 8'!$AK$8:$AK$42)*('Aug 8'!$Q$8:$Q$42+'Aug 8'!$R$8:$R$42))</f>
        <v>0</v>
      </c>
      <c r="AM37" s="0" t="n">
        <f aca="false">SUMPRODUCT((('Aug 9'!$F$8:$F$42=$AD18)*'Aug 9'!$AJ$8:$AJ$42+('Aug 9'!$G$8:$G$42=$AD18)*'Aug 9'!$AK$8:$AK$42)*('Aug 9'!$Q$8:$Q$42+'Aug 9'!$R$8:$R$42))</f>
        <v>0</v>
      </c>
      <c r="AN37" s="0" t="n">
        <f aca="false">SUMPRODUCT((('Aug 10'!$F$8:$F$42=$AD18)*'Aug 10'!$AJ$8:$AJ$42+('Aug 10'!$G$8:$G$42=$AD18)*'Aug 10'!$AK$8:$AK$42)*('Aug 10'!$Q$8:$Q$42+'Aug 10'!$R$8:$R$42))</f>
        <v>0</v>
      </c>
      <c r="AO37" s="0" t="n">
        <f aca="false">SUMPRODUCT((('Aug 11'!$F$8:$F$42=$AD18)*'Aug 11'!$AJ$8:$AJ$42+('Aug 11'!$G$8:$G$42=$AD18)*'Aug 11'!$AK$8:$AK$42)*('Aug 11'!$Q$8:$Q$42+'Aug 11'!$R$8:$R$42))</f>
        <v>0</v>
      </c>
      <c r="AP37" s="0" t="n">
        <f aca="false">SUMPRODUCT((('Aug 12'!$F$8:$F$42=$AD18)*'Aug 12'!$AJ$8:$AJ$42+('Aug 12'!$G$8:$G$42=$AD18)*'Aug 12'!$AK$8:$AK$42)*('Aug 12'!$Q$8:$Q$42+'Aug 12'!$R$8:$R$42))</f>
        <v>0</v>
      </c>
      <c r="AQ37" s="0" t="n">
        <f aca="false">SUMPRODUCT((('Aug 13'!$F$8:$F$42=$AD18)*'Aug 13'!$AJ$8:$AJ$42+('Aug 13'!$G$8:$G$42=$AD18)*'Aug 13'!$AK$8:$AK$42)*('Aug 13'!$Q$8:$Q$42+'Aug 13'!$R$8:$R$42))</f>
        <v>0</v>
      </c>
      <c r="AR37" s="0" t="n">
        <f aca="false">SUMPRODUCT((('Aug 14'!$F$8:$F$42=$AD18)*'Aug 14'!$AJ$8:$AJ$42+('Aug 14'!$G$8:$G$42=$AD18)*'Aug 14'!$AK$8:$AK$42)*('Aug 14'!$Q$8:$Q$42+'Aug 14'!$R$8:$R$42))</f>
        <v>0</v>
      </c>
      <c r="AS37" s="0" t="n">
        <f aca="false">SUMPRODUCT((('Aug 15'!$F$8:$F$42=$AD18)*'Aug 15'!$AJ$8:$AJ$42+('Aug 15'!$G$8:$G$42=$AD18)*'Aug 15'!$AK$8:$AK$42)*('Aug 15'!$Q$8:$Q$42+'Aug 15'!$R$8:$R$42))</f>
        <v>0</v>
      </c>
      <c r="AT37" s="0" t="n">
        <f aca="false">SUMPRODUCT((('Aug 16'!$F$8:$F$42=$AD18)*'Aug 16'!$AJ$8:$AJ$42+('Aug 16'!$G$8:$G$42=$AD18)*'Aug 16'!$AK$8:$AK$42)*('Aug 16'!$Q$8:$Q$42+'Aug 16'!$R$8:$R$42))</f>
        <v>0</v>
      </c>
      <c r="AU37" s="0" t="n">
        <f aca="false">SUMPRODUCT((('Aug 17'!$F$8:$F$42=$AD18)*'Aug 17'!$AJ$8:$AJ$42+('Aug 17'!$G$8:$G$42=$AD18)*'Aug 17'!$AK$8:$AK$42)*('Aug 17'!$Q$8:$Q$42+'Aug 17'!$R$8:$R$42))</f>
        <v>0</v>
      </c>
      <c r="AV37" s="0" t="n">
        <f aca="false">SUMPRODUCT((('Aug 18'!$F$8:$F$42=$AD18)*'Aug 18'!$AJ$8:$AJ$42+('Aug 18'!$G$8:$G$42=$AD18)*'Aug 18'!$AK$8:$AK$42)*('Aug 18'!$Q$8:$Q$42+'Aug 18'!$R$8:$R$42))</f>
        <v>0</v>
      </c>
      <c r="AW37" s="0" t="n">
        <f aca="false">SUMPRODUCT((('Aug 19'!$F$8:$F$42=$AD18)*'Aug 19'!$AJ$8:$AJ$42+('Aug 19'!$G$8:$G$42=$AD18)*'Aug 19'!$AK$8:$AK$42)*('Aug 19'!$Q$8:$Q$42+'Aug 19'!$R$8:$R$42))</f>
        <v>0</v>
      </c>
      <c r="AX37" s="0" t="n">
        <f aca="false">SUMPRODUCT((('Aug 20'!$F$8:$F$42=$AD18)*'Aug 20'!$AJ$8:$AJ$42+('Aug 20'!$G$8:$G$42=$AD18)*'Aug 20'!$AK$8:$AK$42)*('Aug 20'!$Q$8:$Q$42+'Aug 20'!$R$8:$R$42))</f>
        <v>0</v>
      </c>
      <c r="AY37" s="0" t="n">
        <f aca="false">SUMPRODUCT((('Aug 21'!$F$8:$F$42=$AD18)*'Aug 21'!$AJ$8:$AJ$42+('Aug 21'!$G$8:$G$42=$AD18)*'Aug 21'!$AK$8:$AK$42)*('Aug 21'!$Q$8:$Q$42+'Aug 21'!$R$8:$R$42))</f>
        <v>0</v>
      </c>
      <c r="AZ37" s="0" t="n">
        <f aca="false">SUMPRODUCT((('Aug 22'!$F$8:$F$42=$AD18)*'Aug 22'!$AJ$8:$AJ$42+('Aug 22'!$G$8:$G$42=$AD18)*'Aug 22'!$AK$8:$AK$42)*('Aug 22'!$Q$8:$Q$42+'Aug 22'!$R$8:$R$42))</f>
        <v>0</v>
      </c>
      <c r="BA37" s="0" t="n">
        <f aca="false">SUMPRODUCT((('Aug 23'!$F$8:$F$42=$AD18)*'Aug 23'!$AJ$8:$AJ$42+('Aug 23'!$G$8:$G$42=$AD18)*'Aug 23'!$AK$8:$AK$42)*('Aug 23'!$Q$8:$Q$42+'Aug 23'!$R$8:$R$42))</f>
        <v>0</v>
      </c>
      <c r="BB37" s="0" t="n">
        <f aca="false">SUMPRODUCT((('Aug 24'!$F$8:$F$42=$AD18)*'Aug 24'!$AJ$8:$AJ$42+('Aug 24'!$G$8:$G$42=$AD18)*'Aug 24'!$AK$8:$AK$42)*('Aug 24'!$Q$8:$Q$42+'Aug 24'!$R$8:$R$42))</f>
        <v>0</v>
      </c>
      <c r="BC37" s="0" t="n">
        <f aca="false">SUMPRODUCT((('Aug 25'!$F$8:$F$42=$AD18)*'Aug 25'!$AJ$8:$AJ$42+('Aug 25'!$G$8:$G$42=$AD18)*'Aug 25'!$AK$8:$AK$42)*('Aug 25'!$Q$8:$Q$42+'Aug 25'!$R$8:$R$42))</f>
        <v>0</v>
      </c>
      <c r="BD37" s="0" t="n">
        <f aca="false">SUMPRODUCT((('Aug 26'!$F$8:$F$42=$AD18)*'Aug 26'!$AJ$8:$AJ$42+('Aug 26'!$G$8:$G$42=$AD18)*'Aug 26'!$AK$8:$AK$42)*('Aug 26'!$Q$8:$Q$42+'Aug 26'!$R$8:$R$42))</f>
        <v>0</v>
      </c>
      <c r="BE37" s="0" t="n">
        <f aca="false">SUMPRODUCT((('Aug 27'!$F$8:$F$42=$AD18)*'Aug 27'!$AJ$8:$AJ$42+('Aug 27'!$G$8:$G$42=$AD18)*'Aug 27'!$AK$8:$AK$42)*('Aug 27'!$Q$8:$Q$42+'Aug 27'!$R$8:$R$42))</f>
        <v>0</v>
      </c>
      <c r="BF37" s="0" t="n">
        <f aca="false">SUMPRODUCT((('Aug 28'!$F$8:$F$42=$AD18)*'Aug 28'!$AJ$8:$AJ$42+('Aug 28'!$G$8:$G$42=$AD18)*'Aug 28'!$AK$8:$AK$42)*('Aug 28'!$Q$8:$Q$42+'Aug 28'!$R$8:$R$42))</f>
        <v>0</v>
      </c>
      <c r="BG37" s="0" t="n">
        <f aca="false">SUMPRODUCT((('Aug 29'!$F$8:$F$42=$AD18)*'Aug 29'!$AJ$8:$AJ$42+('Aug 29'!$G$8:$G$42=$AD18)*'Aug 29'!$AK$8:$AK$42)*('Aug 29'!$Q$8:$Q$42+'Aug 29'!$R$8:$R$42))</f>
        <v>0</v>
      </c>
      <c r="BH37" s="0" t="n">
        <f aca="false">SUMPRODUCT((('Aug 30'!$F$8:$F$42=$AD18)*'Aug 30'!$AJ$8:$AJ$42+('Aug 30'!$G$8:$G$42=$AD18)*'Aug 30'!$AK$8:$AK$42)*('Aug 30'!$Q$8:$Q$42+'Aug 30'!$R$8:$R$42))</f>
        <v>0</v>
      </c>
      <c r="BI37" s="0" t="n">
        <f aca="false">SUMPRODUCT((('Aug 31'!$F$8:$F$42=$AD18)*'Aug 31'!$AJ$8:$AJ$42+('Aug 31'!$G$8:$G$42=$AD18)*'Aug 31'!$AK$8:$AK$42)*('Aug 31'!$Q$8:$Q$42+'Aug 31'!$R$8:$R$42))</f>
        <v>0</v>
      </c>
      <c r="BK37" s="0" t="n">
        <f aca="false">SUM(AE37:BI37)</f>
        <v>0</v>
      </c>
    </row>
    <row r="38" customFormat="false" ht="15" hidden="false" customHeight="true" outlineLevel="0" collapsed="false">
      <c r="A38" s="29" t="n">
        <v>9</v>
      </c>
      <c r="B38" s="45" t="str">
        <f aca="false">IFERROR(INDEX($AD$4:$AD$19,MATCH(9,$BN$4:$BN$19,0)),"")</f>
        <v>ZACH CUPP</v>
      </c>
      <c r="C38" s="45"/>
      <c r="D38" s="45"/>
      <c r="E38" s="45"/>
      <c r="F38" s="45"/>
      <c r="G38" s="45"/>
      <c r="H38" s="31" t="n">
        <f aca="false">IFERROR(INDEX($BK$4:$BK$19,MATCH(9,$BN$4:$BN$19,0)),0)</f>
        <v>0</v>
      </c>
      <c r="I38" s="31"/>
      <c r="J38" s="25" t="n">
        <f aca="false">IFERROR(INDEX($BK$23:$BK$38,MATCH(9,$BN$4:$BN$19,0)),0)</f>
        <v>0</v>
      </c>
      <c r="K38" s="25"/>
      <c r="L38" s="25" t="str">
        <f aca="false">IF(N(H38)=0,"—",J38/H38)</f>
        <v>—</v>
      </c>
      <c r="M38" s="25"/>
      <c r="N38" s="45" t="s">
        <v>124</v>
      </c>
      <c r="O38" s="45"/>
      <c r="P38" s="45"/>
      <c r="Q38" s="29" t="n">
        <f aca="false">SUM(AA4:AA34)</f>
        <v>0</v>
      </c>
      <c r="R38" s="29"/>
      <c r="AE38" s="0" t="n">
        <f aca="false">SUMPRODUCT((('Aug 1'!$F$8:$F$42=$AD19)*'Aug 1'!$AJ$8:$AJ$42+('Aug 1'!$G$8:$G$42=$AD19)*'Aug 1'!$AK$8:$AK$42)*('Aug 1'!$Q$8:$Q$42+'Aug 1'!$R$8:$R$42))</f>
        <v>0</v>
      </c>
      <c r="AF38" s="0" t="n">
        <f aca="false">SUMPRODUCT((('Aug 2'!$F$8:$F$42=$AD19)*'Aug 2'!$AJ$8:$AJ$42+('Aug 2'!$G$8:$G$42=$AD19)*'Aug 2'!$AK$8:$AK$42)*('Aug 2'!$Q$8:$Q$42+'Aug 2'!$R$8:$R$42))</f>
        <v>0</v>
      </c>
      <c r="AG38" s="0" t="n">
        <f aca="false">SUMPRODUCT((('Aug 3'!$F$8:$F$42=$AD19)*'Aug 3'!$AJ$8:$AJ$42+('Aug 3'!$G$8:$G$42=$AD19)*'Aug 3'!$AK$8:$AK$42)*('Aug 3'!$Q$8:$Q$42+'Aug 3'!$R$8:$R$42))</f>
        <v>0</v>
      </c>
      <c r="AH38" s="0" t="n">
        <f aca="false">SUMPRODUCT((('Aug 4'!$F$8:$F$42=$AD19)*'Aug 4'!$AJ$8:$AJ$42+('Aug 4'!$G$8:$G$42=$AD19)*'Aug 4'!$AK$8:$AK$42)*('Aug 4'!$Q$8:$Q$42+'Aug 4'!$R$8:$R$42))</f>
        <v>0</v>
      </c>
      <c r="AI38" s="0" t="n">
        <f aca="false">SUMPRODUCT((('Aug 5'!$F$8:$F$42=$AD19)*'Aug 5'!$AJ$8:$AJ$42+('Aug 5'!$G$8:$G$42=$AD19)*'Aug 5'!$AK$8:$AK$42)*('Aug 5'!$Q$8:$Q$42+'Aug 5'!$R$8:$R$42))</f>
        <v>0</v>
      </c>
      <c r="AJ38" s="0" t="n">
        <f aca="false">SUMPRODUCT((('Aug 6'!$F$8:$F$42=$AD19)*'Aug 6'!$AJ$8:$AJ$42+('Aug 6'!$G$8:$G$42=$AD19)*'Aug 6'!$AK$8:$AK$42)*('Aug 6'!$Q$8:$Q$42+'Aug 6'!$R$8:$R$42))</f>
        <v>0</v>
      </c>
      <c r="AK38" s="0" t="n">
        <f aca="false">SUMPRODUCT((('Aug 7'!$F$8:$F$42=$AD19)*'Aug 7'!$AJ$8:$AJ$42+('Aug 7'!$G$8:$G$42=$AD19)*'Aug 7'!$AK$8:$AK$42)*('Aug 7'!$Q$8:$Q$42+'Aug 7'!$R$8:$R$42))</f>
        <v>0</v>
      </c>
      <c r="AL38" s="0" t="n">
        <f aca="false">SUMPRODUCT((('Aug 8'!$F$8:$F$42=$AD19)*'Aug 8'!$AJ$8:$AJ$42+('Aug 8'!$G$8:$G$42=$AD19)*'Aug 8'!$AK$8:$AK$42)*('Aug 8'!$Q$8:$Q$42+'Aug 8'!$R$8:$R$42))</f>
        <v>0</v>
      </c>
      <c r="AM38" s="0" t="n">
        <f aca="false">SUMPRODUCT((('Aug 9'!$F$8:$F$42=$AD19)*'Aug 9'!$AJ$8:$AJ$42+('Aug 9'!$G$8:$G$42=$AD19)*'Aug 9'!$AK$8:$AK$42)*('Aug 9'!$Q$8:$Q$42+'Aug 9'!$R$8:$R$42))</f>
        <v>0</v>
      </c>
      <c r="AN38" s="0" t="n">
        <f aca="false">SUMPRODUCT((('Aug 10'!$F$8:$F$42=$AD19)*'Aug 10'!$AJ$8:$AJ$42+('Aug 10'!$G$8:$G$42=$AD19)*'Aug 10'!$AK$8:$AK$42)*('Aug 10'!$Q$8:$Q$42+'Aug 10'!$R$8:$R$42))</f>
        <v>0</v>
      </c>
      <c r="AO38" s="0" t="n">
        <f aca="false">SUMPRODUCT((('Aug 11'!$F$8:$F$42=$AD19)*'Aug 11'!$AJ$8:$AJ$42+('Aug 11'!$G$8:$G$42=$AD19)*'Aug 11'!$AK$8:$AK$42)*('Aug 11'!$Q$8:$Q$42+'Aug 11'!$R$8:$R$42))</f>
        <v>0</v>
      </c>
      <c r="AP38" s="0" t="n">
        <f aca="false">SUMPRODUCT((('Aug 12'!$F$8:$F$42=$AD19)*'Aug 12'!$AJ$8:$AJ$42+('Aug 12'!$G$8:$G$42=$AD19)*'Aug 12'!$AK$8:$AK$42)*('Aug 12'!$Q$8:$Q$42+'Aug 12'!$R$8:$R$42))</f>
        <v>0</v>
      </c>
      <c r="AQ38" s="0" t="n">
        <f aca="false">SUMPRODUCT((('Aug 13'!$F$8:$F$42=$AD19)*'Aug 13'!$AJ$8:$AJ$42+('Aug 13'!$G$8:$G$42=$AD19)*'Aug 13'!$AK$8:$AK$42)*('Aug 13'!$Q$8:$Q$42+'Aug 13'!$R$8:$R$42))</f>
        <v>0</v>
      </c>
      <c r="AR38" s="0" t="n">
        <f aca="false">SUMPRODUCT((('Aug 14'!$F$8:$F$42=$AD19)*'Aug 14'!$AJ$8:$AJ$42+('Aug 14'!$G$8:$G$42=$AD19)*'Aug 14'!$AK$8:$AK$42)*('Aug 14'!$Q$8:$Q$42+'Aug 14'!$R$8:$R$42))</f>
        <v>0</v>
      </c>
      <c r="AS38" s="0" t="n">
        <f aca="false">SUMPRODUCT((('Aug 15'!$F$8:$F$42=$AD19)*'Aug 15'!$AJ$8:$AJ$42+('Aug 15'!$G$8:$G$42=$AD19)*'Aug 15'!$AK$8:$AK$42)*('Aug 15'!$Q$8:$Q$42+'Aug 15'!$R$8:$R$42))</f>
        <v>0</v>
      </c>
      <c r="AT38" s="0" t="n">
        <f aca="false">SUMPRODUCT((('Aug 16'!$F$8:$F$42=$AD19)*'Aug 16'!$AJ$8:$AJ$42+('Aug 16'!$G$8:$G$42=$AD19)*'Aug 16'!$AK$8:$AK$42)*('Aug 16'!$Q$8:$Q$42+'Aug 16'!$R$8:$R$42))</f>
        <v>0</v>
      </c>
      <c r="AU38" s="0" t="n">
        <f aca="false">SUMPRODUCT((('Aug 17'!$F$8:$F$42=$AD19)*'Aug 17'!$AJ$8:$AJ$42+('Aug 17'!$G$8:$G$42=$AD19)*'Aug 17'!$AK$8:$AK$42)*('Aug 17'!$Q$8:$Q$42+'Aug 17'!$R$8:$R$42))</f>
        <v>0</v>
      </c>
      <c r="AV38" s="0" t="n">
        <f aca="false">SUMPRODUCT((('Aug 18'!$F$8:$F$42=$AD19)*'Aug 18'!$AJ$8:$AJ$42+('Aug 18'!$G$8:$G$42=$AD19)*'Aug 18'!$AK$8:$AK$42)*('Aug 18'!$Q$8:$Q$42+'Aug 18'!$R$8:$R$42))</f>
        <v>0</v>
      </c>
      <c r="AW38" s="0" t="n">
        <f aca="false">SUMPRODUCT((('Aug 19'!$F$8:$F$42=$AD19)*'Aug 19'!$AJ$8:$AJ$42+('Aug 19'!$G$8:$G$42=$AD19)*'Aug 19'!$AK$8:$AK$42)*('Aug 19'!$Q$8:$Q$42+'Aug 19'!$R$8:$R$42))</f>
        <v>0</v>
      </c>
      <c r="AX38" s="0" t="n">
        <f aca="false">SUMPRODUCT((('Aug 20'!$F$8:$F$42=$AD19)*'Aug 20'!$AJ$8:$AJ$42+('Aug 20'!$G$8:$G$42=$AD19)*'Aug 20'!$AK$8:$AK$42)*('Aug 20'!$Q$8:$Q$42+'Aug 20'!$R$8:$R$42))</f>
        <v>0</v>
      </c>
      <c r="AY38" s="0" t="n">
        <f aca="false">SUMPRODUCT((('Aug 21'!$F$8:$F$42=$AD19)*'Aug 21'!$AJ$8:$AJ$42+('Aug 21'!$G$8:$G$42=$AD19)*'Aug 21'!$AK$8:$AK$42)*('Aug 21'!$Q$8:$Q$42+'Aug 21'!$R$8:$R$42))</f>
        <v>0</v>
      </c>
      <c r="AZ38" s="0" t="n">
        <f aca="false">SUMPRODUCT((('Aug 22'!$F$8:$F$42=$AD19)*'Aug 22'!$AJ$8:$AJ$42+('Aug 22'!$G$8:$G$42=$AD19)*'Aug 22'!$AK$8:$AK$42)*('Aug 22'!$Q$8:$Q$42+'Aug 22'!$R$8:$R$42))</f>
        <v>0</v>
      </c>
      <c r="BA38" s="0" t="n">
        <f aca="false">SUMPRODUCT((('Aug 23'!$F$8:$F$42=$AD19)*'Aug 23'!$AJ$8:$AJ$42+('Aug 23'!$G$8:$G$42=$AD19)*'Aug 23'!$AK$8:$AK$42)*('Aug 23'!$Q$8:$Q$42+'Aug 23'!$R$8:$R$42))</f>
        <v>0</v>
      </c>
      <c r="BB38" s="0" t="n">
        <f aca="false">SUMPRODUCT((('Aug 24'!$F$8:$F$42=$AD19)*'Aug 24'!$AJ$8:$AJ$42+('Aug 24'!$G$8:$G$42=$AD19)*'Aug 24'!$AK$8:$AK$42)*('Aug 24'!$Q$8:$Q$42+'Aug 24'!$R$8:$R$42))</f>
        <v>0</v>
      </c>
      <c r="BC38" s="0" t="n">
        <f aca="false">SUMPRODUCT((('Aug 25'!$F$8:$F$42=$AD19)*'Aug 25'!$AJ$8:$AJ$42+('Aug 25'!$G$8:$G$42=$AD19)*'Aug 25'!$AK$8:$AK$42)*('Aug 25'!$Q$8:$Q$42+'Aug 25'!$R$8:$R$42))</f>
        <v>0</v>
      </c>
      <c r="BD38" s="0" t="n">
        <f aca="false">SUMPRODUCT((('Aug 26'!$F$8:$F$42=$AD19)*'Aug 26'!$AJ$8:$AJ$42+('Aug 26'!$G$8:$G$42=$AD19)*'Aug 26'!$AK$8:$AK$42)*('Aug 26'!$Q$8:$Q$42+'Aug 26'!$R$8:$R$42))</f>
        <v>0</v>
      </c>
      <c r="BE38" s="0" t="n">
        <f aca="false">SUMPRODUCT((('Aug 27'!$F$8:$F$42=$AD19)*'Aug 27'!$AJ$8:$AJ$42+('Aug 27'!$G$8:$G$42=$AD19)*'Aug 27'!$AK$8:$AK$42)*('Aug 27'!$Q$8:$Q$42+'Aug 27'!$R$8:$R$42))</f>
        <v>0</v>
      </c>
      <c r="BF38" s="0" t="n">
        <f aca="false">SUMPRODUCT((('Aug 28'!$F$8:$F$42=$AD19)*'Aug 28'!$AJ$8:$AJ$42+('Aug 28'!$G$8:$G$42=$AD19)*'Aug 28'!$AK$8:$AK$42)*('Aug 28'!$Q$8:$Q$42+'Aug 28'!$R$8:$R$42))</f>
        <v>0</v>
      </c>
      <c r="BG38" s="0" t="n">
        <f aca="false">SUMPRODUCT((('Aug 29'!$F$8:$F$42=$AD19)*'Aug 29'!$AJ$8:$AJ$42+('Aug 29'!$G$8:$G$42=$AD19)*'Aug 29'!$AK$8:$AK$42)*('Aug 29'!$Q$8:$Q$42+'Aug 29'!$R$8:$R$42))</f>
        <v>0</v>
      </c>
      <c r="BH38" s="0" t="n">
        <f aca="false">SUMPRODUCT((('Aug 30'!$F$8:$F$42=$AD19)*'Aug 30'!$AJ$8:$AJ$42+('Aug 30'!$G$8:$G$42=$AD19)*'Aug 30'!$AK$8:$AK$42)*('Aug 30'!$Q$8:$Q$42+'Aug 30'!$R$8:$R$42))</f>
        <v>0</v>
      </c>
      <c r="BI38" s="0" t="n">
        <f aca="false">SUMPRODUCT((('Aug 31'!$F$8:$F$42=$AD19)*'Aug 31'!$AJ$8:$AJ$42+('Aug 31'!$G$8:$G$42=$AD19)*'Aug 31'!$AK$8:$AK$42)*('Aug 31'!$Q$8:$Q$42+'Aug 31'!$R$8:$R$42))</f>
        <v>0</v>
      </c>
      <c r="BK38" s="0" t="n">
        <f aca="false">SUM(AE38:BI38)</f>
        <v>0</v>
      </c>
    </row>
    <row r="39" customFormat="false" ht="15" hidden="false" customHeight="true" outlineLevel="0" collapsed="false">
      <c r="A39" s="81" t="n">
        <v>10</v>
      </c>
      <c r="B39" s="49" t="str">
        <f aca="false">IFERROR(INDEX($AD$4:$AD$19,MATCH(10,$BN$4:$BN$19,0)),"")</f>
        <v>ANDREW MIEIR</v>
      </c>
      <c r="C39" s="49"/>
      <c r="D39" s="49"/>
      <c r="E39" s="49"/>
      <c r="F39" s="49"/>
      <c r="G39" s="49"/>
      <c r="H39" s="80" t="n">
        <f aca="false">IFERROR(INDEX($BK$4:$BK$19,MATCH(10,$BN$4:$BN$19,0)),0)</f>
        <v>0</v>
      </c>
      <c r="I39" s="80"/>
      <c r="J39" s="51" t="n">
        <f aca="false">IFERROR(INDEX($BK$23:$BK$38,MATCH(10,$BN$4:$BN$19,0)),0)</f>
        <v>0</v>
      </c>
      <c r="K39" s="51"/>
      <c r="L39" s="51" t="str">
        <f aca="false">IF(N(H39)=0,"—",J39/H39)</f>
        <v>—</v>
      </c>
      <c r="M39" s="51"/>
      <c r="N39" s="45" t="s">
        <v>122</v>
      </c>
      <c r="O39" s="45"/>
      <c r="P39" s="45"/>
      <c r="Q39" s="29" t="n">
        <f aca="false">SUM(AB4:AB34)</f>
        <v>0</v>
      </c>
      <c r="R39" s="29"/>
    </row>
    <row r="40" customFormat="false" ht="15" hidden="false" customHeight="true" outlineLevel="0" collapsed="false">
      <c r="A40" s="29" t="n">
        <v>11</v>
      </c>
      <c r="B40" s="45" t="str">
        <f aca="false">IFERROR(INDEX($AD$4:$AD$19,MATCH(11,$BN$4:$BN$19,0)),"")</f>
        <v>RAFAEL CAMPOS</v>
      </c>
      <c r="C40" s="45"/>
      <c r="D40" s="45"/>
      <c r="E40" s="45"/>
      <c r="F40" s="45"/>
      <c r="G40" s="45"/>
      <c r="H40" s="31" t="n">
        <f aca="false">IFERROR(INDEX($BK$4:$BK$19,MATCH(11,$BN$4:$BN$19,0)),0)</f>
        <v>0</v>
      </c>
      <c r="I40" s="31"/>
      <c r="J40" s="25" t="n">
        <f aca="false">IFERROR(INDEX($BK$23:$BK$38,MATCH(11,$BN$4:$BN$19,0)),0)</f>
        <v>0</v>
      </c>
      <c r="K40" s="25"/>
      <c r="L40" s="25" t="str">
        <f aca="false">IF(N(H40)=0,"—",J40/H40)</f>
        <v>—</v>
      </c>
      <c r="M40" s="25"/>
    </row>
    <row r="41" customFormat="false" ht="15" hidden="false" customHeight="true" outlineLevel="0" collapsed="false">
      <c r="A41" s="81" t="n">
        <v>12</v>
      </c>
      <c r="B41" s="49" t="str">
        <f aca="false">IFERROR(INDEX($AD$4:$AD$19,MATCH(12,$BN$4:$BN$19,0)),"")</f>
        <v>JACOB LICHTENSTRAHL</v>
      </c>
      <c r="C41" s="49"/>
      <c r="D41" s="49"/>
      <c r="E41" s="49"/>
      <c r="F41" s="49"/>
      <c r="G41" s="49"/>
      <c r="H41" s="80" t="n">
        <f aca="false">IFERROR(INDEX($BK$4:$BK$19,MATCH(12,$BN$4:$BN$19,0)),0)</f>
        <v>0</v>
      </c>
      <c r="I41" s="80"/>
      <c r="J41" s="51" t="n">
        <f aca="false">IFERROR(INDEX($BK$23:$BK$38,MATCH(12,$BN$4:$BN$19,0)),0)</f>
        <v>0</v>
      </c>
      <c r="K41" s="51"/>
      <c r="L41" s="51" t="str">
        <f aca="false">IF(N(H41)=0,"—",J41/H41)</f>
        <v>—</v>
      </c>
      <c r="M41" s="51"/>
      <c r="AE41" s="0" t="n">
        <f aca="false">COUNTIF('Aug 1'!$AL$8:$AL$42,$BP41)</f>
        <v>0</v>
      </c>
      <c r="AF41" s="0" t="n">
        <f aca="false">COUNTIF('Aug 2'!$AL$8:$AL$42,$BP41)</f>
        <v>0</v>
      </c>
      <c r="AG41" s="0" t="n">
        <f aca="false">COUNTIF('Aug 3'!$AL$8:$AL$42,$BP41)</f>
        <v>0</v>
      </c>
      <c r="AH41" s="0" t="n">
        <f aca="false">COUNTIF('Aug 4'!$AL$8:$AL$42,$BP41)</f>
        <v>0</v>
      </c>
      <c r="AI41" s="0" t="n">
        <f aca="false">COUNTIF('Aug 5'!$AL$8:$AL$42,$BP41)</f>
        <v>0</v>
      </c>
      <c r="AJ41" s="0" t="n">
        <f aca="false">COUNTIF('Aug 6'!$AL$8:$AL$42,$BP41)</f>
        <v>0</v>
      </c>
      <c r="AK41" s="0" t="n">
        <f aca="false">COUNTIF('Aug 7'!$AL$8:$AL$42,$BP41)</f>
        <v>0</v>
      </c>
      <c r="AL41" s="0" t="n">
        <f aca="false">COUNTIF('Aug 8'!$AL$8:$AL$42,$BP41)</f>
        <v>0</v>
      </c>
      <c r="AM41" s="0" t="n">
        <f aca="false">COUNTIF('Aug 9'!$AL$8:$AL$42,$BP41)</f>
        <v>0</v>
      </c>
      <c r="AN41" s="0" t="n">
        <f aca="false">COUNTIF('Aug 10'!$AL$8:$AL$42,$BP41)</f>
        <v>0</v>
      </c>
      <c r="AO41" s="0" t="n">
        <f aca="false">COUNTIF('Aug 11'!$AL$8:$AL$42,$BP41)</f>
        <v>0</v>
      </c>
      <c r="AP41" s="0" t="n">
        <f aca="false">COUNTIF('Aug 12'!$AL$8:$AL$42,$BP41)</f>
        <v>0</v>
      </c>
      <c r="AQ41" s="0" t="n">
        <f aca="false">COUNTIF('Aug 13'!$AL$8:$AL$42,$BP41)</f>
        <v>0</v>
      </c>
      <c r="AR41" s="0" t="n">
        <f aca="false">COUNTIF('Aug 14'!$AL$8:$AL$42,$BP41)</f>
        <v>0</v>
      </c>
      <c r="AS41" s="0" t="n">
        <f aca="false">COUNTIF('Aug 15'!$AL$8:$AL$42,$BP41)</f>
        <v>0</v>
      </c>
      <c r="AT41" s="0" t="n">
        <f aca="false">COUNTIF('Aug 16'!$AL$8:$AL$42,$BP41)</f>
        <v>0</v>
      </c>
      <c r="AU41" s="0" t="n">
        <f aca="false">COUNTIF('Aug 17'!$AL$8:$AL$42,$BP41)</f>
        <v>0</v>
      </c>
      <c r="AV41" s="0" t="n">
        <f aca="false">COUNTIF('Aug 18'!$AL$8:$AL$42,$BP41)</f>
        <v>0</v>
      </c>
      <c r="AW41" s="0" t="n">
        <f aca="false">COUNTIF('Aug 19'!$AL$8:$AL$42,$BP41)</f>
        <v>0</v>
      </c>
      <c r="AX41" s="0" t="n">
        <f aca="false">COUNTIF('Aug 20'!$AL$8:$AL$42,$BP41)</f>
        <v>0</v>
      </c>
      <c r="AY41" s="0" t="n">
        <f aca="false">COUNTIF('Aug 21'!$AL$8:$AL$42,$BP41)</f>
        <v>0</v>
      </c>
      <c r="AZ41" s="0" t="n">
        <f aca="false">COUNTIF('Aug 22'!$AL$8:$AL$42,$BP41)</f>
        <v>0</v>
      </c>
      <c r="BA41" s="0" t="n">
        <f aca="false">COUNTIF('Aug 23'!$AL$8:$AL$42,$BP41)</f>
        <v>0</v>
      </c>
      <c r="BB41" s="0" t="n">
        <f aca="false">COUNTIF('Aug 24'!$AL$8:$AL$42,$BP41)</f>
        <v>0</v>
      </c>
      <c r="BC41" s="0" t="n">
        <f aca="false">COUNTIF('Aug 25'!$AL$8:$AL$42,$BP41)</f>
        <v>0</v>
      </c>
      <c r="BD41" s="0" t="n">
        <f aca="false">COUNTIF('Aug 26'!$AL$8:$AL$42,$BP41)</f>
        <v>0</v>
      </c>
      <c r="BE41" s="0" t="n">
        <f aca="false">COUNTIF('Aug 27'!$AL$8:$AL$42,$BP41)</f>
        <v>0</v>
      </c>
      <c r="BF41" s="0" t="n">
        <f aca="false">COUNTIF('Aug 28'!$AL$8:$AL$42,$BP41)</f>
        <v>0</v>
      </c>
      <c r="BG41" s="0" t="n">
        <f aca="false">COUNTIF('Aug 29'!$AL$8:$AL$42,$BP41)</f>
        <v>0</v>
      </c>
      <c r="BH41" s="0" t="n">
        <f aca="false">COUNTIF('Aug 30'!$AL$8:$AL$42,$BP41)</f>
        <v>0</v>
      </c>
      <c r="BI41" s="0" t="n">
        <f aca="false">COUNTIF('Aug 31'!$AL$8:$AL$42,$BP41)</f>
        <v>0</v>
      </c>
      <c r="BK41" s="0" t="n">
        <f aca="false">SUM(AE41:BI41)</f>
        <v>0</v>
      </c>
      <c r="BP41" s="0" t="s">
        <v>163</v>
      </c>
    </row>
    <row r="42" customFormat="false" ht="15" hidden="false" customHeight="true" outlineLevel="0" collapsed="false">
      <c r="A42" s="29" t="n">
        <v>13</v>
      </c>
      <c r="B42" s="45" t="str">
        <f aca="false">IFERROR(INDEX($AD$4:$AD$19,MATCH(13,$BN$4:$BN$19,0)),"")</f>
        <v>BRAYDON JOHNSON</v>
      </c>
      <c r="C42" s="45"/>
      <c r="D42" s="45"/>
      <c r="E42" s="45"/>
      <c r="F42" s="45"/>
      <c r="G42" s="45"/>
      <c r="H42" s="31" t="n">
        <f aca="false">IFERROR(INDEX($BK$4:$BK$19,MATCH(13,$BN$4:$BN$19,0)),0)</f>
        <v>0</v>
      </c>
      <c r="I42" s="31"/>
      <c r="J42" s="25" t="n">
        <f aca="false">IFERROR(INDEX($BK$23:$BK$38,MATCH(13,$BN$4:$BN$19,0)),0)</f>
        <v>0</v>
      </c>
      <c r="K42" s="25"/>
      <c r="L42" s="25" t="str">
        <f aca="false">IF(N(H42)=0,"—",J42/H42)</f>
        <v>—</v>
      </c>
      <c r="M42" s="25"/>
      <c r="AE42" s="0" t="n">
        <f aca="false">COUNTIF('Aug 1'!$AL$8:$AL$42,$BP42)</f>
        <v>0</v>
      </c>
      <c r="AF42" s="0" t="n">
        <f aca="false">COUNTIF('Aug 2'!$AL$8:$AL$42,$BP42)</f>
        <v>0</v>
      </c>
      <c r="AG42" s="0" t="n">
        <f aca="false">COUNTIF('Aug 3'!$AL$8:$AL$42,$BP42)</f>
        <v>0</v>
      </c>
      <c r="AH42" s="0" t="n">
        <f aca="false">COUNTIF('Aug 4'!$AL$8:$AL$42,$BP42)</f>
        <v>0</v>
      </c>
      <c r="AI42" s="0" t="n">
        <f aca="false">COUNTIF('Aug 5'!$AL$8:$AL$42,$BP42)</f>
        <v>0</v>
      </c>
      <c r="AJ42" s="0" t="n">
        <f aca="false">COUNTIF('Aug 6'!$AL$8:$AL$42,$BP42)</f>
        <v>0</v>
      </c>
      <c r="AK42" s="0" t="n">
        <f aca="false">COUNTIF('Aug 7'!$AL$8:$AL$42,$BP42)</f>
        <v>0</v>
      </c>
      <c r="AL42" s="0" t="n">
        <f aca="false">COUNTIF('Aug 8'!$AL$8:$AL$42,$BP42)</f>
        <v>0</v>
      </c>
      <c r="AM42" s="0" t="n">
        <f aca="false">COUNTIF('Aug 9'!$AL$8:$AL$42,$BP42)</f>
        <v>0</v>
      </c>
      <c r="AN42" s="0" t="n">
        <f aca="false">COUNTIF('Aug 10'!$AL$8:$AL$42,$BP42)</f>
        <v>0</v>
      </c>
      <c r="AO42" s="0" t="n">
        <f aca="false">COUNTIF('Aug 11'!$AL$8:$AL$42,$BP42)</f>
        <v>0</v>
      </c>
      <c r="AP42" s="0" t="n">
        <f aca="false">COUNTIF('Aug 12'!$AL$8:$AL$42,$BP42)</f>
        <v>0</v>
      </c>
      <c r="AQ42" s="0" t="n">
        <f aca="false">COUNTIF('Aug 13'!$AL$8:$AL$42,$BP42)</f>
        <v>0</v>
      </c>
      <c r="AR42" s="0" t="n">
        <f aca="false">COUNTIF('Aug 14'!$AL$8:$AL$42,$BP42)</f>
        <v>0</v>
      </c>
      <c r="AS42" s="0" t="n">
        <f aca="false">COUNTIF('Aug 15'!$AL$8:$AL$42,$BP42)</f>
        <v>0</v>
      </c>
      <c r="AT42" s="0" t="n">
        <f aca="false">COUNTIF('Aug 16'!$AL$8:$AL$42,$BP42)</f>
        <v>0</v>
      </c>
      <c r="AU42" s="0" t="n">
        <f aca="false">COUNTIF('Aug 17'!$AL$8:$AL$42,$BP42)</f>
        <v>0</v>
      </c>
      <c r="AV42" s="0" t="n">
        <f aca="false">COUNTIF('Aug 18'!$AL$8:$AL$42,$BP42)</f>
        <v>0</v>
      </c>
      <c r="AW42" s="0" t="n">
        <f aca="false">COUNTIF('Aug 19'!$AL$8:$AL$42,$BP42)</f>
        <v>0</v>
      </c>
      <c r="AX42" s="0" t="n">
        <f aca="false">COUNTIF('Aug 20'!$AL$8:$AL$42,$BP42)</f>
        <v>0</v>
      </c>
      <c r="AY42" s="0" t="n">
        <f aca="false">COUNTIF('Aug 21'!$AL$8:$AL$42,$BP42)</f>
        <v>0</v>
      </c>
      <c r="AZ42" s="0" t="n">
        <f aca="false">COUNTIF('Aug 22'!$AL$8:$AL$42,$BP42)</f>
        <v>0</v>
      </c>
      <c r="BA42" s="0" t="n">
        <f aca="false">COUNTIF('Aug 23'!$AL$8:$AL$42,$BP42)</f>
        <v>0</v>
      </c>
      <c r="BB42" s="0" t="n">
        <f aca="false">COUNTIF('Aug 24'!$AL$8:$AL$42,$BP42)</f>
        <v>0</v>
      </c>
      <c r="BC42" s="0" t="n">
        <f aca="false">COUNTIF('Aug 25'!$AL$8:$AL$42,$BP42)</f>
        <v>0</v>
      </c>
      <c r="BD42" s="0" t="n">
        <f aca="false">COUNTIF('Aug 26'!$AL$8:$AL$42,$BP42)</f>
        <v>0</v>
      </c>
      <c r="BE42" s="0" t="n">
        <f aca="false">COUNTIF('Aug 27'!$AL$8:$AL$42,$BP42)</f>
        <v>0</v>
      </c>
      <c r="BF42" s="0" t="n">
        <f aca="false">COUNTIF('Aug 28'!$AL$8:$AL$42,$BP42)</f>
        <v>0</v>
      </c>
      <c r="BG42" s="0" t="n">
        <f aca="false">COUNTIF('Aug 29'!$AL$8:$AL$42,$BP42)</f>
        <v>0</v>
      </c>
      <c r="BH42" s="0" t="n">
        <f aca="false">COUNTIF('Aug 30'!$AL$8:$AL$42,$BP42)</f>
        <v>0</v>
      </c>
      <c r="BI42" s="0" t="n">
        <f aca="false">COUNTIF('Aug 31'!$AL$8:$AL$42,$BP42)</f>
        <v>0</v>
      </c>
      <c r="BK42" s="0" t="n">
        <f aca="false">SUM(AE42:BI42)</f>
        <v>0</v>
      </c>
      <c r="BP42" s="0" t="s">
        <v>164</v>
      </c>
    </row>
    <row r="43" customFormat="false" ht="15" hidden="false" customHeight="true" outlineLevel="0" collapsed="false">
      <c r="A43" s="81" t="n">
        <v>14</v>
      </c>
      <c r="B43" s="49" t="str">
        <f aca="false">IFERROR(INDEX($AD$4:$AD$19,MATCH(14,$BN$4:$BN$19,0)),"")</f>
        <v>CHRIS HORNE</v>
      </c>
      <c r="C43" s="49"/>
      <c r="D43" s="49"/>
      <c r="E43" s="49"/>
      <c r="F43" s="49"/>
      <c r="G43" s="49"/>
      <c r="H43" s="80" t="n">
        <f aca="false">IFERROR(INDEX($BK$4:$BK$19,MATCH(14,$BN$4:$BN$19,0)),0)</f>
        <v>0</v>
      </c>
      <c r="I43" s="80"/>
      <c r="J43" s="51" t="n">
        <f aca="false">IFERROR(INDEX($BK$23:$BK$38,MATCH(14,$BN$4:$BN$19,0)),0)</f>
        <v>0</v>
      </c>
      <c r="K43" s="51"/>
      <c r="L43" s="51" t="str">
        <f aca="false">IF(N(H43)=0,"—",J43/H43)</f>
        <v>—</v>
      </c>
      <c r="M43" s="51"/>
      <c r="AE43" s="0" t="n">
        <f aca="false">COUNTIF('Aug 1'!$AL$8:$AL$42,$BP43)</f>
        <v>0</v>
      </c>
      <c r="AF43" s="0" t="n">
        <f aca="false">COUNTIF('Aug 2'!$AL$8:$AL$42,$BP43)</f>
        <v>0</v>
      </c>
      <c r="AG43" s="0" t="n">
        <f aca="false">COUNTIF('Aug 3'!$AL$8:$AL$42,$BP43)</f>
        <v>0</v>
      </c>
      <c r="AH43" s="0" t="n">
        <f aca="false">COUNTIF('Aug 4'!$AL$8:$AL$42,$BP43)</f>
        <v>0</v>
      </c>
      <c r="AI43" s="0" t="n">
        <f aca="false">COUNTIF('Aug 5'!$AL$8:$AL$42,$BP43)</f>
        <v>0</v>
      </c>
      <c r="AJ43" s="0" t="n">
        <f aca="false">COUNTIF('Aug 6'!$AL$8:$AL$42,$BP43)</f>
        <v>0</v>
      </c>
      <c r="AK43" s="0" t="n">
        <f aca="false">COUNTIF('Aug 7'!$AL$8:$AL$42,$BP43)</f>
        <v>0</v>
      </c>
      <c r="AL43" s="0" t="n">
        <f aca="false">COUNTIF('Aug 8'!$AL$8:$AL$42,$BP43)</f>
        <v>0</v>
      </c>
      <c r="AM43" s="0" t="n">
        <f aca="false">COUNTIF('Aug 9'!$AL$8:$AL$42,$BP43)</f>
        <v>0</v>
      </c>
      <c r="AN43" s="0" t="n">
        <f aca="false">COUNTIF('Aug 10'!$AL$8:$AL$42,$BP43)</f>
        <v>0</v>
      </c>
      <c r="AO43" s="0" t="n">
        <f aca="false">COUNTIF('Aug 11'!$AL$8:$AL$42,$BP43)</f>
        <v>0</v>
      </c>
      <c r="AP43" s="0" t="n">
        <f aca="false">COUNTIF('Aug 12'!$AL$8:$AL$42,$BP43)</f>
        <v>0</v>
      </c>
      <c r="AQ43" s="0" t="n">
        <f aca="false">COUNTIF('Aug 13'!$AL$8:$AL$42,$BP43)</f>
        <v>0</v>
      </c>
      <c r="AR43" s="0" t="n">
        <f aca="false">COUNTIF('Aug 14'!$AL$8:$AL$42,$BP43)</f>
        <v>0</v>
      </c>
      <c r="AS43" s="0" t="n">
        <f aca="false">COUNTIF('Aug 15'!$AL$8:$AL$42,$BP43)</f>
        <v>0</v>
      </c>
      <c r="AT43" s="0" t="n">
        <f aca="false">COUNTIF('Aug 16'!$AL$8:$AL$42,$BP43)</f>
        <v>0</v>
      </c>
      <c r="AU43" s="0" t="n">
        <f aca="false">COUNTIF('Aug 17'!$AL$8:$AL$42,$BP43)</f>
        <v>0</v>
      </c>
      <c r="AV43" s="0" t="n">
        <f aca="false">COUNTIF('Aug 18'!$AL$8:$AL$42,$BP43)</f>
        <v>0</v>
      </c>
      <c r="AW43" s="0" t="n">
        <f aca="false">COUNTIF('Aug 19'!$AL$8:$AL$42,$BP43)</f>
        <v>0</v>
      </c>
      <c r="AX43" s="0" t="n">
        <f aca="false">COUNTIF('Aug 20'!$AL$8:$AL$42,$BP43)</f>
        <v>0</v>
      </c>
      <c r="AY43" s="0" t="n">
        <f aca="false">COUNTIF('Aug 21'!$AL$8:$AL$42,$BP43)</f>
        <v>0</v>
      </c>
      <c r="AZ43" s="0" t="n">
        <f aca="false">COUNTIF('Aug 22'!$AL$8:$AL$42,$BP43)</f>
        <v>0</v>
      </c>
      <c r="BA43" s="0" t="n">
        <f aca="false">COUNTIF('Aug 23'!$AL$8:$AL$42,$BP43)</f>
        <v>0</v>
      </c>
      <c r="BB43" s="0" t="n">
        <f aca="false">COUNTIF('Aug 24'!$AL$8:$AL$42,$BP43)</f>
        <v>0</v>
      </c>
      <c r="BC43" s="0" t="n">
        <f aca="false">COUNTIF('Aug 25'!$AL$8:$AL$42,$BP43)</f>
        <v>0</v>
      </c>
      <c r="BD43" s="0" t="n">
        <f aca="false">COUNTIF('Aug 26'!$AL$8:$AL$42,$BP43)</f>
        <v>0</v>
      </c>
      <c r="BE43" s="0" t="n">
        <f aca="false">COUNTIF('Aug 27'!$AL$8:$AL$42,$BP43)</f>
        <v>0</v>
      </c>
      <c r="BF43" s="0" t="n">
        <f aca="false">COUNTIF('Aug 28'!$AL$8:$AL$42,$BP43)</f>
        <v>0</v>
      </c>
      <c r="BG43" s="0" t="n">
        <f aca="false">COUNTIF('Aug 29'!$AL$8:$AL$42,$BP43)</f>
        <v>0</v>
      </c>
      <c r="BH43" s="0" t="n">
        <f aca="false">COUNTIF('Aug 30'!$AL$8:$AL$42,$BP43)</f>
        <v>0</v>
      </c>
      <c r="BI43" s="0" t="n">
        <f aca="false">COUNTIF('Aug 31'!$AL$8:$AL$42,$BP43)</f>
        <v>0</v>
      </c>
      <c r="BK43" s="0" t="n">
        <f aca="false">SUM(AE43:BI43)</f>
        <v>0</v>
      </c>
      <c r="BP43" s="0" t="s">
        <v>165</v>
      </c>
    </row>
    <row r="44" customFormat="false" ht="15" hidden="false" customHeight="true" outlineLevel="0" collapsed="false">
      <c r="A44" s="29" t="n">
        <v>15</v>
      </c>
      <c r="B44" s="45" t="str">
        <f aca="false">IFERROR(INDEX($AD$4:$AD$19,MATCH(15,$BN$4:$BN$19,0)),"")</f>
        <v>TIM CAMPBELL</v>
      </c>
      <c r="C44" s="45"/>
      <c r="D44" s="45"/>
      <c r="E44" s="45"/>
      <c r="F44" s="45"/>
      <c r="G44" s="45"/>
      <c r="H44" s="31" t="n">
        <f aca="false">IFERROR(INDEX($BK$4:$BK$19,MATCH(15,$BN$4:$BN$19,0)),0)</f>
        <v>0</v>
      </c>
      <c r="I44" s="31"/>
      <c r="J44" s="25" t="n">
        <f aca="false">IFERROR(INDEX($BK$23:$BK$38,MATCH(15,$BN$4:$BN$19,0)),0)</f>
        <v>0</v>
      </c>
      <c r="K44" s="25"/>
      <c r="L44" s="25" t="str">
        <f aca="false">IF(N(H44)=0,"—",J44/H44)</f>
        <v>—</v>
      </c>
      <c r="M44" s="25"/>
      <c r="AE44" s="0" t="n">
        <f aca="false">COUNTIF('Aug 1'!$AL$8:$AL$42,$BP44)</f>
        <v>0</v>
      </c>
      <c r="AF44" s="0" t="n">
        <f aca="false">COUNTIF('Aug 2'!$AL$8:$AL$42,$BP44)</f>
        <v>0</v>
      </c>
      <c r="AG44" s="0" t="n">
        <f aca="false">COUNTIF('Aug 3'!$AL$8:$AL$42,$BP44)</f>
        <v>0</v>
      </c>
      <c r="AH44" s="0" t="n">
        <f aca="false">COUNTIF('Aug 4'!$AL$8:$AL$42,$BP44)</f>
        <v>0</v>
      </c>
      <c r="AI44" s="0" t="n">
        <f aca="false">COUNTIF('Aug 5'!$AL$8:$AL$42,$BP44)</f>
        <v>0</v>
      </c>
      <c r="AJ44" s="0" t="n">
        <f aca="false">COUNTIF('Aug 6'!$AL$8:$AL$42,$BP44)</f>
        <v>0</v>
      </c>
      <c r="AK44" s="0" t="n">
        <f aca="false">COUNTIF('Aug 7'!$AL$8:$AL$42,$BP44)</f>
        <v>0</v>
      </c>
      <c r="AL44" s="0" t="n">
        <f aca="false">COUNTIF('Aug 8'!$AL$8:$AL$42,$BP44)</f>
        <v>0</v>
      </c>
      <c r="AM44" s="0" t="n">
        <f aca="false">COUNTIF('Aug 9'!$AL$8:$AL$42,$BP44)</f>
        <v>0</v>
      </c>
      <c r="AN44" s="0" t="n">
        <f aca="false">COUNTIF('Aug 10'!$AL$8:$AL$42,$BP44)</f>
        <v>0</v>
      </c>
      <c r="AO44" s="0" t="n">
        <f aca="false">COUNTIF('Aug 11'!$AL$8:$AL$42,$BP44)</f>
        <v>0</v>
      </c>
      <c r="AP44" s="0" t="n">
        <f aca="false">COUNTIF('Aug 12'!$AL$8:$AL$42,$BP44)</f>
        <v>0</v>
      </c>
      <c r="AQ44" s="0" t="n">
        <f aca="false">COUNTIF('Aug 13'!$AL$8:$AL$42,$BP44)</f>
        <v>0</v>
      </c>
      <c r="AR44" s="0" t="n">
        <f aca="false">COUNTIF('Aug 14'!$AL$8:$AL$42,$BP44)</f>
        <v>0</v>
      </c>
      <c r="AS44" s="0" t="n">
        <f aca="false">COUNTIF('Aug 15'!$AL$8:$AL$42,$BP44)</f>
        <v>0</v>
      </c>
      <c r="AT44" s="0" t="n">
        <f aca="false">COUNTIF('Aug 16'!$AL$8:$AL$42,$BP44)</f>
        <v>0</v>
      </c>
      <c r="AU44" s="0" t="n">
        <f aca="false">COUNTIF('Aug 17'!$AL$8:$AL$42,$BP44)</f>
        <v>0</v>
      </c>
      <c r="AV44" s="0" t="n">
        <f aca="false">COUNTIF('Aug 18'!$AL$8:$AL$42,$BP44)</f>
        <v>0</v>
      </c>
      <c r="AW44" s="0" t="n">
        <f aca="false">COUNTIF('Aug 19'!$AL$8:$AL$42,$BP44)</f>
        <v>0</v>
      </c>
      <c r="AX44" s="0" t="n">
        <f aca="false">COUNTIF('Aug 20'!$AL$8:$AL$42,$BP44)</f>
        <v>0</v>
      </c>
      <c r="AY44" s="0" t="n">
        <f aca="false">COUNTIF('Aug 21'!$AL$8:$AL$42,$BP44)</f>
        <v>0</v>
      </c>
      <c r="AZ44" s="0" t="n">
        <f aca="false">COUNTIF('Aug 22'!$AL$8:$AL$42,$BP44)</f>
        <v>0</v>
      </c>
      <c r="BA44" s="0" t="n">
        <f aca="false">COUNTIF('Aug 23'!$AL$8:$AL$42,$BP44)</f>
        <v>0</v>
      </c>
      <c r="BB44" s="0" t="n">
        <f aca="false">COUNTIF('Aug 24'!$AL$8:$AL$42,$BP44)</f>
        <v>0</v>
      </c>
      <c r="BC44" s="0" t="n">
        <f aca="false">COUNTIF('Aug 25'!$AL$8:$AL$42,$BP44)</f>
        <v>0</v>
      </c>
      <c r="BD44" s="0" t="n">
        <f aca="false">COUNTIF('Aug 26'!$AL$8:$AL$42,$BP44)</f>
        <v>0</v>
      </c>
      <c r="BE44" s="0" t="n">
        <f aca="false">COUNTIF('Aug 27'!$AL$8:$AL$42,$BP44)</f>
        <v>0</v>
      </c>
      <c r="BF44" s="0" t="n">
        <f aca="false">COUNTIF('Aug 28'!$AL$8:$AL$42,$BP44)</f>
        <v>0</v>
      </c>
      <c r="BG44" s="0" t="n">
        <f aca="false">COUNTIF('Aug 29'!$AL$8:$AL$42,$BP44)</f>
        <v>0</v>
      </c>
      <c r="BH44" s="0" t="n">
        <f aca="false">COUNTIF('Aug 30'!$AL$8:$AL$42,$BP44)</f>
        <v>0</v>
      </c>
      <c r="BI44" s="0" t="n">
        <f aca="false">COUNTIF('Aug 31'!$AL$8:$AL$42,$BP44)</f>
        <v>0</v>
      </c>
      <c r="BK44" s="0" t="n">
        <f aca="false">SUM(AE44:BI44)</f>
        <v>0</v>
      </c>
      <c r="BP44" s="0" t="s">
        <v>166</v>
      </c>
    </row>
    <row r="45" customFormat="false" ht="15" hidden="false" customHeight="true" outlineLevel="0" collapsed="false">
      <c r="A45" s="81" t="n">
        <v>16</v>
      </c>
      <c r="B45" s="49" t="str">
        <f aca="false">IFERROR(INDEX($AD$4:$AD$19,MATCH(16,$BN$4:$BN$19,0)),"")</f>
        <v>BILL RISKO</v>
      </c>
      <c r="C45" s="49"/>
      <c r="D45" s="49"/>
      <c r="E45" s="49"/>
      <c r="F45" s="49"/>
      <c r="G45" s="49"/>
      <c r="H45" s="80" t="n">
        <f aca="false">IFERROR(INDEX($BK$4:$BK$19,MATCH(16,$BN$4:$BN$19,0)),0)</f>
        <v>0</v>
      </c>
      <c r="I45" s="80"/>
      <c r="J45" s="51" t="n">
        <f aca="false">IFERROR(INDEX($BK$23:$BK$38,MATCH(16,$BN$4:$BN$19,0)),0)</f>
        <v>0</v>
      </c>
      <c r="K45" s="51"/>
      <c r="L45" s="51" t="str">
        <f aca="false">IF(N(H45)=0,"—",J45/H45)</f>
        <v>—</v>
      </c>
      <c r="M45" s="51"/>
      <c r="AE45" s="0" t="n">
        <f aca="false">COUNTIF('Aug 1'!$AL$8:$AL$42,$BP45)</f>
        <v>0</v>
      </c>
      <c r="AF45" s="0" t="n">
        <f aca="false">COUNTIF('Aug 2'!$AL$8:$AL$42,$BP45)</f>
        <v>0</v>
      </c>
      <c r="AG45" s="0" t="n">
        <f aca="false">COUNTIF('Aug 3'!$AL$8:$AL$42,$BP45)</f>
        <v>0</v>
      </c>
      <c r="AH45" s="0" t="n">
        <f aca="false">COUNTIF('Aug 4'!$AL$8:$AL$42,$BP45)</f>
        <v>0</v>
      </c>
      <c r="AI45" s="0" t="n">
        <f aca="false">COUNTIF('Aug 5'!$AL$8:$AL$42,$BP45)</f>
        <v>0</v>
      </c>
      <c r="AJ45" s="0" t="n">
        <f aca="false">COUNTIF('Aug 6'!$AL$8:$AL$42,$BP45)</f>
        <v>0</v>
      </c>
      <c r="AK45" s="0" t="n">
        <f aca="false">COUNTIF('Aug 7'!$AL$8:$AL$42,$BP45)</f>
        <v>0</v>
      </c>
      <c r="AL45" s="0" t="n">
        <f aca="false">COUNTIF('Aug 8'!$AL$8:$AL$42,$BP45)</f>
        <v>0</v>
      </c>
      <c r="AM45" s="0" t="n">
        <f aca="false">COUNTIF('Aug 9'!$AL$8:$AL$42,$BP45)</f>
        <v>0</v>
      </c>
      <c r="AN45" s="0" t="n">
        <f aca="false">COUNTIF('Aug 10'!$AL$8:$AL$42,$BP45)</f>
        <v>0</v>
      </c>
      <c r="AO45" s="0" t="n">
        <f aca="false">COUNTIF('Aug 11'!$AL$8:$AL$42,$BP45)</f>
        <v>0</v>
      </c>
      <c r="AP45" s="0" t="n">
        <f aca="false">COUNTIF('Aug 12'!$AL$8:$AL$42,$BP45)</f>
        <v>0</v>
      </c>
      <c r="AQ45" s="0" t="n">
        <f aca="false">COUNTIF('Aug 13'!$AL$8:$AL$42,$BP45)</f>
        <v>0</v>
      </c>
      <c r="AR45" s="0" t="n">
        <f aca="false">COUNTIF('Aug 14'!$AL$8:$AL$42,$BP45)</f>
        <v>0</v>
      </c>
      <c r="AS45" s="0" t="n">
        <f aca="false">COUNTIF('Aug 15'!$AL$8:$AL$42,$BP45)</f>
        <v>0</v>
      </c>
      <c r="AT45" s="0" t="n">
        <f aca="false">COUNTIF('Aug 16'!$AL$8:$AL$42,$BP45)</f>
        <v>0</v>
      </c>
      <c r="AU45" s="0" t="n">
        <f aca="false">COUNTIF('Aug 17'!$AL$8:$AL$42,$BP45)</f>
        <v>0</v>
      </c>
      <c r="AV45" s="0" t="n">
        <f aca="false">COUNTIF('Aug 18'!$AL$8:$AL$42,$BP45)</f>
        <v>0</v>
      </c>
      <c r="AW45" s="0" t="n">
        <f aca="false">COUNTIF('Aug 19'!$AL$8:$AL$42,$BP45)</f>
        <v>0</v>
      </c>
      <c r="AX45" s="0" t="n">
        <f aca="false">COUNTIF('Aug 20'!$AL$8:$AL$42,$BP45)</f>
        <v>0</v>
      </c>
      <c r="AY45" s="0" t="n">
        <f aca="false">COUNTIF('Aug 21'!$AL$8:$AL$42,$BP45)</f>
        <v>0</v>
      </c>
      <c r="AZ45" s="0" t="n">
        <f aca="false">COUNTIF('Aug 22'!$AL$8:$AL$42,$BP45)</f>
        <v>0</v>
      </c>
      <c r="BA45" s="0" t="n">
        <f aca="false">COUNTIF('Aug 23'!$AL$8:$AL$42,$BP45)</f>
        <v>0</v>
      </c>
      <c r="BB45" s="0" t="n">
        <f aca="false">COUNTIF('Aug 24'!$AL$8:$AL$42,$BP45)</f>
        <v>0</v>
      </c>
      <c r="BC45" s="0" t="n">
        <f aca="false">COUNTIF('Aug 25'!$AL$8:$AL$42,$BP45)</f>
        <v>0</v>
      </c>
      <c r="BD45" s="0" t="n">
        <f aca="false">COUNTIF('Aug 26'!$AL$8:$AL$42,$BP45)</f>
        <v>0</v>
      </c>
      <c r="BE45" s="0" t="n">
        <f aca="false">COUNTIF('Aug 27'!$AL$8:$AL$42,$BP45)</f>
        <v>0</v>
      </c>
      <c r="BF45" s="0" t="n">
        <f aca="false">COUNTIF('Aug 28'!$AL$8:$AL$42,$BP45)</f>
        <v>0</v>
      </c>
      <c r="BG45" s="0" t="n">
        <f aca="false">COUNTIF('Aug 29'!$AL$8:$AL$42,$BP45)</f>
        <v>0</v>
      </c>
      <c r="BH45" s="0" t="n">
        <f aca="false">COUNTIF('Aug 30'!$AL$8:$AL$42,$BP45)</f>
        <v>0</v>
      </c>
      <c r="BI45" s="0" t="n">
        <f aca="false">COUNTIF('Aug 31'!$AL$8:$AL$42,$BP45)</f>
        <v>0</v>
      </c>
      <c r="BK45" s="0" t="n">
        <f aca="false">SUM(AE45:BI45)</f>
        <v>0</v>
      </c>
      <c r="BP45" s="0" t="s">
        <v>167</v>
      </c>
    </row>
    <row r="47" customFormat="false" ht="15" hidden="false" customHeight="false" outlineLevel="0" collapsed="false">
      <c r="A47" s="19" t="s">
        <v>168</v>
      </c>
    </row>
    <row r="48" customFormat="false" ht="15" hidden="false" customHeight="false" outlineLevel="0" collapsed="false">
      <c r="B48" s="65" t="s">
        <v>169</v>
      </c>
      <c r="C48" s="82" t="str">
        <f aca="false">IF(BT11=0,"—",ROUND((BT6-BT11)/BT11,2))</f>
        <v>—</v>
      </c>
      <c r="D48" s="68" t="str">
        <f aca="false">IF(C48="—","",IF(C48&gt;=BM_USED_TO_NEW,"▲ at/above "&amp;TEXT(BM_USED_TO_NEW,"0.00"),"▼ below "&amp;TEXT(BM_USED_TO_NEW,"0.00")))</f>
        <v/>
      </c>
      <c r="F48" s="65" t="s">
        <v>170</v>
      </c>
      <c r="G48" s="83" t="n">
        <f aca="false">BT10</f>
        <v>0</v>
      </c>
      <c r="I48" s="65" t="s">
        <v>171</v>
      </c>
      <c r="J48" s="69" t="str">
        <f aca="false">IF(SUM(W4:W34)=0,"—",BT12/SUM(W4:W34))</f>
        <v>—</v>
      </c>
      <c r="K48" s="68" t="str">
        <f aca="false">IF(J48="—","",IF(J48&lt;=BM_IMMED_WHOLESALE,"✓ under cap","⚠ over "&amp;TEXT(BM_IMMED_WHOLESALE,"0%")))</f>
        <v/>
      </c>
    </row>
    <row r="50" customFormat="false" ht="15" hidden="false" customHeight="false" outlineLevel="0" collapsed="false">
      <c r="B50" s="65" t="s">
        <v>172</v>
      </c>
      <c r="C50" s="69" t="str">
        <f aca="false">IF(BT6=0,"—",SUM(Z4:Z34)/BT6)</f>
        <v>—</v>
      </c>
      <c r="D50" s="68" t="str">
        <f aca="false">IF(C50="—","",IF(C50&gt;=BM_VSC_PEN,"✓","⚠ vs "&amp;TEXT(BM_VSC_PEN,"0%")))</f>
        <v/>
      </c>
      <c r="F50" s="65" t="s">
        <v>124</v>
      </c>
      <c r="G50" s="69" t="str">
        <f aca="false">IF(BT6=0,"—",SUM(AA4:AA34)/BT6)</f>
        <v>—</v>
      </c>
      <c r="I50" s="65" t="s">
        <v>122</v>
      </c>
      <c r="J50" s="69" t="str">
        <f aca="false">IF(BT6=0,"—",SUM(AB4:AB34)/BT6)</f>
        <v>—</v>
      </c>
    </row>
    <row r="52" customFormat="false" ht="15" hidden="false" customHeight="false" outlineLevel="0" collapsed="false">
      <c r="B52" s="65" t="s">
        <v>173</v>
      </c>
      <c r="C52" s="73" t="str">
        <f aca="false">IF(BT6=0,"—",SUM(U4:U34)/BT6)</f>
        <v>—</v>
      </c>
      <c r="E52" s="65" t="s">
        <v>174</v>
      </c>
      <c r="F52" s="73" t="str">
        <f aca="false">IF(BT6=0,"—",SUM(V4:V34)/BT6)</f>
        <v>—</v>
      </c>
      <c r="H52" s="65" t="s">
        <v>175</v>
      </c>
      <c r="I52" s="73" t="str">
        <f aca="false">IF(BT6=0,"—",BT7/BT6)</f>
        <v>—</v>
      </c>
    </row>
    <row r="54" customFormat="false" ht="15" hidden="false" customHeight="false" outlineLevel="0" collapsed="false">
      <c r="A54" s="19" t="s">
        <v>176</v>
      </c>
    </row>
    <row r="55" customFormat="false" ht="15" hidden="false" customHeight="false" outlineLevel="0" collapsed="false">
      <c r="B55" s="65" t="str">
        <f aca="false">'Staff &amp; Lists'!G5</f>
        <v>JOHN MCCAN</v>
      </c>
      <c r="D55" s="68" t="n">
        <f aca="false">SUMPRODUCT(('Aug 1'!$I$8:$I$42=$B55)*'Aug 1'!$AI$8:$AI$42)+SUMPRODUCT(('Aug 2'!$I$8:$I$42=$B55)*'Aug 2'!$AI$8:$AI$42)+SUMPRODUCT(('Aug 3'!$I$8:$I$42=$B55)*'Aug 3'!$AI$8:$AI$42)+SUMPRODUCT(('Aug 4'!$I$8:$I$42=$B55)*'Aug 4'!$AI$8:$AI$42)+SUMPRODUCT(('Aug 5'!$I$8:$I$42=$B55)*'Aug 5'!$AI$8:$AI$42)+SUMPRODUCT(('Aug 6'!$I$8:$I$42=$B55)*'Aug 6'!$AI$8:$AI$42)+SUMPRODUCT(('Aug 7'!$I$8:$I$42=$B55)*'Aug 7'!$AI$8:$AI$42)+SUMPRODUCT(('Aug 8'!$I$8:$I$42=$B55)*'Aug 8'!$AI$8:$AI$42)+SUMPRODUCT(('Aug 9'!$I$8:$I$42=$B55)*'Aug 9'!$AI$8:$AI$42)+SUMPRODUCT(('Aug 10'!$I$8:$I$42=$B55)*'Aug 10'!$AI$8:$AI$42)+SUMPRODUCT(('Aug 11'!$I$8:$I$42=$B55)*'Aug 11'!$AI$8:$AI$42)+SUMPRODUCT(('Aug 12'!$I$8:$I$42=$B55)*'Aug 12'!$AI$8:$AI$42)+SUMPRODUCT(('Aug 13'!$I$8:$I$42=$B55)*'Aug 13'!$AI$8:$AI$42)+SUMPRODUCT(('Aug 14'!$I$8:$I$42=$B55)*'Aug 14'!$AI$8:$AI$42)+SUMPRODUCT(('Aug 15'!$I$8:$I$42=$B55)*'Aug 15'!$AI$8:$AI$42)+SUMPRODUCT(('Aug 16'!$I$8:$I$42=$B55)*'Aug 16'!$AI$8:$AI$42)+SUMPRODUCT(('Aug 17'!$I$8:$I$42=$B55)*'Aug 17'!$AI$8:$AI$42)+SUMPRODUCT(('Aug 18'!$I$8:$I$42=$B55)*'Aug 18'!$AI$8:$AI$42)+SUMPRODUCT(('Aug 19'!$I$8:$I$42=$B55)*'Aug 19'!$AI$8:$AI$42)+SUMPRODUCT(('Aug 20'!$I$8:$I$42=$B55)*'Aug 20'!$AI$8:$AI$42)+SUMPRODUCT(('Aug 21'!$I$8:$I$42=$B55)*'Aug 21'!$AI$8:$AI$42)+SUMPRODUCT(('Aug 22'!$I$8:$I$42=$B55)*'Aug 22'!$AI$8:$AI$42)+SUMPRODUCT(('Aug 23'!$I$8:$I$42=$B55)*'Aug 23'!$AI$8:$AI$42)+SUMPRODUCT(('Aug 24'!$I$8:$I$42=$B55)*'Aug 24'!$AI$8:$AI$42)+SUMPRODUCT(('Aug 25'!$I$8:$I$42=$B55)*'Aug 25'!$AI$8:$AI$42)+SUMPRODUCT(('Aug 26'!$I$8:$I$42=$B55)*'Aug 26'!$AI$8:$AI$42)+SUMPRODUCT(('Aug 27'!$I$8:$I$42=$B55)*'Aug 27'!$AI$8:$AI$42)+SUMPRODUCT(('Aug 28'!$I$8:$I$42=$B55)*'Aug 28'!$AI$8:$AI$42)+SUMPRODUCT(('Aug 29'!$I$8:$I$42=$B55)*'Aug 29'!$AI$8:$AI$42)+SUMPRODUCT(('Aug 30'!$I$8:$I$42=$B55)*'Aug 30'!$AI$8:$AI$42)+SUMPRODUCT(('Aug 31'!$I$8:$I$42=$B55)*'Aug 31'!$AI$8:$AI$42)</f>
        <v>0</v>
      </c>
      <c r="E55" s="69" t="str">
        <f aca="false">IF($D55=0,"—",(SUMPRODUCT(('Aug 1'!$I$8:$I$42=$B55)*'Aug 1'!$AI$8:$AI$42*('Aug 1'!$AM$8:$AM$42="Y"))+SUMPRODUCT(('Aug 2'!$I$8:$I$42=$B55)*'Aug 2'!$AI$8:$AI$42*('Aug 2'!$AM$8:$AM$42="Y"))+SUMPRODUCT(('Aug 3'!$I$8:$I$42=$B55)*'Aug 3'!$AI$8:$AI$42*('Aug 3'!$AM$8:$AM$42="Y"))+SUMPRODUCT(('Aug 4'!$I$8:$I$42=$B55)*'Aug 4'!$AI$8:$AI$42*('Aug 4'!$AM$8:$AM$42="Y"))+SUMPRODUCT(('Aug 5'!$I$8:$I$42=$B55)*'Aug 5'!$AI$8:$AI$42*('Aug 5'!$AM$8:$AM$42="Y"))+SUMPRODUCT(('Aug 6'!$I$8:$I$42=$B55)*'Aug 6'!$AI$8:$AI$42*('Aug 6'!$AM$8:$AM$42="Y"))+SUMPRODUCT(('Aug 7'!$I$8:$I$42=$B55)*'Aug 7'!$AI$8:$AI$42*('Aug 7'!$AM$8:$AM$42="Y"))+SUMPRODUCT(('Aug 8'!$I$8:$I$42=$B55)*'Aug 8'!$AI$8:$AI$42*('Aug 8'!$AM$8:$AM$42="Y"))+SUMPRODUCT(('Aug 9'!$I$8:$I$42=$B55)*'Aug 9'!$AI$8:$AI$42*('Aug 9'!$AM$8:$AM$42="Y"))+SUMPRODUCT(('Aug 10'!$I$8:$I$42=$B55)*'Aug 10'!$AI$8:$AI$42*('Aug 10'!$AM$8:$AM$42="Y"))+SUMPRODUCT(('Aug 11'!$I$8:$I$42=$B55)*'Aug 11'!$AI$8:$AI$42*('Aug 11'!$AM$8:$AM$42="Y"))+SUMPRODUCT(('Aug 12'!$I$8:$I$42=$B55)*'Aug 12'!$AI$8:$AI$42*('Aug 12'!$AM$8:$AM$42="Y"))+SUMPRODUCT(('Aug 13'!$I$8:$I$42=$B55)*'Aug 13'!$AI$8:$AI$42*('Aug 13'!$AM$8:$AM$42="Y"))+SUMPRODUCT(('Aug 14'!$I$8:$I$42=$B55)*'Aug 14'!$AI$8:$AI$42*('Aug 14'!$AM$8:$AM$42="Y"))+SUMPRODUCT(('Aug 15'!$I$8:$I$42=$B55)*'Aug 15'!$AI$8:$AI$42*('Aug 15'!$AM$8:$AM$42="Y"))+SUMPRODUCT(('Aug 16'!$I$8:$I$42=$B55)*'Aug 16'!$AI$8:$AI$42*('Aug 16'!$AM$8:$AM$42="Y"))+SUMPRODUCT(('Aug 17'!$I$8:$I$42=$B55)*'Aug 17'!$AI$8:$AI$42*('Aug 17'!$AM$8:$AM$42="Y"))+SUMPRODUCT(('Aug 18'!$I$8:$I$42=$B55)*'Aug 18'!$AI$8:$AI$42*('Aug 18'!$AM$8:$AM$42="Y"))+SUMPRODUCT(('Aug 19'!$I$8:$I$42=$B55)*'Aug 19'!$AI$8:$AI$42*('Aug 19'!$AM$8:$AM$42="Y"))+SUMPRODUCT(('Aug 20'!$I$8:$I$42=$B55)*'Aug 20'!$AI$8:$AI$42*('Aug 20'!$AM$8:$AM$42="Y"))+SUMPRODUCT(('Aug 21'!$I$8:$I$42=$B55)*'Aug 21'!$AI$8:$AI$42*('Aug 21'!$AM$8:$AM$42="Y"))+SUMPRODUCT(('Aug 22'!$I$8:$I$42=$B55)*'Aug 22'!$AI$8:$AI$42*('Aug 22'!$AM$8:$AM$42="Y"))+SUMPRODUCT(('Aug 23'!$I$8:$I$42=$B55)*'Aug 23'!$AI$8:$AI$42*('Aug 23'!$AM$8:$AM$42="Y"))+SUMPRODUCT(('Aug 24'!$I$8:$I$42=$B55)*'Aug 24'!$AI$8:$AI$42*('Aug 24'!$AM$8:$AM$42="Y"))+SUMPRODUCT(('Aug 25'!$I$8:$I$42=$B55)*'Aug 25'!$AI$8:$AI$42*('Aug 25'!$AM$8:$AM$42="Y"))+SUMPRODUCT(('Aug 26'!$I$8:$I$42=$B55)*'Aug 26'!$AI$8:$AI$42*('Aug 26'!$AM$8:$AM$42="Y"))+SUMPRODUCT(('Aug 27'!$I$8:$I$42=$B55)*'Aug 27'!$AI$8:$AI$42*('Aug 27'!$AM$8:$AM$42="Y"))+SUMPRODUCT(('Aug 28'!$I$8:$I$42=$B55)*'Aug 28'!$AI$8:$AI$42*('Aug 28'!$AM$8:$AM$42="Y"))+SUMPRODUCT(('Aug 29'!$I$8:$I$42=$B55)*'Aug 29'!$AI$8:$AI$42*('Aug 29'!$AM$8:$AM$42="Y"))+SUMPRODUCT(('Aug 30'!$I$8:$I$42=$B55)*'Aug 30'!$AI$8:$AI$42*('Aug 30'!$AM$8:$AM$42="Y"))+SUMPRODUCT(('Aug 31'!$I$8:$I$42=$B55)*'Aug 31'!$AI$8:$AI$42*('Aug 31'!$AM$8:$AM$42="Y")))/$D55)</f>
        <v>—</v>
      </c>
      <c r="F55" s="69" t="str">
        <f aca="false">IF($D55=0,"—",(SUMPRODUCT(('Aug 1'!$I$8:$I$42=$B55)*'Aug 1'!$AI$8:$AI$42*('Aug 1'!$AN$8:$AN$42="Y"))+SUMPRODUCT(('Aug 2'!$I$8:$I$42=$B55)*'Aug 2'!$AI$8:$AI$42*('Aug 2'!$AN$8:$AN$42="Y"))+SUMPRODUCT(('Aug 3'!$I$8:$I$42=$B55)*'Aug 3'!$AI$8:$AI$42*('Aug 3'!$AN$8:$AN$42="Y"))+SUMPRODUCT(('Aug 4'!$I$8:$I$42=$B55)*'Aug 4'!$AI$8:$AI$42*('Aug 4'!$AN$8:$AN$42="Y"))+SUMPRODUCT(('Aug 5'!$I$8:$I$42=$B55)*'Aug 5'!$AI$8:$AI$42*('Aug 5'!$AN$8:$AN$42="Y"))+SUMPRODUCT(('Aug 6'!$I$8:$I$42=$B55)*'Aug 6'!$AI$8:$AI$42*('Aug 6'!$AN$8:$AN$42="Y"))+SUMPRODUCT(('Aug 7'!$I$8:$I$42=$B55)*'Aug 7'!$AI$8:$AI$42*('Aug 7'!$AN$8:$AN$42="Y"))+SUMPRODUCT(('Aug 8'!$I$8:$I$42=$B55)*'Aug 8'!$AI$8:$AI$42*('Aug 8'!$AN$8:$AN$42="Y"))+SUMPRODUCT(('Aug 9'!$I$8:$I$42=$B55)*'Aug 9'!$AI$8:$AI$42*('Aug 9'!$AN$8:$AN$42="Y"))+SUMPRODUCT(('Aug 10'!$I$8:$I$42=$B55)*'Aug 10'!$AI$8:$AI$42*('Aug 10'!$AN$8:$AN$42="Y"))+SUMPRODUCT(('Aug 11'!$I$8:$I$42=$B55)*'Aug 11'!$AI$8:$AI$42*('Aug 11'!$AN$8:$AN$42="Y"))+SUMPRODUCT(('Aug 12'!$I$8:$I$42=$B55)*'Aug 12'!$AI$8:$AI$42*('Aug 12'!$AN$8:$AN$42="Y"))+SUMPRODUCT(('Aug 13'!$I$8:$I$42=$B55)*'Aug 13'!$AI$8:$AI$42*('Aug 13'!$AN$8:$AN$42="Y"))+SUMPRODUCT(('Aug 14'!$I$8:$I$42=$B55)*'Aug 14'!$AI$8:$AI$42*('Aug 14'!$AN$8:$AN$42="Y"))+SUMPRODUCT(('Aug 15'!$I$8:$I$42=$B55)*'Aug 15'!$AI$8:$AI$42*('Aug 15'!$AN$8:$AN$42="Y"))+SUMPRODUCT(('Aug 16'!$I$8:$I$42=$B55)*'Aug 16'!$AI$8:$AI$42*('Aug 16'!$AN$8:$AN$42="Y"))+SUMPRODUCT(('Aug 17'!$I$8:$I$42=$B55)*'Aug 17'!$AI$8:$AI$42*('Aug 17'!$AN$8:$AN$42="Y"))+SUMPRODUCT(('Aug 18'!$I$8:$I$42=$B55)*'Aug 18'!$AI$8:$AI$42*('Aug 18'!$AN$8:$AN$42="Y"))+SUMPRODUCT(('Aug 19'!$I$8:$I$42=$B55)*'Aug 19'!$AI$8:$AI$42*('Aug 19'!$AN$8:$AN$42="Y"))+SUMPRODUCT(('Aug 20'!$I$8:$I$42=$B55)*'Aug 20'!$AI$8:$AI$42*('Aug 20'!$AN$8:$AN$42="Y"))+SUMPRODUCT(('Aug 21'!$I$8:$I$42=$B55)*'Aug 21'!$AI$8:$AI$42*('Aug 21'!$AN$8:$AN$42="Y"))+SUMPRODUCT(('Aug 22'!$I$8:$I$42=$B55)*'Aug 22'!$AI$8:$AI$42*('Aug 22'!$AN$8:$AN$42="Y"))+SUMPRODUCT(('Aug 23'!$I$8:$I$42=$B55)*'Aug 23'!$AI$8:$AI$42*('Aug 23'!$AN$8:$AN$42="Y"))+SUMPRODUCT(('Aug 24'!$I$8:$I$42=$B55)*'Aug 24'!$AI$8:$AI$42*('Aug 24'!$AN$8:$AN$42="Y"))+SUMPRODUCT(('Aug 25'!$I$8:$I$42=$B55)*'Aug 25'!$AI$8:$AI$42*('Aug 25'!$AN$8:$AN$42="Y"))+SUMPRODUCT(('Aug 26'!$I$8:$I$42=$B55)*'Aug 26'!$AI$8:$AI$42*('Aug 26'!$AN$8:$AN$42="Y"))+SUMPRODUCT(('Aug 27'!$I$8:$I$42=$B55)*'Aug 27'!$AI$8:$AI$42*('Aug 27'!$AN$8:$AN$42="Y"))+SUMPRODUCT(('Aug 28'!$I$8:$I$42=$B55)*'Aug 28'!$AI$8:$AI$42*('Aug 28'!$AN$8:$AN$42="Y"))+SUMPRODUCT(('Aug 29'!$I$8:$I$42=$B55)*'Aug 29'!$AI$8:$AI$42*('Aug 29'!$AN$8:$AN$42="Y"))+SUMPRODUCT(('Aug 30'!$I$8:$I$42=$B55)*'Aug 30'!$AI$8:$AI$42*('Aug 30'!$AN$8:$AN$42="Y"))+SUMPRODUCT(('Aug 31'!$I$8:$I$42=$B55)*'Aug 31'!$AI$8:$AI$42*('Aug 31'!$AN$8:$AN$42="Y")))/$D55)</f>
        <v>—</v>
      </c>
      <c r="G55" s="69" t="str">
        <f aca="false">IF($D55=0,"—",(SUMPRODUCT(('Aug 1'!$I$8:$I$42=$B55)*'Aug 1'!$AI$8:$AI$42*('Aug 1'!$AO$8:$AO$42="Y"))+SUMPRODUCT(('Aug 2'!$I$8:$I$42=$B55)*'Aug 2'!$AI$8:$AI$42*('Aug 2'!$AO$8:$AO$42="Y"))+SUMPRODUCT(('Aug 3'!$I$8:$I$42=$B55)*'Aug 3'!$AI$8:$AI$42*('Aug 3'!$AO$8:$AO$42="Y"))+SUMPRODUCT(('Aug 4'!$I$8:$I$42=$B55)*'Aug 4'!$AI$8:$AI$42*('Aug 4'!$AO$8:$AO$42="Y"))+SUMPRODUCT(('Aug 5'!$I$8:$I$42=$B55)*'Aug 5'!$AI$8:$AI$42*('Aug 5'!$AO$8:$AO$42="Y"))+SUMPRODUCT(('Aug 6'!$I$8:$I$42=$B55)*'Aug 6'!$AI$8:$AI$42*('Aug 6'!$AO$8:$AO$42="Y"))+SUMPRODUCT(('Aug 7'!$I$8:$I$42=$B55)*'Aug 7'!$AI$8:$AI$42*('Aug 7'!$AO$8:$AO$42="Y"))+SUMPRODUCT(('Aug 8'!$I$8:$I$42=$B55)*'Aug 8'!$AI$8:$AI$42*('Aug 8'!$AO$8:$AO$42="Y"))+SUMPRODUCT(('Aug 9'!$I$8:$I$42=$B55)*'Aug 9'!$AI$8:$AI$42*('Aug 9'!$AO$8:$AO$42="Y"))+SUMPRODUCT(('Aug 10'!$I$8:$I$42=$B55)*'Aug 10'!$AI$8:$AI$42*('Aug 10'!$AO$8:$AO$42="Y"))+SUMPRODUCT(('Aug 11'!$I$8:$I$42=$B55)*'Aug 11'!$AI$8:$AI$42*('Aug 11'!$AO$8:$AO$42="Y"))+SUMPRODUCT(('Aug 12'!$I$8:$I$42=$B55)*'Aug 12'!$AI$8:$AI$42*('Aug 12'!$AO$8:$AO$42="Y"))+SUMPRODUCT(('Aug 13'!$I$8:$I$42=$B55)*'Aug 13'!$AI$8:$AI$42*('Aug 13'!$AO$8:$AO$42="Y"))+SUMPRODUCT(('Aug 14'!$I$8:$I$42=$B55)*'Aug 14'!$AI$8:$AI$42*('Aug 14'!$AO$8:$AO$42="Y"))+SUMPRODUCT(('Aug 15'!$I$8:$I$42=$B55)*'Aug 15'!$AI$8:$AI$42*('Aug 15'!$AO$8:$AO$42="Y"))+SUMPRODUCT(('Aug 16'!$I$8:$I$42=$B55)*'Aug 16'!$AI$8:$AI$42*('Aug 16'!$AO$8:$AO$42="Y"))+SUMPRODUCT(('Aug 17'!$I$8:$I$42=$B55)*'Aug 17'!$AI$8:$AI$42*('Aug 17'!$AO$8:$AO$42="Y"))+SUMPRODUCT(('Aug 18'!$I$8:$I$42=$B55)*'Aug 18'!$AI$8:$AI$42*('Aug 18'!$AO$8:$AO$42="Y"))+SUMPRODUCT(('Aug 19'!$I$8:$I$42=$B55)*'Aug 19'!$AI$8:$AI$42*('Aug 19'!$AO$8:$AO$42="Y"))+SUMPRODUCT(('Aug 20'!$I$8:$I$42=$B55)*'Aug 20'!$AI$8:$AI$42*('Aug 20'!$AO$8:$AO$42="Y"))+SUMPRODUCT(('Aug 21'!$I$8:$I$42=$B55)*'Aug 21'!$AI$8:$AI$42*('Aug 21'!$AO$8:$AO$42="Y"))+SUMPRODUCT(('Aug 22'!$I$8:$I$42=$B55)*'Aug 22'!$AI$8:$AI$42*('Aug 22'!$AO$8:$AO$42="Y"))+SUMPRODUCT(('Aug 23'!$I$8:$I$42=$B55)*'Aug 23'!$AI$8:$AI$42*('Aug 23'!$AO$8:$AO$42="Y"))+SUMPRODUCT(('Aug 24'!$I$8:$I$42=$B55)*'Aug 24'!$AI$8:$AI$42*('Aug 24'!$AO$8:$AO$42="Y"))+SUMPRODUCT(('Aug 25'!$I$8:$I$42=$B55)*'Aug 25'!$AI$8:$AI$42*('Aug 25'!$AO$8:$AO$42="Y"))+SUMPRODUCT(('Aug 26'!$I$8:$I$42=$B55)*'Aug 26'!$AI$8:$AI$42*('Aug 26'!$AO$8:$AO$42="Y"))+SUMPRODUCT(('Aug 27'!$I$8:$I$42=$B55)*'Aug 27'!$AI$8:$AI$42*('Aug 27'!$AO$8:$AO$42="Y"))+SUMPRODUCT(('Aug 28'!$I$8:$I$42=$B55)*'Aug 28'!$AI$8:$AI$42*('Aug 28'!$AO$8:$AO$42="Y"))+SUMPRODUCT(('Aug 29'!$I$8:$I$42=$B55)*'Aug 29'!$AI$8:$AI$42*('Aug 29'!$AO$8:$AO$42="Y"))+SUMPRODUCT(('Aug 30'!$I$8:$I$42=$B55)*'Aug 30'!$AI$8:$AI$42*('Aug 30'!$AO$8:$AO$42="Y"))+SUMPRODUCT(('Aug 31'!$I$8:$I$42=$B55)*'Aug 31'!$AI$8:$AI$42*('Aug 31'!$AO$8:$AO$42="Y")))/$D55)</f>
        <v>—</v>
      </c>
    </row>
    <row r="56" customFormat="false" ht="15" hidden="false" customHeight="false" outlineLevel="0" collapsed="false">
      <c r="B56" s="65" t="str">
        <f aca="false">'Staff &amp; Lists'!G6</f>
        <v>JACOB MAGED</v>
      </c>
      <c r="D56" s="68" t="n">
        <f aca="false">SUMPRODUCT(('Aug 1'!$I$8:$I$42=$B56)*'Aug 1'!$AI$8:$AI$42)+SUMPRODUCT(('Aug 2'!$I$8:$I$42=$B56)*'Aug 2'!$AI$8:$AI$42)+SUMPRODUCT(('Aug 3'!$I$8:$I$42=$B56)*'Aug 3'!$AI$8:$AI$42)+SUMPRODUCT(('Aug 4'!$I$8:$I$42=$B56)*'Aug 4'!$AI$8:$AI$42)+SUMPRODUCT(('Aug 5'!$I$8:$I$42=$B56)*'Aug 5'!$AI$8:$AI$42)+SUMPRODUCT(('Aug 6'!$I$8:$I$42=$B56)*'Aug 6'!$AI$8:$AI$42)+SUMPRODUCT(('Aug 7'!$I$8:$I$42=$B56)*'Aug 7'!$AI$8:$AI$42)+SUMPRODUCT(('Aug 8'!$I$8:$I$42=$B56)*'Aug 8'!$AI$8:$AI$42)+SUMPRODUCT(('Aug 9'!$I$8:$I$42=$B56)*'Aug 9'!$AI$8:$AI$42)+SUMPRODUCT(('Aug 10'!$I$8:$I$42=$B56)*'Aug 10'!$AI$8:$AI$42)+SUMPRODUCT(('Aug 11'!$I$8:$I$42=$B56)*'Aug 11'!$AI$8:$AI$42)+SUMPRODUCT(('Aug 12'!$I$8:$I$42=$B56)*'Aug 12'!$AI$8:$AI$42)+SUMPRODUCT(('Aug 13'!$I$8:$I$42=$B56)*'Aug 13'!$AI$8:$AI$42)+SUMPRODUCT(('Aug 14'!$I$8:$I$42=$B56)*'Aug 14'!$AI$8:$AI$42)+SUMPRODUCT(('Aug 15'!$I$8:$I$42=$B56)*'Aug 15'!$AI$8:$AI$42)+SUMPRODUCT(('Aug 16'!$I$8:$I$42=$B56)*'Aug 16'!$AI$8:$AI$42)+SUMPRODUCT(('Aug 17'!$I$8:$I$42=$B56)*'Aug 17'!$AI$8:$AI$42)+SUMPRODUCT(('Aug 18'!$I$8:$I$42=$B56)*'Aug 18'!$AI$8:$AI$42)+SUMPRODUCT(('Aug 19'!$I$8:$I$42=$B56)*'Aug 19'!$AI$8:$AI$42)+SUMPRODUCT(('Aug 20'!$I$8:$I$42=$B56)*'Aug 20'!$AI$8:$AI$42)+SUMPRODUCT(('Aug 21'!$I$8:$I$42=$B56)*'Aug 21'!$AI$8:$AI$42)+SUMPRODUCT(('Aug 22'!$I$8:$I$42=$B56)*'Aug 22'!$AI$8:$AI$42)+SUMPRODUCT(('Aug 23'!$I$8:$I$42=$B56)*'Aug 23'!$AI$8:$AI$42)+SUMPRODUCT(('Aug 24'!$I$8:$I$42=$B56)*'Aug 24'!$AI$8:$AI$42)+SUMPRODUCT(('Aug 25'!$I$8:$I$42=$B56)*'Aug 25'!$AI$8:$AI$42)+SUMPRODUCT(('Aug 26'!$I$8:$I$42=$B56)*'Aug 26'!$AI$8:$AI$42)+SUMPRODUCT(('Aug 27'!$I$8:$I$42=$B56)*'Aug 27'!$AI$8:$AI$42)+SUMPRODUCT(('Aug 28'!$I$8:$I$42=$B56)*'Aug 28'!$AI$8:$AI$42)+SUMPRODUCT(('Aug 29'!$I$8:$I$42=$B56)*'Aug 29'!$AI$8:$AI$42)+SUMPRODUCT(('Aug 30'!$I$8:$I$42=$B56)*'Aug 30'!$AI$8:$AI$42)+SUMPRODUCT(('Aug 31'!$I$8:$I$42=$B56)*'Aug 31'!$AI$8:$AI$42)</f>
        <v>0</v>
      </c>
      <c r="E56" s="69" t="str">
        <f aca="false">IF($D56=0,"—",(SUMPRODUCT(('Aug 1'!$I$8:$I$42=$B56)*'Aug 1'!$AI$8:$AI$42*('Aug 1'!$AM$8:$AM$42="Y"))+SUMPRODUCT(('Aug 2'!$I$8:$I$42=$B56)*'Aug 2'!$AI$8:$AI$42*('Aug 2'!$AM$8:$AM$42="Y"))+SUMPRODUCT(('Aug 3'!$I$8:$I$42=$B56)*'Aug 3'!$AI$8:$AI$42*('Aug 3'!$AM$8:$AM$42="Y"))+SUMPRODUCT(('Aug 4'!$I$8:$I$42=$B56)*'Aug 4'!$AI$8:$AI$42*('Aug 4'!$AM$8:$AM$42="Y"))+SUMPRODUCT(('Aug 5'!$I$8:$I$42=$B56)*'Aug 5'!$AI$8:$AI$42*('Aug 5'!$AM$8:$AM$42="Y"))+SUMPRODUCT(('Aug 6'!$I$8:$I$42=$B56)*'Aug 6'!$AI$8:$AI$42*('Aug 6'!$AM$8:$AM$42="Y"))+SUMPRODUCT(('Aug 7'!$I$8:$I$42=$B56)*'Aug 7'!$AI$8:$AI$42*('Aug 7'!$AM$8:$AM$42="Y"))+SUMPRODUCT(('Aug 8'!$I$8:$I$42=$B56)*'Aug 8'!$AI$8:$AI$42*('Aug 8'!$AM$8:$AM$42="Y"))+SUMPRODUCT(('Aug 9'!$I$8:$I$42=$B56)*'Aug 9'!$AI$8:$AI$42*('Aug 9'!$AM$8:$AM$42="Y"))+SUMPRODUCT(('Aug 10'!$I$8:$I$42=$B56)*'Aug 10'!$AI$8:$AI$42*('Aug 10'!$AM$8:$AM$42="Y"))+SUMPRODUCT(('Aug 11'!$I$8:$I$42=$B56)*'Aug 11'!$AI$8:$AI$42*('Aug 11'!$AM$8:$AM$42="Y"))+SUMPRODUCT(('Aug 12'!$I$8:$I$42=$B56)*'Aug 12'!$AI$8:$AI$42*('Aug 12'!$AM$8:$AM$42="Y"))+SUMPRODUCT(('Aug 13'!$I$8:$I$42=$B56)*'Aug 13'!$AI$8:$AI$42*('Aug 13'!$AM$8:$AM$42="Y"))+SUMPRODUCT(('Aug 14'!$I$8:$I$42=$B56)*'Aug 14'!$AI$8:$AI$42*('Aug 14'!$AM$8:$AM$42="Y"))+SUMPRODUCT(('Aug 15'!$I$8:$I$42=$B56)*'Aug 15'!$AI$8:$AI$42*('Aug 15'!$AM$8:$AM$42="Y"))+SUMPRODUCT(('Aug 16'!$I$8:$I$42=$B56)*'Aug 16'!$AI$8:$AI$42*('Aug 16'!$AM$8:$AM$42="Y"))+SUMPRODUCT(('Aug 17'!$I$8:$I$42=$B56)*'Aug 17'!$AI$8:$AI$42*('Aug 17'!$AM$8:$AM$42="Y"))+SUMPRODUCT(('Aug 18'!$I$8:$I$42=$B56)*'Aug 18'!$AI$8:$AI$42*('Aug 18'!$AM$8:$AM$42="Y"))+SUMPRODUCT(('Aug 19'!$I$8:$I$42=$B56)*'Aug 19'!$AI$8:$AI$42*('Aug 19'!$AM$8:$AM$42="Y"))+SUMPRODUCT(('Aug 20'!$I$8:$I$42=$B56)*'Aug 20'!$AI$8:$AI$42*('Aug 20'!$AM$8:$AM$42="Y"))+SUMPRODUCT(('Aug 21'!$I$8:$I$42=$B56)*'Aug 21'!$AI$8:$AI$42*('Aug 21'!$AM$8:$AM$42="Y"))+SUMPRODUCT(('Aug 22'!$I$8:$I$42=$B56)*'Aug 22'!$AI$8:$AI$42*('Aug 22'!$AM$8:$AM$42="Y"))+SUMPRODUCT(('Aug 23'!$I$8:$I$42=$B56)*'Aug 23'!$AI$8:$AI$42*('Aug 23'!$AM$8:$AM$42="Y"))+SUMPRODUCT(('Aug 24'!$I$8:$I$42=$B56)*'Aug 24'!$AI$8:$AI$42*('Aug 24'!$AM$8:$AM$42="Y"))+SUMPRODUCT(('Aug 25'!$I$8:$I$42=$B56)*'Aug 25'!$AI$8:$AI$42*('Aug 25'!$AM$8:$AM$42="Y"))+SUMPRODUCT(('Aug 26'!$I$8:$I$42=$B56)*'Aug 26'!$AI$8:$AI$42*('Aug 26'!$AM$8:$AM$42="Y"))+SUMPRODUCT(('Aug 27'!$I$8:$I$42=$B56)*'Aug 27'!$AI$8:$AI$42*('Aug 27'!$AM$8:$AM$42="Y"))+SUMPRODUCT(('Aug 28'!$I$8:$I$42=$B56)*'Aug 28'!$AI$8:$AI$42*('Aug 28'!$AM$8:$AM$42="Y"))+SUMPRODUCT(('Aug 29'!$I$8:$I$42=$B56)*'Aug 29'!$AI$8:$AI$42*('Aug 29'!$AM$8:$AM$42="Y"))+SUMPRODUCT(('Aug 30'!$I$8:$I$42=$B56)*'Aug 30'!$AI$8:$AI$42*('Aug 30'!$AM$8:$AM$42="Y"))+SUMPRODUCT(('Aug 31'!$I$8:$I$42=$B56)*'Aug 31'!$AI$8:$AI$42*('Aug 31'!$AM$8:$AM$42="Y")))/$D56)</f>
        <v>—</v>
      </c>
      <c r="F56" s="69" t="str">
        <f aca="false">IF($D56=0,"—",(SUMPRODUCT(('Aug 1'!$I$8:$I$42=$B56)*'Aug 1'!$AI$8:$AI$42*('Aug 1'!$AN$8:$AN$42="Y"))+SUMPRODUCT(('Aug 2'!$I$8:$I$42=$B56)*'Aug 2'!$AI$8:$AI$42*('Aug 2'!$AN$8:$AN$42="Y"))+SUMPRODUCT(('Aug 3'!$I$8:$I$42=$B56)*'Aug 3'!$AI$8:$AI$42*('Aug 3'!$AN$8:$AN$42="Y"))+SUMPRODUCT(('Aug 4'!$I$8:$I$42=$B56)*'Aug 4'!$AI$8:$AI$42*('Aug 4'!$AN$8:$AN$42="Y"))+SUMPRODUCT(('Aug 5'!$I$8:$I$42=$B56)*'Aug 5'!$AI$8:$AI$42*('Aug 5'!$AN$8:$AN$42="Y"))+SUMPRODUCT(('Aug 6'!$I$8:$I$42=$B56)*'Aug 6'!$AI$8:$AI$42*('Aug 6'!$AN$8:$AN$42="Y"))+SUMPRODUCT(('Aug 7'!$I$8:$I$42=$B56)*'Aug 7'!$AI$8:$AI$42*('Aug 7'!$AN$8:$AN$42="Y"))+SUMPRODUCT(('Aug 8'!$I$8:$I$42=$B56)*'Aug 8'!$AI$8:$AI$42*('Aug 8'!$AN$8:$AN$42="Y"))+SUMPRODUCT(('Aug 9'!$I$8:$I$42=$B56)*'Aug 9'!$AI$8:$AI$42*('Aug 9'!$AN$8:$AN$42="Y"))+SUMPRODUCT(('Aug 10'!$I$8:$I$42=$B56)*'Aug 10'!$AI$8:$AI$42*('Aug 10'!$AN$8:$AN$42="Y"))+SUMPRODUCT(('Aug 11'!$I$8:$I$42=$B56)*'Aug 11'!$AI$8:$AI$42*('Aug 11'!$AN$8:$AN$42="Y"))+SUMPRODUCT(('Aug 12'!$I$8:$I$42=$B56)*'Aug 12'!$AI$8:$AI$42*('Aug 12'!$AN$8:$AN$42="Y"))+SUMPRODUCT(('Aug 13'!$I$8:$I$42=$B56)*'Aug 13'!$AI$8:$AI$42*('Aug 13'!$AN$8:$AN$42="Y"))+SUMPRODUCT(('Aug 14'!$I$8:$I$42=$B56)*'Aug 14'!$AI$8:$AI$42*('Aug 14'!$AN$8:$AN$42="Y"))+SUMPRODUCT(('Aug 15'!$I$8:$I$42=$B56)*'Aug 15'!$AI$8:$AI$42*('Aug 15'!$AN$8:$AN$42="Y"))+SUMPRODUCT(('Aug 16'!$I$8:$I$42=$B56)*'Aug 16'!$AI$8:$AI$42*('Aug 16'!$AN$8:$AN$42="Y"))+SUMPRODUCT(('Aug 17'!$I$8:$I$42=$B56)*'Aug 17'!$AI$8:$AI$42*('Aug 17'!$AN$8:$AN$42="Y"))+SUMPRODUCT(('Aug 18'!$I$8:$I$42=$B56)*'Aug 18'!$AI$8:$AI$42*('Aug 18'!$AN$8:$AN$42="Y"))+SUMPRODUCT(('Aug 19'!$I$8:$I$42=$B56)*'Aug 19'!$AI$8:$AI$42*('Aug 19'!$AN$8:$AN$42="Y"))+SUMPRODUCT(('Aug 20'!$I$8:$I$42=$B56)*'Aug 20'!$AI$8:$AI$42*('Aug 20'!$AN$8:$AN$42="Y"))+SUMPRODUCT(('Aug 21'!$I$8:$I$42=$B56)*'Aug 21'!$AI$8:$AI$42*('Aug 21'!$AN$8:$AN$42="Y"))+SUMPRODUCT(('Aug 22'!$I$8:$I$42=$B56)*'Aug 22'!$AI$8:$AI$42*('Aug 22'!$AN$8:$AN$42="Y"))+SUMPRODUCT(('Aug 23'!$I$8:$I$42=$B56)*'Aug 23'!$AI$8:$AI$42*('Aug 23'!$AN$8:$AN$42="Y"))+SUMPRODUCT(('Aug 24'!$I$8:$I$42=$B56)*'Aug 24'!$AI$8:$AI$42*('Aug 24'!$AN$8:$AN$42="Y"))+SUMPRODUCT(('Aug 25'!$I$8:$I$42=$B56)*'Aug 25'!$AI$8:$AI$42*('Aug 25'!$AN$8:$AN$42="Y"))+SUMPRODUCT(('Aug 26'!$I$8:$I$42=$B56)*'Aug 26'!$AI$8:$AI$42*('Aug 26'!$AN$8:$AN$42="Y"))+SUMPRODUCT(('Aug 27'!$I$8:$I$42=$B56)*'Aug 27'!$AI$8:$AI$42*('Aug 27'!$AN$8:$AN$42="Y"))+SUMPRODUCT(('Aug 28'!$I$8:$I$42=$B56)*'Aug 28'!$AI$8:$AI$42*('Aug 28'!$AN$8:$AN$42="Y"))+SUMPRODUCT(('Aug 29'!$I$8:$I$42=$B56)*'Aug 29'!$AI$8:$AI$42*('Aug 29'!$AN$8:$AN$42="Y"))+SUMPRODUCT(('Aug 30'!$I$8:$I$42=$B56)*'Aug 30'!$AI$8:$AI$42*('Aug 30'!$AN$8:$AN$42="Y"))+SUMPRODUCT(('Aug 31'!$I$8:$I$42=$B56)*'Aug 31'!$AI$8:$AI$42*('Aug 31'!$AN$8:$AN$42="Y")))/$D56)</f>
        <v>—</v>
      </c>
      <c r="G56" s="69" t="str">
        <f aca="false">IF($D56=0,"—",(SUMPRODUCT(('Aug 1'!$I$8:$I$42=$B56)*'Aug 1'!$AI$8:$AI$42*('Aug 1'!$AO$8:$AO$42="Y"))+SUMPRODUCT(('Aug 2'!$I$8:$I$42=$B56)*'Aug 2'!$AI$8:$AI$42*('Aug 2'!$AO$8:$AO$42="Y"))+SUMPRODUCT(('Aug 3'!$I$8:$I$42=$B56)*'Aug 3'!$AI$8:$AI$42*('Aug 3'!$AO$8:$AO$42="Y"))+SUMPRODUCT(('Aug 4'!$I$8:$I$42=$B56)*'Aug 4'!$AI$8:$AI$42*('Aug 4'!$AO$8:$AO$42="Y"))+SUMPRODUCT(('Aug 5'!$I$8:$I$42=$B56)*'Aug 5'!$AI$8:$AI$42*('Aug 5'!$AO$8:$AO$42="Y"))+SUMPRODUCT(('Aug 6'!$I$8:$I$42=$B56)*'Aug 6'!$AI$8:$AI$42*('Aug 6'!$AO$8:$AO$42="Y"))+SUMPRODUCT(('Aug 7'!$I$8:$I$42=$B56)*'Aug 7'!$AI$8:$AI$42*('Aug 7'!$AO$8:$AO$42="Y"))+SUMPRODUCT(('Aug 8'!$I$8:$I$42=$B56)*'Aug 8'!$AI$8:$AI$42*('Aug 8'!$AO$8:$AO$42="Y"))+SUMPRODUCT(('Aug 9'!$I$8:$I$42=$B56)*'Aug 9'!$AI$8:$AI$42*('Aug 9'!$AO$8:$AO$42="Y"))+SUMPRODUCT(('Aug 10'!$I$8:$I$42=$B56)*'Aug 10'!$AI$8:$AI$42*('Aug 10'!$AO$8:$AO$42="Y"))+SUMPRODUCT(('Aug 11'!$I$8:$I$42=$B56)*'Aug 11'!$AI$8:$AI$42*('Aug 11'!$AO$8:$AO$42="Y"))+SUMPRODUCT(('Aug 12'!$I$8:$I$42=$B56)*'Aug 12'!$AI$8:$AI$42*('Aug 12'!$AO$8:$AO$42="Y"))+SUMPRODUCT(('Aug 13'!$I$8:$I$42=$B56)*'Aug 13'!$AI$8:$AI$42*('Aug 13'!$AO$8:$AO$42="Y"))+SUMPRODUCT(('Aug 14'!$I$8:$I$42=$B56)*'Aug 14'!$AI$8:$AI$42*('Aug 14'!$AO$8:$AO$42="Y"))+SUMPRODUCT(('Aug 15'!$I$8:$I$42=$B56)*'Aug 15'!$AI$8:$AI$42*('Aug 15'!$AO$8:$AO$42="Y"))+SUMPRODUCT(('Aug 16'!$I$8:$I$42=$B56)*'Aug 16'!$AI$8:$AI$42*('Aug 16'!$AO$8:$AO$42="Y"))+SUMPRODUCT(('Aug 17'!$I$8:$I$42=$B56)*'Aug 17'!$AI$8:$AI$42*('Aug 17'!$AO$8:$AO$42="Y"))+SUMPRODUCT(('Aug 18'!$I$8:$I$42=$B56)*'Aug 18'!$AI$8:$AI$42*('Aug 18'!$AO$8:$AO$42="Y"))+SUMPRODUCT(('Aug 19'!$I$8:$I$42=$B56)*'Aug 19'!$AI$8:$AI$42*('Aug 19'!$AO$8:$AO$42="Y"))+SUMPRODUCT(('Aug 20'!$I$8:$I$42=$B56)*'Aug 20'!$AI$8:$AI$42*('Aug 20'!$AO$8:$AO$42="Y"))+SUMPRODUCT(('Aug 21'!$I$8:$I$42=$B56)*'Aug 21'!$AI$8:$AI$42*('Aug 21'!$AO$8:$AO$42="Y"))+SUMPRODUCT(('Aug 22'!$I$8:$I$42=$B56)*'Aug 22'!$AI$8:$AI$42*('Aug 22'!$AO$8:$AO$42="Y"))+SUMPRODUCT(('Aug 23'!$I$8:$I$42=$B56)*'Aug 23'!$AI$8:$AI$42*('Aug 23'!$AO$8:$AO$42="Y"))+SUMPRODUCT(('Aug 24'!$I$8:$I$42=$B56)*'Aug 24'!$AI$8:$AI$42*('Aug 24'!$AO$8:$AO$42="Y"))+SUMPRODUCT(('Aug 25'!$I$8:$I$42=$B56)*'Aug 25'!$AI$8:$AI$42*('Aug 25'!$AO$8:$AO$42="Y"))+SUMPRODUCT(('Aug 26'!$I$8:$I$42=$B56)*'Aug 26'!$AI$8:$AI$42*('Aug 26'!$AO$8:$AO$42="Y"))+SUMPRODUCT(('Aug 27'!$I$8:$I$42=$B56)*'Aug 27'!$AI$8:$AI$42*('Aug 27'!$AO$8:$AO$42="Y"))+SUMPRODUCT(('Aug 28'!$I$8:$I$42=$B56)*'Aug 28'!$AI$8:$AI$42*('Aug 28'!$AO$8:$AO$42="Y"))+SUMPRODUCT(('Aug 29'!$I$8:$I$42=$B56)*'Aug 29'!$AI$8:$AI$42*('Aug 29'!$AO$8:$AO$42="Y"))+SUMPRODUCT(('Aug 30'!$I$8:$I$42=$B56)*'Aug 30'!$AI$8:$AI$42*('Aug 30'!$AO$8:$AO$42="Y"))+SUMPRODUCT(('Aug 31'!$I$8:$I$42=$B56)*'Aug 31'!$AI$8:$AI$42*('Aug 31'!$AO$8:$AO$42="Y")))/$D56)</f>
        <v>—</v>
      </c>
    </row>
  </sheetData>
  <sheetProtection sheet="true" formatColumns="false" formatRows="false"/>
  <mergeCells count="187">
    <mergeCell ref="A1:C3"/>
    <mergeCell ref="D1:M2"/>
    <mergeCell ref="N1:R3"/>
    <mergeCell ref="D3:M3"/>
    <mergeCell ref="A5:R5"/>
    <mergeCell ref="B6:C6"/>
    <mergeCell ref="D6:F6"/>
    <mergeCell ref="G6:H6"/>
    <mergeCell ref="I6:J6"/>
    <mergeCell ref="L6:M6"/>
    <mergeCell ref="B7:C7"/>
    <mergeCell ref="D7:F7"/>
    <mergeCell ref="G7:H7"/>
    <mergeCell ref="I7:J7"/>
    <mergeCell ref="L7:M7"/>
    <mergeCell ref="A9:R9"/>
    <mergeCell ref="B10:C10"/>
    <mergeCell ref="D10:E10"/>
    <mergeCell ref="F10:H10"/>
    <mergeCell ref="I10:J10"/>
    <mergeCell ref="K10:L10"/>
    <mergeCell ref="M10:R10"/>
    <mergeCell ref="B11:C11"/>
    <mergeCell ref="D11:E11"/>
    <mergeCell ref="F11:H11"/>
    <mergeCell ref="I11:J11"/>
    <mergeCell ref="K11:L11"/>
    <mergeCell ref="M11:R11"/>
    <mergeCell ref="A13:R13"/>
    <mergeCell ref="B14:C14"/>
    <mergeCell ref="D14:E14"/>
    <mergeCell ref="F14:G14"/>
    <mergeCell ref="H14:I14"/>
    <mergeCell ref="J14:K14"/>
    <mergeCell ref="L14:M14"/>
    <mergeCell ref="N14:O14"/>
    <mergeCell ref="N15:O15"/>
    <mergeCell ref="N16:O16"/>
    <mergeCell ref="B17:C17"/>
    <mergeCell ref="D17:E17"/>
    <mergeCell ref="F17:G17"/>
    <mergeCell ref="H17:I17"/>
    <mergeCell ref="J17:K17"/>
    <mergeCell ref="L17:M17"/>
    <mergeCell ref="N17:O17"/>
    <mergeCell ref="B18:C18"/>
    <mergeCell ref="D18:E18"/>
    <mergeCell ref="F18:G18"/>
    <mergeCell ref="H18:I18"/>
    <mergeCell ref="J18:K18"/>
    <mergeCell ref="L18:M18"/>
    <mergeCell ref="N18:O18"/>
    <mergeCell ref="B19:C19"/>
    <mergeCell ref="D19:E19"/>
    <mergeCell ref="F19:G19"/>
    <mergeCell ref="H19:I19"/>
    <mergeCell ref="J19:K19"/>
    <mergeCell ref="L19:M19"/>
    <mergeCell ref="N19:O19"/>
    <mergeCell ref="B20:C20"/>
    <mergeCell ref="D20:E20"/>
    <mergeCell ref="F20:G20"/>
    <mergeCell ref="H20:I20"/>
    <mergeCell ref="J20:K20"/>
    <mergeCell ref="L20:M20"/>
    <mergeCell ref="N20:O20"/>
    <mergeCell ref="B21:C21"/>
    <mergeCell ref="D21:E21"/>
    <mergeCell ref="F21:G21"/>
    <mergeCell ref="H21:I21"/>
    <mergeCell ref="J21:K21"/>
    <mergeCell ref="L21:M21"/>
    <mergeCell ref="N21:O21"/>
    <mergeCell ref="B22:C22"/>
    <mergeCell ref="D22:E22"/>
    <mergeCell ref="F22:G22"/>
    <mergeCell ref="H22:I22"/>
    <mergeCell ref="J22:K22"/>
    <mergeCell ref="L22:M22"/>
    <mergeCell ref="N22:O22"/>
    <mergeCell ref="B23:C23"/>
    <mergeCell ref="D23:E23"/>
    <mergeCell ref="F23:G23"/>
    <mergeCell ref="H23:I23"/>
    <mergeCell ref="J23:K23"/>
    <mergeCell ref="L23:M23"/>
    <mergeCell ref="N23:O23"/>
    <mergeCell ref="B24:C24"/>
    <mergeCell ref="D24:E24"/>
    <mergeCell ref="F24:G24"/>
    <mergeCell ref="H24:I24"/>
    <mergeCell ref="J24:K24"/>
    <mergeCell ref="L24:M24"/>
    <mergeCell ref="N24:O24"/>
    <mergeCell ref="B25:C25"/>
    <mergeCell ref="D25:E25"/>
    <mergeCell ref="B26:C26"/>
    <mergeCell ref="D26:E26"/>
    <mergeCell ref="A28:M28"/>
    <mergeCell ref="N28:R28"/>
    <mergeCell ref="B29:G29"/>
    <mergeCell ref="H29:I29"/>
    <mergeCell ref="J29:K29"/>
    <mergeCell ref="L29:M29"/>
    <mergeCell ref="N29:O29"/>
    <mergeCell ref="Q29:R29"/>
    <mergeCell ref="B30:G30"/>
    <mergeCell ref="H30:I30"/>
    <mergeCell ref="J30:K30"/>
    <mergeCell ref="L30:M30"/>
    <mergeCell ref="N30:O30"/>
    <mergeCell ref="Q30:R30"/>
    <mergeCell ref="B31:G31"/>
    <mergeCell ref="H31:I31"/>
    <mergeCell ref="J31:K31"/>
    <mergeCell ref="L31:M31"/>
    <mergeCell ref="N31:O31"/>
    <mergeCell ref="Q31:R31"/>
    <mergeCell ref="B32:G32"/>
    <mergeCell ref="H32:I32"/>
    <mergeCell ref="J32:K32"/>
    <mergeCell ref="L32:M32"/>
    <mergeCell ref="N32:O32"/>
    <mergeCell ref="Q32:R32"/>
    <mergeCell ref="B33:G33"/>
    <mergeCell ref="H33:I33"/>
    <mergeCell ref="J33:K33"/>
    <mergeCell ref="L33:M33"/>
    <mergeCell ref="N33:O33"/>
    <mergeCell ref="Q33:R33"/>
    <mergeCell ref="B34:G34"/>
    <mergeCell ref="H34:I34"/>
    <mergeCell ref="J34:K34"/>
    <mergeCell ref="L34:M34"/>
    <mergeCell ref="N34:O34"/>
    <mergeCell ref="Q34:R34"/>
    <mergeCell ref="B35:G35"/>
    <mergeCell ref="H35:I35"/>
    <mergeCell ref="J35:K35"/>
    <mergeCell ref="L35:M35"/>
    <mergeCell ref="B36:G36"/>
    <mergeCell ref="H36:I36"/>
    <mergeCell ref="J36:K36"/>
    <mergeCell ref="L36:M36"/>
    <mergeCell ref="N36:R36"/>
    <mergeCell ref="B37:G37"/>
    <mergeCell ref="H37:I37"/>
    <mergeCell ref="J37:K37"/>
    <mergeCell ref="L37:M37"/>
    <mergeCell ref="N37:P37"/>
    <mergeCell ref="Q37:R37"/>
    <mergeCell ref="B38:G38"/>
    <mergeCell ref="H38:I38"/>
    <mergeCell ref="J38:K38"/>
    <mergeCell ref="L38:M38"/>
    <mergeCell ref="N38:P38"/>
    <mergeCell ref="Q38:R38"/>
    <mergeCell ref="B39:G39"/>
    <mergeCell ref="H39:I39"/>
    <mergeCell ref="J39:K39"/>
    <mergeCell ref="L39:M39"/>
    <mergeCell ref="N39:P39"/>
    <mergeCell ref="Q39:R39"/>
    <mergeCell ref="B40:G40"/>
    <mergeCell ref="H40:I40"/>
    <mergeCell ref="J40:K40"/>
    <mergeCell ref="L40:M40"/>
    <mergeCell ref="B41:G41"/>
    <mergeCell ref="H41:I41"/>
    <mergeCell ref="J41:K41"/>
    <mergeCell ref="L41:M41"/>
    <mergeCell ref="B42:G42"/>
    <mergeCell ref="H42:I42"/>
    <mergeCell ref="J42:K42"/>
    <mergeCell ref="L42:M42"/>
    <mergeCell ref="B43:G43"/>
    <mergeCell ref="H43:I43"/>
    <mergeCell ref="J43:K43"/>
    <mergeCell ref="L43:M43"/>
    <mergeCell ref="B44:G44"/>
    <mergeCell ref="H44:I44"/>
    <mergeCell ref="J44:K44"/>
    <mergeCell ref="L44:M44"/>
    <mergeCell ref="B45:G45"/>
    <mergeCell ref="H45:I45"/>
    <mergeCell ref="J45:K45"/>
    <mergeCell ref="L45:M45"/>
  </mergeCells>
  <conditionalFormatting sqref="M11">
    <cfRule type="expression" priority="2" aboveAverage="0" equalAverage="0" bottom="0" percent="0" rank="0" text="" dxfId="8">
      <formula>OR(LEFT($M$11,1)="✓",$M$11="● AHEAD OF PACE")</formula>
    </cfRule>
    <cfRule type="expression" priority="3" aboveAverage="0" equalAverage="0" bottom="0" percent="0" rank="0" text="" dxfId="9">
      <formula>$M$11="● ON PACE"</formula>
    </cfRule>
    <cfRule type="expression" priority="4" aboveAverage="0" equalAverage="0" bottom="0" percent="0" rank="0" text="" dxfId="10">
      <formula>$M$11="● BEHIND PACE"</formula>
    </cfRule>
  </conditionalFormatting>
  <conditionalFormatting sqref="G48">
    <cfRule type="expression" priority="5" aboveAverage="0" equalAverage="0" bottom="0" percent="0" rank="0" text="" dxfId="11">
      <formula>N($G$48)&gt;0</formula>
    </cfRule>
  </conditionalFormatting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V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"/>
    <col collapsed="false" customWidth="true" hidden="false" outlineLevel="0" max="5" min="4" style="0" width="11"/>
    <col collapsed="false" customWidth="true" hidden="false" outlineLevel="0" max="6" min="6" style="0" width="2"/>
    <col collapsed="false" customWidth="true" hidden="false" outlineLevel="0" max="8" min="7" style="0" width="11"/>
    <col collapsed="false" customWidth="true" hidden="false" outlineLevel="0" max="9" min="9" style="0" width="2"/>
    <col collapsed="false" customWidth="true" hidden="false" outlineLevel="0" max="11" min="10" style="0" width="11"/>
    <col collapsed="false" customWidth="true" hidden="true" outlineLevel="0" max="22" min="16" style="0" width="13"/>
  </cols>
  <sheetData>
    <row r="1" customFormat="false" ht="15" hidden="false" customHeight="false" outlineLevel="0" collapsed="false">
      <c r="A1" s="59" t="s">
        <v>177</v>
      </c>
    </row>
    <row r="2" customFormat="false" ht="15" hidden="false" customHeight="false" outlineLevel="0" collapsed="false">
      <c r="A2" s="84" t="str">
        <f aca="false">"Month:  " &amp; TEXT(DATE(2026,8,1),"mmmm yyyy") &amp; "    |    WeAuto Dealer Group    |    Worry Free Guarantee    |    Advanced Deal Log"</f>
        <v>Month:  August 2026    |    WeAuto Dealer Group    |    Worry Free Guarantee    |    Advanced Deal Log</v>
      </c>
      <c r="B2" s="84"/>
      <c r="C2" s="84"/>
      <c r="D2" s="84"/>
      <c r="E2" s="84"/>
      <c r="F2" s="84"/>
      <c r="G2" s="84"/>
      <c r="H2" s="84"/>
      <c r="I2" s="84"/>
      <c r="J2" s="84"/>
      <c r="K2" s="84"/>
    </row>
    <row r="4" customFormat="false" ht="15.75" hidden="false" customHeight="true" outlineLevel="0" collapsed="false">
      <c r="A4" s="85" t="s">
        <v>178</v>
      </c>
      <c r="B4" s="85"/>
      <c r="C4" s="85"/>
      <c r="D4" s="85"/>
      <c r="E4" s="85"/>
      <c r="F4" s="85"/>
      <c r="G4" s="85"/>
      <c r="H4" s="85"/>
      <c r="I4" s="85"/>
      <c r="J4" s="85"/>
      <c r="K4" s="85"/>
    </row>
    <row r="6" customFormat="false" ht="15" hidden="false" customHeight="false" outlineLevel="0" collapsed="false">
      <c r="P6" s="0" t="s">
        <v>179</v>
      </c>
      <c r="Q6" s="0" t="s">
        <v>180</v>
      </c>
      <c r="R6" s="0" t="s">
        <v>181</v>
      </c>
      <c r="S6" s="0" t="s">
        <v>182</v>
      </c>
      <c r="T6" s="0" t="s">
        <v>183</v>
      </c>
      <c r="U6" s="0" t="s">
        <v>184</v>
      </c>
      <c r="V6" s="0" t="s">
        <v>185</v>
      </c>
    </row>
    <row r="7" customFormat="false" ht="15" hidden="false" customHeight="false" outlineLevel="0" collapsed="false">
      <c r="P7" s="0" t="s">
        <v>186</v>
      </c>
      <c r="Q7" s="0" t="n">
        <f aca="false">SUMIFS('Aug 1'!$AI$8:$AI$42,'Aug 1'!$A$8:$A$42,"New")</f>
        <v>0</v>
      </c>
      <c r="R7" s="0" t="n">
        <f aca="false">SUMIFS('Aug 1'!$Q$8:$Q$42,'Aug 1'!$A$8:$A$42,"New",'Aug 1'!$AI$8:$AI$42,1)</f>
        <v>0</v>
      </c>
      <c r="S7" s="0" t="n">
        <f aca="false">SUMIFS('Aug 1'!$R$8:$R$42,'Aug 1'!$A$8:$A$42,"New",'Aug 1'!$AI$8:$AI$42,1)</f>
        <v>0</v>
      </c>
      <c r="T7" s="0" t="n">
        <f aca="false">SUMIFS('Aug 1'!$AI$8:$AI$42,'Aug 1'!$A$8:$A$42,"Used")</f>
        <v>0</v>
      </c>
      <c r="U7" s="0" t="n">
        <f aca="false">SUMIFS('Aug 1'!$Q$8:$Q$42,'Aug 1'!$A$8:$A$42,"Used",'Aug 1'!$AI$8:$AI$42,1)</f>
        <v>0</v>
      </c>
      <c r="V7" s="0" t="n">
        <f aca="false">SUMIFS('Aug 1'!$R$8:$R$42,'Aug 1'!$A$8:$A$42,"Used",'Aug 1'!$AI$8:$AI$42,1)</f>
        <v>0</v>
      </c>
    </row>
    <row r="8" customFormat="false" ht="15" hidden="false" customHeight="false" outlineLevel="0" collapsed="false">
      <c r="A8" s="86" t="s">
        <v>187</v>
      </c>
      <c r="B8" s="87" t="n">
        <f aca="false">COUNT(Dashboard!$BR$4:$BR$29)</f>
        <v>26</v>
      </c>
      <c r="D8" s="86" t="s">
        <v>188</v>
      </c>
      <c r="E8" s="87" t="n">
        <f aca="false">Dashboard!$BT$4</f>
        <v>1</v>
      </c>
      <c r="P8" s="0" t="s">
        <v>189</v>
      </c>
      <c r="Q8" s="0" t="n">
        <f aca="false">SUMIFS('Aug 2'!$AI$8:$AI$42,'Aug 2'!$A$8:$A$42,"New")</f>
        <v>0</v>
      </c>
      <c r="R8" s="0" t="n">
        <f aca="false">SUMIFS('Aug 2'!$Q$8:$Q$42,'Aug 2'!$A$8:$A$42,"New",'Aug 2'!$AI$8:$AI$42,1)</f>
        <v>0</v>
      </c>
      <c r="S8" s="0" t="n">
        <f aca="false">SUMIFS('Aug 2'!$R$8:$R$42,'Aug 2'!$A$8:$A$42,"New",'Aug 2'!$AI$8:$AI$42,1)</f>
        <v>0</v>
      </c>
      <c r="T8" s="0" t="n">
        <f aca="false">SUMIFS('Aug 2'!$AI$8:$AI$42,'Aug 2'!$A$8:$A$42,"Used")</f>
        <v>0</v>
      </c>
      <c r="U8" s="0" t="n">
        <f aca="false">SUMIFS('Aug 2'!$Q$8:$Q$42,'Aug 2'!$A$8:$A$42,"Used",'Aug 2'!$AI$8:$AI$42,1)</f>
        <v>0</v>
      </c>
      <c r="V8" s="0" t="n">
        <f aca="false">SUMIFS('Aug 2'!$R$8:$R$42,'Aug 2'!$A$8:$A$42,"Used",'Aug 2'!$AI$8:$AI$42,1)</f>
        <v>0</v>
      </c>
    </row>
    <row r="9" customFormat="false" ht="15" hidden="false" customHeight="false" outlineLevel="0" collapsed="false">
      <c r="P9" s="0" t="s">
        <v>190</v>
      </c>
      <c r="Q9" s="0" t="n">
        <f aca="false">SUMIFS('Aug 3'!$AI$8:$AI$42,'Aug 3'!$A$8:$A$42,"New")</f>
        <v>0</v>
      </c>
      <c r="R9" s="0" t="n">
        <f aca="false">SUMIFS('Aug 3'!$Q$8:$Q$42,'Aug 3'!$A$8:$A$42,"New",'Aug 3'!$AI$8:$AI$42,1)</f>
        <v>0</v>
      </c>
      <c r="S9" s="0" t="n">
        <f aca="false">SUMIFS('Aug 3'!$R$8:$R$42,'Aug 3'!$A$8:$A$42,"New",'Aug 3'!$AI$8:$AI$42,1)</f>
        <v>0</v>
      </c>
      <c r="T9" s="0" t="n">
        <f aca="false">SUMIFS('Aug 3'!$AI$8:$AI$42,'Aug 3'!$A$8:$A$42,"Used")</f>
        <v>0</v>
      </c>
      <c r="U9" s="0" t="n">
        <f aca="false">SUMIFS('Aug 3'!$Q$8:$Q$42,'Aug 3'!$A$8:$A$42,"Used",'Aug 3'!$AI$8:$AI$42,1)</f>
        <v>0</v>
      </c>
      <c r="V9" s="0" t="n">
        <f aca="false">SUMIFS('Aug 3'!$R$8:$R$42,'Aug 3'!$A$8:$A$42,"Used",'Aug 3'!$AI$8:$AI$42,1)</f>
        <v>0</v>
      </c>
    </row>
    <row r="10" customFormat="false" ht="15" hidden="false" customHeight="false" outlineLevel="0" collapsed="false">
      <c r="A10" s="86" t="s">
        <v>191</v>
      </c>
      <c r="B10" s="87" t="n">
        <f aca="true">INDEX($Q$7:$Q$37,IF($K$10="",DAY(TODAY()),$K$10))</f>
        <v>0</v>
      </c>
      <c r="D10" s="86" t="s">
        <v>192</v>
      </c>
      <c r="E10" s="88" t="n">
        <f aca="true">INDEX($R$7:$R$37,IF($K$10="",DAY(TODAY()),$K$10))</f>
        <v>0</v>
      </c>
      <c r="G10" s="86" t="s">
        <v>193</v>
      </c>
      <c r="H10" s="88" t="n">
        <f aca="true">INDEX($S$7:$S$37,IF($K$10="",DAY(TODAY()),$K$10))</f>
        <v>0</v>
      </c>
      <c r="J10" s="89" t="s">
        <v>194</v>
      </c>
      <c r="K10" s="90"/>
      <c r="P10" s="0" t="s">
        <v>195</v>
      </c>
      <c r="Q10" s="0" t="n">
        <f aca="false">SUMIFS('Aug 4'!$AI$8:$AI$42,'Aug 4'!$A$8:$A$42,"New")</f>
        <v>0</v>
      </c>
      <c r="R10" s="0" t="n">
        <f aca="false">SUMIFS('Aug 4'!$Q$8:$Q$42,'Aug 4'!$A$8:$A$42,"New",'Aug 4'!$AI$8:$AI$42,1)</f>
        <v>0</v>
      </c>
      <c r="S10" s="0" t="n">
        <f aca="false">SUMIFS('Aug 4'!$R$8:$R$42,'Aug 4'!$A$8:$A$42,"New",'Aug 4'!$AI$8:$AI$42,1)</f>
        <v>0</v>
      </c>
      <c r="T10" s="0" t="n">
        <f aca="false">SUMIFS('Aug 4'!$AI$8:$AI$42,'Aug 4'!$A$8:$A$42,"Used")</f>
        <v>0</v>
      </c>
      <c r="U10" s="0" t="n">
        <f aca="false">SUMIFS('Aug 4'!$Q$8:$Q$42,'Aug 4'!$A$8:$A$42,"Used",'Aug 4'!$AI$8:$AI$42,1)</f>
        <v>0</v>
      </c>
      <c r="V10" s="0" t="n">
        <f aca="false">SUMIFS('Aug 4'!$R$8:$R$42,'Aug 4'!$A$8:$A$42,"Used",'Aug 4'!$AI$8:$AI$42,1)</f>
        <v>0</v>
      </c>
    </row>
    <row r="11" customFormat="false" ht="15" hidden="false" customHeight="false" outlineLevel="0" collapsed="false">
      <c r="A11" s="86" t="s">
        <v>196</v>
      </c>
      <c r="B11" s="87" t="n">
        <f aca="true">INDEX($T$7:$T$37,IF($K$10="",DAY(TODAY()),$K$10))</f>
        <v>0</v>
      </c>
      <c r="D11" s="86" t="s">
        <v>197</v>
      </c>
      <c r="E11" s="88" t="n">
        <f aca="true">INDEX($U$7:$U$37,IF($K$10="",DAY(TODAY()),$K$10))</f>
        <v>0</v>
      </c>
      <c r="G11" s="86" t="s">
        <v>198</v>
      </c>
      <c r="H11" s="88" t="n">
        <f aca="true">INDEX($V$7:$V$37,IF($K$10="",DAY(TODAY()),$K$10))</f>
        <v>0</v>
      </c>
      <c r="P11" s="0" t="s">
        <v>199</v>
      </c>
      <c r="Q11" s="0" t="n">
        <f aca="false">SUMIFS('Aug 5'!$AI$8:$AI$42,'Aug 5'!$A$8:$A$42,"New")</f>
        <v>0</v>
      </c>
      <c r="R11" s="0" t="n">
        <f aca="false">SUMIFS('Aug 5'!$Q$8:$Q$42,'Aug 5'!$A$8:$A$42,"New",'Aug 5'!$AI$8:$AI$42,1)</f>
        <v>0</v>
      </c>
      <c r="S11" s="0" t="n">
        <f aca="false">SUMIFS('Aug 5'!$R$8:$R$42,'Aug 5'!$A$8:$A$42,"New",'Aug 5'!$AI$8:$AI$42,1)</f>
        <v>0</v>
      </c>
      <c r="T11" s="0" t="n">
        <f aca="false">SUMIFS('Aug 5'!$AI$8:$AI$42,'Aug 5'!$A$8:$A$42,"Used")</f>
        <v>0</v>
      </c>
      <c r="U11" s="0" t="n">
        <f aca="false">SUMIFS('Aug 5'!$Q$8:$Q$42,'Aug 5'!$A$8:$A$42,"Used",'Aug 5'!$AI$8:$AI$42,1)</f>
        <v>0</v>
      </c>
      <c r="V11" s="0" t="n">
        <f aca="false">SUMIFS('Aug 5'!$R$8:$R$42,'Aug 5'!$A$8:$A$42,"Used",'Aug 5'!$AI$8:$AI$42,1)</f>
        <v>0</v>
      </c>
    </row>
    <row r="12" customFormat="false" ht="15" hidden="false" customHeight="false" outlineLevel="0" collapsed="false">
      <c r="A12" s="86" t="s">
        <v>200</v>
      </c>
      <c r="B12" s="88" t="n">
        <f aca="false">$E$10+$H$10+$E$11+$H$11</f>
        <v>0</v>
      </c>
      <c r="D12" s="86" t="s">
        <v>201</v>
      </c>
      <c r="E12" s="87" t="n">
        <f aca="true">SUM($Q$7:INDEX($Q$7:$Q$37,IF($K$10="",DAY(TODAY()),$K$10)))</f>
        <v>0</v>
      </c>
      <c r="G12" s="86" t="s">
        <v>202</v>
      </c>
      <c r="H12" s="87" t="n">
        <f aca="true">SUM($T$7:INDEX($T$7:$T$37,IF($K$10="",DAY(TODAY()),$K$10)))</f>
        <v>0</v>
      </c>
      <c r="P12" s="0" t="s">
        <v>203</v>
      </c>
      <c r="Q12" s="0" t="n">
        <f aca="false">SUMIFS('Aug 6'!$AI$8:$AI$42,'Aug 6'!$A$8:$A$42,"New")</f>
        <v>0</v>
      </c>
      <c r="R12" s="0" t="n">
        <f aca="false">SUMIFS('Aug 6'!$Q$8:$Q$42,'Aug 6'!$A$8:$A$42,"New",'Aug 6'!$AI$8:$AI$42,1)</f>
        <v>0</v>
      </c>
      <c r="S12" s="0" t="n">
        <f aca="false">SUMIFS('Aug 6'!$R$8:$R$42,'Aug 6'!$A$8:$A$42,"New",'Aug 6'!$AI$8:$AI$42,1)</f>
        <v>0</v>
      </c>
      <c r="T12" s="0" t="n">
        <f aca="false">SUMIFS('Aug 6'!$AI$8:$AI$42,'Aug 6'!$A$8:$A$42,"Used")</f>
        <v>0</v>
      </c>
      <c r="U12" s="0" t="n">
        <f aca="false">SUMIFS('Aug 6'!$Q$8:$Q$42,'Aug 6'!$A$8:$A$42,"Used",'Aug 6'!$AI$8:$AI$42,1)</f>
        <v>0</v>
      </c>
      <c r="V12" s="0" t="n">
        <f aca="false">SUMIFS('Aug 6'!$R$8:$R$42,'Aug 6'!$A$8:$A$42,"Used",'Aug 6'!$AI$8:$AI$42,1)</f>
        <v>0</v>
      </c>
    </row>
    <row r="13" customFormat="false" ht="15" hidden="false" customHeight="false" outlineLevel="0" collapsed="false">
      <c r="A13" s="86" t="s">
        <v>204</v>
      </c>
      <c r="B13" s="88" t="n">
        <f aca="true">SUM($R$7:INDEX($R$7:$R$37,IF($K$10="",DAY(TODAY()),$K$10)))+SUM($S$7:INDEX($S$7:$S$37,IF($K$10="",DAY(TODAY()),$K$10)))+SUM($U$7:INDEX($U$7:$U$37,IF($K$10="",DAY(TODAY()),$K$10)))+SUM($V$7:INDEX($V$7:$V$37,IF($K$10="",DAY(TODAY()),$K$10)))</f>
        <v>0</v>
      </c>
      <c r="D13" s="86" t="s">
        <v>205</v>
      </c>
      <c r="E13" s="88" t="n">
        <f aca="false">IF($E$8=0,0,$B$13/$E$8*COUNT(Dashboard!$BR$4:$BR$29))</f>
        <v>0</v>
      </c>
      <c r="F13" s="87" t="str">
        <f aca="false">IF(OR(GoalGrossTotal="",$E$8=0),"",IF($E$13&gt;=GoalGrossTotal,"▲","▼"))</f>
        <v/>
      </c>
      <c r="G13" s="86" t="s">
        <v>206</v>
      </c>
      <c r="H13" s="91" t="n">
        <f aca="false">IF($E$8=0,0,($E$12+$H$12)/$E$8*COUNT(Dashboard!$BR$4:$BR$29))</f>
        <v>0</v>
      </c>
      <c r="I13" s="87" t="str">
        <f aca="false">IF(OR(GoalUnitsTotal="",$E$8=0),"",IF($H$13&gt;=GoalUnitsTotal,"▲","▼"))</f>
        <v/>
      </c>
      <c r="P13" s="0" t="s">
        <v>207</v>
      </c>
      <c r="Q13" s="0" t="n">
        <f aca="false">SUMIFS('Aug 7'!$AI$8:$AI$42,'Aug 7'!$A$8:$A$42,"New")</f>
        <v>0</v>
      </c>
      <c r="R13" s="0" t="n">
        <f aca="false">SUMIFS('Aug 7'!$Q$8:$Q$42,'Aug 7'!$A$8:$A$42,"New",'Aug 7'!$AI$8:$AI$42,1)</f>
        <v>0</v>
      </c>
      <c r="S13" s="0" t="n">
        <f aca="false">SUMIFS('Aug 7'!$R$8:$R$42,'Aug 7'!$A$8:$A$42,"New",'Aug 7'!$AI$8:$AI$42,1)</f>
        <v>0</v>
      </c>
      <c r="T13" s="0" t="n">
        <f aca="false">SUMIFS('Aug 7'!$AI$8:$AI$42,'Aug 7'!$A$8:$A$42,"Used")</f>
        <v>0</v>
      </c>
      <c r="U13" s="0" t="n">
        <f aca="false">SUMIFS('Aug 7'!$Q$8:$Q$42,'Aug 7'!$A$8:$A$42,"Used",'Aug 7'!$AI$8:$AI$42,1)</f>
        <v>0</v>
      </c>
      <c r="V13" s="0" t="n">
        <f aca="false">SUMIFS('Aug 7'!$R$8:$R$42,'Aug 7'!$A$8:$A$42,"Used",'Aug 7'!$AI$8:$AI$42,1)</f>
        <v>0</v>
      </c>
    </row>
    <row r="14" customFormat="false" ht="15" hidden="false" customHeight="false" outlineLevel="0" collapsed="false">
      <c r="P14" s="0" t="s">
        <v>208</v>
      </c>
      <c r="Q14" s="0" t="n">
        <f aca="false">SUMIFS('Aug 8'!$AI$8:$AI$42,'Aug 8'!$A$8:$A$42,"New")</f>
        <v>0</v>
      </c>
      <c r="R14" s="0" t="n">
        <f aca="false">SUMIFS('Aug 8'!$Q$8:$Q$42,'Aug 8'!$A$8:$A$42,"New",'Aug 8'!$AI$8:$AI$42,1)</f>
        <v>0</v>
      </c>
      <c r="S14" s="0" t="n">
        <f aca="false">SUMIFS('Aug 8'!$R$8:$R$42,'Aug 8'!$A$8:$A$42,"New",'Aug 8'!$AI$8:$AI$42,1)</f>
        <v>0</v>
      </c>
      <c r="T14" s="0" t="n">
        <f aca="false">SUMIFS('Aug 8'!$AI$8:$AI$42,'Aug 8'!$A$8:$A$42,"Used")</f>
        <v>0</v>
      </c>
      <c r="U14" s="0" t="n">
        <f aca="false">SUMIFS('Aug 8'!$Q$8:$Q$42,'Aug 8'!$A$8:$A$42,"Used",'Aug 8'!$AI$8:$AI$42,1)</f>
        <v>0</v>
      </c>
      <c r="V14" s="0" t="n">
        <f aca="false">SUMIFS('Aug 8'!$R$8:$R$42,'Aug 8'!$A$8:$A$42,"Used",'Aug 8'!$AI$8:$AI$42,1)</f>
        <v>0</v>
      </c>
    </row>
    <row r="15" customFormat="false" ht="15" hidden="false" customHeight="false" outlineLevel="0" collapsed="false">
      <c r="A15" s="92" t="s">
        <v>209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P15" s="0" t="s">
        <v>210</v>
      </c>
      <c r="Q15" s="0" t="n">
        <f aca="false">SUMIFS('Aug 9'!$AI$8:$AI$42,'Aug 9'!$A$8:$A$42,"New")</f>
        <v>0</v>
      </c>
      <c r="R15" s="0" t="n">
        <f aca="false">SUMIFS('Aug 9'!$Q$8:$Q$42,'Aug 9'!$A$8:$A$42,"New",'Aug 9'!$AI$8:$AI$42,1)</f>
        <v>0</v>
      </c>
      <c r="S15" s="0" t="n">
        <f aca="false">SUMIFS('Aug 9'!$R$8:$R$42,'Aug 9'!$A$8:$A$42,"New",'Aug 9'!$AI$8:$AI$42,1)</f>
        <v>0</v>
      </c>
      <c r="T15" s="0" t="n">
        <f aca="false">SUMIFS('Aug 9'!$AI$8:$AI$42,'Aug 9'!$A$8:$A$42,"Used")</f>
        <v>0</v>
      </c>
      <c r="U15" s="0" t="n">
        <f aca="false">SUMIFS('Aug 9'!$Q$8:$Q$42,'Aug 9'!$A$8:$A$42,"Used",'Aug 9'!$AI$8:$AI$42,1)</f>
        <v>0</v>
      </c>
      <c r="V15" s="0" t="n">
        <f aca="false">SUMIFS('Aug 9'!$R$8:$R$42,'Aug 9'!$A$8:$A$42,"Used",'Aug 9'!$AI$8:$AI$42,1)</f>
        <v>0</v>
      </c>
    </row>
    <row r="16" customFormat="false" ht="15" hidden="false" customHeight="false" outlineLevel="0" collapsed="false">
      <c r="A16" s="89" t="s">
        <v>211</v>
      </c>
      <c r="B16" s="90"/>
      <c r="D16" s="89" t="s">
        <v>212</v>
      </c>
      <c r="E16" s="90"/>
      <c r="G16" s="89" t="s">
        <v>213</v>
      </c>
      <c r="H16" s="93"/>
      <c r="P16" s="0" t="s">
        <v>214</v>
      </c>
      <c r="Q16" s="0" t="n">
        <f aca="false">SUMIFS('Aug 10'!$AI$8:$AI$42,'Aug 10'!$A$8:$A$42,"New")</f>
        <v>0</v>
      </c>
      <c r="R16" s="0" t="n">
        <f aca="false">SUMIFS('Aug 10'!$Q$8:$Q$42,'Aug 10'!$A$8:$A$42,"New",'Aug 10'!$AI$8:$AI$42,1)</f>
        <v>0</v>
      </c>
      <c r="S16" s="0" t="n">
        <f aca="false">SUMIFS('Aug 10'!$R$8:$R$42,'Aug 10'!$A$8:$A$42,"New",'Aug 10'!$AI$8:$AI$42,1)</f>
        <v>0</v>
      </c>
      <c r="T16" s="0" t="n">
        <f aca="false">SUMIFS('Aug 10'!$AI$8:$AI$42,'Aug 10'!$A$8:$A$42,"Used")</f>
        <v>0</v>
      </c>
      <c r="U16" s="0" t="n">
        <f aca="false">SUMIFS('Aug 10'!$Q$8:$Q$42,'Aug 10'!$A$8:$A$42,"Used",'Aug 10'!$AI$8:$AI$42,1)</f>
        <v>0</v>
      </c>
      <c r="V16" s="0" t="n">
        <f aca="false">SUMIFS('Aug 10'!$R$8:$R$42,'Aug 10'!$A$8:$A$42,"Used",'Aug 10'!$AI$8:$AI$42,1)</f>
        <v>0</v>
      </c>
    </row>
    <row r="17" customFormat="false" ht="15" hidden="false" customHeight="false" outlineLevel="0" collapsed="false">
      <c r="A17" s="89" t="s">
        <v>215</v>
      </c>
      <c r="B17" s="90"/>
      <c r="D17" s="89" t="s">
        <v>216</v>
      </c>
      <c r="E17" s="90"/>
      <c r="G17" s="89" t="s">
        <v>217</v>
      </c>
      <c r="H17" s="90"/>
      <c r="J17" s="89" t="s">
        <v>218</v>
      </c>
      <c r="K17" s="90"/>
      <c r="P17" s="0" t="s">
        <v>219</v>
      </c>
      <c r="Q17" s="0" t="n">
        <f aca="false">SUMIFS('Aug 11'!$AI$8:$AI$42,'Aug 11'!$A$8:$A$42,"New")</f>
        <v>0</v>
      </c>
      <c r="R17" s="0" t="n">
        <f aca="false">SUMIFS('Aug 11'!$Q$8:$Q$42,'Aug 11'!$A$8:$A$42,"New",'Aug 11'!$AI$8:$AI$42,1)</f>
        <v>0</v>
      </c>
      <c r="S17" s="0" t="n">
        <f aca="false">SUMIFS('Aug 11'!$R$8:$R$42,'Aug 11'!$A$8:$A$42,"New",'Aug 11'!$AI$8:$AI$42,1)</f>
        <v>0</v>
      </c>
      <c r="T17" s="0" t="n">
        <f aca="false">SUMIFS('Aug 11'!$AI$8:$AI$42,'Aug 11'!$A$8:$A$42,"Used")</f>
        <v>0</v>
      </c>
      <c r="U17" s="0" t="n">
        <f aca="false">SUMIFS('Aug 11'!$Q$8:$Q$42,'Aug 11'!$A$8:$A$42,"Used",'Aug 11'!$AI$8:$AI$42,1)</f>
        <v>0</v>
      </c>
      <c r="V17" s="0" t="n">
        <f aca="false">SUMIFS('Aug 11'!$R$8:$R$42,'Aug 11'!$A$8:$A$42,"Used",'Aug 11'!$AI$8:$AI$42,1)</f>
        <v>0</v>
      </c>
    </row>
    <row r="18" customFormat="false" ht="15" hidden="false" customHeight="false" outlineLevel="0" collapsed="false">
      <c r="A18" s="94" t="s">
        <v>220</v>
      </c>
      <c r="B18" s="95" t="n">
        <f aca="false">$B$17+$E$17+$H$17+$K$17</f>
        <v>0</v>
      </c>
      <c r="D18" s="89" t="s">
        <v>221</v>
      </c>
      <c r="E18" s="90"/>
      <c r="P18" s="0" t="s">
        <v>222</v>
      </c>
      <c r="Q18" s="0" t="n">
        <f aca="false">SUMIFS('Aug 12'!$AI$8:$AI$42,'Aug 12'!$A$8:$A$42,"New")</f>
        <v>0</v>
      </c>
      <c r="R18" s="0" t="n">
        <f aca="false">SUMIFS('Aug 12'!$Q$8:$Q$42,'Aug 12'!$A$8:$A$42,"New",'Aug 12'!$AI$8:$AI$42,1)</f>
        <v>0</v>
      </c>
      <c r="S18" s="0" t="n">
        <f aca="false">SUMIFS('Aug 12'!$R$8:$R$42,'Aug 12'!$A$8:$A$42,"New",'Aug 12'!$AI$8:$AI$42,1)</f>
        <v>0</v>
      </c>
      <c r="T18" s="0" t="n">
        <f aca="false">SUMIFS('Aug 12'!$AI$8:$AI$42,'Aug 12'!$A$8:$A$42,"Used")</f>
        <v>0</v>
      </c>
      <c r="U18" s="0" t="n">
        <f aca="false">SUMIFS('Aug 12'!$Q$8:$Q$42,'Aug 12'!$A$8:$A$42,"Used",'Aug 12'!$AI$8:$AI$42,1)</f>
        <v>0</v>
      </c>
      <c r="V18" s="0" t="n">
        <f aca="false">SUMIFS('Aug 12'!$R$8:$R$42,'Aug 12'!$A$8:$A$42,"Used",'Aug 12'!$AI$8:$AI$42,1)</f>
        <v>0</v>
      </c>
    </row>
    <row r="19" customFormat="false" ht="15" hidden="false" customHeight="false" outlineLevel="0" collapsed="false">
      <c r="A19" s="89" t="s">
        <v>223</v>
      </c>
      <c r="B19" s="90"/>
      <c r="D19" s="89" t="s">
        <v>224</v>
      </c>
      <c r="E19" s="90"/>
      <c r="G19" s="89" t="s">
        <v>225</v>
      </c>
      <c r="H19" s="90"/>
      <c r="J19" s="89" t="s">
        <v>226</v>
      </c>
      <c r="K19" s="90"/>
      <c r="P19" s="0" t="s">
        <v>227</v>
      </c>
      <c r="Q19" s="0" t="n">
        <f aca="false">SUMIFS('Aug 13'!$AI$8:$AI$42,'Aug 13'!$A$8:$A$42,"New")</f>
        <v>0</v>
      </c>
      <c r="R19" s="0" t="n">
        <f aca="false">SUMIFS('Aug 13'!$Q$8:$Q$42,'Aug 13'!$A$8:$A$42,"New",'Aug 13'!$AI$8:$AI$42,1)</f>
        <v>0</v>
      </c>
      <c r="S19" s="0" t="n">
        <f aca="false">SUMIFS('Aug 13'!$R$8:$R$42,'Aug 13'!$A$8:$A$42,"New",'Aug 13'!$AI$8:$AI$42,1)</f>
        <v>0</v>
      </c>
      <c r="T19" s="0" t="n">
        <f aca="false">SUMIFS('Aug 13'!$AI$8:$AI$42,'Aug 13'!$A$8:$A$42,"Used")</f>
        <v>0</v>
      </c>
      <c r="U19" s="0" t="n">
        <f aca="false">SUMIFS('Aug 13'!$Q$8:$Q$42,'Aug 13'!$A$8:$A$42,"Used",'Aug 13'!$AI$8:$AI$42,1)</f>
        <v>0</v>
      </c>
      <c r="V19" s="0" t="n">
        <f aca="false">SUMIFS('Aug 13'!$R$8:$R$42,'Aug 13'!$A$8:$A$42,"Used",'Aug 13'!$AI$8:$AI$42,1)</f>
        <v>0</v>
      </c>
    </row>
    <row r="20" customFormat="false" ht="15" hidden="false" customHeight="false" outlineLevel="0" collapsed="false">
      <c r="A20" s="89" t="s">
        <v>228</v>
      </c>
      <c r="B20" s="90"/>
      <c r="P20" s="0" t="s">
        <v>229</v>
      </c>
      <c r="Q20" s="0" t="n">
        <f aca="false">SUMIFS('Aug 14'!$AI$8:$AI$42,'Aug 14'!$A$8:$A$42,"New")</f>
        <v>0</v>
      </c>
      <c r="R20" s="0" t="n">
        <f aca="false">SUMIFS('Aug 14'!$Q$8:$Q$42,'Aug 14'!$A$8:$A$42,"New",'Aug 14'!$AI$8:$AI$42,1)</f>
        <v>0</v>
      </c>
      <c r="S20" s="0" t="n">
        <f aca="false">SUMIFS('Aug 14'!$R$8:$R$42,'Aug 14'!$A$8:$A$42,"New",'Aug 14'!$AI$8:$AI$42,1)</f>
        <v>0</v>
      </c>
      <c r="T20" s="0" t="n">
        <f aca="false">SUMIFS('Aug 14'!$AI$8:$AI$42,'Aug 14'!$A$8:$A$42,"Used")</f>
        <v>0</v>
      </c>
      <c r="U20" s="0" t="n">
        <f aca="false">SUMIFS('Aug 14'!$Q$8:$Q$42,'Aug 14'!$A$8:$A$42,"Used",'Aug 14'!$AI$8:$AI$42,1)</f>
        <v>0</v>
      </c>
      <c r="V20" s="0" t="n">
        <f aca="false">SUMIFS('Aug 14'!$R$8:$R$42,'Aug 14'!$A$8:$A$42,"Used",'Aug 14'!$AI$8:$AI$42,1)</f>
        <v>0</v>
      </c>
    </row>
    <row r="21" customFormat="false" ht="15" hidden="false" customHeight="false" outlineLevel="0" collapsed="false">
      <c r="P21" s="0" t="s">
        <v>230</v>
      </c>
      <c r="Q21" s="0" t="n">
        <f aca="false">SUMIFS('Aug 15'!$AI$8:$AI$42,'Aug 15'!$A$8:$A$42,"New")</f>
        <v>0</v>
      </c>
      <c r="R21" s="0" t="n">
        <f aca="false">SUMIFS('Aug 15'!$Q$8:$Q$42,'Aug 15'!$A$8:$A$42,"New",'Aug 15'!$AI$8:$AI$42,1)</f>
        <v>0</v>
      </c>
      <c r="S21" s="0" t="n">
        <f aca="false">SUMIFS('Aug 15'!$R$8:$R$42,'Aug 15'!$A$8:$A$42,"New",'Aug 15'!$AI$8:$AI$42,1)</f>
        <v>0</v>
      </c>
      <c r="T21" s="0" t="n">
        <f aca="false">SUMIFS('Aug 15'!$AI$8:$AI$42,'Aug 15'!$A$8:$A$42,"Used")</f>
        <v>0</v>
      </c>
      <c r="U21" s="0" t="n">
        <f aca="false">SUMIFS('Aug 15'!$Q$8:$Q$42,'Aug 15'!$A$8:$A$42,"Used",'Aug 15'!$AI$8:$AI$42,1)</f>
        <v>0</v>
      </c>
      <c r="V21" s="0" t="n">
        <f aca="false">SUMIFS('Aug 15'!$R$8:$R$42,'Aug 15'!$A$8:$A$42,"Used",'Aug 15'!$AI$8:$AI$42,1)</f>
        <v>0</v>
      </c>
    </row>
    <row r="22" customFormat="false" ht="15" hidden="false" customHeight="false" outlineLevel="0" collapsed="false">
      <c r="A22" s="96" t="str">
        <f aca="false">IF(COUNTBLANK(B16)+COUNTBLANK(E16)+COUNTBLANK(H16)+COUNTBLANK(B17)+COUNTBLANK(E17)+COUNTBLANK(H17)+COUNTBLANK(K17)+COUNTBLANK(E18)+COUNTBLANK(B19)+COUNTBLANK(E19)+COUNTBLANK(H19)+COUNTBLANK(K19)+COUNTBLANK(B20)=0,"✅ READY TO COPY  —  CLICK THE CELL BELOW, COPY, PASTE INTO TEAMS OR A TEXT","⚠️  "&amp;(COUNTBLANK(B16)+COUNTBLANK(E16)+COUNTBLANK(H16)+COUNTBLANK(B17)+COUNTBLANK(E17)+COUNTBLANK(H17)+COUNTBLANK(K17)+COUNTBLANK(E18)+COUNTBLANK(B19)+COUNTBLANK(E19)+COUNTBLANK(H19)+COUNTBLANK(K19)+COUNTBLANK(B20))&amp;" FIELD(S) ABOVE STILL NEED TO BE FILLED IN FIRST")</f>
        <v>⚠️  13 FIELD(S) ABOVE STILL NEED TO BE FILLED IN FIRST</v>
      </c>
      <c r="B22" s="96"/>
      <c r="C22" s="96"/>
      <c r="D22" s="96"/>
      <c r="E22" s="96"/>
      <c r="F22" s="96"/>
      <c r="G22" s="96"/>
      <c r="H22" s="96"/>
      <c r="I22" s="96"/>
      <c r="J22" s="96"/>
      <c r="K22" s="96"/>
      <c r="P22" s="0" t="s">
        <v>231</v>
      </c>
      <c r="Q22" s="0" t="n">
        <f aca="false">SUMIFS('Aug 16'!$AI$8:$AI$42,'Aug 16'!$A$8:$A$42,"New")</f>
        <v>0</v>
      </c>
      <c r="R22" s="0" t="n">
        <f aca="false">SUMIFS('Aug 16'!$Q$8:$Q$42,'Aug 16'!$A$8:$A$42,"New",'Aug 16'!$AI$8:$AI$42,1)</f>
        <v>0</v>
      </c>
      <c r="S22" s="0" t="n">
        <f aca="false">SUMIFS('Aug 16'!$R$8:$R$42,'Aug 16'!$A$8:$A$42,"New",'Aug 16'!$AI$8:$AI$42,1)</f>
        <v>0</v>
      </c>
      <c r="T22" s="0" t="n">
        <f aca="false">SUMIFS('Aug 16'!$AI$8:$AI$42,'Aug 16'!$A$8:$A$42,"Used")</f>
        <v>0</v>
      </c>
      <c r="U22" s="0" t="n">
        <f aca="false">SUMIFS('Aug 16'!$Q$8:$Q$42,'Aug 16'!$A$8:$A$42,"Used",'Aug 16'!$AI$8:$AI$42,1)</f>
        <v>0</v>
      </c>
      <c r="V22" s="0" t="n">
        <f aca="false">SUMIFS('Aug 16'!$R$8:$R$42,'Aug 16'!$A$8:$A$42,"Used",'Aug 16'!$AI$8:$AI$42,1)</f>
        <v>0</v>
      </c>
    </row>
    <row r="23" customFormat="false" ht="15" hidden="false" customHeight="false" outlineLevel="0" collapsed="false">
      <c r="A23" s="97" t="str">
        <f aca="false">"💰 TODAY'S NUMBERS 💰"&amp;CHAR(10)&amp;"📅 Total working days: "&amp;$B$8&amp;CHAR(10)&amp;"📆 Days worked: "&amp;$E$8&amp;CHAR(10)&amp;""&amp;CHAR(10)&amp;"New Deliveries 🚗: "&amp;$B$10&amp;CHAR(10)&amp;"Front Gross: "&amp;TEXT($E$10,"$#,##0;($#,##0)")&amp;CHAR(10)&amp;"Backend Gross: "&amp;TEXT($H$10,"$#,##0;($#,##0)")&amp;CHAR(10)&amp;"MTD New: "&amp;$E$12&amp;CHAR(10)&amp;""&amp;CHAR(10)&amp;"Used Deliveries 🚗: "&amp;$B$11&amp;CHAR(10)&amp;"Front Gross: "&amp;TEXT($E$11,"$#,##0;($#,##0)")&amp;CHAR(10)&amp;"Backend Gross: "&amp;TEXT($H$11,"$#,##0;($#,##0)")&amp;CHAR(10)&amp;"MTD Used: "&amp;$H$12&amp;CHAR(10)&amp;""&amp;CHAR(10)&amp;"TOTAL GROSS: "&amp;TEXT($B$12,"$#,##0;($#,##0)")&amp;CHAR(10)&amp;""&amp;CHAR(10)&amp;"💰 Total Gross MTD: "&amp;TEXT($B$13,"$#,##0;($#,##0)")&amp;CHAR(10)&amp;""&amp;CHAR(10)&amp;"💸 Total Gross Pacing: "&amp;TEXT($E$13,"$#,##0;($#,##0)")&amp;CHAR(10)&amp;""&amp;CHAR(10)&amp;"🛜 Todays Sold Internet: "&amp;$B$16&amp;CHAR(10)&amp;"Today Appointed Net leads: "&amp;$E$16&amp;CHAR(10)&amp;"Mtd Inet Closing: "&amp;TEXT($H$16,"0%")&amp;CHAR(10)&amp;""&amp;CHAR(10)&amp;"📲 Phone Calls: "&amp;$B$17&amp;CHAR(10)&amp;"📧 Emails Sent: "&amp;$E$17&amp;CHAR(10)&amp;"💬 Texts: "&amp;$H$17&amp;CHAR(10)&amp;"🎥 Videos: "&amp;$K$17&amp;CHAR(10)&amp;"Total Communicate: "&amp;$B$18&amp;CHAR(10)&amp;"📡 Unanswered Communications: "&amp;$E$18&amp;CHAR(10)&amp;""&amp;CHAR(10)&amp;"Leads:"&amp;CHAR(10)&amp;"🛜 Internet: "&amp;$B$19&amp;CHAR(10)&amp;"☎️ Phone: "&amp;$E$19&amp;CHAR(10)&amp;"🚶 Walk In: "&amp;$H$19&amp;CHAR(10)&amp;"✅ Appts Tomorrow: "&amp;$K$19&amp;CHAR(10)&amp;""&amp;CHAR(10)&amp;"Sales Warrior: "&amp;$B$20</f>
        <v>💰 TODAY'S NUMBERS 💰
📅 Total working days: 26
📆 Days worked: 1
New Deliveries 🚗: 0
Front Gross: $0
Backend Gross: $0
MTD New: 0
Used Deliveries 🚗: 0
Front Gross: $0
Backend Gross: $0
MTD Used: 0
TOTAL GROSS: $0
💰 Total Gross MTD: $0
💸 Total Gross Pacing: $0
🛜 Todays Sold Internet: 
Today Appointed Net leads: 
Mtd Inet Closing: 0%
📲 Phone Calls: 
📧 Emails Sent: 
💬 Texts: 
🎥 Videos: 
Total Communicate: 0
📡 Unanswered Communications: 
Leads:
🛜 Internet: 
☎️ Phone: 
🚶 Walk In: 
✅ Appts Tomorrow: 
Sales Warrior: </v>
      </c>
      <c r="B23" s="97"/>
      <c r="C23" s="97"/>
      <c r="D23" s="97"/>
      <c r="E23" s="97"/>
      <c r="F23" s="97"/>
      <c r="G23" s="97"/>
      <c r="H23" s="97"/>
      <c r="I23" s="97"/>
      <c r="J23" s="97"/>
      <c r="K23" s="97"/>
      <c r="P23" s="0" t="s">
        <v>232</v>
      </c>
      <c r="Q23" s="0" t="n">
        <f aca="false">SUMIFS('Aug 17'!$AI$8:$AI$42,'Aug 17'!$A$8:$A$42,"New")</f>
        <v>0</v>
      </c>
      <c r="R23" s="0" t="n">
        <f aca="false">SUMIFS('Aug 17'!$Q$8:$Q$42,'Aug 17'!$A$8:$A$42,"New",'Aug 17'!$AI$8:$AI$42,1)</f>
        <v>0</v>
      </c>
      <c r="S23" s="0" t="n">
        <f aca="false">SUMIFS('Aug 17'!$R$8:$R$42,'Aug 17'!$A$8:$A$42,"New",'Aug 17'!$AI$8:$AI$42,1)</f>
        <v>0</v>
      </c>
      <c r="T23" s="0" t="n">
        <f aca="false">SUMIFS('Aug 17'!$AI$8:$AI$42,'Aug 17'!$A$8:$A$42,"Used")</f>
        <v>0</v>
      </c>
      <c r="U23" s="0" t="n">
        <f aca="false">SUMIFS('Aug 17'!$Q$8:$Q$42,'Aug 17'!$A$8:$A$42,"Used",'Aug 17'!$AI$8:$AI$42,1)</f>
        <v>0</v>
      </c>
      <c r="V23" s="0" t="n">
        <f aca="false">SUMIFS('Aug 17'!$R$8:$R$42,'Aug 17'!$A$8:$A$42,"Used",'Aug 17'!$AI$8:$AI$42,1)</f>
        <v>0</v>
      </c>
    </row>
    <row r="24" customFormat="false" ht="15" hidden="false" customHeight="false" outlineLevel="0" collapsed="false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P24" s="0" t="s">
        <v>233</v>
      </c>
      <c r="Q24" s="0" t="n">
        <f aca="false">SUMIFS('Aug 18'!$AI$8:$AI$42,'Aug 18'!$A$8:$A$42,"New")</f>
        <v>0</v>
      </c>
      <c r="R24" s="0" t="n">
        <f aca="false">SUMIFS('Aug 18'!$Q$8:$Q$42,'Aug 18'!$A$8:$A$42,"New",'Aug 18'!$AI$8:$AI$42,1)</f>
        <v>0</v>
      </c>
      <c r="S24" s="0" t="n">
        <f aca="false">SUMIFS('Aug 18'!$R$8:$R$42,'Aug 18'!$A$8:$A$42,"New",'Aug 18'!$AI$8:$AI$42,1)</f>
        <v>0</v>
      </c>
      <c r="T24" s="0" t="n">
        <f aca="false">SUMIFS('Aug 18'!$AI$8:$AI$42,'Aug 18'!$A$8:$A$42,"Used")</f>
        <v>0</v>
      </c>
      <c r="U24" s="0" t="n">
        <f aca="false">SUMIFS('Aug 18'!$Q$8:$Q$42,'Aug 18'!$A$8:$A$42,"Used",'Aug 18'!$AI$8:$AI$42,1)</f>
        <v>0</v>
      </c>
      <c r="V24" s="0" t="n">
        <f aca="false">SUMIFS('Aug 18'!$R$8:$R$42,'Aug 18'!$A$8:$A$42,"Used",'Aug 18'!$AI$8:$AI$42,1)</f>
        <v>0</v>
      </c>
    </row>
    <row r="25" customFormat="false" ht="15" hidden="false" customHeight="false" outlineLevel="0" collapsed="false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P25" s="0" t="s">
        <v>234</v>
      </c>
      <c r="Q25" s="0" t="n">
        <f aca="false">SUMIFS('Aug 19'!$AI$8:$AI$42,'Aug 19'!$A$8:$A$42,"New")</f>
        <v>0</v>
      </c>
      <c r="R25" s="0" t="n">
        <f aca="false">SUMIFS('Aug 19'!$Q$8:$Q$42,'Aug 19'!$A$8:$A$42,"New",'Aug 19'!$AI$8:$AI$42,1)</f>
        <v>0</v>
      </c>
      <c r="S25" s="0" t="n">
        <f aca="false">SUMIFS('Aug 19'!$R$8:$R$42,'Aug 19'!$A$8:$A$42,"New",'Aug 19'!$AI$8:$AI$42,1)</f>
        <v>0</v>
      </c>
      <c r="T25" s="0" t="n">
        <f aca="false">SUMIFS('Aug 19'!$AI$8:$AI$42,'Aug 19'!$A$8:$A$42,"Used")</f>
        <v>0</v>
      </c>
      <c r="U25" s="0" t="n">
        <f aca="false">SUMIFS('Aug 19'!$Q$8:$Q$42,'Aug 19'!$A$8:$A$42,"Used",'Aug 19'!$AI$8:$AI$42,1)</f>
        <v>0</v>
      </c>
      <c r="V25" s="0" t="n">
        <f aca="false">SUMIFS('Aug 19'!$R$8:$R$42,'Aug 19'!$A$8:$A$42,"Used",'Aug 19'!$AI$8:$AI$42,1)</f>
        <v>0</v>
      </c>
    </row>
    <row r="26" customFormat="false" ht="15" hidden="false" customHeight="false" outlineLevel="0" collapsed="false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P26" s="0" t="s">
        <v>235</v>
      </c>
      <c r="Q26" s="0" t="n">
        <f aca="false">SUMIFS('Aug 20'!$AI$8:$AI$42,'Aug 20'!$A$8:$A$42,"New")</f>
        <v>0</v>
      </c>
      <c r="R26" s="0" t="n">
        <f aca="false">SUMIFS('Aug 20'!$Q$8:$Q$42,'Aug 20'!$A$8:$A$42,"New",'Aug 20'!$AI$8:$AI$42,1)</f>
        <v>0</v>
      </c>
      <c r="S26" s="0" t="n">
        <f aca="false">SUMIFS('Aug 20'!$R$8:$R$42,'Aug 20'!$A$8:$A$42,"New",'Aug 20'!$AI$8:$AI$42,1)</f>
        <v>0</v>
      </c>
      <c r="T26" s="0" t="n">
        <f aca="false">SUMIFS('Aug 20'!$AI$8:$AI$42,'Aug 20'!$A$8:$A$42,"Used")</f>
        <v>0</v>
      </c>
      <c r="U26" s="0" t="n">
        <f aca="false">SUMIFS('Aug 20'!$Q$8:$Q$42,'Aug 20'!$A$8:$A$42,"Used",'Aug 20'!$AI$8:$AI$42,1)</f>
        <v>0</v>
      </c>
      <c r="V26" s="0" t="n">
        <f aca="false">SUMIFS('Aug 20'!$R$8:$R$42,'Aug 20'!$A$8:$A$42,"Used",'Aug 20'!$AI$8:$AI$42,1)</f>
        <v>0</v>
      </c>
    </row>
    <row r="27" customFormat="false" ht="15" hidden="false" customHeight="false" outlineLevel="0" collapsed="false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P27" s="0" t="s">
        <v>236</v>
      </c>
      <c r="Q27" s="0" t="n">
        <f aca="false">SUMIFS('Aug 21'!$AI$8:$AI$42,'Aug 21'!$A$8:$A$42,"New")</f>
        <v>0</v>
      </c>
      <c r="R27" s="0" t="n">
        <f aca="false">SUMIFS('Aug 21'!$Q$8:$Q$42,'Aug 21'!$A$8:$A$42,"New",'Aug 21'!$AI$8:$AI$42,1)</f>
        <v>0</v>
      </c>
      <c r="S27" s="0" t="n">
        <f aca="false">SUMIFS('Aug 21'!$R$8:$R$42,'Aug 21'!$A$8:$A$42,"New",'Aug 21'!$AI$8:$AI$42,1)</f>
        <v>0</v>
      </c>
      <c r="T27" s="0" t="n">
        <f aca="false">SUMIFS('Aug 21'!$AI$8:$AI$42,'Aug 21'!$A$8:$A$42,"Used")</f>
        <v>0</v>
      </c>
      <c r="U27" s="0" t="n">
        <f aca="false">SUMIFS('Aug 21'!$Q$8:$Q$42,'Aug 21'!$A$8:$A$42,"Used",'Aug 21'!$AI$8:$AI$42,1)</f>
        <v>0</v>
      </c>
      <c r="V27" s="0" t="n">
        <f aca="false">SUMIFS('Aug 21'!$R$8:$R$42,'Aug 21'!$A$8:$A$42,"Used",'Aug 21'!$AI$8:$AI$42,1)</f>
        <v>0</v>
      </c>
    </row>
    <row r="28" customFormat="false" ht="15" hidden="false" customHeight="false" outlineLevel="0" collapsed="false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P28" s="0" t="s">
        <v>237</v>
      </c>
      <c r="Q28" s="0" t="n">
        <f aca="false">SUMIFS('Aug 22'!$AI$8:$AI$42,'Aug 22'!$A$8:$A$42,"New")</f>
        <v>0</v>
      </c>
      <c r="R28" s="0" t="n">
        <f aca="false">SUMIFS('Aug 22'!$Q$8:$Q$42,'Aug 22'!$A$8:$A$42,"New",'Aug 22'!$AI$8:$AI$42,1)</f>
        <v>0</v>
      </c>
      <c r="S28" s="0" t="n">
        <f aca="false">SUMIFS('Aug 22'!$R$8:$R$42,'Aug 22'!$A$8:$A$42,"New",'Aug 22'!$AI$8:$AI$42,1)</f>
        <v>0</v>
      </c>
      <c r="T28" s="0" t="n">
        <f aca="false">SUMIFS('Aug 22'!$AI$8:$AI$42,'Aug 22'!$A$8:$A$42,"Used")</f>
        <v>0</v>
      </c>
      <c r="U28" s="0" t="n">
        <f aca="false">SUMIFS('Aug 22'!$Q$8:$Q$42,'Aug 22'!$A$8:$A$42,"Used",'Aug 22'!$AI$8:$AI$42,1)</f>
        <v>0</v>
      </c>
      <c r="V28" s="0" t="n">
        <f aca="false">SUMIFS('Aug 22'!$R$8:$R$42,'Aug 22'!$A$8:$A$42,"Used",'Aug 22'!$AI$8:$AI$42,1)</f>
        <v>0</v>
      </c>
    </row>
    <row r="29" customFormat="false" ht="15" hidden="false" customHeight="false" outlineLevel="0" collapsed="false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P29" s="0" t="s">
        <v>238</v>
      </c>
      <c r="Q29" s="0" t="n">
        <f aca="false">SUMIFS('Aug 23'!$AI$8:$AI$42,'Aug 23'!$A$8:$A$42,"New")</f>
        <v>0</v>
      </c>
      <c r="R29" s="0" t="n">
        <f aca="false">SUMIFS('Aug 23'!$Q$8:$Q$42,'Aug 23'!$A$8:$A$42,"New",'Aug 23'!$AI$8:$AI$42,1)</f>
        <v>0</v>
      </c>
      <c r="S29" s="0" t="n">
        <f aca="false">SUMIFS('Aug 23'!$R$8:$R$42,'Aug 23'!$A$8:$A$42,"New",'Aug 23'!$AI$8:$AI$42,1)</f>
        <v>0</v>
      </c>
      <c r="T29" s="0" t="n">
        <f aca="false">SUMIFS('Aug 23'!$AI$8:$AI$42,'Aug 23'!$A$8:$A$42,"Used")</f>
        <v>0</v>
      </c>
      <c r="U29" s="0" t="n">
        <f aca="false">SUMIFS('Aug 23'!$Q$8:$Q$42,'Aug 23'!$A$8:$A$42,"Used",'Aug 23'!$AI$8:$AI$42,1)</f>
        <v>0</v>
      </c>
      <c r="V29" s="0" t="n">
        <f aca="false">SUMIFS('Aug 23'!$R$8:$R$42,'Aug 23'!$A$8:$A$42,"Used",'Aug 23'!$AI$8:$AI$42,1)</f>
        <v>0</v>
      </c>
    </row>
    <row r="30" customFormat="false" ht="15" hidden="false" customHeight="false" outlineLevel="0" collapsed="false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P30" s="0" t="s">
        <v>239</v>
      </c>
      <c r="Q30" s="0" t="n">
        <f aca="false">SUMIFS('Aug 24'!$AI$8:$AI$42,'Aug 24'!$A$8:$A$42,"New")</f>
        <v>0</v>
      </c>
      <c r="R30" s="0" t="n">
        <f aca="false">SUMIFS('Aug 24'!$Q$8:$Q$42,'Aug 24'!$A$8:$A$42,"New",'Aug 24'!$AI$8:$AI$42,1)</f>
        <v>0</v>
      </c>
      <c r="S30" s="0" t="n">
        <f aca="false">SUMIFS('Aug 24'!$R$8:$R$42,'Aug 24'!$A$8:$A$42,"New",'Aug 24'!$AI$8:$AI$42,1)</f>
        <v>0</v>
      </c>
      <c r="T30" s="0" t="n">
        <f aca="false">SUMIFS('Aug 24'!$AI$8:$AI$42,'Aug 24'!$A$8:$A$42,"Used")</f>
        <v>0</v>
      </c>
      <c r="U30" s="0" t="n">
        <f aca="false">SUMIFS('Aug 24'!$Q$8:$Q$42,'Aug 24'!$A$8:$A$42,"Used",'Aug 24'!$AI$8:$AI$42,1)</f>
        <v>0</v>
      </c>
      <c r="V30" s="0" t="n">
        <f aca="false">SUMIFS('Aug 24'!$R$8:$R$42,'Aug 24'!$A$8:$A$42,"Used",'Aug 24'!$AI$8:$AI$42,1)</f>
        <v>0</v>
      </c>
    </row>
    <row r="31" customFormat="false" ht="15" hidden="false" customHeight="false" outlineLevel="0" collapsed="false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P31" s="0" t="s">
        <v>240</v>
      </c>
      <c r="Q31" s="0" t="n">
        <f aca="false">SUMIFS('Aug 25'!$AI$8:$AI$42,'Aug 25'!$A$8:$A$42,"New")</f>
        <v>0</v>
      </c>
      <c r="R31" s="0" t="n">
        <f aca="false">SUMIFS('Aug 25'!$Q$8:$Q$42,'Aug 25'!$A$8:$A$42,"New",'Aug 25'!$AI$8:$AI$42,1)</f>
        <v>0</v>
      </c>
      <c r="S31" s="0" t="n">
        <f aca="false">SUMIFS('Aug 25'!$R$8:$R$42,'Aug 25'!$A$8:$A$42,"New",'Aug 25'!$AI$8:$AI$42,1)</f>
        <v>0</v>
      </c>
      <c r="T31" s="0" t="n">
        <f aca="false">SUMIFS('Aug 25'!$AI$8:$AI$42,'Aug 25'!$A$8:$A$42,"Used")</f>
        <v>0</v>
      </c>
      <c r="U31" s="0" t="n">
        <f aca="false">SUMIFS('Aug 25'!$Q$8:$Q$42,'Aug 25'!$A$8:$A$42,"Used",'Aug 25'!$AI$8:$AI$42,1)</f>
        <v>0</v>
      </c>
      <c r="V31" s="0" t="n">
        <f aca="false">SUMIFS('Aug 25'!$R$8:$R$42,'Aug 25'!$A$8:$A$42,"Used",'Aug 25'!$AI$8:$AI$42,1)</f>
        <v>0</v>
      </c>
    </row>
    <row r="32" customFormat="false" ht="15" hidden="false" customHeight="false" outlineLevel="0" collapsed="false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P32" s="0" t="s">
        <v>241</v>
      </c>
      <c r="Q32" s="0" t="n">
        <f aca="false">SUMIFS('Aug 26'!$AI$8:$AI$42,'Aug 26'!$A$8:$A$42,"New")</f>
        <v>0</v>
      </c>
      <c r="R32" s="0" t="n">
        <f aca="false">SUMIFS('Aug 26'!$Q$8:$Q$42,'Aug 26'!$A$8:$A$42,"New",'Aug 26'!$AI$8:$AI$42,1)</f>
        <v>0</v>
      </c>
      <c r="S32" s="0" t="n">
        <f aca="false">SUMIFS('Aug 26'!$R$8:$R$42,'Aug 26'!$A$8:$A$42,"New",'Aug 26'!$AI$8:$AI$42,1)</f>
        <v>0</v>
      </c>
      <c r="T32" s="0" t="n">
        <f aca="false">SUMIFS('Aug 26'!$AI$8:$AI$42,'Aug 26'!$A$8:$A$42,"Used")</f>
        <v>0</v>
      </c>
      <c r="U32" s="0" t="n">
        <f aca="false">SUMIFS('Aug 26'!$Q$8:$Q$42,'Aug 26'!$A$8:$A$42,"Used",'Aug 26'!$AI$8:$AI$42,1)</f>
        <v>0</v>
      </c>
      <c r="V32" s="0" t="n">
        <f aca="false">SUMIFS('Aug 26'!$R$8:$R$42,'Aug 26'!$A$8:$A$42,"Used",'Aug 26'!$AI$8:$AI$42,1)</f>
        <v>0</v>
      </c>
    </row>
    <row r="33" customFormat="false" ht="15" hidden="false" customHeight="false" outlineLevel="0" collapsed="false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P33" s="0" t="s">
        <v>242</v>
      </c>
      <c r="Q33" s="0" t="n">
        <f aca="false">SUMIFS('Aug 27'!$AI$8:$AI$42,'Aug 27'!$A$8:$A$42,"New")</f>
        <v>0</v>
      </c>
      <c r="R33" s="0" t="n">
        <f aca="false">SUMIFS('Aug 27'!$Q$8:$Q$42,'Aug 27'!$A$8:$A$42,"New",'Aug 27'!$AI$8:$AI$42,1)</f>
        <v>0</v>
      </c>
      <c r="S33" s="0" t="n">
        <f aca="false">SUMIFS('Aug 27'!$R$8:$R$42,'Aug 27'!$A$8:$A$42,"New",'Aug 27'!$AI$8:$AI$42,1)</f>
        <v>0</v>
      </c>
      <c r="T33" s="0" t="n">
        <f aca="false">SUMIFS('Aug 27'!$AI$8:$AI$42,'Aug 27'!$A$8:$A$42,"Used")</f>
        <v>0</v>
      </c>
      <c r="U33" s="0" t="n">
        <f aca="false">SUMIFS('Aug 27'!$Q$8:$Q$42,'Aug 27'!$A$8:$A$42,"Used",'Aug 27'!$AI$8:$AI$42,1)</f>
        <v>0</v>
      </c>
      <c r="V33" s="0" t="n">
        <f aca="false">SUMIFS('Aug 27'!$R$8:$R$42,'Aug 27'!$A$8:$A$42,"Used",'Aug 27'!$AI$8:$AI$42,1)</f>
        <v>0</v>
      </c>
    </row>
    <row r="34" customFormat="false" ht="15" hidden="false" customHeight="false" outlineLevel="0" collapsed="false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P34" s="0" t="s">
        <v>243</v>
      </c>
      <c r="Q34" s="0" t="n">
        <f aca="false">SUMIFS('Aug 28'!$AI$8:$AI$42,'Aug 28'!$A$8:$A$42,"New")</f>
        <v>0</v>
      </c>
      <c r="R34" s="0" t="n">
        <f aca="false">SUMIFS('Aug 28'!$Q$8:$Q$42,'Aug 28'!$A$8:$A$42,"New",'Aug 28'!$AI$8:$AI$42,1)</f>
        <v>0</v>
      </c>
      <c r="S34" s="0" t="n">
        <f aca="false">SUMIFS('Aug 28'!$R$8:$R$42,'Aug 28'!$A$8:$A$42,"New",'Aug 28'!$AI$8:$AI$42,1)</f>
        <v>0</v>
      </c>
      <c r="T34" s="0" t="n">
        <f aca="false">SUMIFS('Aug 28'!$AI$8:$AI$42,'Aug 28'!$A$8:$A$42,"Used")</f>
        <v>0</v>
      </c>
      <c r="U34" s="0" t="n">
        <f aca="false">SUMIFS('Aug 28'!$Q$8:$Q$42,'Aug 28'!$A$8:$A$42,"Used",'Aug 28'!$AI$8:$AI$42,1)</f>
        <v>0</v>
      </c>
      <c r="V34" s="0" t="n">
        <f aca="false">SUMIFS('Aug 28'!$R$8:$R$42,'Aug 28'!$A$8:$A$42,"Used",'Aug 28'!$AI$8:$AI$42,1)</f>
        <v>0</v>
      </c>
    </row>
    <row r="35" customFormat="false" ht="15" hidden="false" customHeight="false" outlineLevel="0" collapsed="false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P35" s="0" t="s">
        <v>244</v>
      </c>
      <c r="Q35" s="0" t="n">
        <f aca="false">SUMIFS('Aug 29'!$AI$8:$AI$42,'Aug 29'!$A$8:$A$42,"New")</f>
        <v>0</v>
      </c>
      <c r="R35" s="0" t="n">
        <f aca="false">SUMIFS('Aug 29'!$Q$8:$Q$42,'Aug 29'!$A$8:$A$42,"New",'Aug 29'!$AI$8:$AI$42,1)</f>
        <v>0</v>
      </c>
      <c r="S35" s="0" t="n">
        <f aca="false">SUMIFS('Aug 29'!$R$8:$R$42,'Aug 29'!$A$8:$A$42,"New",'Aug 29'!$AI$8:$AI$42,1)</f>
        <v>0</v>
      </c>
      <c r="T35" s="0" t="n">
        <f aca="false">SUMIFS('Aug 29'!$AI$8:$AI$42,'Aug 29'!$A$8:$A$42,"Used")</f>
        <v>0</v>
      </c>
      <c r="U35" s="0" t="n">
        <f aca="false">SUMIFS('Aug 29'!$Q$8:$Q$42,'Aug 29'!$A$8:$A$42,"Used",'Aug 29'!$AI$8:$AI$42,1)</f>
        <v>0</v>
      </c>
      <c r="V35" s="0" t="n">
        <f aca="false">SUMIFS('Aug 29'!$R$8:$R$42,'Aug 29'!$A$8:$A$42,"Used",'Aug 29'!$AI$8:$AI$42,1)</f>
        <v>0</v>
      </c>
    </row>
    <row r="36" customFormat="false" ht="15" hidden="false" customHeight="false" outlineLevel="0" collapsed="false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P36" s="0" t="s">
        <v>245</v>
      </c>
      <c r="Q36" s="0" t="n">
        <f aca="false">SUMIFS('Aug 30'!$AI$8:$AI$42,'Aug 30'!$A$8:$A$42,"New")</f>
        <v>0</v>
      </c>
      <c r="R36" s="0" t="n">
        <f aca="false">SUMIFS('Aug 30'!$Q$8:$Q$42,'Aug 30'!$A$8:$A$42,"New",'Aug 30'!$AI$8:$AI$42,1)</f>
        <v>0</v>
      </c>
      <c r="S36" s="0" t="n">
        <f aca="false">SUMIFS('Aug 30'!$R$8:$R$42,'Aug 30'!$A$8:$A$42,"New",'Aug 30'!$AI$8:$AI$42,1)</f>
        <v>0</v>
      </c>
      <c r="T36" s="0" t="n">
        <f aca="false">SUMIFS('Aug 30'!$AI$8:$AI$42,'Aug 30'!$A$8:$A$42,"Used")</f>
        <v>0</v>
      </c>
      <c r="U36" s="0" t="n">
        <f aca="false">SUMIFS('Aug 30'!$Q$8:$Q$42,'Aug 30'!$A$8:$A$42,"Used",'Aug 30'!$AI$8:$AI$42,1)</f>
        <v>0</v>
      </c>
      <c r="V36" s="0" t="n">
        <f aca="false">SUMIFS('Aug 30'!$R$8:$R$42,'Aug 30'!$A$8:$A$42,"Used",'Aug 30'!$AI$8:$AI$42,1)</f>
        <v>0</v>
      </c>
    </row>
    <row r="37" customFormat="false" ht="15" hidden="false" customHeight="false" outlineLevel="0" collapsed="false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P37" s="0" t="s">
        <v>246</v>
      </c>
      <c r="Q37" s="0" t="n">
        <f aca="false">SUMIFS('Aug 31'!$AI$8:$AI$42,'Aug 31'!$A$8:$A$42,"New")</f>
        <v>0</v>
      </c>
      <c r="R37" s="0" t="n">
        <f aca="false">SUMIFS('Aug 31'!$Q$8:$Q$42,'Aug 31'!$A$8:$A$42,"New",'Aug 31'!$AI$8:$AI$42,1)</f>
        <v>0</v>
      </c>
      <c r="S37" s="0" t="n">
        <f aca="false">SUMIFS('Aug 31'!$R$8:$R$42,'Aug 31'!$A$8:$A$42,"New",'Aug 31'!$AI$8:$AI$42,1)</f>
        <v>0</v>
      </c>
      <c r="T37" s="0" t="n">
        <f aca="false">SUMIFS('Aug 31'!$AI$8:$AI$42,'Aug 31'!$A$8:$A$42,"Used")</f>
        <v>0</v>
      </c>
      <c r="U37" s="0" t="n">
        <f aca="false">SUMIFS('Aug 31'!$Q$8:$Q$42,'Aug 31'!$A$8:$A$42,"Used",'Aug 31'!$AI$8:$AI$42,1)</f>
        <v>0</v>
      </c>
      <c r="V37" s="0" t="n">
        <f aca="false">SUMIFS('Aug 31'!$R$8:$R$42,'Aug 31'!$A$8:$A$42,"Used",'Aug 31'!$AI$8:$AI$42,1)</f>
        <v>0</v>
      </c>
    </row>
    <row r="38" customFormat="false" ht="15" hidden="false" customHeight="false" outlineLevel="0" collapsed="false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</row>
    <row r="39" customFormat="false" ht="15" hidden="false" customHeight="false" outlineLevel="0" collapsed="false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</row>
    <row r="40" customFormat="false" ht="15" hidden="false" customHeight="false" outlineLevel="0" collapsed="false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</row>
    <row r="41" customFormat="false" ht="15" hidden="false" customHeight="false" outlineLevel="0" collapsed="false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</row>
    <row r="42" customFormat="false" ht="15" hidden="false" customHeight="false" outlineLevel="0" collapsed="false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</row>
    <row r="43" customFormat="false" ht="15" hidden="false" customHeight="false" outlineLevel="0" collapsed="false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</row>
    <row r="44" customFormat="false" ht="15" hidden="false" customHeight="false" outlineLevel="0" collapsed="false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</row>
    <row r="45" customFormat="false" ht="15" hidden="false" customHeight="false" outlineLevel="0" collapsed="false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</row>
    <row r="46" customFormat="false" ht="15" hidden="false" customHeight="false" outlineLevel="0" collapsed="false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</row>
    <row r="47" customFormat="false" ht="15" hidden="false" customHeight="false" outlineLevel="0" collapsed="false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</row>
    <row r="48" customFormat="false" ht="15" hidden="false" customHeight="false" outlineLevel="0" collapsed="false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</row>
    <row r="49" customFormat="false" ht="15" hidden="false" customHeight="false" outlineLevel="0" collapsed="false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</row>
    <row r="50" customFormat="false" ht="15" hidden="false" customHeight="false" outlineLevel="0" collapsed="false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</row>
    <row r="51" customFormat="false" ht="15" hidden="false" customHeight="false" outlineLevel="0" collapsed="false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</row>
    <row r="52" customFormat="false" ht="15" hidden="false" customHeight="false" outlineLevel="0" collapsed="false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</row>
    <row r="53" customFormat="false" ht="15" hidden="false" customHeight="false" outlineLevel="0" collapsed="false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</row>
    <row r="54" customFormat="false" ht="15" hidden="false" customHeight="false" outlineLevel="0" collapsed="false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</row>
    <row r="55" customFormat="false" ht="15" hidden="false" customHeight="false" outlineLevel="0" collapsed="false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</row>
  </sheetData>
  <sheetProtection sheet="true" formatColumns="false" formatRows="false"/>
  <mergeCells count="5">
    <mergeCell ref="A2:K2"/>
    <mergeCell ref="A4:K4"/>
    <mergeCell ref="A15:K15"/>
    <mergeCell ref="A22:K22"/>
    <mergeCell ref="A23:K55"/>
  </mergeCells>
  <conditionalFormatting sqref="A22">
    <cfRule type="expression" priority="2" aboveAverage="0" equalAverage="0" bottom="0" percent="0" rank="0" text="" dxfId="0">
      <formula>LEFT($A$22,1)="✅"</formula>
    </cfRule>
    <cfRule type="expression" priority="3" aboveAverage="0" equalAverage="0" bottom="0" percent="0" rank="0" text="" dxfId="1">
      <formula>LEFT($A$22,1)="⚠"</formula>
    </cfRule>
  </conditionalFormatting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30"/>
  </cols>
  <sheetData>
    <row r="1" customFormat="false" ht="19.5" hidden="false" customHeight="true" outlineLevel="0" collapsed="false">
      <c r="A1" s="1" t="s">
        <v>247</v>
      </c>
      <c r="B1" s="1"/>
      <c r="C1" s="2" t="s">
        <v>248</v>
      </c>
      <c r="D1" s="2"/>
      <c r="E1" s="2"/>
      <c r="F1" s="3" t="str">
        <f aca="true">" as of "&amp;TEXT(TODAY(),"ddd mmm d")</f>
        <v> as of Sun Aug 2</v>
      </c>
    </row>
    <row r="2" customFormat="false" ht="19.5" hidden="false" customHeight="true" outlineLevel="0" collapsed="false">
      <c r="A2" s="1"/>
      <c r="B2" s="1"/>
      <c r="C2" s="2"/>
      <c r="D2" s="2"/>
      <c r="E2" s="2"/>
      <c r="F2" s="3"/>
    </row>
    <row r="3" customFormat="false" ht="19.5" hidden="false" customHeight="true" outlineLevel="0" collapsed="false">
      <c r="A3" s="1"/>
      <c r="B3" s="1"/>
      <c r="C3" s="4" t="s">
        <v>249</v>
      </c>
      <c r="D3" s="4"/>
      <c r="E3" s="4"/>
    </row>
    <row r="5" customFormat="false" ht="15" hidden="false" customHeight="false" outlineLevel="0" collapsed="false">
      <c r="A5" s="36" t="s">
        <v>250</v>
      </c>
      <c r="B5" s="37" t="s">
        <v>81</v>
      </c>
      <c r="C5" s="36" t="s">
        <v>29</v>
      </c>
      <c r="D5" s="36" t="s">
        <v>30</v>
      </c>
      <c r="E5" s="36" t="s">
        <v>158</v>
      </c>
      <c r="F5" s="37"/>
    </row>
    <row r="6" customFormat="false" ht="15.75" hidden="false" customHeight="true" outlineLevel="0" collapsed="false">
      <c r="A6" s="98" t="n">
        <v>1</v>
      </c>
      <c r="B6" s="45" t="str">
        <f aca="false">IFERROR(INDEX(Dashboard!$AD$4:$AD$19,MATCH(1,Dashboard!$BN$4:$BN$19,0)),"")</f>
        <v>FEDY ALI</v>
      </c>
      <c r="C6" s="31" t="n">
        <f aca="false">IFERROR(INDEX(Dashboard!$BK$4:$BK$19,MATCH(1,Dashboard!$BN$4:$BN$19,0)),0)</f>
        <v>0</v>
      </c>
      <c r="D6" s="25" t="n">
        <f aca="false">IFERROR(INDEX(Dashboard!$BK$23:$BK$38,MATCH(1,Dashboard!$BN$4:$BN$19,0)),0)</f>
        <v>0</v>
      </c>
      <c r="E6" s="25" t="str">
        <f aca="false">IF(N(C6)=0,"—",D6/C6)</f>
        <v>—</v>
      </c>
      <c r="F6" s="99" t="str">
        <f aca="false">IF(OR(MAX(Dashboard!$BK$4:$BK$19)=0,N(C6)=0),"",REPT("=",ROUND(28*C6/MAX(Dashboard!$BK$4:$BK$19),0)))</f>
        <v/>
      </c>
    </row>
    <row r="7" customFormat="false" ht="15.75" hidden="false" customHeight="true" outlineLevel="0" collapsed="false">
      <c r="A7" s="100" t="n">
        <v>2</v>
      </c>
      <c r="B7" s="49" t="str">
        <f aca="false">IFERROR(INDEX(Dashboard!$AD$4:$AD$19,MATCH(2,Dashboard!$BN$4:$BN$19,0)),"")</f>
        <v>CHAD EMBRY</v>
      </c>
      <c r="C7" s="80" t="n">
        <f aca="false">IFERROR(INDEX(Dashboard!$BK$4:$BK$19,MATCH(2,Dashboard!$BN$4:$BN$19,0)),0)</f>
        <v>0</v>
      </c>
      <c r="D7" s="51" t="n">
        <f aca="false">IFERROR(INDEX(Dashboard!$BK$23:$BK$38,MATCH(2,Dashboard!$BN$4:$BN$19,0)),0)</f>
        <v>0</v>
      </c>
      <c r="E7" s="51" t="str">
        <f aca="false">IF(N(C7)=0,"—",D7/C7)</f>
        <v>—</v>
      </c>
      <c r="F7" s="101" t="str">
        <f aca="false">IF(OR(MAX(Dashboard!$BK$4:$BK$19)=0,N(C7)=0),"",REPT("=",ROUND(28*C7/MAX(Dashboard!$BK$4:$BK$19),0)))</f>
        <v/>
      </c>
    </row>
    <row r="8" customFormat="false" ht="15.75" hidden="false" customHeight="true" outlineLevel="0" collapsed="false">
      <c r="A8" s="98" t="n">
        <v>3</v>
      </c>
      <c r="B8" s="45" t="str">
        <f aca="false">IFERROR(INDEX(Dashboard!$AD$4:$AD$19,MATCH(3,Dashboard!$BN$4:$BN$19,0)),"")</f>
        <v>RICH AMMERMAN</v>
      </c>
      <c r="C8" s="31" t="n">
        <f aca="false">IFERROR(INDEX(Dashboard!$BK$4:$BK$19,MATCH(3,Dashboard!$BN$4:$BN$19,0)),0)</f>
        <v>0</v>
      </c>
      <c r="D8" s="25" t="n">
        <f aca="false">IFERROR(INDEX(Dashboard!$BK$23:$BK$38,MATCH(3,Dashboard!$BN$4:$BN$19,0)),0)</f>
        <v>0</v>
      </c>
      <c r="E8" s="25" t="str">
        <f aca="false">IF(N(C8)=0,"—",D8/C8)</f>
        <v>—</v>
      </c>
      <c r="F8" s="99" t="str">
        <f aca="false">IF(OR(MAX(Dashboard!$BK$4:$BK$19)=0,N(C8)=0),"",REPT("=",ROUND(28*C8/MAX(Dashboard!$BK$4:$BK$19),0)))</f>
        <v/>
      </c>
    </row>
    <row r="9" customFormat="false" ht="15.75" hidden="false" customHeight="true" outlineLevel="0" collapsed="false">
      <c r="A9" s="102" t="n">
        <v>4</v>
      </c>
      <c r="B9" s="49" t="str">
        <f aca="false">IFERROR(INDEX(Dashboard!$AD$4:$AD$19,MATCH(4,Dashboard!$BN$4:$BN$19,0)),"")</f>
        <v>GARRET SCHWETTMAN</v>
      </c>
      <c r="C9" s="80" t="n">
        <f aca="false">IFERROR(INDEX(Dashboard!$BK$4:$BK$19,MATCH(4,Dashboard!$BN$4:$BN$19,0)),0)</f>
        <v>0</v>
      </c>
      <c r="D9" s="51" t="n">
        <f aca="false">IFERROR(INDEX(Dashboard!$BK$23:$BK$38,MATCH(4,Dashboard!$BN$4:$BN$19,0)),0)</f>
        <v>0</v>
      </c>
      <c r="E9" s="51" t="str">
        <f aca="false">IF(N(C9)=0,"—",D9/C9)</f>
        <v>—</v>
      </c>
      <c r="F9" s="101" t="str">
        <f aca="false">IF(OR(MAX(Dashboard!$BK$4:$BK$19)=0,N(C9)=0),"",REPT("=",ROUND(28*C9/MAX(Dashboard!$BK$4:$BK$19),0)))</f>
        <v/>
      </c>
    </row>
    <row r="10" customFormat="false" ht="15.75" hidden="false" customHeight="true" outlineLevel="0" collapsed="false">
      <c r="A10" s="103" t="n">
        <v>5</v>
      </c>
      <c r="B10" s="45" t="str">
        <f aca="false">IFERROR(INDEX(Dashboard!$AD$4:$AD$19,MATCH(5,Dashboard!$BN$4:$BN$19,0)),"")</f>
        <v>MERCEDES CLARK</v>
      </c>
      <c r="C10" s="31" t="n">
        <f aca="false">IFERROR(INDEX(Dashboard!$BK$4:$BK$19,MATCH(5,Dashboard!$BN$4:$BN$19,0)),0)</f>
        <v>0</v>
      </c>
      <c r="D10" s="25" t="n">
        <f aca="false">IFERROR(INDEX(Dashboard!$BK$23:$BK$38,MATCH(5,Dashboard!$BN$4:$BN$19,0)),0)</f>
        <v>0</v>
      </c>
      <c r="E10" s="25" t="str">
        <f aca="false">IF(N(C10)=0,"—",D10/C10)</f>
        <v>—</v>
      </c>
      <c r="F10" s="99" t="str">
        <f aca="false">IF(OR(MAX(Dashboard!$BK$4:$BK$19)=0,N(C10)=0),"",REPT("=",ROUND(28*C10/MAX(Dashboard!$BK$4:$BK$19),0)))</f>
        <v/>
      </c>
    </row>
    <row r="11" customFormat="false" ht="15.75" hidden="false" customHeight="true" outlineLevel="0" collapsed="false">
      <c r="A11" s="102" t="n">
        <v>6</v>
      </c>
      <c r="B11" s="49" t="str">
        <f aca="false">IFERROR(INDEX(Dashboard!$AD$4:$AD$19,MATCH(6,Dashboard!$BN$4:$BN$19,0)),"")</f>
        <v>ZAY JOHNSON</v>
      </c>
      <c r="C11" s="80" t="n">
        <f aca="false">IFERROR(INDEX(Dashboard!$BK$4:$BK$19,MATCH(6,Dashboard!$BN$4:$BN$19,0)),0)</f>
        <v>0</v>
      </c>
      <c r="D11" s="51" t="n">
        <f aca="false">IFERROR(INDEX(Dashboard!$BK$23:$BK$38,MATCH(6,Dashboard!$BN$4:$BN$19,0)),0)</f>
        <v>0</v>
      </c>
      <c r="E11" s="51" t="str">
        <f aca="false">IF(N(C11)=0,"—",D11/C11)</f>
        <v>—</v>
      </c>
      <c r="F11" s="101" t="str">
        <f aca="false">IF(OR(MAX(Dashboard!$BK$4:$BK$19)=0,N(C11)=0),"",REPT("=",ROUND(28*C11/MAX(Dashboard!$BK$4:$BK$19),0)))</f>
        <v/>
      </c>
    </row>
    <row r="12" customFormat="false" ht="15.75" hidden="false" customHeight="true" outlineLevel="0" collapsed="false">
      <c r="A12" s="103" t="n">
        <v>7</v>
      </c>
      <c r="B12" s="45" t="str">
        <f aca="false">IFERROR(INDEX(Dashboard!$AD$4:$AD$19,MATCH(7,Dashboard!$BN$4:$BN$19,0)),"")</f>
        <v>JUSTIN ROLLER</v>
      </c>
      <c r="C12" s="31" t="n">
        <f aca="false">IFERROR(INDEX(Dashboard!$BK$4:$BK$19,MATCH(7,Dashboard!$BN$4:$BN$19,0)),0)</f>
        <v>0</v>
      </c>
      <c r="D12" s="25" t="n">
        <f aca="false">IFERROR(INDEX(Dashboard!$BK$23:$BK$38,MATCH(7,Dashboard!$BN$4:$BN$19,0)),0)</f>
        <v>0</v>
      </c>
      <c r="E12" s="25" t="str">
        <f aca="false">IF(N(C12)=0,"—",D12/C12)</f>
        <v>—</v>
      </c>
      <c r="F12" s="99" t="str">
        <f aca="false">IF(OR(MAX(Dashboard!$BK$4:$BK$19)=0,N(C12)=0),"",REPT("=",ROUND(28*C12/MAX(Dashboard!$BK$4:$BK$19),0)))</f>
        <v/>
      </c>
    </row>
    <row r="13" customFormat="false" ht="15.75" hidden="false" customHeight="true" outlineLevel="0" collapsed="false">
      <c r="A13" s="102" t="n">
        <v>8</v>
      </c>
      <c r="B13" s="49" t="str">
        <f aca="false">IFERROR(INDEX(Dashboard!$AD$4:$AD$19,MATCH(8,Dashboard!$BN$4:$BN$19,0)),"")</f>
        <v>MATT ALFIERI</v>
      </c>
      <c r="C13" s="80" t="n">
        <f aca="false">IFERROR(INDEX(Dashboard!$BK$4:$BK$19,MATCH(8,Dashboard!$BN$4:$BN$19,0)),0)</f>
        <v>0</v>
      </c>
      <c r="D13" s="51" t="n">
        <f aca="false">IFERROR(INDEX(Dashboard!$BK$23:$BK$38,MATCH(8,Dashboard!$BN$4:$BN$19,0)),0)</f>
        <v>0</v>
      </c>
      <c r="E13" s="51" t="str">
        <f aca="false">IF(N(C13)=0,"—",D13/C13)</f>
        <v>—</v>
      </c>
      <c r="F13" s="101" t="str">
        <f aca="false">IF(OR(MAX(Dashboard!$BK$4:$BK$19)=0,N(C13)=0),"",REPT("=",ROUND(28*C13/MAX(Dashboard!$BK$4:$BK$19),0)))</f>
        <v/>
      </c>
    </row>
    <row r="14" customFormat="false" ht="15.75" hidden="false" customHeight="true" outlineLevel="0" collapsed="false">
      <c r="A14" s="103" t="n">
        <v>9</v>
      </c>
      <c r="B14" s="45" t="str">
        <f aca="false">IFERROR(INDEX(Dashboard!$AD$4:$AD$19,MATCH(9,Dashboard!$BN$4:$BN$19,0)),"")</f>
        <v>ZACH CUPP</v>
      </c>
      <c r="C14" s="31" t="n">
        <f aca="false">IFERROR(INDEX(Dashboard!$BK$4:$BK$19,MATCH(9,Dashboard!$BN$4:$BN$19,0)),0)</f>
        <v>0</v>
      </c>
      <c r="D14" s="25" t="n">
        <f aca="false">IFERROR(INDEX(Dashboard!$BK$23:$BK$38,MATCH(9,Dashboard!$BN$4:$BN$19,0)),0)</f>
        <v>0</v>
      </c>
      <c r="E14" s="25" t="str">
        <f aca="false">IF(N(C14)=0,"—",D14/C14)</f>
        <v>—</v>
      </c>
      <c r="F14" s="99" t="str">
        <f aca="false">IF(OR(MAX(Dashboard!$BK$4:$BK$19)=0,N(C14)=0),"",REPT("=",ROUND(28*C14/MAX(Dashboard!$BK$4:$BK$19),0)))</f>
        <v/>
      </c>
    </row>
    <row r="15" customFormat="false" ht="15.75" hidden="false" customHeight="true" outlineLevel="0" collapsed="false">
      <c r="A15" s="102" t="n">
        <v>10</v>
      </c>
      <c r="B15" s="49" t="str">
        <f aca="false">IFERROR(INDEX(Dashboard!$AD$4:$AD$19,MATCH(10,Dashboard!$BN$4:$BN$19,0)),"")</f>
        <v>ANDREW MIEIR</v>
      </c>
      <c r="C15" s="80" t="n">
        <f aca="false">IFERROR(INDEX(Dashboard!$BK$4:$BK$19,MATCH(10,Dashboard!$BN$4:$BN$19,0)),0)</f>
        <v>0</v>
      </c>
      <c r="D15" s="51" t="n">
        <f aca="false">IFERROR(INDEX(Dashboard!$BK$23:$BK$38,MATCH(10,Dashboard!$BN$4:$BN$19,0)),0)</f>
        <v>0</v>
      </c>
      <c r="E15" s="51" t="str">
        <f aca="false">IF(N(C15)=0,"—",D15/C15)</f>
        <v>—</v>
      </c>
      <c r="F15" s="101" t="str">
        <f aca="false">IF(OR(MAX(Dashboard!$BK$4:$BK$19)=0,N(C15)=0),"",REPT("=",ROUND(28*C15/MAX(Dashboard!$BK$4:$BK$19),0)))</f>
        <v/>
      </c>
    </row>
    <row r="16" customFormat="false" ht="15.75" hidden="false" customHeight="true" outlineLevel="0" collapsed="false">
      <c r="A16" s="103" t="n">
        <v>11</v>
      </c>
      <c r="B16" s="45" t="str">
        <f aca="false">IFERROR(INDEX(Dashboard!$AD$4:$AD$19,MATCH(11,Dashboard!$BN$4:$BN$19,0)),"")</f>
        <v>RAFAEL CAMPOS</v>
      </c>
      <c r="C16" s="31" t="n">
        <f aca="false">IFERROR(INDEX(Dashboard!$BK$4:$BK$19,MATCH(11,Dashboard!$BN$4:$BN$19,0)),0)</f>
        <v>0</v>
      </c>
      <c r="D16" s="25" t="n">
        <f aca="false">IFERROR(INDEX(Dashboard!$BK$23:$BK$38,MATCH(11,Dashboard!$BN$4:$BN$19,0)),0)</f>
        <v>0</v>
      </c>
      <c r="E16" s="25" t="str">
        <f aca="false">IF(N(C16)=0,"—",D16/C16)</f>
        <v>—</v>
      </c>
      <c r="F16" s="99" t="str">
        <f aca="false">IF(OR(MAX(Dashboard!$BK$4:$BK$19)=0,N(C16)=0),"",REPT("=",ROUND(28*C16/MAX(Dashboard!$BK$4:$BK$19),0)))</f>
        <v/>
      </c>
    </row>
    <row r="17" customFormat="false" ht="15.75" hidden="false" customHeight="true" outlineLevel="0" collapsed="false">
      <c r="A17" s="102" t="n">
        <v>12</v>
      </c>
      <c r="B17" s="49" t="str">
        <f aca="false">IFERROR(INDEX(Dashboard!$AD$4:$AD$19,MATCH(12,Dashboard!$BN$4:$BN$19,0)),"")</f>
        <v>JACOB LICHTENSTRAHL</v>
      </c>
      <c r="C17" s="80" t="n">
        <f aca="false">IFERROR(INDEX(Dashboard!$BK$4:$BK$19,MATCH(12,Dashboard!$BN$4:$BN$19,0)),0)</f>
        <v>0</v>
      </c>
      <c r="D17" s="51" t="n">
        <f aca="false">IFERROR(INDEX(Dashboard!$BK$23:$BK$38,MATCH(12,Dashboard!$BN$4:$BN$19,0)),0)</f>
        <v>0</v>
      </c>
      <c r="E17" s="51" t="str">
        <f aca="false">IF(N(C17)=0,"—",D17/C17)</f>
        <v>—</v>
      </c>
      <c r="F17" s="101" t="str">
        <f aca="false">IF(OR(MAX(Dashboard!$BK$4:$BK$19)=0,N(C17)=0),"",REPT("=",ROUND(28*C17/MAX(Dashboard!$BK$4:$BK$19),0)))</f>
        <v/>
      </c>
    </row>
    <row r="18" customFormat="false" ht="15.75" hidden="false" customHeight="true" outlineLevel="0" collapsed="false">
      <c r="A18" s="103" t="n">
        <v>13</v>
      </c>
      <c r="B18" s="45" t="str">
        <f aca="false">IFERROR(INDEX(Dashboard!$AD$4:$AD$19,MATCH(13,Dashboard!$BN$4:$BN$19,0)),"")</f>
        <v>BRAYDON JOHNSON</v>
      </c>
      <c r="C18" s="31" t="n">
        <f aca="false">IFERROR(INDEX(Dashboard!$BK$4:$BK$19,MATCH(13,Dashboard!$BN$4:$BN$19,0)),0)</f>
        <v>0</v>
      </c>
      <c r="D18" s="25" t="n">
        <f aca="false">IFERROR(INDEX(Dashboard!$BK$23:$BK$38,MATCH(13,Dashboard!$BN$4:$BN$19,0)),0)</f>
        <v>0</v>
      </c>
      <c r="E18" s="25" t="str">
        <f aca="false">IF(N(C18)=0,"—",D18/C18)</f>
        <v>—</v>
      </c>
      <c r="F18" s="99" t="str">
        <f aca="false">IF(OR(MAX(Dashboard!$BK$4:$BK$19)=0,N(C18)=0),"",REPT("=",ROUND(28*C18/MAX(Dashboard!$BK$4:$BK$19),0)))</f>
        <v/>
      </c>
    </row>
    <row r="19" customFormat="false" ht="15.75" hidden="false" customHeight="true" outlineLevel="0" collapsed="false">
      <c r="A19" s="102" t="n">
        <v>14</v>
      </c>
      <c r="B19" s="49" t="str">
        <f aca="false">IFERROR(INDEX(Dashboard!$AD$4:$AD$19,MATCH(14,Dashboard!$BN$4:$BN$19,0)),"")</f>
        <v>CHRIS HORNE</v>
      </c>
      <c r="C19" s="80" t="n">
        <f aca="false">IFERROR(INDEX(Dashboard!$BK$4:$BK$19,MATCH(14,Dashboard!$BN$4:$BN$19,0)),0)</f>
        <v>0</v>
      </c>
      <c r="D19" s="51" t="n">
        <f aca="false">IFERROR(INDEX(Dashboard!$BK$23:$BK$38,MATCH(14,Dashboard!$BN$4:$BN$19,0)),0)</f>
        <v>0</v>
      </c>
      <c r="E19" s="51" t="str">
        <f aca="false">IF(N(C19)=0,"—",D19/C19)</f>
        <v>—</v>
      </c>
      <c r="F19" s="101" t="str">
        <f aca="false">IF(OR(MAX(Dashboard!$BK$4:$BK$19)=0,N(C19)=0),"",REPT("=",ROUND(28*C19/MAX(Dashboard!$BK$4:$BK$19),0)))</f>
        <v/>
      </c>
    </row>
    <row r="20" customFormat="false" ht="15.75" hidden="false" customHeight="true" outlineLevel="0" collapsed="false">
      <c r="A20" s="103" t="n">
        <v>15</v>
      </c>
      <c r="B20" s="45" t="str">
        <f aca="false">IFERROR(INDEX(Dashboard!$AD$4:$AD$19,MATCH(15,Dashboard!$BN$4:$BN$19,0)),"")</f>
        <v>TIM CAMPBELL</v>
      </c>
      <c r="C20" s="31" t="n">
        <f aca="false">IFERROR(INDEX(Dashboard!$BK$4:$BK$19,MATCH(15,Dashboard!$BN$4:$BN$19,0)),0)</f>
        <v>0</v>
      </c>
      <c r="D20" s="25" t="n">
        <f aca="false">IFERROR(INDEX(Dashboard!$BK$23:$BK$38,MATCH(15,Dashboard!$BN$4:$BN$19,0)),0)</f>
        <v>0</v>
      </c>
      <c r="E20" s="25" t="str">
        <f aca="false">IF(N(C20)=0,"—",D20/C20)</f>
        <v>—</v>
      </c>
      <c r="F20" s="99" t="str">
        <f aca="false">IF(OR(MAX(Dashboard!$BK$4:$BK$19)=0,N(C20)=0),"",REPT("=",ROUND(28*C20/MAX(Dashboard!$BK$4:$BK$19),0)))</f>
        <v/>
      </c>
    </row>
    <row r="21" customFormat="false" ht="15.75" hidden="false" customHeight="true" outlineLevel="0" collapsed="false">
      <c r="A21" s="102" t="n">
        <v>16</v>
      </c>
      <c r="B21" s="49" t="str">
        <f aca="false">IFERROR(INDEX(Dashboard!$AD$4:$AD$19,MATCH(16,Dashboard!$BN$4:$BN$19,0)),"")</f>
        <v>BILL RISKO</v>
      </c>
      <c r="C21" s="80" t="n">
        <f aca="false">IFERROR(INDEX(Dashboard!$BK$4:$BK$19,MATCH(16,Dashboard!$BN$4:$BN$19,0)),0)</f>
        <v>0</v>
      </c>
      <c r="D21" s="51" t="n">
        <f aca="false">IFERROR(INDEX(Dashboard!$BK$23:$BK$38,MATCH(16,Dashboard!$BN$4:$BN$19,0)),0)</f>
        <v>0</v>
      </c>
      <c r="E21" s="51" t="str">
        <f aca="false">IF(N(C21)=0,"—",D21/C21)</f>
        <v>—</v>
      </c>
      <c r="F21" s="101" t="str">
        <f aca="false">IF(OR(MAX(Dashboard!$BK$4:$BK$19)=0,N(C21)=0),"",REPT("=",ROUND(28*C21/MAX(Dashboard!$BK$4:$BK$19),0)))</f>
        <v/>
      </c>
    </row>
  </sheetData>
  <sheetProtection sheet="true" formatColumns="false" formatRows="false"/>
  <mergeCells count="4">
    <mergeCell ref="A1:B3"/>
    <mergeCell ref="C1:E2"/>
    <mergeCell ref="F1:F2"/>
    <mergeCell ref="C3:E3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A8F"/>
    <pageSetUpPr fitToPage="true"/>
  </sheetPr>
  <dimension ref="A1:AQ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I10" activeCellId="0" sqref="I10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251</v>
      </c>
      <c r="B1" s="1"/>
      <c r="C1" s="1"/>
      <c r="D1" s="104" t="s">
        <v>252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IF(TODAY()=DATE(2026,8,1),"●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31'!A1","◀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2'!A1","Next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296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310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26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IF($C$64="","-",IF($C$62&gt;=1/GoalSellingDays*$C$64,"● AHEAD",IF($C$62&gt;=0.9*$C$64*1/GoalSellingDays,"●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DC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317</v>
      </c>
      <c r="B1" s="1"/>
      <c r="C1" s="1"/>
      <c r="D1" s="104" t="s">
        <v>318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IF(TODAY()=DATE(2026,8,2),"● TODAY","")</f>
        <v>● TODAY</v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319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1'!A1","◀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3'!A1","Next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320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321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1'!$C$62+$G$46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1'!$C$63+$G$49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25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IF($C$64="","-",IF($C$62&gt;=1/GoalSellingDays*$C$64,"● AHEAD",IF($C$62&gt;=0.9*$C$64*1/GoalSellingDays,"●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D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322</v>
      </c>
      <c r="B1" s="1"/>
      <c r="C1" s="1"/>
      <c r="D1" s="104" t="s">
        <v>323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IF(TODAY()=DATE(2026,8,3),"●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2'!A1","◀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4'!A1","Next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324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325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2'!$C$62+$G$46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2'!$C$63+$G$49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25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IF($C$64="","-",IF($C$62&gt;=2/GoalSellingDays*$C$64,"● AHEAD",IF($C$62&gt;=0.9*$C$64*2/GoalSellingDays,"●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D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326</v>
      </c>
      <c r="B1" s="1"/>
      <c r="C1" s="1"/>
      <c r="D1" s="104" t="s">
        <v>327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IF(TODAY()=DATE(2026,8,4),"●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3'!A1","◀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5'!A1","Next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328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329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3'!$C$62+$G$46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3'!$C$63+$G$49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24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IF($C$64="","-",IF($C$62&gt;=3/GoalSellingDays*$C$64,"● AHEAD",IF($C$62&gt;=0.9*$C$64*3/GoalSellingDays,"●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D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330</v>
      </c>
      <c r="B1" s="1"/>
      <c r="C1" s="1"/>
      <c r="D1" s="104" t="s">
        <v>331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IF(TODAY()=DATE(2026,8,5),"●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4'!A1","◀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6'!A1","Next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332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333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4'!$C$62+$G$46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4'!$C$63+$G$49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23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IF($C$64="","-",IF($C$62&gt;=4/GoalSellingDays*$C$64,"● AHEAD",IF($C$62&gt;=0.9*$C$64*4/GoalSellingDays,"●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D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334</v>
      </c>
      <c r="B1" s="1"/>
      <c r="C1" s="1"/>
      <c r="D1" s="104" t="s">
        <v>335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IF(TODAY()=DATE(2026,8,6),"●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5'!A1","◀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7'!A1","Next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336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337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5'!$C$62+$G$46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5'!$C$63+$G$49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22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IF($C$64="","-",IF($C$62&gt;=5/GoalSellingDays*$C$64,"● AHEAD",IF($C$62&gt;=0.9*$C$64*5/GoalSellingDays,"●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D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338</v>
      </c>
      <c r="B1" s="1"/>
      <c r="C1" s="1"/>
      <c r="D1" s="104" t="s">
        <v>339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IF(TODAY()=DATE(2026,8,7),"●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6'!A1","◀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8'!A1","Next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340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341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6'!$C$62+$G$46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6'!$C$63+$G$49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21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IF($C$64="","-",IF($C$62&gt;=6/GoalSellingDays*$C$64,"● AHEAD",IF($C$62&gt;=0.9*$C$64*6/GoalSellingDays,"●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A8F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342</v>
      </c>
      <c r="B1" s="1"/>
      <c r="C1" s="1"/>
      <c r="D1" s="104" t="s">
        <v>343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IF(TODAY()=DATE(2026,8,8),"●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7'!A1","◀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9'!A1","Next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344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345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7'!$C$62+$G$46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7'!$C$63+$G$49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20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IF($C$64="","-",IF($C$62&gt;=7/GoalSellingDays*$C$64,"● AHEAD",IF($C$62&gt;=0.9*$C$64*7/GoalSellingDays,"●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DC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346</v>
      </c>
      <c r="B1" s="1"/>
      <c r="C1" s="1"/>
      <c r="D1" s="104" t="s">
        <v>347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IF(TODAY()=DATE(2026,8,9),"●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319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8'!A1","◀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10'!A1","Next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348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349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8'!$C$62+$G$46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8'!$C$63+$G$49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19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IF($C$64="","-",IF($C$62&gt;=7/GoalSellingDays*$C$64,"● AHEAD",IF($C$62&gt;=0.9*$C$64*7/GoalSellingDays,"●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D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350</v>
      </c>
      <c r="B1" s="1"/>
      <c r="C1" s="1"/>
      <c r="D1" s="104" t="s">
        <v>351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IF(TODAY()=DATE(2026,8,10),"●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9'!A1","◀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11'!A1","Next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352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353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9'!$C$62+$G$46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9'!$C$63+$G$49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19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IF($C$64="","-",IF($C$62&gt;=8/GoalSellingDays*$C$64,"● AHEAD",IF($C$62&gt;=0.9*$C$64*8/GoalSellingDays,"●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D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354</v>
      </c>
      <c r="B1" s="1"/>
      <c r="C1" s="1"/>
      <c r="D1" s="104" t="s">
        <v>355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IF(TODAY()=DATE(2026,8,11),"●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10'!A1","◀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12'!A1","Next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356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357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10'!$C$62+$G$46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10'!$C$63+$G$49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18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IF($C$64="","-",IF($C$62&gt;=9/GoalSellingDays*$C$64,"● AHEAD",IF($C$62&gt;=0.9*$C$64*9/GoalSellingDays,"●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D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358</v>
      </c>
      <c r="B1" s="1"/>
      <c r="C1" s="1"/>
      <c r="D1" s="104" t="s">
        <v>359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IF(TODAY()=DATE(2026,8,12),"●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11'!A1","◀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13'!A1","Next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360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361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11'!$C$62+$G$46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11'!$C$63+$G$49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17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IF($C$64="","-",IF($C$62&gt;=10/GoalSellingDays*$C$64,"● AHEAD",IF($C$62&gt;=0.9*$C$64*10/GoalSellingDays,"●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D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362</v>
      </c>
      <c r="B1" s="1"/>
      <c r="C1" s="1"/>
      <c r="D1" s="104" t="s">
        <v>363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IF(TODAY()=DATE(2026,8,13),"●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12'!A1","◀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14'!A1","Next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364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365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12'!$C$62+$G$46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12'!$C$63+$G$49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16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IF($C$64="","-",IF($C$62&gt;=11/GoalSellingDays*$C$64,"● AHEAD",IF($C$62&gt;=0.9*$C$64*11/GoalSellingDays,"●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D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366</v>
      </c>
      <c r="B1" s="1"/>
      <c r="C1" s="1"/>
      <c r="D1" s="104" t="s">
        <v>367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IF(TODAY()=DATE(2026,8,14),"●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13'!A1","◀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15'!A1","Next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368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369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13'!$C$62+$G$46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13'!$C$63+$G$49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15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IF($C$64="","-",IF($C$62&gt;=12/GoalSellingDays*$C$64,"● AHEAD",IF($C$62&gt;=0.9*$C$64*12/GoalSellingDays,"●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A8F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370</v>
      </c>
      <c r="B1" s="1"/>
      <c r="C1" s="1"/>
      <c r="D1" s="104" t="s">
        <v>371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IF(TODAY()=DATE(2026,8,15),"●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14'!A1","◀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16'!A1","Next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372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373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14'!$C$62+$G$46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14'!$C$63+$G$49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14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IF($C$64="","-",IF($C$62&gt;=13/GoalSellingDays*$C$64,"● AHEAD",IF($C$62&gt;=0.9*$C$64*13/GoalSellingDays,"●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DC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374</v>
      </c>
      <c r="B1" s="1"/>
      <c r="C1" s="1"/>
      <c r="D1" s="104" t="s">
        <v>375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IF(TODAY()=DATE(2026,8,16),"●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319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15'!A1","◀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17'!A1","Next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376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377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15'!$C$62+$G$46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15'!$C$63+$G$49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13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IF($C$64="","-",IF($C$62&gt;=13/GoalSellingDays*$C$64,"● AHEAD",IF($C$62&gt;=0.9*$C$64*13/GoalSellingDays,"●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D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378</v>
      </c>
      <c r="B1" s="1"/>
      <c r="C1" s="1"/>
      <c r="D1" s="104" t="s">
        <v>379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IF(TODAY()=DATE(2026,8,17),"●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16'!A1","◀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18'!A1","Next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380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381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16'!$C$62+$G$46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16'!$C$63+$G$49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13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IF($C$64="","-",IF($C$62&gt;=14/GoalSellingDays*$C$64,"● AHEAD",IF($C$62&gt;=0.9*$C$64*14/GoalSellingDays,"●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D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382</v>
      </c>
      <c r="B1" s="1"/>
      <c r="C1" s="1"/>
      <c r="D1" s="104" t="s">
        <v>383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IF(TODAY()=DATE(2026,8,18),"●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17'!A1","◀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19'!A1","Next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384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385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17'!$C$62+$G$46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17'!$C$63+$G$49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12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IF($C$64="","-",IF($C$62&gt;=15/GoalSellingDays*$C$64,"● AHEAD",IF($C$62&gt;=0.9*$C$64*15/GoalSellingDays,"●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D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386</v>
      </c>
      <c r="B1" s="1"/>
      <c r="C1" s="1"/>
      <c r="D1" s="104" t="s">
        <v>387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IF(TODAY()=DATE(2026,8,19),"●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18'!A1","◀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20'!A1","Next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388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389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18'!$C$62+$G$46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18'!$C$63+$G$49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11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IF($C$64="","-",IF($C$62&gt;=16/GoalSellingDays*$C$64,"● AHEAD",IF($C$62&gt;=0.9*$C$64*16/GoalSellingDays,"●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D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390</v>
      </c>
      <c r="B1" s="1"/>
      <c r="C1" s="1"/>
      <c r="D1" s="104" t="s">
        <v>391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IF(TODAY()=DATE(2026,8,20),"●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19'!A1","◀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21'!A1","Next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392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393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19'!$C$62+$G$46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19'!$C$63+$G$49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10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IF($C$64="","-",IF($C$62&gt;=17/GoalSellingDays*$C$64,"● AHEAD",IF($C$62&gt;=0.9*$C$64*17/GoalSellingDays,"●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D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394</v>
      </c>
      <c r="B1" s="1"/>
      <c r="C1" s="1"/>
      <c r="D1" s="104" t="s">
        <v>395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IF(TODAY()=DATE(2026,8,21),"●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20'!A1","◀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22'!A1","Next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396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397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20'!$C$62+$G$46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20'!$C$63+$G$49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9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IF($C$64="","-",IF($C$62&gt;=18/GoalSellingDays*$C$64,"● AHEAD",IF($C$62&gt;=0.9*$C$64*18/GoalSellingDays,"●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A8F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398</v>
      </c>
      <c r="B1" s="1"/>
      <c r="C1" s="1"/>
      <c r="D1" s="104" t="s">
        <v>399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IF(TODAY()=DATE(2026,8,22),"●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21'!A1","◀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23'!A1","Next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400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401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21'!$C$62+$G$46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21'!$C$63+$G$49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8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IF($C$64="","-",IF($C$62&gt;=19/GoalSellingDays*$C$64,"● AHEAD",IF($C$62&gt;=0.9*$C$64*19/GoalSellingDays,"●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DC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402</v>
      </c>
      <c r="B1" s="1"/>
      <c r="C1" s="1"/>
      <c r="D1" s="104" t="s">
        <v>403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IF(TODAY()=DATE(2026,8,23),"●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319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22'!A1","◀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24'!A1","Next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404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405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22'!$C$62+$G$46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22'!$C$63+$G$49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7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IF($C$64="","-",IF($C$62&gt;=19/GoalSellingDays*$C$64,"● AHEAD",IF($C$62&gt;=0.9*$C$64*19/GoalSellingDays,"●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D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406</v>
      </c>
      <c r="B1" s="1"/>
      <c r="C1" s="1"/>
      <c r="D1" s="104" t="s">
        <v>407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IF(TODAY()=DATE(2026,8,24),"●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23'!A1","◀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25'!A1","Next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408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409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23'!$C$62+$G$46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23'!$C$63+$G$49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7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IF($C$64="","-",IF($C$62&gt;=20/GoalSellingDays*$C$64,"● AHEAD",IF($C$62&gt;=0.9*$C$64*20/GoalSellingDays,"●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D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410</v>
      </c>
      <c r="B1" s="1"/>
      <c r="C1" s="1"/>
      <c r="D1" s="104" t="s">
        <v>411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IF(TODAY()=DATE(2026,8,25),"●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24'!A1","◀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26'!A1","Next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412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413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24'!$C$62+$G$46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24'!$C$63+$G$49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6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IF($C$64="","-",IF($C$62&gt;=21/GoalSellingDays*$C$64,"● AHEAD",IF($C$62&gt;=0.9*$C$64*21/GoalSellingDays,"●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D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414</v>
      </c>
      <c r="B1" s="1"/>
      <c r="C1" s="1"/>
      <c r="D1" s="104" t="s">
        <v>415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IF(TODAY()=DATE(2026,8,26),"●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25'!A1","◀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27'!A1","Next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416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417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25'!$C$62+$G$46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25'!$C$63+$G$49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5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IF($C$64="","-",IF($C$62&gt;=22/GoalSellingDays*$C$64,"● AHEAD",IF($C$62&gt;=0.9*$C$64*22/GoalSellingDays,"●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D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418</v>
      </c>
      <c r="B1" s="1"/>
      <c r="C1" s="1"/>
      <c r="D1" s="104" t="s">
        <v>419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IF(TODAY()=DATE(2026,8,27),"●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26'!A1","◀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28'!A1","Next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420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421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26'!$C$62+$G$46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26'!$C$63+$G$49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4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IF($C$64="","-",IF($C$62&gt;=23/GoalSellingDays*$C$64,"● AHEAD",IF($C$62&gt;=0.9*$C$64*23/GoalSellingDays,"●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D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422</v>
      </c>
      <c r="B1" s="1"/>
      <c r="C1" s="1"/>
      <c r="D1" s="104" t="s">
        <v>423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IF(TODAY()=DATE(2026,8,28),"●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27'!A1","◀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29'!A1","Next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424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425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27'!$C$62+$G$46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27'!$C$63+$G$49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3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IF($C$64="","-",IF($C$62&gt;=24/GoalSellingDays*$C$64,"● AHEAD",IF($C$62&gt;=0.9*$C$64*24/GoalSellingDays,"●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A8F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426</v>
      </c>
      <c r="B1" s="1"/>
      <c r="C1" s="1"/>
      <c r="D1" s="104" t="s">
        <v>427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IF(TODAY()=DATE(2026,8,29),"●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28'!A1","◀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30'!A1","Next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428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429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28'!$C$62+$G$46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28'!$C$63+$G$49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2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IF($C$64="","-",IF($C$62&gt;=25/GoalSellingDays*$C$64,"● AHEAD",IF($C$62&gt;=0.9*$C$64*25/GoalSellingDays,"●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DC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430</v>
      </c>
      <c r="B1" s="1"/>
      <c r="C1" s="1"/>
      <c r="D1" s="104" t="s">
        <v>431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IF(TODAY()=DATE(2026,8,30),"●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319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29'!A1","◀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31'!A1","Next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432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433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29'!$C$62+$G$46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29'!$C$63+$G$49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1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IF($C$64="","-",IF($C$62&gt;=25/GoalSellingDays*$C$64,"● AHEAD",IF($C$62&gt;=0.9*$C$64*25/GoalSellingDays,"● ON PACE","● BEHIND")))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D"/>
    <pageSetUpPr fitToPage="true"/>
  </sheetPr>
  <dimension ref="A1:A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8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7" min="6" style="0" width="13.43"/>
    <col collapsed="false" customWidth="true" hidden="false" outlineLevel="0" max="8" min="8" style="0" width="11.43"/>
    <col collapsed="false" customWidth="true" hidden="false" outlineLevel="0" max="9" min="9" style="0" width="10"/>
    <col collapsed="false" customWidth="true" hidden="false" outlineLevel="0" max="10" min="10" style="0" width="5.4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4.43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9.43"/>
    <col collapsed="false" customWidth="true" hidden="false" outlineLevel="0" max="20" min="20" style="0" width="8"/>
    <col collapsed="false" customWidth="true" hidden="false" outlineLevel="0" max="21" min="21" style="0" width="5.4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6.43"/>
    <col collapsed="false" customWidth="true" hidden="false" outlineLevel="0" max="27" min="27" style="0" width="10"/>
    <col collapsed="false" customWidth="true" hidden="false" outlineLevel="0" max="30" min="28" style="0" width="8.43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3" min="33" style="0" width="9"/>
    <col collapsed="false" customWidth="true" hidden="false" outlineLevel="0" max="34" min="34" style="0" width="10"/>
    <col collapsed="false" customWidth="true" hidden="true" outlineLevel="0" max="37" min="35" style="0" width="6"/>
    <col collapsed="false" customWidth="true" hidden="true" outlineLevel="0" max="38" min="38" style="0" width="10"/>
    <col collapsed="false" customWidth="true" hidden="false" outlineLevel="0" max="41" min="39" style="0" width="5"/>
    <col collapsed="false" customWidth="true" hidden="true" outlineLevel="0" max="42" min="42" style="0" width="7"/>
    <col collapsed="false" customWidth="true" hidden="false" outlineLevel="0" max="43" min="43" style="0" width="10"/>
  </cols>
  <sheetData>
    <row r="1" customFormat="false" ht="21.75" hidden="false" customHeight="true" outlineLevel="0" collapsed="false">
      <c r="A1" s="1" t="s">
        <v>434</v>
      </c>
      <c r="B1" s="1"/>
      <c r="C1" s="1"/>
      <c r="D1" s="104" t="s">
        <v>435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5" t="str">
        <f aca="true">IF(TODAY()=DATE(2026,8,31),"● TODAY","")</f>
        <v/>
      </c>
      <c r="S1" s="105"/>
      <c r="T1" s="105"/>
    </row>
    <row r="2" customFormat="false" ht="21.75" hidden="false" customHeight="true" outlineLevel="0" collapsed="false">
      <c r="A2" s="1"/>
      <c r="B2" s="1"/>
      <c r="C2" s="1"/>
      <c r="D2" s="63" t="s">
        <v>253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R2" s="105"/>
      <c r="S2" s="105"/>
      <c r="T2" s="105"/>
    </row>
    <row r="3" customFormat="false" ht="15.75" hidden="false" customHeight="true" outlineLevel="0" collapsed="false">
      <c r="A3" s="106" t="str">
        <f aca="false">HYPERLINK("#'Aug 30'!A1","◀  Prev Day")</f>
        <v>◀  Prev Day</v>
      </c>
      <c r="C3" s="106" t="str">
        <f aca="false">HYPERLINK("#'Dashboard'!A1","Dashboard")</f>
        <v>Dashboard</v>
      </c>
      <c r="E3" s="106" t="str">
        <f aca="false">HYPERLINK("#'Trade Report'!A1","Trade Report")</f>
        <v>Trade Report</v>
      </c>
      <c r="G3" s="106" t="str">
        <f aca="false">HYPERLINK("#'Nightly Text'!A1","Nightly Text")</f>
        <v>Nightly Text</v>
      </c>
      <c r="I3" s="106" t="str">
        <f aca="false">HYPERLINK("#'Leaderboard'!A1","Leaderboard")</f>
        <v>Leaderboard</v>
      </c>
      <c r="K3" s="106" t="str">
        <f aca="false">HYPERLINK("#'Aug 1'!A1","Next Day  ▶")</f>
        <v>Next Day  ▶</v>
      </c>
    </row>
    <row r="4" customFormat="false" ht="3.75" hidden="false" customHeight="true" outlineLevel="0" collapsed="false">
      <c r="C4" s="107" t="s">
        <v>45</v>
      </c>
      <c r="E4" s="107" t="s">
        <v>134</v>
      </c>
      <c r="G4" s="107" t="s">
        <v>135</v>
      </c>
      <c r="I4" s="107" t="s">
        <v>254</v>
      </c>
      <c r="K4" s="107" t="s">
        <v>136</v>
      </c>
      <c r="M4" s="107" t="s">
        <v>255</v>
      </c>
      <c r="O4" s="107" t="s">
        <v>256</v>
      </c>
    </row>
    <row r="5" customFormat="false" ht="3.75" hidden="false" customHeight="true" outlineLevel="0" collapsed="false">
      <c r="C5" s="108" t="n">
        <f aca="false">$G$46</f>
        <v>0</v>
      </c>
      <c r="E5" s="109" t="n">
        <f aca="false">$G$47</f>
        <v>0</v>
      </c>
      <c r="G5" s="109" t="n">
        <f aca="false">$G$48</f>
        <v>0</v>
      </c>
      <c r="I5" s="110" t="n">
        <f aca="false">$G$49</f>
        <v>0</v>
      </c>
      <c r="K5" s="108" t="n">
        <f aca="false">$G$50</f>
        <v>0</v>
      </c>
      <c r="M5" s="108" t="n">
        <f aca="false">$C$56</f>
        <v>0</v>
      </c>
      <c r="O5" s="108" t="n">
        <f aca="false">$G$57</f>
        <v>0</v>
      </c>
    </row>
    <row r="6" customFormat="false" ht="15.75" hidden="false" customHeight="true" outlineLevel="0" collapsed="false">
      <c r="A6" s="111" t="s">
        <v>257</v>
      </c>
      <c r="B6" s="111"/>
      <c r="C6" s="111"/>
      <c r="D6" s="111"/>
      <c r="E6" s="111"/>
      <c r="F6" s="111"/>
      <c r="G6" s="111"/>
      <c r="H6" s="111"/>
      <c r="I6" s="111"/>
      <c r="J6" s="111" t="s">
        <v>258</v>
      </c>
      <c r="K6" s="111"/>
      <c r="L6" s="111"/>
      <c r="M6" s="111"/>
      <c r="N6" s="111"/>
      <c r="O6" s="111"/>
      <c r="P6" s="111"/>
      <c r="Q6" s="111"/>
      <c r="R6" s="111"/>
      <c r="S6" s="111"/>
      <c r="T6" s="111" t="s">
        <v>259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 t="s">
        <v>260</v>
      </c>
      <c r="AG6" s="111"/>
      <c r="AH6" s="111"/>
    </row>
    <row r="7" customFormat="false" ht="27.75" hidden="false" customHeight="true" outlineLevel="0" collapsed="false">
      <c r="A7" s="112" t="s">
        <v>62</v>
      </c>
      <c r="B7" s="112" t="s">
        <v>261</v>
      </c>
      <c r="C7" s="112" t="s">
        <v>262</v>
      </c>
      <c r="D7" s="112" t="s">
        <v>69</v>
      </c>
      <c r="E7" s="112" t="s">
        <v>71</v>
      </c>
      <c r="F7" s="112" t="s">
        <v>72</v>
      </c>
      <c r="G7" s="112" t="s">
        <v>73</v>
      </c>
      <c r="H7" s="112" t="s">
        <v>263</v>
      </c>
      <c r="I7" s="112" t="s">
        <v>264</v>
      </c>
      <c r="J7" s="112" t="s">
        <v>265</v>
      </c>
      <c r="K7" s="112" t="s">
        <v>266</v>
      </c>
      <c r="L7" s="112" t="s">
        <v>267</v>
      </c>
      <c r="M7" s="112" t="s">
        <v>74</v>
      </c>
      <c r="N7" s="112" t="s">
        <v>137</v>
      </c>
      <c r="O7" s="112" t="s">
        <v>268</v>
      </c>
      <c r="P7" s="112" t="s">
        <v>269</v>
      </c>
      <c r="Q7" s="112" t="s">
        <v>270</v>
      </c>
      <c r="R7" s="112" t="s">
        <v>271</v>
      </c>
      <c r="S7" s="112" t="s">
        <v>272</v>
      </c>
      <c r="T7" s="112" t="s">
        <v>273</v>
      </c>
      <c r="U7" s="112" t="s">
        <v>274</v>
      </c>
      <c r="V7" s="112" t="s">
        <v>275</v>
      </c>
      <c r="W7" s="112" t="s">
        <v>276</v>
      </c>
      <c r="X7" s="112" t="s">
        <v>277</v>
      </c>
      <c r="Y7" s="112" t="s">
        <v>278</v>
      </c>
      <c r="Z7" s="112" t="s">
        <v>279</v>
      </c>
      <c r="AA7" s="112" t="s">
        <v>280</v>
      </c>
      <c r="AB7" s="112" t="s">
        <v>281</v>
      </c>
      <c r="AC7" s="112" t="s">
        <v>282</v>
      </c>
      <c r="AD7" s="112" t="s">
        <v>283</v>
      </c>
      <c r="AE7" s="112" t="s">
        <v>284</v>
      </c>
      <c r="AF7" s="112" t="s">
        <v>285</v>
      </c>
      <c r="AG7" s="112" t="s">
        <v>63</v>
      </c>
      <c r="AH7" s="112" t="s">
        <v>286</v>
      </c>
      <c r="AI7" s="113" t="s">
        <v>287</v>
      </c>
      <c r="AJ7" s="113" t="s">
        <v>288</v>
      </c>
      <c r="AK7" s="113" t="s">
        <v>289</v>
      </c>
      <c r="AL7" s="113" t="s">
        <v>290</v>
      </c>
      <c r="AM7" s="114" t="s">
        <v>291</v>
      </c>
      <c r="AN7" s="114" t="s">
        <v>292</v>
      </c>
      <c r="AO7" s="114" t="s">
        <v>293</v>
      </c>
      <c r="AP7" s="113" t="s">
        <v>294</v>
      </c>
      <c r="AQ7" s="113" t="s">
        <v>295</v>
      </c>
    </row>
    <row r="8" customFormat="false" ht="15.7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44" t="str">
        <f aca="false">IF(AND($K8="",$L8=""),"",TRIM($J8&amp;" "&amp;$K8&amp;" "&amp;$L8))</f>
        <v/>
      </c>
      <c r="N8" s="115"/>
      <c r="O8" s="115"/>
      <c r="P8" s="115"/>
      <c r="Q8" s="116"/>
      <c r="R8" s="116"/>
      <c r="S8" s="27" t="str">
        <f aca="false">IF(COUNT(Q8:R8)=0,"",SUM(Q8:R8))</f>
        <v/>
      </c>
      <c r="T8" s="115"/>
      <c r="U8" s="115"/>
      <c r="V8" s="115"/>
      <c r="W8" s="115"/>
      <c r="X8" s="117"/>
      <c r="Y8" s="115"/>
      <c r="Z8" s="115"/>
      <c r="AA8" s="115"/>
      <c r="AB8" s="116"/>
      <c r="AC8" s="116"/>
      <c r="AD8" s="116"/>
      <c r="AE8" s="116"/>
      <c r="AF8" s="115"/>
      <c r="AG8" s="115"/>
      <c r="AH8" s="115"/>
      <c r="AI8" s="10" t="n">
        <f aca="false">IF($D8="",0,IF(OR($AG8="Pending",$AG8="Unwind",$AG8="Back Out"),0,1))</f>
        <v>0</v>
      </c>
      <c r="AJ8" s="10" t="n">
        <f aca="false">IF($AI8=0,0,IF($F8="",0,IF($G8="",1,0.5)))</f>
        <v>0</v>
      </c>
      <c r="AK8" s="10" t="n">
        <f aca="false">IF($AI8=0,0,IF($G8="",0,IF($F8="",1,0.5)))</f>
        <v>0</v>
      </c>
      <c r="AL8" s="10" t="str">
        <f aca="false">IF($AF8="","",IF(COUNTIF(AdSourceList,$AF8)=0,"Untagged",INDEX('Staff &amp; Lists'!$K$5:$K$204,MATCH($AF8,AdSourceList,0))))</f>
        <v/>
      </c>
      <c r="AM8" s="115"/>
      <c r="AN8" s="115"/>
      <c r="AO8" s="115"/>
      <c r="AP8" s="10" t="str">
        <f aca="false">IF($AI8=0,"",MATCH(MAX(N($S8),0),'Pay Plan'!$D$5:$K$5,1))</f>
        <v/>
      </c>
      <c r="AQ8" s="118" t="str">
        <f aca="false">IF(OR($AB8="",$AC8=""),"",$AB8-$AC8)</f>
        <v/>
      </c>
    </row>
    <row r="9" customFormat="false" ht="15.75" hidden="false" customHeight="true" outlineLevel="0" collapsed="false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44" t="str">
        <f aca="false">IF(AND($K9="",$L9=""),"",TRIM($J9&amp;" "&amp;$K9&amp;" "&amp;$L9))</f>
        <v/>
      </c>
      <c r="N9" s="115"/>
      <c r="O9" s="115"/>
      <c r="P9" s="115"/>
      <c r="Q9" s="116"/>
      <c r="R9" s="116"/>
      <c r="S9" s="27" t="str">
        <f aca="false">IF(COUNT(Q9:R9)=0,"",SUM(Q9:R9))</f>
        <v/>
      </c>
      <c r="T9" s="115"/>
      <c r="U9" s="115"/>
      <c r="V9" s="115"/>
      <c r="W9" s="115"/>
      <c r="X9" s="117"/>
      <c r="Y9" s="115"/>
      <c r="Z9" s="115"/>
      <c r="AA9" s="115"/>
      <c r="AB9" s="116"/>
      <c r="AC9" s="116"/>
      <c r="AD9" s="116"/>
      <c r="AE9" s="116"/>
      <c r="AF9" s="115"/>
      <c r="AG9" s="115"/>
      <c r="AH9" s="115"/>
      <c r="AI9" s="10" t="n">
        <f aca="false">IF($D9="",0,IF(OR($AG9="Pending",$AG9="Unwind",$AG9="Back Out"),0,1))</f>
        <v>0</v>
      </c>
      <c r="AJ9" s="10" t="n">
        <f aca="false">IF($AI9=0,0,IF($F9="",0,IF($G9="",1,0.5)))</f>
        <v>0</v>
      </c>
      <c r="AK9" s="10" t="n">
        <f aca="false">IF($AI9=0,0,IF($G9="",0,IF($F9="",1,0.5)))</f>
        <v>0</v>
      </c>
      <c r="AL9" s="10" t="str">
        <f aca="false">IF($AF9="","",IF(COUNTIF(AdSourceList,$AF9)=0,"Untagged",INDEX('Staff &amp; Lists'!$K$5:$K$204,MATCH($AF9,AdSourceList,0))))</f>
        <v/>
      </c>
      <c r="AM9" s="115"/>
      <c r="AN9" s="115"/>
      <c r="AO9" s="115"/>
      <c r="AP9" s="10" t="str">
        <f aca="false">IF($AI9=0,"",MATCH(MAX(N($S9),0),'Pay Plan'!$D$5:$K$5,1))</f>
        <v/>
      </c>
      <c r="AQ9" s="118" t="str">
        <f aca="false">IF(OR($AB9="",$AC9=""),"",$AB9-$AC9)</f>
        <v/>
      </c>
    </row>
    <row r="10" customFormat="false" ht="15.75" hidden="false" customHeight="true" outlineLevel="0" collapsed="false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44" t="str">
        <f aca="false">IF(AND($K10="",$L10=""),"",TRIM($J10&amp;" "&amp;$K10&amp;" "&amp;$L10))</f>
        <v/>
      </c>
      <c r="N10" s="115"/>
      <c r="O10" s="115"/>
      <c r="P10" s="115"/>
      <c r="Q10" s="116"/>
      <c r="R10" s="116"/>
      <c r="S10" s="27" t="str">
        <f aca="false">IF(COUNT(Q10:R10)=0,"",SUM(Q10:R10))</f>
        <v/>
      </c>
      <c r="T10" s="115"/>
      <c r="U10" s="115"/>
      <c r="V10" s="115"/>
      <c r="W10" s="115"/>
      <c r="X10" s="117"/>
      <c r="Y10" s="115"/>
      <c r="Z10" s="115"/>
      <c r="AA10" s="115"/>
      <c r="AB10" s="116"/>
      <c r="AC10" s="116"/>
      <c r="AD10" s="116"/>
      <c r="AE10" s="116"/>
      <c r="AF10" s="115"/>
      <c r="AG10" s="115"/>
      <c r="AH10" s="115"/>
      <c r="AI10" s="10" t="n">
        <f aca="false">IF($D10="",0,IF(OR($AG10="Pending",$AG10="Unwind",$AG10="Back Out"),0,1))</f>
        <v>0</v>
      </c>
      <c r="AJ10" s="10" t="n">
        <f aca="false">IF($AI10=0,0,IF($F10="",0,IF($G10="",1,0.5)))</f>
        <v>0</v>
      </c>
      <c r="AK10" s="10" t="n">
        <f aca="false">IF($AI10=0,0,IF($G10="",0,IF($F10="",1,0.5)))</f>
        <v>0</v>
      </c>
      <c r="AL10" s="10" t="str">
        <f aca="false">IF($AF10="","",IF(COUNTIF(AdSourceList,$AF10)=0,"Untagged",INDEX('Staff &amp; Lists'!$K$5:$K$204,MATCH($AF10,AdSourceList,0))))</f>
        <v/>
      </c>
      <c r="AM10" s="115"/>
      <c r="AN10" s="115"/>
      <c r="AO10" s="115"/>
      <c r="AP10" s="10" t="str">
        <f aca="false">IF($AI10=0,"",MATCH(MAX(N($S10),0),'Pay Plan'!$D$5:$K$5,1))</f>
        <v/>
      </c>
      <c r="AQ10" s="118" t="str">
        <f aca="false">IF(OR($AB10="",$AC10=""),"",$AB10-$AC10)</f>
        <v/>
      </c>
    </row>
    <row r="11" customFormat="false" ht="15.7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44" t="str">
        <f aca="false">IF(AND($K11="",$L11=""),"",TRIM($J11&amp;" "&amp;$K11&amp;" "&amp;$L11))</f>
        <v/>
      </c>
      <c r="N11" s="115"/>
      <c r="O11" s="115"/>
      <c r="P11" s="115"/>
      <c r="Q11" s="116"/>
      <c r="R11" s="116"/>
      <c r="S11" s="27" t="str">
        <f aca="false">IF(COUNT(Q11:R11)=0,"",SUM(Q11:R11))</f>
        <v/>
      </c>
      <c r="T11" s="115"/>
      <c r="U11" s="115"/>
      <c r="V11" s="115"/>
      <c r="W11" s="115"/>
      <c r="X11" s="117"/>
      <c r="Y11" s="115"/>
      <c r="Z11" s="115"/>
      <c r="AA11" s="115"/>
      <c r="AB11" s="116"/>
      <c r="AC11" s="116"/>
      <c r="AD11" s="116"/>
      <c r="AE11" s="116"/>
      <c r="AF11" s="115"/>
      <c r="AG11" s="115"/>
      <c r="AH11" s="115"/>
      <c r="AI11" s="10" t="n">
        <f aca="false">IF($D11="",0,IF(OR($AG11="Pending",$AG11="Unwind",$AG11="Back Out"),0,1))</f>
        <v>0</v>
      </c>
      <c r="AJ11" s="10" t="n">
        <f aca="false">IF($AI11=0,0,IF($F11="",0,IF($G11="",1,0.5)))</f>
        <v>0</v>
      </c>
      <c r="AK11" s="10" t="n">
        <f aca="false">IF($AI11=0,0,IF($G11="",0,IF($F11="",1,0.5)))</f>
        <v>0</v>
      </c>
      <c r="AL11" s="10" t="str">
        <f aca="false">IF($AF11="","",IF(COUNTIF(AdSourceList,$AF11)=0,"Untagged",INDEX('Staff &amp; Lists'!$K$5:$K$204,MATCH($AF11,AdSourceList,0))))</f>
        <v/>
      </c>
      <c r="AM11" s="115"/>
      <c r="AN11" s="115"/>
      <c r="AO11" s="115"/>
      <c r="AP11" s="10" t="str">
        <f aca="false">IF($AI11=0,"",MATCH(MAX(N($S11),0),'Pay Plan'!$D$5:$K$5,1))</f>
        <v/>
      </c>
      <c r="AQ11" s="118" t="str">
        <f aca="false">IF(OR($AB11="",$AC11=""),"",$AB11-$AC11)</f>
        <v/>
      </c>
    </row>
    <row r="12" customFormat="false" ht="15.75" hidden="false" customHeight="true" outlineLevel="0" collapsed="false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44" t="str">
        <f aca="false">IF(AND($K12="",$L12=""),"",TRIM($J12&amp;" "&amp;$K12&amp;" "&amp;$L12))</f>
        <v/>
      </c>
      <c r="N12" s="115"/>
      <c r="O12" s="115"/>
      <c r="P12" s="115"/>
      <c r="Q12" s="116"/>
      <c r="R12" s="116"/>
      <c r="S12" s="27" t="str">
        <f aca="false">IF(COUNT(Q12:R12)=0,"",SUM(Q12:R12))</f>
        <v/>
      </c>
      <c r="T12" s="115"/>
      <c r="U12" s="115"/>
      <c r="V12" s="115"/>
      <c r="W12" s="115"/>
      <c r="X12" s="117"/>
      <c r="Y12" s="115"/>
      <c r="Z12" s="115"/>
      <c r="AA12" s="115"/>
      <c r="AB12" s="116"/>
      <c r="AC12" s="116"/>
      <c r="AD12" s="116"/>
      <c r="AE12" s="116"/>
      <c r="AF12" s="115"/>
      <c r="AG12" s="115"/>
      <c r="AH12" s="115"/>
      <c r="AI12" s="10" t="n">
        <f aca="false">IF($D12="",0,IF(OR($AG12="Pending",$AG12="Unwind",$AG12="Back Out"),0,1))</f>
        <v>0</v>
      </c>
      <c r="AJ12" s="10" t="n">
        <f aca="false">IF($AI12=0,0,IF($F12="",0,IF($G12="",1,0.5)))</f>
        <v>0</v>
      </c>
      <c r="AK12" s="10" t="n">
        <f aca="false">IF($AI12=0,0,IF($G12="",0,IF($F12="",1,0.5)))</f>
        <v>0</v>
      </c>
      <c r="AL12" s="10" t="str">
        <f aca="false">IF($AF12="","",IF(COUNTIF(AdSourceList,$AF12)=0,"Untagged",INDEX('Staff &amp; Lists'!$K$5:$K$204,MATCH($AF12,AdSourceList,0))))</f>
        <v/>
      </c>
      <c r="AM12" s="115"/>
      <c r="AN12" s="115"/>
      <c r="AO12" s="115"/>
      <c r="AP12" s="10" t="str">
        <f aca="false">IF($AI12=0,"",MATCH(MAX(N($S12),0),'Pay Plan'!$D$5:$K$5,1))</f>
        <v/>
      </c>
      <c r="AQ12" s="118" t="str">
        <f aca="false">IF(OR($AB12="",$AC12=""),"",$AB12-$AC12)</f>
        <v/>
      </c>
    </row>
    <row r="13" customFormat="false" ht="15.75" hidden="false" customHeight="true" outlineLevel="0" collapsed="false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44" t="str">
        <f aca="false">IF(AND($K13="",$L13=""),"",TRIM($J13&amp;" "&amp;$K13&amp;" "&amp;$L13))</f>
        <v/>
      </c>
      <c r="N13" s="115"/>
      <c r="O13" s="115"/>
      <c r="P13" s="115"/>
      <c r="Q13" s="116"/>
      <c r="R13" s="116"/>
      <c r="S13" s="27" t="str">
        <f aca="false">IF(COUNT(Q13:R13)=0,"",SUM(Q13:R13))</f>
        <v/>
      </c>
      <c r="T13" s="115"/>
      <c r="U13" s="115"/>
      <c r="V13" s="115"/>
      <c r="W13" s="115"/>
      <c r="X13" s="117"/>
      <c r="Y13" s="115"/>
      <c r="Z13" s="115"/>
      <c r="AA13" s="115"/>
      <c r="AB13" s="116"/>
      <c r="AC13" s="116"/>
      <c r="AD13" s="116"/>
      <c r="AE13" s="116"/>
      <c r="AF13" s="115"/>
      <c r="AG13" s="115"/>
      <c r="AH13" s="115"/>
      <c r="AI13" s="10" t="n">
        <f aca="false">IF($D13="",0,IF(OR($AG13="Pending",$AG13="Unwind",$AG13="Back Out"),0,1))</f>
        <v>0</v>
      </c>
      <c r="AJ13" s="10" t="n">
        <f aca="false">IF($AI13=0,0,IF($F13="",0,IF($G13="",1,0.5)))</f>
        <v>0</v>
      </c>
      <c r="AK13" s="10" t="n">
        <f aca="false">IF($AI13=0,0,IF($G13="",0,IF($F13="",1,0.5)))</f>
        <v>0</v>
      </c>
      <c r="AL13" s="10" t="str">
        <f aca="false">IF($AF13="","",IF(COUNTIF(AdSourceList,$AF13)=0,"Untagged",INDEX('Staff &amp; Lists'!$K$5:$K$204,MATCH($AF13,AdSourceList,0))))</f>
        <v/>
      </c>
      <c r="AM13" s="115"/>
      <c r="AN13" s="115"/>
      <c r="AO13" s="115"/>
      <c r="AP13" s="10" t="str">
        <f aca="false">IF($AI13=0,"",MATCH(MAX(N($S13),0),'Pay Plan'!$D$5:$K$5,1))</f>
        <v/>
      </c>
      <c r="AQ13" s="118" t="str">
        <f aca="false">IF(OR($AB13="",$AC13=""),"",$AB13-$AC13)</f>
        <v/>
      </c>
    </row>
    <row r="14" customFormat="false" ht="15.7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44" t="str">
        <f aca="false">IF(AND($K14="",$L14=""),"",TRIM($J14&amp;" "&amp;$K14&amp;" "&amp;$L14))</f>
        <v/>
      </c>
      <c r="N14" s="115"/>
      <c r="O14" s="115"/>
      <c r="P14" s="115"/>
      <c r="Q14" s="116"/>
      <c r="R14" s="116"/>
      <c r="S14" s="27" t="str">
        <f aca="false">IF(COUNT(Q14:R14)=0,"",SUM(Q14:R14))</f>
        <v/>
      </c>
      <c r="T14" s="115"/>
      <c r="U14" s="115"/>
      <c r="V14" s="115"/>
      <c r="W14" s="115"/>
      <c r="X14" s="117"/>
      <c r="Y14" s="115"/>
      <c r="Z14" s="115"/>
      <c r="AA14" s="115"/>
      <c r="AB14" s="116"/>
      <c r="AC14" s="116"/>
      <c r="AD14" s="116"/>
      <c r="AE14" s="116"/>
      <c r="AF14" s="115"/>
      <c r="AG14" s="115"/>
      <c r="AH14" s="115"/>
      <c r="AI14" s="10" t="n">
        <f aca="false">IF($D14="",0,IF(OR($AG14="Pending",$AG14="Unwind",$AG14="Back Out"),0,1))</f>
        <v>0</v>
      </c>
      <c r="AJ14" s="10" t="n">
        <f aca="false">IF($AI14=0,0,IF($F14="",0,IF($G14="",1,0.5)))</f>
        <v>0</v>
      </c>
      <c r="AK14" s="10" t="n">
        <f aca="false">IF($AI14=0,0,IF($G14="",0,IF($F14="",1,0.5)))</f>
        <v>0</v>
      </c>
      <c r="AL14" s="10" t="str">
        <f aca="false">IF($AF14="","",IF(COUNTIF(AdSourceList,$AF14)=0,"Untagged",INDEX('Staff &amp; Lists'!$K$5:$K$204,MATCH($AF14,AdSourceList,0))))</f>
        <v/>
      </c>
      <c r="AM14" s="115"/>
      <c r="AN14" s="115"/>
      <c r="AO14" s="115"/>
      <c r="AP14" s="10" t="str">
        <f aca="false">IF($AI14=0,"",MATCH(MAX(N($S14),0),'Pay Plan'!$D$5:$K$5,1))</f>
        <v/>
      </c>
      <c r="AQ14" s="118" t="str">
        <f aca="false">IF(OR($AB14="",$AC14=""),"",$AB14-$AC14)</f>
        <v/>
      </c>
    </row>
    <row r="15" customFormat="false" ht="15.7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44" t="str">
        <f aca="false">IF(AND($K15="",$L15=""),"",TRIM($J15&amp;" "&amp;$K15&amp;" "&amp;$L15))</f>
        <v/>
      </c>
      <c r="N15" s="115"/>
      <c r="O15" s="115"/>
      <c r="P15" s="115"/>
      <c r="Q15" s="116"/>
      <c r="R15" s="116"/>
      <c r="S15" s="27" t="str">
        <f aca="false">IF(COUNT(Q15:R15)=0,"",SUM(Q15:R15))</f>
        <v/>
      </c>
      <c r="T15" s="115"/>
      <c r="U15" s="115"/>
      <c r="V15" s="115"/>
      <c r="W15" s="115"/>
      <c r="X15" s="117"/>
      <c r="Y15" s="115"/>
      <c r="Z15" s="115"/>
      <c r="AA15" s="115"/>
      <c r="AB15" s="116"/>
      <c r="AC15" s="116"/>
      <c r="AD15" s="116"/>
      <c r="AE15" s="116"/>
      <c r="AF15" s="115"/>
      <c r="AG15" s="115"/>
      <c r="AH15" s="115"/>
      <c r="AI15" s="10" t="n">
        <f aca="false">IF($D15="",0,IF(OR($AG15="Pending",$AG15="Unwind",$AG15="Back Out"),0,1))</f>
        <v>0</v>
      </c>
      <c r="AJ15" s="10" t="n">
        <f aca="false">IF($AI15=0,0,IF($F15="",0,IF($G15="",1,0.5)))</f>
        <v>0</v>
      </c>
      <c r="AK15" s="10" t="n">
        <f aca="false">IF($AI15=0,0,IF($G15="",0,IF($F15="",1,0.5)))</f>
        <v>0</v>
      </c>
      <c r="AL15" s="10" t="str">
        <f aca="false">IF($AF15="","",IF(COUNTIF(AdSourceList,$AF15)=0,"Untagged",INDEX('Staff &amp; Lists'!$K$5:$K$204,MATCH($AF15,AdSourceList,0))))</f>
        <v/>
      </c>
      <c r="AM15" s="115"/>
      <c r="AN15" s="115"/>
      <c r="AO15" s="115"/>
      <c r="AP15" s="10" t="str">
        <f aca="false">IF($AI15=0,"",MATCH(MAX(N($S15),0),'Pay Plan'!$D$5:$K$5,1))</f>
        <v/>
      </c>
      <c r="AQ15" s="118" t="str">
        <f aca="false">IF(OR($AB15="",$AC15=""),"",$AB15-$AC15)</f>
        <v/>
      </c>
    </row>
    <row r="16" customFormat="false" ht="15.7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44" t="str">
        <f aca="false">IF(AND($K16="",$L16=""),"",TRIM($J16&amp;" "&amp;$K16&amp;" "&amp;$L16))</f>
        <v/>
      </c>
      <c r="N16" s="115"/>
      <c r="O16" s="115"/>
      <c r="P16" s="115"/>
      <c r="Q16" s="116"/>
      <c r="R16" s="116"/>
      <c r="S16" s="27" t="str">
        <f aca="false">IF(COUNT(Q16:R16)=0,"",SUM(Q16:R16))</f>
        <v/>
      </c>
      <c r="T16" s="115"/>
      <c r="U16" s="115"/>
      <c r="V16" s="115"/>
      <c r="W16" s="115"/>
      <c r="X16" s="117"/>
      <c r="Y16" s="115"/>
      <c r="Z16" s="115"/>
      <c r="AA16" s="115"/>
      <c r="AB16" s="116"/>
      <c r="AC16" s="116"/>
      <c r="AD16" s="116"/>
      <c r="AE16" s="116"/>
      <c r="AF16" s="115"/>
      <c r="AG16" s="115"/>
      <c r="AH16" s="115"/>
      <c r="AI16" s="10" t="n">
        <f aca="false">IF($D16="",0,IF(OR($AG16="Pending",$AG16="Unwind",$AG16="Back Out"),0,1))</f>
        <v>0</v>
      </c>
      <c r="AJ16" s="10" t="n">
        <f aca="false">IF($AI16=0,0,IF($F16="",0,IF($G16="",1,0.5)))</f>
        <v>0</v>
      </c>
      <c r="AK16" s="10" t="n">
        <f aca="false">IF($AI16=0,0,IF($G16="",0,IF($F16="",1,0.5)))</f>
        <v>0</v>
      </c>
      <c r="AL16" s="10" t="str">
        <f aca="false">IF($AF16="","",IF(COUNTIF(AdSourceList,$AF16)=0,"Untagged",INDEX('Staff &amp; Lists'!$K$5:$K$204,MATCH($AF16,AdSourceList,0))))</f>
        <v/>
      </c>
      <c r="AM16" s="115"/>
      <c r="AN16" s="115"/>
      <c r="AO16" s="115"/>
      <c r="AP16" s="10" t="str">
        <f aca="false">IF($AI16=0,"",MATCH(MAX(N($S16),0),'Pay Plan'!$D$5:$K$5,1))</f>
        <v/>
      </c>
      <c r="AQ16" s="118" t="str">
        <f aca="false">IF(OR($AB16="",$AC16=""),"",$AB16-$AC16)</f>
        <v/>
      </c>
    </row>
    <row r="17" customFormat="false" ht="15.7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44" t="str">
        <f aca="false">IF(AND($K17="",$L17=""),"",TRIM($J17&amp;" "&amp;$K17&amp;" "&amp;$L17))</f>
        <v/>
      </c>
      <c r="N17" s="115"/>
      <c r="O17" s="115"/>
      <c r="P17" s="115"/>
      <c r="Q17" s="116"/>
      <c r="R17" s="116"/>
      <c r="S17" s="27" t="str">
        <f aca="false">IF(COUNT(Q17:R17)=0,"",SUM(Q17:R17))</f>
        <v/>
      </c>
      <c r="T17" s="115"/>
      <c r="U17" s="115"/>
      <c r="V17" s="115"/>
      <c r="W17" s="115"/>
      <c r="X17" s="117"/>
      <c r="Y17" s="115"/>
      <c r="Z17" s="115"/>
      <c r="AA17" s="115"/>
      <c r="AB17" s="116"/>
      <c r="AC17" s="116"/>
      <c r="AD17" s="116"/>
      <c r="AE17" s="116"/>
      <c r="AF17" s="115"/>
      <c r="AG17" s="115"/>
      <c r="AH17" s="115"/>
      <c r="AI17" s="10" t="n">
        <f aca="false">IF($D17="",0,IF(OR($AG17="Pending",$AG17="Unwind",$AG17="Back Out"),0,1))</f>
        <v>0</v>
      </c>
      <c r="AJ17" s="10" t="n">
        <f aca="false">IF($AI17=0,0,IF($F17="",0,IF($G17="",1,0.5)))</f>
        <v>0</v>
      </c>
      <c r="AK17" s="10" t="n">
        <f aca="false">IF($AI17=0,0,IF($G17="",0,IF($F17="",1,0.5)))</f>
        <v>0</v>
      </c>
      <c r="AL17" s="10" t="str">
        <f aca="false">IF($AF17="","",IF(COUNTIF(AdSourceList,$AF17)=0,"Untagged",INDEX('Staff &amp; Lists'!$K$5:$K$204,MATCH($AF17,AdSourceList,0))))</f>
        <v/>
      </c>
      <c r="AM17" s="115"/>
      <c r="AN17" s="115"/>
      <c r="AO17" s="115"/>
      <c r="AP17" s="10" t="str">
        <f aca="false">IF($AI17=0,"",MATCH(MAX(N($S17),0),'Pay Plan'!$D$5:$K$5,1))</f>
        <v/>
      </c>
      <c r="AQ17" s="118" t="str">
        <f aca="false">IF(OR($AB17="",$AC17=""),"",$AB17-$AC17)</f>
        <v/>
      </c>
    </row>
    <row r="18" customFormat="false" ht="15.7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44" t="str">
        <f aca="false">IF(AND($K18="",$L18=""),"",TRIM($J18&amp;" "&amp;$K18&amp;" "&amp;$L18))</f>
        <v/>
      </c>
      <c r="N18" s="115"/>
      <c r="O18" s="115"/>
      <c r="P18" s="115"/>
      <c r="Q18" s="116"/>
      <c r="R18" s="116"/>
      <c r="S18" s="27" t="str">
        <f aca="false">IF(COUNT(Q18:R18)=0,"",SUM(Q18:R18))</f>
        <v/>
      </c>
      <c r="T18" s="115"/>
      <c r="U18" s="115"/>
      <c r="V18" s="115"/>
      <c r="W18" s="115"/>
      <c r="X18" s="117"/>
      <c r="Y18" s="115"/>
      <c r="Z18" s="115"/>
      <c r="AA18" s="115"/>
      <c r="AB18" s="116"/>
      <c r="AC18" s="116"/>
      <c r="AD18" s="116"/>
      <c r="AE18" s="116"/>
      <c r="AF18" s="115"/>
      <c r="AG18" s="115"/>
      <c r="AH18" s="115"/>
      <c r="AI18" s="10" t="n">
        <f aca="false">IF($D18="",0,IF(OR($AG18="Pending",$AG18="Unwind",$AG18="Back Out"),0,1))</f>
        <v>0</v>
      </c>
      <c r="AJ18" s="10" t="n">
        <f aca="false">IF($AI18=0,0,IF($F18="",0,IF($G18="",1,0.5)))</f>
        <v>0</v>
      </c>
      <c r="AK18" s="10" t="n">
        <f aca="false">IF($AI18=0,0,IF($G18="",0,IF($F18="",1,0.5)))</f>
        <v>0</v>
      </c>
      <c r="AL18" s="10" t="str">
        <f aca="false">IF($AF18="","",IF(COUNTIF(AdSourceList,$AF18)=0,"Untagged",INDEX('Staff &amp; Lists'!$K$5:$K$204,MATCH($AF18,AdSourceList,0))))</f>
        <v/>
      </c>
      <c r="AM18" s="115"/>
      <c r="AN18" s="115"/>
      <c r="AO18" s="115"/>
      <c r="AP18" s="10" t="str">
        <f aca="false">IF($AI18=0,"",MATCH(MAX(N($S18),0),'Pay Plan'!$D$5:$K$5,1))</f>
        <v/>
      </c>
      <c r="AQ18" s="118" t="str">
        <f aca="false">IF(OR($AB18="",$AC18=""),"",$AB18-$AC18)</f>
        <v/>
      </c>
    </row>
    <row r="19" customFormat="false" ht="15.7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44" t="str">
        <f aca="false">IF(AND($K19="",$L19=""),"",TRIM($J19&amp;" "&amp;$K19&amp;" "&amp;$L19))</f>
        <v/>
      </c>
      <c r="N19" s="115"/>
      <c r="O19" s="115"/>
      <c r="P19" s="115"/>
      <c r="Q19" s="116"/>
      <c r="R19" s="116"/>
      <c r="S19" s="27" t="str">
        <f aca="false">IF(COUNT(Q19:R19)=0,"",SUM(Q19:R19))</f>
        <v/>
      </c>
      <c r="T19" s="115"/>
      <c r="U19" s="115"/>
      <c r="V19" s="115"/>
      <c r="W19" s="115"/>
      <c r="X19" s="117"/>
      <c r="Y19" s="115"/>
      <c r="Z19" s="115"/>
      <c r="AA19" s="115"/>
      <c r="AB19" s="116"/>
      <c r="AC19" s="116"/>
      <c r="AD19" s="116"/>
      <c r="AE19" s="116"/>
      <c r="AF19" s="115"/>
      <c r="AG19" s="115"/>
      <c r="AH19" s="115"/>
      <c r="AI19" s="10" t="n">
        <f aca="false">IF($D19="",0,IF(OR($AG19="Pending",$AG19="Unwind",$AG19="Back Out"),0,1))</f>
        <v>0</v>
      </c>
      <c r="AJ19" s="10" t="n">
        <f aca="false">IF($AI19=0,0,IF($F19="",0,IF($G19="",1,0.5)))</f>
        <v>0</v>
      </c>
      <c r="AK19" s="10" t="n">
        <f aca="false">IF($AI19=0,0,IF($G19="",0,IF($F19="",1,0.5)))</f>
        <v>0</v>
      </c>
      <c r="AL19" s="10" t="str">
        <f aca="false">IF($AF19="","",IF(COUNTIF(AdSourceList,$AF19)=0,"Untagged",INDEX('Staff &amp; Lists'!$K$5:$K$204,MATCH($AF19,AdSourceList,0))))</f>
        <v/>
      </c>
      <c r="AM19" s="115"/>
      <c r="AN19" s="115"/>
      <c r="AO19" s="115"/>
      <c r="AP19" s="10" t="str">
        <f aca="false">IF($AI19=0,"",MATCH(MAX(N($S19),0),'Pay Plan'!$D$5:$K$5,1))</f>
        <v/>
      </c>
      <c r="AQ19" s="118" t="str">
        <f aca="false">IF(OR($AB19="",$AC19=""),"",$AB19-$AC19)</f>
        <v/>
      </c>
    </row>
    <row r="20" customFormat="false" ht="15.7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44" t="str">
        <f aca="false">IF(AND($K20="",$L20=""),"",TRIM($J20&amp;" "&amp;$K20&amp;" "&amp;$L20))</f>
        <v/>
      </c>
      <c r="N20" s="115"/>
      <c r="O20" s="115"/>
      <c r="P20" s="115"/>
      <c r="Q20" s="116"/>
      <c r="R20" s="116"/>
      <c r="S20" s="27" t="str">
        <f aca="false">IF(COUNT(Q20:R20)=0,"",SUM(Q20:R20))</f>
        <v/>
      </c>
      <c r="T20" s="115"/>
      <c r="U20" s="115"/>
      <c r="V20" s="115"/>
      <c r="W20" s="115"/>
      <c r="X20" s="117"/>
      <c r="Y20" s="115"/>
      <c r="Z20" s="115"/>
      <c r="AA20" s="115"/>
      <c r="AB20" s="116"/>
      <c r="AC20" s="116"/>
      <c r="AD20" s="116"/>
      <c r="AE20" s="116"/>
      <c r="AF20" s="115"/>
      <c r="AG20" s="115"/>
      <c r="AH20" s="115"/>
      <c r="AI20" s="10" t="n">
        <f aca="false">IF($D20="",0,IF(OR($AG20="Pending",$AG20="Unwind",$AG20="Back Out"),0,1))</f>
        <v>0</v>
      </c>
      <c r="AJ20" s="10" t="n">
        <f aca="false">IF($AI20=0,0,IF($F20="",0,IF($G20="",1,0.5)))</f>
        <v>0</v>
      </c>
      <c r="AK20" s="10" t="n">
        <f aca="false">IF($AI20=0,0,IF($G20="",0,IF($F20="",1,0.5)))</f>
        <v>0</v>
      </c>
      <c r="AL20" s="10" t="str">
        <f aca="false">IF($AF20="","",IF(COUNTIF(AdSourceList,$AF20)=0,"Untagged",INDEX('Staff &amp; Lists'!$K$5:$K$204,MATCH($AF20,AdSourceList,0))))</f>
        <v/>
      </c>
      <c r="AM20" s="115"/>
      <c r="AN20" s="115"/>
      <c r="AO20" s="115"/>
      <c r="AP20" s="10" t="str">
        <f aca="false">IF($AI20=0,"",MATCH(MAX(N($S20),0),'Pay Plan'!$D$5:$K$5,1))</f>
        <v/>
      </c>
      <c r="AQ20" s="118" t="str">
        <f aca="false">IF(OR($AB20="",$AC20=""),"",$AB20-$AC20)</f>
        <v/>
      </c>
    </row>
    <row r="21" customFormat="false" ht="15.7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44" t="str">
        <f aca="false">IF(AND($K21="",$L21=""),"",TRIM($J21&amp;" "&amp;$K21&amp;" "&amp;$L21))</f>
        <v/>
      </c>
      <c r="N21" s="115"/>
      <c r="O21" s="115"/>
      <c r="P21" s="115"/>
      <c r="Q21" s="116"/>
      <c r="R21" s="116"/>
      <c r="S21" s="27" t="str">
        <f aca="false">IF(COUNT(Q21:R21)=0,"",SUM(Q21:R21))</f>
        <v/>
      </c>
      <c r="T21" s="115"/>
      <c r="U21" s="115"/>
      <c r="V21" s="115"/>
      <c r="W21" s="115"/>
      <c r="X21" s="117"/>
      <c r="Y21" s="115"/>
      <c r="Z21" s="115"/>
      <c r="AA21" s="115"/>
      <c r="AB21" s="116"/>
      <c r="AC21" s="116"/>
      <c r="AD21" s="116"/>
      <c r="AE21" s="116"/>
      <c r="AF21" s="115"/>
      <c r="AG21" s="115"/>
      <c r="AH21" s="115"/>
      <c r="AI21" s="10" t="n">
        <f aca="false">IF($D21="",0,IF(OR($AG21="Pending",$AG21="Unwind",$AG21="Back Out"),0,1))</f>
        <v>0</v>
      </c>
      <c r="AJ21" s="10" t="n">
        <f aca="false">IF($AI21=0,0,IF($F21="",0,IF($G21="",1,0.5)))</f>
        <v>0</v>
      </c>
      <c r="AK21" s="10" t="n">
        <f aca="false">IF($AI21=0,0,IF($G21="",0,IF($F21="",1,0.5)))</f>
        <v>0</v>
      </c>
      <c r="AL21" s="10" t="str">
        <f aca="false">IF($AF21="","",IF(COUNTIF(AdSourceList,$AF21)=0,"Untagged",INDEX('Staff &amp; Lists'!$K$5:$K$204,MATCH($AF21,AdSourceList,0))))</f>
        <v/>
      </c>
      <c r="AM21" s="115"/>
      <c r="AN21" s="115"/>
      <c r="AO21" s="115"/>
      <c r="AP21" s="10" t="str">
        <f aca="false">IF($AI21=0,"",MATCH(MAX(N($S21),0),'Pay Plan'!$D$5:$K$5,1))</f>
        <v/>
      </c>
      <c r="AQ21" s="118" t="str">
        <f aca="false">IF(OR($AB21="",$AC21=""),"",$AB21-$AC21)</f>
        <v/>
      </c>
    </row>
    <row r="22" customFormat="false" ht="15.7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44" t="str">
        <f aca="false">IF(AND($K22="",$L22=""),"",TRIM($J22&amp;" "&amp;$K22&amp;" "&amp;$L22))</f>
        <v/>
      </c>
      <c r="N22" s="115"/>
      <c r="O22" s="115"/>
      <c r="P22" s="115"/>
      <c r="Q22" s="116"/>
      <c r="R22" s="116"/>
      <c r="S22" s="27" t="str">
        <f aca="false">IF(COUNT(Q22:R22)=0,"",SUM(Q22:R22))</f>
        <v/>
      </c>
      <c r="T22" s="115"/>
      <c r="U22" s="115"/>
      <c r="V22" s="115"/>
      <c r="W22" s="115"/>
      <c r="X22" s="117"/>
      <c r="Y22" s="115"/>
      <c r="Z22" s="115"/>
      <c r="AA22" s="115"/>
      <c r="AB22" s="116"/>
      <c r="AC22" s="116"/>
      <c r="AD22" s="116"/>
      <c r="AE22" s="116"/>
      <c r="AF22" s="115"/>
      <c r="AG22" s="115"/>
      <c r="AH22" s="115"/>
      <c r="AI22" s="10" t="n">
        <f aca="false">IF($D22="",0,IF(OR($AG22="Pending",$AG22="Unwind",$AG22="Back Out"),0,1))</f>
        <v>0</v>
      </c>
      <c r="AJ22" s="10" t="n">
        <f aca="false">IF($AI22=0,0,IF($F22="",0,IF($G22="",1,0.5)))</f>
        <v>0</v>
      </c>
      <c r="AK22" s="10" t="n">
        <f aca="false">IF($AI22=0,0,IF($G22="",0,IF($F22="",1,0.5)))</f>
        <v>0</v>
      </c>
      <c r="AL22" s="10" t="str">
        <f aca="false">IF($AF22="","",IF(COUNTIF(AdSourceList,$AF22)=0,"Untagged",INDEX('Staff &amp; Lists'!$K$5:$K$204,MATCH($AF22,AdSourceList,0))))</f>
        <v/>
      </c>
      <c r="AM22" s="115"/>
      <c r="AN22" s="115"/>
      <c r="AO22" s="115"/>
      <c r="AP22" s="10" t="str">
        <f aca="false">IF($AI22=0,"",MATCH(MAX(N($S22),0),'Pay Plan'!$D$5:$K$5,1))</f>
        <v/>
      </c>
      <c r="AQ22" s="118" t="str">
        <f aca="false">IF(OR($AB22="",$AC22=""),"",$AB22-$AC22)</f>
        <v/>
      </c>
    </row>
    <row r="23" customFormat="false" ht="15.7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44" t="str">
        <f aca="false">IF(AND($K23="",$L23=""),"",TRIM($J23&amp;" "&amp;$K23&amp;" "&amp;$L23))</f>
        <v/>
      </c>
      <c r="N23" s="115"/>
      <c r="O23" s="115"/>
      <c r="P23" s="115"/>
      <c r="Q23" s="116"/>
      <c r="R23" s="116"/>
      <c r="S23" s="27" t="str">
        <f aca="false">IF(COUNT(Q23:R23)=0,"",SUM(Q23:R23))</f>
        <v/>
      </c>
      <c r="T23" s="115"/>
      <c r="U23" s="115"/>
      <c r="V23" s="115"/>
      <c r="W23" s="115"/>
      <c r="X23" s="117"/>
      <c r="Y23" s="115"/>
      <c r="Z23" s="115"/>
      <c r="AA23" s="115"/>
      <c r="AB23" s="116"/>
      <c r="AC23" s="116"/>
      <c r="AD23" s="116"/>
      <c r="AE23" s="116"/>
      <c r="AF23" s="115"/>
      <c r="AG23" s="115"/>
      <c r="AH23" s="115"/>
      <c r="AI23" s="10" t="n">
        <f aca="false">IF($D23="",0,IF(OR($AG23="Pending",$AG23="Unwind",$AG23="Back Out"),0,1))</f>
        <v>0</v>
      </c>
      <c r="AJ23" s="10" t="n">
        <f aca="false">IF($AI23=0,0,IF($F23="",0,IF($G23="",1,0.5)))</f>
        <v>0</v>
      </c>
      <c r="AK23" s="10" t="n">
        <f aca="false">IF($AI23=0,0,IF($G23="",0,IF($F23="",1,0.5)))</f>
        <v>0</v>
      </c>
      <c r="AL23" s="10" t="str">
        <f aca="false">IF($AF23="","",IF(COUNTIF(AdSourceList,$AF23)=0,"Untagged",INDEX('Staff &amp; Lists'!$K$5:$K$204,MATCH($AF23,AdSourceList,0))))</f>
        <v/>
      </c>
      <c r="AM23" s="115"/>
      <c r="AN23" s="115"/>
      <c r="AO23" s="115"/>
      <c r="AP23" s="10" t="str">
        <f aca="false">IF($AI23=0,"",MATCH(MAX(N($S23),0),'Pay Plan'!$D$5:$K$5,1))</f>
        <v/>
      </c>
      <c r="AQ23" s="118" t="str">
        <f aca="false">IF(OR($AB23="",$AC23=""),"",$AB23-$AC23)</f>
        <v/>
      </c>
    </row>
    <row r="24" customFormat="false" ht="15.7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44" t="str">
        <f aca="false">IF(AND($K24="",$L24=""),"",TRIM($J24&amp;" "&amp;$K24&amp;" "&amp;$L24))</f>
        <v/>
      </c>
      <c r="N24" s="115"/>
      <c r="O24" s="115"/>
      <c r="P24" s="115"/>
      <c r="Q24" s="116"/>
      <c r="R24" s="116"/>
      <c r="S24" s="27" t="str">
        <f aca="false">IF(COUNT(Q24:R24)=0,"",SUM(Q24:R24))</f>
        <v/>
      </c>
      <c r="T24" s="115"/>
      <c r="U24" s="115"/>
      <c r="V24" s="115"/>
      <c r="W24" s="115"/>
      <c r="X24" s="117"/>
      <c r="Y24" s="115"/>
      <c r="Z24" s="115"/>
      <c r="AA24" s="115"/>
      <c r="AB24" s="116"/>
      <c r="AC24" s="116"/>
      <c r="AD24" s="116"/>
      <c r="AE24" s="116"/>
      <c r="AF24" s="115"/>
      <c r="AG24" s="115"/>
      <c r="AH24" s="115"/>
      <c r="AI24" s="10" t="n">
        <f aca="false">IF($D24="",0,IF(OR($AG24="Pending",$AG24="Unwind",$AG24="Back Out"),0,1))</f>
        <v>0</v>
      </c>
      <c r="AJ24" s="10" t="n">
        <f aca="false">IF($AI24=0,0,IF($F24="",0,IF($G24="",1,0.5)))</f>
        <v>0</v>
      </c>
      <c r="AK24" s="10" t="n">
        <f aca="false">IF($AI24=0,0,IF($G24="",0,IF($F24="",1,0.5)))</f>
        <v>0</v>
      </c>
      <c r="AL24" s="10" t="str">
        <f aca="false">IF($AF24="","",IF(COUNTIF(AdSourceList,$AF24)=0,"Untagged",INDEX('Staff &amp; Lists'!$K$5:$K$204,MATCH($AF24,AdSourceList,0))))</f>
        <v/>
      </c>
      <c r="AM24" s="115"/>
      <c r="AN24" s="115"/>
      <c r="AO24" s="115"/>
      <c r="AP24" s="10" t="str">
        <f aca="false">IF($AI24=0,"",MATCH(MAX(N($S24),0),'Pay Plan'!$D$5:$K$5,1))</f>
        <v/>
      </c>
      <c r="AQ24" s="118" t="str">
        <f aca="false">IF(OR($AB24="",$AC24=""),"",$AB24-$AC24)</f>
        <v/>
      </c>
    </row>
    <row r="25" customFormat="false" ht="15.7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44" t="str">
        <f aca="false">IF(AND($K25="",$L25=""),"",TRIM($J25&amp;" "&amp;$K25&amp;" "&amp;$L25))</f>
        <v/>
      </c>
      <c r="N25" s="115"/>
      <c r="O25" s="115"/>
      <c r="P25" s="115"/>
      <c r="Q25" s="116"/>
      <c r="R25" s="116"/>
      <c r="S25" s="27" t="str">
        <f aca="false">IF(COUNT(Q25:R25)=0,"",SUM(Q25:R25))</f>
        <v/>
      </c>
      <c r="T25" s="115"/>
      <c r="U25" s="115"/>
      <c r="V25" s="115"/>
      <c r="W25" s="115"/>
      <c r="X25" s="117"/>
      <c r="Y25" s="115"/>
      <c r="Z25" s="115"/>
      <c r="AA25" s="115"/>
      <c r="AB25" s="116"/>
      <c r="AC25" s="116"/>
      <c r="AD25" s="116"/>
      <c r="AE25" s="116"/>
      <c r="AF25" s="115"/>
      <c r="AG25" s="115"/>
      <c r="AH25" s="115"/>
      <c r="AI25" s="10" t="n">
        <f aca="false">IF($D25="",0,IF(OR($AG25="Pending",$AG25="Unwind",$AG25="Back Out"),0,1))</f>
        <v>0</v>
      </c>
      <c r="AJ25" s="10" t="n">
        <f aca="false">IF($AI25=0,0,IF($F25="",0,IF($G25="",1,0.5)))</f>
        <v>0</v>
      </c>
      <c r="AK25" s="10" t="n">
        <f aca="false">IF($AI25=0,0,IF($G25="",0,IF($F25="",1,0.5)))</f>
        <v>0</v>
      </c>
      <c r="AL25" s="10" t="str">
        <f aca="false">IF($AF25="","",IF(COUNTIF(AdSourceList,$AF25)=0,"Untagged",INDEX('Staff &amp; Lists'!$K$5:$K$204,MATCH($AF25,AdSourceList,0))))</f>
        <v/>
      </c>
      <c r="AM25" s="115"/>
      <c r="AN25" s="115"/>
      <c r="AO25" s="115"/>
      <c r="AP25" s="10" t="str">
        <f aca="false">IF($AI25=0,"",MATCH(MAX(N($S25),0),'Pay Plan'!$D$5:$K$5,1))</f>
        <v/>
      </c>
      <c r="AQ25" s="118" t="str">
        <f aca="false">IF(OR($AB25="",$AC25=""),"",$AB25-$AC25)</f>
        <v/>
      </c>
    </row>
    <row r="26" customFormat="false" ht="15.75" hidden="false" customHeight="true" outlineLevel="0" collapsed="false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44" t="str">
        <f aca="false">IF(AND($K26="",$L26=""),"",TRIM($J26&amp;" "&amp;$K26&amp;" "&amp;$L26))</f>
        <v/>
      </c>
      <c r="N26" s="115"/>
      <c r="O26" s="115"/>
      <c r="P26" s="115"/>
      <c r="Q26" s="116"/>
      <c r="R26" s="116"/>
      <c r="S26" s="27" t="str">
        <f aca="false">IF(COUNT(Q26:R26)=0,"",SUM(Q26:R26))</f>
        <v/>
      </c>
      <c r="T26" s="115"/>
      <c r="U26" s="115"/>
      <c r="V26" s="115"/>
      <c r="W26" s="115"/>
      <c r="X26" s="117"/>
      <c r="Y26" s="115"/>
      <c r="Z26" s="115"/>
      <c r="AA26" s="115"/>
      <c r="AB26" s="116"/>
      <c r="AC26" s="116"/>
      <c r="AD26" s="116"/>
      <c r="AE26" s="116"/>
      <c r="AF26" s="115"/>
      <c r="AG26" s="115"/>
      <c r="AH26" s="115"/>
      <c r="AI26" s="10" t="n">
        <f aca="false">IF($D26="",0,IF(OR($AG26="Pending",$AG26="Unwind",$AG26="Back Out"),0,1))</f>
        <v>0</v>
      </c>
      <c r="AJ26" s="10" t="n">
        <f aca="false">IF($AI26=0,0,IF($F26="",0,IF($G26="",1,0.5)))</f>
        <v>0</v>
      </c>
      <c r="AK26" s="10" t="n">
        <f aca="false">IF($AI26=0,0,IF($G26="",0,IF($F26="",1,0.5)))</f>
        <v>0</v>
      </c>
      <c r="AL26" s="10" t="str">
        <f aca="false">IF($AF26="","",IF(COUNTIF(AdSourceList,$AF26)=0,"Untagged",INDEX('Staff &amp; Lists'!$K$5:$K$204,MATCH($AF26,AdSourceList,0))))</f>
        <v/>
      </c>
      <c r="AM26" s="115"/>
      <c r="AN26" s="115"/>
      <c r="AO26" s="115"/>
      <c r="AP26" s="10" t="str">
        <f aca="false">IF($AI26=0,"",MATCH(MAX(N($S26),0),'Pay Plan'!$D$5:$K$5,1))</f>
        <v/>
      </c>
      <c r="AQ26" s="118" t="str">
        <f aca="false">IF(OR($AB26="",$AC26=""),"",$AB26-$AC26)</f>
        <v/>
      </c>
    </row>
    <row r="27" customFormat="false" ht="15.75" hidden="false" customHeight="true" outlineLevel="0" collapsed="false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44" t="str">
        <f aca="false">IF(AND($K27="",$L27=""),"",TRIM($J27&amp;" "&amp;$K27&amp;" "&amp;$L27))</f>
        <v/>
      </c>
      <c r="N27" s="115"/>
      <c r="O27" s="115"/>
      <c r="P27" s="115"/>
      <c r="Q27" s="116"/>
      <c r="R27" s="116"/>
      <c r="S27" s="27" t="str">
        <f aca="false">IF(COUNT(Q27:R27)=0,"",SUM(Q27:R27))</f>
        <v/>
      </c>
      <c r="T27" s="115"/>
      <c r="U27" s="115"/>
      <c r="V27" s="115"/>
      <c r="W27" s="115"/>
      <c r="X27" s="117"/>
      <c r="Y27" s="115"/>
      <c r="Z27" s="115"/>
      <c r="AA27" s="115"/>
      <c r="AB27" s="116"/>
      <c r="AC27" s="116"/>
      <c r="AD27" s="116"/>
      <c r="AE27" s="116"/>
      <c r="AF27" s="115"/>
      <c r="AG27" s="115"/>
      <c r="AH27" s="115"/>
      <c r="AI27" s="10" t="n">
        <f aca="false">IF($D27="",0,IF(OR($AG27="Pending",$AG27="Unwind",$AG27="Back Out"),0,1))</f>
        <v>0</v>
      </c>
      <c r="AJ27" s="10" t="n">
        <f aca="false">IF($AI27=0,0,IF($F27="",0,IF($G27="",1,0.5)))</f>
        <v>0</v>
      </c>
      <c r="AK27" s="10" t="n">
        <f aca="false">IF($AI27=0,0,IF($G27="",0,IF($F27="",1,0.5)))</f>
        <v>0</v>
      </c>
      <c r="AL27" s="10" t="str">
        <f aca="false">IF($AF27="","",IF(COUNTIF(AdSourceList,$AF27)=0,"Untagged",INDEX('Staff &amp; Lists'!$K$5:$K$204,MATCH($AF27,AdSourceList,0))))</f>
        <v/>
      </c>
      <c r="AM27" s="115"/>
      <c r="AN27" s="115"/>
      <c r="AO27" s="115"/>
      <c r="AP27" s="10" t="str">
        <f aca="false">IF($AI27=0,"",MATCH(MAX(N($S27),0),'Pay Plan'!$D$5:$K$5,1))</f>
        <v/>
      </c>
      <c r="AQ27" s="118" t="str">
        <f aca="false">IF(OR($AB27="",$AC27=""),"",$AB27-$AC27)</f>
        <v/>
      </c>
    </row>
    <row r="28" customFormat="false" ht="15.75" hidden="false" customHeight="true" outlineLevel="0" collapsed="false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44" t="str">
        <f aca="false">IF(AND($K28="",$L28=""),"",TRIM($J28&amp;" "&amp;$K28&amp;" "&amp;$L28))</f>
        <v/>
      </c>
      <c r="N28" s="115"/>
      <c r="O28" s="115"/>
      <c r="P28" s="115"/>
      <c r="Q28" s="116"/>
      <c r="R28" s="116"/>
      <c r="S28" s="27" t="str">
        <f aca="false">IF(COUNT(Q28:R28)=0,"",SUM(Q28:R28))</f>
        <v/>
      </c>
      <c r="T28" s="115"/>
      <c r="U28" s="115"/>
      <c r="V28" s="115"/>
      <c r="W28" s="115"/>
      <c r="X28" s="117"/>
      <c r="Y28" s="115"/>
      <c r="Z28" s="115"/>
      <c r="AA28" s="115"/>
      <c r="AB28" s="116"/>
      <c r="AC28" s="116"/>
      <c r="AD28" s="116"/>
      <c r="AE28" s="116"/>
      <c r="AF28" s="115"/>
      <c r="AG28" s="115"/>
      <c r="AH28" s="115"/>
      <c r="AI28" s="10" t="n">
        <f aca="false">IF($D28="",0,IF(OR($AG28="Pending",$AG28="Unwind",$AG28="Back Out"),0,1))</f>
        <v>0</v>
      </c>
      <c r="AJ28" s="10" t="n">
        <f aca="false">IF($AI28=0,0,IF($F28="",0,IF($G28="",1,0.5)))</f>
        <v>0</v>
      </c>
      <c r="AK28" s="10" t="n">
        <f aca="false">IF($AI28=0,0,IF($G28="",0,IF($F28="",1,0.5)))</f>
        <v>0</v>
      </c>
      <c r="AL28" s="10" t="str">
        <f aca="false">IF($AF28="","",IF(COUNTIF(AdSourceList,$AF28)=0,"Untagged",INDEX('Staff &amp; Lists'!$K$5:$K$204,MATCH($AF28,AdSourceList,0))))</f>
        <v/>
      </c>
      <c r="AM28" s="115"/>
      <c r="AN28" s="115"/>
      <c r="AO28" s="115"/>
      <c r="AP28" s="10" t="str">
        <f aca="false">IF($AI28=0,"",MATCH(MAX(N($S28),0),'Pay Plan'!$D$5:$K$5,1))</f>
        <v/>
      </c>
      <c r="AQ28" s="118" t="str">
        <f aca="false">IF(OR($AB28="",$AC28=""),"",$AB28-$AC28)</f>
        <v/>
      </c>
    </row>
    <row r="29" customFormat="false" ht="15.75" hidden="false" customHeight="true" outlineLevel="0" collapsed="false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44" t="str">
        <f aca="false">IF(AND($K29="",$L29=""),"",TRIM($J29&amp;" "&amp;$K29&amp;" "&amp;$L29))</f>
        <v/>
      </c>
      <c r="N29" s="115"/>
      <c r="O29" s="115"/>
      <c r="P29" s="115"/>
      <c r="Q29" s="116"/>
      <c r="R29" s="116"/>
      <c r="S29" s="27" t="str">
        <f aca="false">IF(COUNT(Q29:R29)=0,"",SUM(Q29:R29))</f>
        <v/>
      </c>
      <c r="T29" s="115"/>
      <c r="U29" s="115"/>
      <c r="V29" s="115"/>
      <c r="W29" s="115"/>
      <c r="X29" s="117"/>
      <c r="Y29" s="115"/>
      <c r="Z29" s="115"/>
      <c r="AA29" s="115"/>
      <c r="AB29" s="116"/>
      <c r="AC29" s="116"/>
      <c r="AD29" s="116"/>
      <c r="AE29" s="116"/>
      <c r="AF29" s="115"/>
      <c r="AG29" s="115"/>
      <c r="AH29" s="115"/>
      <c r="AI29" s="10" t="n">
        <f aca="false">IF($D29="",0,IF(OR($AG29="Pending",$AG29="Unwind",$AG29="Back Out"),0,1))</f>
        <v>0</v>
      </c>
      <c r="AJ29" s="10" t="n">
        <f aca="false">IF($AI29=0,0,IF($F29="",0,IF($G29="",1,0.5)))</f>
        <v>0</v>
      </c>
      <c r="AK29" s="10" t="n">
        <f aca="false">IF($AI29=0,0,IF($G29="",0,IF($F29="",1,0.5)))</f>
        <v>0</v>
      </c>
      <c r="AL29" s="10" t="str">
        <f aca="false">IF($AF29="","",IF(COUNTIF(AdSourceList,$AF29)=0,"Untagged",INDEX('Staff &amp; Lists'!$K$5:$K$204,MATCH($AF29,AdSourceList,0))))</f>
        <v/>
      </c>
      <c r="AM29" s="115"/>
      <c r="AN29" s="115"/>
      <c r="AO29" s="115"/>
      <c r="AP29" s="10" t="str">
        <f aca="false">IF($AI29=0,"",MATCH(MAX(N($S29),0),'Pay Plan'!$D$5:$K$5,1))</f>
        <v/>
      </c>
      <c r="AQ29" s="118" t="str">
        <f aca="false">IF(OR($AB29="",$AC29=""),"",$AB29-$AC29)</f>
        <v/>
      </c>
    </row>
    <row r="30" customFormat="false" ht="15.75" hidden="false" customHeight="true" outlineLevel="0" collapsed="false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44" t="str">
        <f aca="false">IF(AND($K30="",$L30=""),"",TRIM($J30&amp;" "&amp;$K30&amp;" "&amp;$L30))</f>
        <v/>
      </c>
      <c r="N30" s="115"/>
      <c r="O30" s="115"/>
      <c r="P30" s="115"/>
      <c r="Q30" s="116"/>
      <c r="R30" s="116"/>
      <c r="S30" s="27" t="str">
        <f aca="false">IF(COUNT(Q30:R30)=0,"",SUM(Q30:R30))</f>
        <v/>
      </c>
      <c r="T30" s="115"/>
      <c r="U30" s="115"/>
      <c r="V30" s="115"/>
      <c r="W30" s="115"/>
      <c r="X30" s="117"/>
      <c r="Y30" s="115"/>
      <c r="Z30" s="115"/>
      <c r="AA30" s="115"/>
      <c r="AB30" s="116"/>
      <c r="AC30" s="116"/>
      <c r="AD30" s="116"/>
      <c r="AE30" s="116"/>
      <c r="AF30" s="115"/>
      <c r="AG30" s="115"/>
      <c r="AH30" s="115"/>
      <c r="AI30" s="10" t="n">
        <f aca="false">IF($D30="",0,IF(OR($AG30="Pending",$AG30="Unwind",$AG30="Back Out"),0,1))</f>
        <v>0</v>
      </c>
      <c r="AJ30" s="10" t="n">
        <f aca="false">IF($AI30=0,0,IF($F30="",0,IF($G30="",1,0.5)))</f>
        <v>0</v>
      </c>
      <c r="AK30" s="10" t="n">
        <f aca="false">IF($AI30=0,0,IF($G30="",0,IF($F30="",1,0.5)))</f>
        <v>0</v>
      </c>
      <c r="AL30" s="10" t="str">
        <f aca="false">IF($AF30="","",IF(COUNTIF(AdSourceList,$AF30)=0,"Untagged",INDEX('Staff &amp; Lists'!$K$5:$K$204,MATCH($AF30,AdSourceList,0))))</f>
        <v/>
      </c>
      <c r="AM30" s="115"/>
      <c r="AN30" s="115"/>
      <c r="AO30" s="115"/>
      <c r="AP30" s="10" t="str">
        <f aca="false">IF($AI30=0,"",MATCH(MAX(N($S30),0),'Pay Plan'!$D$5:$K$5,1))</f>
        <v/>
      </c>
      <c r="AQ30" s="118" t="str">
        <f aca="false">IF(OR($AB30="",$AC30=""),"",$AB30-$AC30)</f>
        <v/>
      </c>
    </row>
    <row r="31" customFormat="false" ht="15.75" hidden="false" customHeight="true" outlineLevel="0" collapsed="false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44" t="str">
        <f aca="false">IF(AND($K31="",$L31=""),"",TRIM($J31&amp;" "&amp;$K31&amp;" "&amp;$L31))</f>
        <v/>
      </c>
      <c r="N31" s="115"/>
      <c r="O31" s="115"/>
      <c r="P31" s="115"/>
      <c r="Q31" s="116"/>
      <c r="R31" s="116"/>
      <c r="S31" s="27" t="str">
        <f aca="false">IF(COUNT(Q31:R31)=0,"",SUM(Q31:R31))</f>
        <v/>
      </c>
      <c r="T31" s="115"/>
      <c r="U31" s="115"/>
      <c r="V31" s="115"/>
      <c r="W31" s="115"/>
      <c r="X31" s="117"/>
      <c r="Y31" s="115"/>
      <c r="Z31" s="115"/>
      <c r="AA31" s="115"/>
      <c r="AB31" s="116"/>
      <c r="AC31" s="116"/>
      <c r="AD31" s="116"/>
      <c r="AE31" s="116"/>
      <c r="AF31" s="115"/>
      <c r="AG31" s="115"/>
      <c r="AH31" s="115"/>
      <c r="AI31" s="10" t="n">
        <f aca="false">IF($D31="",0,IF(OR($AG31="Pending",$AG31="Unwind",$AG31="Back Out"),0,1))</f>
        <v>0</v>
      </c>
      <c r="AJ31" s="10" t="n">
        <f aca="false">IF($AI31=0,0,IF($F31="",0,IF($G31="",1,0.5)))</f>
        <v>0</v>
      </c>
      <c r="AK31" s="10" t="n">
        <f aca="false">IF($AI31=0,0,IF($G31="",0,IF($F31="",1,0.5)))</f>
        <v>0</v>
      </c>
      <c r="AL31" s="10" t="str">
        <f aca="false">IF($AF31="","",IF(COUNTIF(AdSourceList,$AF31)=0,"Untagged",INDEX('Staff &amp; Lists'!$K$5:$K$204,MATCH($AF31,AdSourceList,0))))</f>
        <v/>
      </c>
      <c r="AM31" s="115"/>
      <c r="AN31" s="115"/>
      <c r="AO31" s="115"/>
      <c r="AP31" s="10" t="str">
        <f aca="false">IF($AI31=0,"",MATCH(MAX(N($S31),0),'Pay Plan'!$D$5:$K$5,1))</f>
        <v/>
      </c>
      <c r="AQ31" s="118" t="str">
        <f aca="false">IF(OR($AB31="",$AC31=""),"",$AB31-$AC31)</f>
        <v/>
      </c>
    </row>
    <row r="32" customFormat="false" ht="15.75" hidden="false" customHeight="true" outlineLevel="0" collapsed="false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44" t="str">
        <f aca="false">IF(AND($K32="",$L32=""),"",TRIM($J32&amp;" "&amp;$K32&amp;" "&amp;$L32))</f>
        <v/>
      </c>
      <c r="N32" s="115"/>
      <c r="O32" s="115"/>
      <c r="P32" s="115"/>
      <c r="Q32" s="116"/>
      <c r="R32" s="116"/>
      <c r="S32" s="27" t="str">
        <f aca="false">IF(COUNT(Q32:R32)=0,"",SUM(Q32:R32))</f>
        <v/>
      </c>
      <c r="T32" s="115"/>
      <c r="U32" s="115"/>
      <c r="V32" s="115"/>
      <c r="W32" s="115"/>
      <c r="X32" s="117"/>
      <c r="Y32" s="115"/>
      <c r="Z32" s="115"/>
      <c r="AA32" s="115"/>
      <c r="AB32" s="116"/>
      <c r="AC32" s="116"/>
      <c r="AD32" s="116"/>
      <c r="AE32" s="116"/>
      <c r="AF32" s="115"/>
      <c r="AG32" s="115"/>
      <c r="AH32" s="115"/>
      <c r="AI32" s="10" t="n">
        <f aca="false">IF($D32="",0,IF(OR($AG32="Pending",$AG32="Unwind",$AG32="Back Out"),0,1))</f>
        <v>0</v>
      </c>
      <c r="AJ32" s="10" t="n">
        <f aca="false">IF($AI32=0,0,IF($F32="",0,IF($G32="",1,0.5)))</f>
        <v>0</v>
      </c>
      <c r="AK32" s="10" t="n">
        <f aca="false">IF($AI32=0,0,IF($G32="",0,IF($F32="",1,0.5)))</f>
        <v>0</v>
      </c>
      <c r="AL32" s="10" t="str">
        <f aca="false">IF($AF32="","",IF(COUNTIF(AdSourceList,$AF32)=0,"Untagged",INDEX('Staff &amp; Lists'!$K$5:$K$204,MATCH($AF32,AdSourceList,0))))</f>
        <v/>
      </c>
      <c r="AM32" s="115"/>
      <c r="AN32" s="115"/>
      <c r="AO32" s="115"/>
      <c r="AP32" s="10" t="str">
        <f aca="false">IF($AI32=0,"",MATCH(MAX(N($S32),0),'Pay Plan'!$D$5:$K$5,1))</f>
        <v/>
      </c>
      <c r="AQ32" s="118" t="str">
        <f aca="false">IF(OR($AB32="",$AC32=""),"",$AB32-$AC32)</f>
        <v/>
      </c>
    </row>
    <row r="33" customFormat="false" ht="15.75" hidden="false" customHeight="true" outlineLevel="0" collapsed="false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44" t="str">
        <f aca="false">IF(AND($K33="",$L33=""),"",TRIM($J33&amp;" "&amp;$K33&amp;" "&amp;$L33))</f>
        <v/>
      </c>
      <c r="N33" s="115"/>
      <c r="O33" s="115"/>
      <c r="P33" s="115"/>
      <c r="Q33" s="116"/>
      <c r="R33" s="116"/>
      <c r="S33" s="27" t="str">
        <f aca="false">IF(COUNT(Q33:R33)=0,"",SUM(Q33:R33))</f>
        <v/>
      </c>
      <c r="T33" s="115"/>
      <c r="U33" s="115"/>
      <c r="V33" s="115"/>
      <c r="W33" s="115"/>
      <c r="X33" s="117"/>
      <c r="Y33" s="115"/>
      <c r="Z33" s="115"/>
      <c r="AA33" s="115"/>
      <c r="AB33" s="116"/>
      <c r="AC33" s="116"/>
      <c r="AD33" s="116"/>
      <c r="AE33" s="116"/>
      <c r="AF33" s="115"/>
      <c r="AG33" s="115"/>
      <c r="AH33" s="115"/>
      <c r="AI33" s="10" t="n">
        <f aca="false">IF($D33="",0,IF(OR($AG33="Pending",$AG33="Unwind",$AG33="Back Out"),0,1))</f>
        <v>0</v>
      </c>
      <c r="AJ33" s="10" t="n">
        <f aca="false">IF($AI33=0,0,IF($F33="",0,IF($G33="",1,0.5)))</f>
        <v>0</v>
      </c>
      <c r="AK33" s="10" t="n">
        <f aca="false">IF($AI33=0,0,IF($G33="",0,IF($F33="",1,0.5)))</f>
        <v>0</v>
      </c>
      <c r="AL33" s="10" t="str">
        <f aca="false">IF($AF33="","",IF(COUNTIF(AdSourceList,$AF33)=0,"Untagged",INDEX('Staff &amp; Lists'!$K$5:$K$204,MATCH($AF33,AdSourceList,0))))</f>
        <v/>
      </c>
      <c r="AM33" s="115"/>
      <c r="AN33" s="115"/>
      <c r="AO33" s="115"/>
      <c r="AP33" s="10" t="str">
        <f aca="false">IF($AI33=0,"",MATCH(MAX(N($S33),0),'Pay Plan'!$D$5:$K$5,1))</f>
        <v/>
      </c>
      <c r="AQ33" s="118" t="str">
        <f aca="false">IF(OR($AB33="",$AC33=""),"",$AB33-$AC33)</f>
        <v/>
      </c>
    </row>
    <row r="34" customFormat="false" ht="15.75" hidden="false" customHeight="true" outlineLevel="0" collapsed="false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44" t="str">
        <f aca="false">IF(AND($K34="",$L34=""),"",TRIM($J34&amp;" "&amp;$K34&amp;" "&amp;$L34))</f>
        <v/>
      </c>
      <c r="N34" s="115"/>
      <c r="O34" s="115"/>
      <c r="P34" s="115"/>
      <c r="Q34" s="116"/>
      <c r="R34" s="116"/>
      <c r="S34" s="27" t="str">
        <f aca="false">IF(COUNT(Q34:R34)=0,"",SUM(Q34:R34))</f>
        <v/>
      </c>
      <c r="T34" s="115"/>
      <c r="U34" s="115"/>
      <c r="V34" s="115"/>
      <c r="W34" s="115"/>
      <c r="X34" s="117"/>
      <c r="Y34" s="115"/>
      <c r="Z34" s="115"/>
      <c r="AA34" s="115"/>
      <c r="AB34" s="116"/>
      <c r="AC34" s="116"/>
      <c r="AD34" s="116"/>
      <c r="AE34" s="116"/>
      <c r="AF34" s="115"/>
      <c r="AG34" s="115"/>
      <c r="AH34" s="115"/>
      <c r="AI34" s="10" t="n">
        <f aca="false">IF($D34="",0,IF(OR($AG34="Pending",$AG34="Unwind",$AG34="Back Out"),0,1))</f>
        <v>0</v>
      </c>
      <c r="AJ34" s="10" t="n">
        <f aca="false">IF($AI34=0,0,IF($F34="",0,IF($G34="",1,0.5)))</f>
        <v>0</v>
      </c>
      <c r="AK34" s="10" t="n">
        <f aca="false">IF($AI34=0,0,IF($G34="",0,IF($F34="",1,0.5)))</f>
        <v>0</v>
      </c>
      <c r="AL34" s="10" t="str">
        <f aca="false">IF($AF34="","",IF(COUNTIF(AdSourceList,$AF34)=0,"Untagged",INDEX('Staff &amp; Lists'!$K$5:$K$204,MATCH($AF34,AdSourceList,0))))</f>
        <v/>
      </c>
      <c r="AM34" s="115"/>
      <c r="AN34" s="115"/>
      <c r="AO34" s="115"/>
      <c r="AP34" s="10" t="str">
        <f aca="false">IF($AI34=0,"",MATCH(MAX(N($S34),0),'Pay Plan'!$D$5:$K$5,1))</f>
        <v/>
      </c>
      <c r="AQ34" s="118" t="str">
        <f aca="false">IF(OR($AB34="",$AC34=""),"",$AB34-$AC34)</f>
        <v/>
      </c>
    </row>
    <row r="35" customFormat="false" ht="15.75" hidden="false" customHeight="true" outlineLevel="0" collapsed="false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44" t="str">
        <f aca="false">IF(AND($K35="",$L35=""),"",TRIM($J35&amp;" "&amp;$K35&amp;" "&amp;$L35))</f>
        <v/>
      </c>
      <c r="N35" s="115"/>
      <c r="O35" s="115"/>
      <c r="P35" s="115"/>
      <c r="Q35" s="116"/>
      <c r="R35" s="116"/>
      <c r="S35" s="27" t="str">
        <f aca="false">IF(COUNT(Q35:R35)=0,"",SUM(Q35:R35))</f>
        <v/>
      </c>
      <c r="T35" s="115"/>
      <c r="U35" s="115"/>
      <c r="V35" s="115"/>
      <c r="W35" s="115"/>
      <c r="X35" s="117"/>
      <c r="Y35" s="115"/>
      <c r="Z35" s="115"/>
      <c r="AA35" s="115"/>
      <c r="AB35" s="116"/>
      <c r="AC35" s="116"/>
      <c r="AD35" s="116"/>
      <c r="AE35" s="116"/>
      <c r="AF35" s="115"/>
      <c r="AG35" s="115"/>
      <c r="AH35" s="115"/>
      <c r="AI35" s="10" t="n">
        <f aca="false">IF($D35="",0,IF(OR($AG35="Pending",$AG35="Unwind",$AG35="Back Out"),0,1))</f>
        <v>0</v>
      </c>
      <c r="AJ35" s="10" t="n">
        <f aca="false">IF($AI35=0,0,IF($F35="",0,IF($G35="",1,0.5)))</f>
        <v>0</v>
      </c>
      <c r="AK35" s="10" t="n">
        <f aca="false">IF($AI35=0,0,IF($G35="",0,IF($F35="",1,0.5)))</f>
        <v>0</v>
      </c>
      <c r="AL35" s="10" t="str">
        <f aca="false">IF($AF35="","",IF(COUNTIF(AdSourceList,$AF35)=0,"Untagged",INDEX('Staff &amp; Lists'!$K$5:$K$204,MATCH($AF35,AdSourceList,0))))</f>
        <v/>
      </c>
      <c r="AM35" s="115"/>
      <c r="AN35" s="115"/>
      <c r="AO35" s="115"/>
      <c r="AP35" s="10" t="str">
        <f aca="false">IF($AI35=0,"",MATCH(MAX(N($S35),0),'Pay Plan'!$D$5:$K$5,1))</f>
        <v/>
      </c>
      <c r="AQ35" s="118" t="str">
        <f aca="false">IF(OR($AB35="",$AC35=""),"",$AB35-$AC35)</f>
        <v/>
      </c>
    </row>
    <row r="36" customFormat="false" ht="15.75" hidden="false" customHeight="true" outlineLevel="0" collapsed="false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44" t="str">
        <f aca="false">IF(AND($K36="",$L36=""),"",TRIM($J36&amp;" "&amp;$K36&amp;" "&amp;$L36))</f>
        <v/>
      </c>
      <c r="N36" s="115"/>
      <c r="O36" s="115"/>
      <c r="P36" s="115"/>
      <c r="Q36" s="116"/>
      <c r="R36" s="116"/>
      <c r="S36" s="27" t="str">
        <f aca="false">IF(COUNT(Q36:R36)=0,"",SUM(Q36:R36))</f>
        <v/>
      </c>
      <c r="T36" s="115"/>
      <c r="U36" s="115"/>
      <c r="V36" s="115"/>
      <c r="W36" s="115"/>
      <c r="X36" s="117"/>
      <c r="Y36" s="115"/>
      <c r="Z36" s="115"/>
      <c r="AA36" s="115"/>
      <c r="AB36" s="116"/>
      <c r="AC36" s="116"/>
      <c r="AD36" s="116"/>
      <c r="AE36" s="116"/>
      <c r="AF36" s="115"/>
      <c r="AG36" s="115"/>
      <c r="AH36" s="115"/>
      <c r="AI36" s="10" t="n">
        <f aca="false">IF($D36="",0,IF(OR($AG36="Pending",$AG36="Unwind",$AG36="Back Out"),0,1))</f>
        <v>0</v>
      </c>
      <c r="AJ36" s="10" t="n">
        <f aca="false">IF($AI36=0,0,IF($F36="",0,IF($G36="",1,0.5)))</f>
        <v>0</v>
      </c>
      <c r="AK36" s="10" t="n">
        <f aca="false">IF($AI36=0,0,IF($G36="",0,IF($F36="",1,0.5)))</f>
        <v>0</v>
      </c>
      <c r="AL36" s="10" t="str">
        <f aca="false">IF($AF36="","",IF(COUNTIF(AdSourceList,$AF36)=0,"Untagged",INDEX('Staff &amp; Lists'!$K$5:$K$204,MATCH($AF36,AdSourceList,0))))</f>
        <v/>
      </c>
      <c r="AM36" s="115"/>
      <c r="AN36" s="115"/>
      <c r="AO36" s="115"/>
      <c r="AP36" s="10" t="str">
        <f aca="false">IF($AI36=0,"",MATCH(MAX(N($S36),0),'Pay Plan'!$D$5:$K$5,1))</f>
        <v/>
      </c>
      <c r="AQ36" s="118" t="str">
        <f aca="false">IF(OR($AB36="",$AC36=""),"",$AB36-$AC36)</f>
        <v/>
      </c>
    </row>
    <row r="37" customFormat="false" ht="15.75" hidden="false" customHeight="true" outlineLevel="0" collapsed="false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4" t="str">
        <f aca="false">IF(AND($K37="",$L37=""),"",TRIM($J37&amp;" "&amp;$K37&amp;" "&amp;$L37))</f>
        <v/>
      </c>
      <c r="N37" s="115"/>
      <c r="O37" s="115"/>
      <c r="P37" s="115"/>
      <c r="Q37" s="116"/>
      <c r="R37" s="116"/>
      <c r="S37" s="27" t="str">
        <f aca="false">IF(COUNT(Q37:R37)=0,"",SUM(Q37:R37))</f>
        <v/>
      </c>
      <c r="T37" s="115"/>
      <c r="U37" s="115"/>
      <c r="V37" s="115"/>
      <c r="W37" s="115"/>
      <c r="X37" s="117"/>
      <c r="Y37" s="115"/>
      <c r="Z37" s="115"/>
      <c r="AA37" s="115"/>
      <c r="AB37" s="116"/>
      <c r="AC37" s="116"/>
      <c r="AD37" s="116"/>
      <c r="AE37" s="116"/>
      <c r="AF37" s="115"/>
      <c r="AG37" s="115"/>
      <c r="AH37" s="115"/>
      <c r="AI37" s="10" t="n">
        <f aca="false">IF($D37="",0,IF(OR($AG37="Pending",$AG37="Unwind",$AG37="Back Out"),0,1))</f>
        <v>0</v>
      </c>
      <c r="AJ37" s="10" t="n">
        <f aca="false">IF($AI37=0,0,IF($F37="",0,IF($G37="",1,0.5)))</f>
        <v>0</v>
      </c>
      <c r="AK37" s="10" t="n">
        <f aca="false">IF($AI37=0,0,IF($G37="",0,IF($F37="",1,0.5)))</f>
        <v>0</v>
      </c>
      <c r="AL37" s="10" t="str">
        <f aca="false">IF($AF37="","",IF(COUNTIF(AdSourceList,$AF37)=0,"Untagged",INDEX('Staff &amp; Lists'!$K$5:$K$204,MATCH($AF37,AdSourceList,0))))</f>
        <v/>
      </c>
      <c r="AM37" s="115"/>
      <c r="AN37" s="115"/>
      <c r="AO37" s="115"/>
      <c r="AP37" s="10" t="str">
        <f aca="false">IF($AI37=0,"",MATCH(MAX(N($S37),0),'Pay Plan'!$D$5:$K$5,1))</f>
        <v/>
      </c>
      <c r="AQ37" s="118" t="str">
        <f aca="false">IF(OR($AB37="",$AC37=""),"",$AB37-$AC37)</f>
        <v/>
      </c>
    </row>
    <row r="38" customFormat="false" ht="15.75" hidden="false" customHeight="true" outlineLevel="0" collapsed="false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44" t="str">
        <f aca="false">IF(AND($K38="",$L38=""),"",TRIM($J38&amp;" "&amp;$K38&amp;" "&amp;$L38))</f>
        <v/>
      </c>
      <c r="N38" s="115"/>
      <c r="O38" s="115"/>
      <c r="P38" s="115"/>
      <c r="Q38" s="116"/>
      <c r="R38" s="116"/>
      <c r="S38" s="27" t="str">
        <f aca="false">IF(COUNT(Q38:R38)=0,"",SUM(Q38:R38))</f>
        <v/>
      </c>
      <c r="T38" s="115"/>
      <c r="U38" s="115"/>
      <c r="V38" s="115"/>
      <c r="W38" s="115"/>
      <c r="X38" s="117"/>
      <c r="Y38" s="115"/>
      <c r="Z38" s="115"/>
      <c r="AA38" s="115"/>
      <c r="AB38" s="116"/>
      <c r="AC38" s="116"/>
      <c r="AD38" s="116"/>
      <c r="AE38" s="116"/>
      <c r="AF38" s="115"/>
      <c r="AG38" s="115"/>
      <c r="AH38" s="115"/>
      <c r="AI38" s="10" t="n">
        <f aca="false">IF($D38="",0,IF(OR($AG38="Pending",$AG38="Unwind",$AG38="Back Out"),0,1))</f>
        <v>0</v>
      </c>
      <c r="AJ38" s="10" t="n">
        <f aca="false">IF($AI38=0,0,IF($F38="",0,IF($G38="",1,0.5)))</f>
        <v>0</v>
      </c>
      <c r="AK38" s="10" t="n">
        <f aca="false">IF($AI38=0,0,IF($G38="",0,IF($F38="",1,0.5)))</f>
        <v>0</v>
      </c>
      <c r="AL38" s="10" t="str">
        <f aca="false">IF($AF38="","",IF(COUNTIF(AdSourceList,$AF38)=0,"Untagged",INDEX('Staff &amp; Lists'!$K$5:$K$204,MATCH($AF38,AdSourceList,0))))</f>
        <v/>
      </c>
      <c r="AM38" s="115"/>
      <c r="AN38" s="115"/>
      <c r="AO38" s="115"/>
      <c r="AP38" s="10" t="str">
        <f aca="false">IF($AI38=0,"",MATCH(MAX(N($S38),0),'Pay Plan'!$D$5:$K$5,1))</f>
        <v/>
      </c>
      <c r="AQ38" s="118" t="str">
        <f aca="false">IF(OR($AB38="",$AC38=""),"",$AB38-$AC38)</f>
        <v/>
      </c>
    </row>
    <row r="39" customFormat="false" ht="15.75" hidden="false" customHeight="true" outlineLevel="0" collapsed="false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44" t="str">
        <f aca="false">IF(AND($K39="",$L39=""),"",TRIM($J39&amp;" "&amp;$K39&amp;" "&amp;$L39))</f>
        <v/>
      </c>
      <c r="N39" s="115"/>
      <c r="O39" s="115"/>
      <c r="P39" s="115"/>
      <c r="Q39" s="116"/>
      <c r="R39" s="116"/>
      <c r="S39" s="27" t="str">
        <f aca="false">IF(COUNT(Q39:R39)=0,"",SUM(Q39:R39))</f>
        <v/>
      </c>
      <c r="T39" s="115"/>
      <c r="U39" s="115"/>
      <c r="V39" s="115"/>
      <c r="W39" s="115"/>
      <c r="X39" s="117"/>
      <c r="Y39" s="115"/>
      <c r="Z39" s="115"/>
      <c r="AA39" s="115"/>
      <c r="AB39" s="116"/>
      <c r="AC39" s="116"/>
      <c r="AD39" s="116"/>
      <c r="AE39" s="116"/>
      <c r="AF39" s="115"/>
      <c r="AG39" s="115"/>
      <c r="AH39" s="115"/>
      <c r="AI39" s="10" t="n">
        <f aca="false">IF($D39="",0,IF(OR($AG39="Pending",$AG39="Unwind",$AG39="Back Out"),0,1))</f>
        <v>0</v>
      </c>
      <c r="AJ39" s="10" t="n">
        <f aca="false">IF($AI39=0,0,IF($F39="",0,IF($G39="",1,0.5)))</f>
        <v>0</v>
      </c>
      <c r="AK39" s="10" t="n">
        <f aca="false">IF($AI39=0,0,IF($G39="",0,IF($F39="",1,0.5)))</f>
        <v>0</v>
      </c>
      <c r="AL39" s="10" t="str">
        <f aca="false">IF($AF39="","",IF(COUNTIF(AdSourceList,$AF39)=0,"Untagged",INDEX('Staff &amp; Lists'!$K$5:$K$204,MATCH($AF39,AdSourceList,0))))</f>
        <v/>
      </c>
      <c r="AM39" s="115"/>
      <c r="AN39" s="115"/>
      <c r="AO39" s="115"/>
      <c r="AP39" s="10" t="str">
        <f aca="false">IF($AI39=0,"",MATCH(MAX(N($S39),0),'Pay Plan'!$D$5:$K$5,1))</f>
        <v/>
      </c>
      <c r="AQ39" s="118" t="str">
        <f aca="false">IF(OR($AB39="",$AC39=""),"",$AB39-$AC39)</f>
        <v/>
      </c>
    </row>
    <row r="40" customFormat="false" ht="15.75" hidden="false" customHeight="true" outlineLevel="0" collapsed="false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44" t="str">
        <f aca="false">IF(AND($K40="",$L40=""),"",TRIM($J40&amp;" "&amp;$K40&amp;" "&amp;$L40))</f>
        <v/>
      </c>
      <c r="N40" s="115"/>
      <c r="O40" s="115"/>
      <c r="P40" s="115"/>
      <c r="Q40" s="116"/>
      <c r="R40" s="116"/>
      <c r="S40" s="27" t="str">
        <f aca="false">IF(COUNT(Q40:R40)=0,"",SUM(Q40:R40))</f>
        <v/>
      </c>
      <c r="T40" s="115"/>
      <c r="U40" s="115"/>
      <c r="V40" s="115"/>
      <c r="W40" s="115"/>
      <c r="X40" s="117"/>
      <c r="Y40" s="115"/>
      <c r="Z40" s="115"/>
      <c r="AA40" s="115"/>
      <c r="AB40" s="116"/>
      <c r="AC40" s="116"/>
      <c r="AD40" s="116"/>
      <c r="AE40" s="116"/>
      <c r="AF40" s="115"/>
      <c r="AG40" s="115"/>
      <c r="AH40" s="115"/>
      <c r="AI40" s="10" t="n">
        <f aca="false">IF($D40="",0,IF(OR($AG40="Pending",$AG40="Unwind",$AG40="Back Out"),0,1))</f>
        <v>0</v>
      </c>
      <c r="AJ40" s="10" t="n">
        <f aca="false">IF($AI40=0,0,IF($F40="",0,IF($G40="",1,0.5)))</f>
        <v>0</v>
      </c>
      <c r="AK40" s="10" t="n">
        <f aca="false">IF($AI40=0,0,IF($G40="",0,IF($F40="",1,0.5)))</f>
        <v>0</v>
      </c>
      <c r="AL40" s="10" t="str">
        <f aca="false">IF($AF40="","",IF(COUNTIF(AdSourceList,$AF40)=0,"Untagged",INDEX('Staff &amp; Lists'!$K$5:$K$204,MATCH($AF40,AdSourceList,0))))</f>
        <v/>
      </c>
      <c r="AM40" s="115"/>
      <c r="AN40" s="115"/>
      <c r="AO40" s="115"/>
      <c r="AP40" s="10" t="str">
        <f aca="false">IF($AI40=0,"",MATCH(MAX(N($S40),0),'Pay Plan'!$D$5:$K$5,1))</f>
        <v/>
      </c>
      <c r="AQ40" s="118" t="str">
        <f aca="false">IF(OR($AB40="",$AC40=""),"",$AB40-$AC40)</f>
        <v/>
      </c>
    </row>
    <row r="41" customFormat="false" ht="15.75" hidden="false" customHeight="true" outlineLevel="0" collapsed="false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44" t="str">
        <f aca="false">IF(AND($K41="",$L41=""),"",TRIM($J41&amp;" "&amp;$K41&amp;" "&amp;$L41))</f>
        <v/>
      </c>
      <c r="N41" s="115"/>
      <c r="O41" s="115"/>
      <c r="P41" s="115"/>
      <c r="Q41" s="116"/>
      <c r="R41" s="116"/>
      <c r="S41" s="27" t="str">
        <f aca="false">IF(COUNT(Q41:R41)=0,"",SUM(Q41:R41))</f>
        <v/>
      </c>
      <c r="T41" s="115"/>
      <c r="U41" s="115"/>
      <c r="V41" s="115"/>
      <c r="W41" s="115"/>
      <c r="X41" s="117"/>
      <c r="Y41" s="115"/>
      <c r="Z41" s="115"/>
      <c r="AA41" s="115"/>
      <c r="AB41" s="116"/>
      <c r="AC41" s="116"/>
      <c r="AD41" s="116"/>
      <c r="AE41" s="116"/>
      <c r="AF41" s="115"/>
      <c r="AG41" s="115"/>
      <c r="AH41" s="115"/>
      <c r="AI41" s="10" t="n">
        <f aca="false">IF($D41="",0,IF(OR($AG41="Pending",$AG41="Unwind",$AG41="Back Out"),0,1))</f>
        <v>0</v>
      </c>
      <c r="AJ41" s="10" t="n">
        <f aca="false">IF($AI41=0,0,IF($F41="",0,IF($G41="",1,0.5)))</f>
        <v>0</v>
      </c>
      <c r="AK41" s="10" t="n">
        <f aca="false">IF($AI41=0,0,IF($G41="",0,IF($F41="",1,0.5)))</f>
        <v>0</v>
      </c>
      <c r="AL41" s="10" t="str">
        <f aca="false">IF($AF41="","",IF(COUNTIF(AdSourceList,$AF41)=0,"Untagged",INDEX('Staff &amp; Lists'!$K$5:$K$204,MATCH($AF41,AdSourceList,0))))</f>
        <v/>
      </c>
      <c r="AM41" s="115"/>
      <c r="AN41" s="115"/>
      <c r="AO41" s="115"/>
      <c r="AP41" s="10" t="str">
        <f aca="false">IF($AI41=0,"",MATCH(MAX(N($S41),0),'Pay Plan'!$D$5:$K$5,1))</f>
        <v/>
      </c>
      <c r="AQ41" s="118" t="str">
        <f aca="false">IF(OR($AB41="",$AC41=""),"",$AB41-$AC41)</f>
        <v/>
      </c>
    </row>
    <row r="42" customFormat="false" ht="15.75" hidden="false" customHeight="true" outlineLevel="0" collapsed="false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44" t="str">
        <f aca="false">IF(AND($K42="",$L42=""),"",TRIM($J42&amp;" "&amp;$K42&amp;" "&amp;$L42))</f>
        <v/>
      </c>
      <c r="N42" s="115"/>
      <c r="O42" s="115"/>
      <c r="P42" s="115"/>
      <c r="Q42" s="116"/>
      <c r="R42" s="116"/>
      <c r="S42" s="27" t="str">
        <f aca="false">IF(COUNT(Q42:R42)=0,"",SUM(Q42:R42))</f>
        <v/>
      </c>
      <c r="T42" s="115"/>
      <c r="U42" s="115"/>
      <c r="V42" s="115"/>
      <c r="W42" s="115"/>
      <c r="X42" s="117"/>
      <c r="Y42" s="115"/>
      <c r="Z42" s="115"/>
      <c r="AA42" s="115"/>
      <c r="AB42" s="116"/>
      <c r="AC42" s="116"/>
      <c r="AD42" s="116"/>
      <c r="AE42" s="116"/>
      <c r="AF42" s="115"/>
      <c r="AG42" s="115"/>
      <c r="AH42" s="115"/>
      <c r="AI42" s="10" t="n">
        <f aca="false">IF($D42="",0,IF(OR($AG42="Pending",$AG42="Unwind",$AG42="Back Out"),0,1))</f>
        <v>0</v>
      </c>
      <c r="AJ42" s="10" t="n">
        <f aca="false">IF($AI42=0,0,IF($F42="",0,IF($G42="",1,0.5)))</f>
        <v>0</v>
      </c>
      <c r="AK42" s="10" t="n">
        <f aca="false">IF($AI42=0,0,IF($G42="",0,IF($F42="",1,0.5)))</f>
        <v>0</v>
      </c>
      <c r="AL42" s="10" t="str">
        <f aca="false">IF($AF42="","",IF(COUNTIF(AdSourceList,$AF42)=0,"Untagged",INDEX('Staff &amp; Lists'!$K$5:$K$204,MATCH($AF42,AdSourceList,0))))</f>
        <v/>
      </c>
      <c r="AM42" s="115"/>
      <c r="AN42" s="115"/>
      <c r="AO42" s="115"/>
      <c r="AP42" s="10" t="str">
        <f aca="false">IF($AI42=0,"",MATCH(MAX(N($S42),0),'Pay Plan'!$D$5:$K$5,1))</f>
        <v/>
      </c>
      <c r="AQ42" s="118" t="str">
        <f aca="false">IF(OR($AB42="",$AC42=""),"",$AB42-$AC42)</f>
        <v/>
      </c>
    </row>
    <row r="44" customFormat="false" ht="15" hidden="false" customHeight="false" outlineLevel="0" collapsed="false">
      <c r="A44" s="9" t="s">
        <v>436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C45" s="107" t="s">
        <v>297</v>
      </c>
      <c r="E45" s="107" t="s">
        <v>298</v>
      </c>
      <c r="G45" s="107" t="s">
        <v>254</v>
      </c>
    </row>
    <row r="46" customFormat="false" ht="15" hidden="false" customHeight="false" outlineLevel="0" collapsed="false">
      <c r="A46" s="10" t="s">
        <v>29</v>
      </c>
      <c r="C46" s="40" t="n">
        <f aca="false">COUNTIFS($A$8:$A$42,"New",$AI$8:$AI$42,1)</f>
        <v>0</v>
      </c>
      <c r="E46" s="40" t="n">
        <f aca="false">COUNTIFS($A$8:$A$42,"Used",$AI$8:$AI$42,1)</f>
        <v>0</v>
      </c>
      <c r="G46" s="108" t="n">
        <f aca="false">C46+E46</f>
        <v>0</v>
      </c>
    </row>
    <row r="47" customFormat="false" ht="15" hidden="false" customHeight="false" outlineLevel="0" collapsed="false">
      <c r="A47" s="10" t="s">
        <v>270</v>
      </c>
      <c r="C47" s="42" t="n">
        <f aca="false">SUMIFS($Q$8:$Q$42,$A$8:$A$42,"New",$AI$8:$AI$42,1)</f>
        <v>0</v>
      </c>
      <c r="E47" s="42" t="n">
        <f aca="false">SUMIFS($Q$8:$Q$42,$A$8:$A$42,"Used",$AI$8:$AI$42,1)</f>
        <v>0</v>
      </c>
      <c r="G47" s="109" t="n">
        <f aca="false">C47+E47</f>
        <v>0</v>
      </c>
    </row>
    <row r="48" customFormat="false" ht="15" hidden="false" customHeight="false" outlineLevel="0" collapsed="false">
      <c r="A48" s="10" t="s">
        <v>271</v>
      </c>
      <c r="C48" s="42" t="n">
        <f aca="false">SUMIFS($R$8:$R$42,$A$8:$A$42,"New",$AI$8:$AI$42,1)</f>
        <v>0</v>
      </c>
      <c r="E48" s="42" t="n">
        <f aca="false">SUMIFS($R$8:$R$42,$A$8:$A$42,"Used",$AI$8:$AI$42,1)</f>
        <v>0</v>
      </c>
      <c r="G48" s="109" t="n">
        <f aca="false">C48+E48</f>
        <v>0</v>
      </c>
    </row>
    <row r="49" customFormat="false" ht="15" hidden="false" customHeight="false" outlineLevel="0" collapsed="false">
      <c r="A49" s="10" t="s">
        <v>272</v>
      </c>
      <c r="C49" s="42" t="n">
        <f aca="false">C47+C48</f>
        <v>0</v>
      </c>
      <c r="E49" s="42" t="n">
        <f aca="false">E47+E48</f>
        <v>0</v>
      </c>
      <c r="G49" s="110" t="n">
        <f aca="false">G47+G48</f>
        <v>0</v>
      </c>
    </row>
    <row r="50" customFormat="false" ht="15" hidden="false" customHeight="false" outlineLevel="0" collapsed="false">
      <c r="A50" s="10" t="s">
        <v>299</v>
      </c>
      <c r="G50" s="108" t="n">
        <f aca="false">COUNTIFS($T$8:$T$42,"&lt;&gt;",$AI$8:$AI$42,1)</f>
        <v>0</v>
      </c>
    </row>
    <row r="53" customFormat="false" ht="15" hidden="false" customHeight="false" outlineLevel="0" collapsed="false">
      <c r="A53" s="9" t="s">
        <v>300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10" t="s">
        <v>301</v>
      </c>
      <c r="C54" s="108" t="n">
        <f aca="false">COUNTIFS($T$8:$T$42,"&lt;&gt;",$AI$8:$AI$42,1)</f>
        <v>0</v>
      </c>
      <c r="E54" s="10" t="s">
        <v>302</v>
      </c>
      <c r="G54" s="108" t="n">
        <f aca="false">COUNTIFS($T$8:$T$42,"&lt;&gt;",$AA$8:$AA$42,"Wholesale",$AI$8:$AI$42,1)+COUNTIFS($T$8:$T$42,"&lt;&gt;",$AA$8:$AA$42,"Auction",$AI$8:$AI$42,1)</f>
        <v>0</v>
      </c>
    </row>
    <row r="55" customFormat="false" ht="15" hidden="false" customHeight="false" outlineLevel="0" collapsed="false">
      <c r="A55" s="10" t="s">
        <v>303</v>
      </c>
      <c r="C55" s="109" t="n">
        <f aca="false">SUMIFS($AB$8:$AB$42,$T$8:$T$42,"&lt;&gt;",$AI$8:$AI$42,1)</f>
        <v>0</v>
      </c>
      <c r="E55" s="10" t="s">
        <v>304</v>
      </c>
      <c r="G55" s="109" t="n">
        <f aca="false">SUMIFS($AQ$8:$AQ$42,$T$8:$T$42,"&lt;&gt;",$AI$8:$AI$42,1)</f>
        <v>0</v>
      </c>
    </row>
    <row r="56" customFormat="false" ht="15" hidden="false" customHeight="false" outlineLevel="0" collapsed="false">
      <c r="A56" s="10" t="s">
        <v>305</v>
      </c>
      <c r="C56" s="108" t="n">
        <f aca="false">COUNTIFS($AG$8:$AG$42,"Pending")</f>
        <v>0</v>
      </c>
      <c r="E56" s="10" t="s">
        <v>306</v>
      </c>
      <c r="G56" s="108" t="n">
        <f aca="false">COUNTIFS($AB$8:$AB$42,"&lt;&gt;",$AC$8:$AC$42,"&lt;&gt;",$T$8:$T$42,"&lt;&gt;",$AI$8:$AI$42,1)</f>
        <v>0</v>
      </c>
    </row>
    <row r="57" customFormat="false" ht="15" hidden="false" customHeight="false" outlineLevel="0" collapsed="false">
      <c r="A57" s="10" t="s">
        <v>137</v>
      </c>
      <c r="C57" s="108" t="n">
        <f aca="false">COUNTIFS($N$8:$N$42,"Y",$AI$8:$AI$42,1)</f>
        <v>0</v>
      </c>
      <c r="E57" s="10" t="s">
        <v>307</v>
      </c>
      <c r="G57" s="108" t="n">
        <f aca="false">SUMPRODUCT(($A$8:$A$42="Used")*$AI$8:$AI$42*($Q$8:$Q$42&lt;0))</f>
        <v>0</v>
      </c>
    </row>
    <row r="58" customFormat="false" ht="15" hidden="false" customHeight="false" outlineLevel="0" collapsed="false">
      <c r="A58" s="10" t="s">
        <v>308</v>
      </c>
      <c r="C58" s="108" t="n">
        <f aca="false">COUNTIFS($T$8:$T$42,"&lt;&gt;",$Z$8:$Z$42,"N",$AI$8:$AI$42,1)</f>
        <v>0</v>
      </c>
    </row>
    <row r="59" customFormat="false" ht="15" hidden="false" customHeight="false" outlineLevel="0" collapsed="false">
      <c r="A59" s="10" t="s">
        <v>309</v>
      </c>
      <c r="C59" s="108" t="n">
        <f aca="false">COUNTIFS($AH$8:$AH$42,"Y")</f>
        <v>0</v>
      </c>
    </row>
    <row r="61" customFormat="false" ht="15" hidden="false" customHeight="false" outlineLevel="0" collapsed="false">
      <c r="A61" s="9" t="s">
        <v>437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311</v>
      </c>
      <c r="C62" s="108" t="n">
        <f aca="false">'Aug 30'!$C$62+$G$46</f>
        <v>0</v>
      </c>
    </row>
    <row r="63" customFormat="false" ht="15" hidden="false" customHeight="false" outlineLevel="0" collapsed="false">
      <c r="A63" s="10" t="s">
        <v>312</v>
      </c>
      <c r="C63" s="109" t="n">
        <f aca="false">'Aug 30'!$C$63+$G$49</f>
        <v>0</v>
      </c>
    </row>
    <row r="64" customFormat="false" ht="15" hidden="false" customHeight="false" outlineLevel="0" collapsed="false">
      <c r="A64" s="10" t="s">
        <v>139</v>
      </c>
      <c r="C64" s="108" t="str">
        <f aca="false">IF(GoalUnitsTotal="","",GoalUnitsTotal)</f>
        <v/>
      </c>
    </row>
    <row r="65" customFormat="false" ht="15" hidden="false" customHeight="false" outlineLevel="0" collapsed="false">
      <c r="A65" s="10" t="s">
        <v>141</v>
      </c>
      <c r="C65" s="109" t="str">
        <f aca="false">IF(GoalGrossTotal="","",GoalGrossTotal)</f>
        <v/>
      </c>
    </row>
    <row r="66" customFormat="false" ht="15" hidden="false" customHeight="false" outlineLevel="0" collapsed="false">
      <c r="A66" s="10" t="s">
        <v>313</v>
      </c>
      <c r="C66" s="119" t="str">
        <f aca="false">IF(OR($C$64="",$C$68=0),"",MAX(0,ROUND(($C$64-$C$62)/$C$68,1)))</f>
        <v/>
      </c>
    </row>
    <row r="67" customFormat="false" ht="15" hidden="false" customHeight="false" outlineLevel="0" collapsed="false">
      <c r="A67" s="10" t="s">
        <v>314</v>
      </c>
      <c r="C67" s="109" t="str">
        <f aca="false">IF(OR($C$65="",$C$68=0),"",MAX(0,ROUND(($C$65-$C$63)/$C$68,0)))</f>
        <v/>
      </c>
    </row>
    <row r="68" customFormat="false" ht="15" hidden="false" customHeight="false" outlineLevel="0" collapsed="false">
      <c r="A68" s="10" t="s">
        <v>315</v>
      </c>
      <c r="C68" s="108" t="n">
        <v>1</v>
      </c>
    </row>
    <row r="69" customFormat="false" ht="15" hidden="false" customHeight="false" outlineLevel="0" collapsed="false">
      <c r="A69" s="10" t="s">
        <v>316</v>
      </c>
      <c r="C69" s="92" t="str">
        <f aca="false">IF($C$64="","-",IF($C$62&gt;=$C$64,"✓ GOAL HIT — "&amp;$C$62&amp;" / "&amp;$C$64,"● SHORT "&amp;($C$64-$C$62)&amp;" — "&amp;$C$62&amp;" / "&amp;$C$64))</f>
        <v>-</v>
      </c>
      <c r="D69" s="92"/>
      <c r="E69" s="92"/>
      <c r="F69" s="92"/>
      <c r="G69" s="92"/>
      <c r="H69" s="92"/>
    </row>
  </sheetData>
  <sheetProtection sheet="true" formatColumns="false" formatRows="false"/>
  <mergeCells count="12">
    <mergeCell ref="A1:C2"/>
    <mergeCell ref="D1:P1"/>
    <mergeCell ref="R1:T2"/>
    <mergeCell ref="D2:P2"/>
    <mergeCell ref="A6:I6"/>
    <mergeCell ref="J6:S6"/>
    <mergeCell ref="T6:AE6"/>
    <mergeCell ref="AF6:AH6"/>
    <mergeCell ref="A44:H44"/>
    <mergeCell ref="A53:H53"/>
    <mergeCell ref="A61:H61"/>
    <mergeCell ref="C69:H69"/>
  </mergeCells>
  <conditionalFormatting sqref="R1">
    <cfRule type="expression" priority="2" aboveAverage="0" equalAverage="0" bottom="0" percent="0" rank="0" text="" dxfId="12">
      <formula>$R$1&lt;&gt;""</formula>
    </cfRule>
  </conditionalFormatting>
  <conditionalFormatting sqref="A8:AH42">
    <cfRule type="expression" priority="3" aboveAverage="0" equalAverage="0" bottom="0" percent="0" rank="0" text="" dxfId="13">
      <formula>MOD(ROW()-8,2)=1</formula>
    </cfRule>
    <cfRule type="expression" priority="4" aboveAverage="0" equalAverage="0" bottom="0" percent="0" rank="0" text="" dxfId="14">
      <formula>$AG8="Pending"</formula>
    </cfRule>
    <cfRule type="expression" priority="5" aboveAverage="0" equalAverage="0" bottom="0" percent="0" rank="0" text="" dxfId="15">
      <formula>OR($AG8="Unwind",$AG8="Back Out")</formula>
    </cfRule>
  </conditionalFormatting>
  <conditionalFormatting sqref="N8:N42">
    <cfRule type="expression" priority="6" aboveAverage="0" equalAverage="0" bottom="0" percent="0" rank="0" text="" dxfId="7">
      <formula>AND($A8="New",N8="Y")</formula>
    </cfRule>
  </conditionalFormatting>
  <conditionalFormatting sqref="Y8:Y42">
    <cfRule type="expression" priority="7" aboveAverage="0" equalAverage="0" bottom="0" percent="0" rank="0" text="" dxfId="7">
      <formula>AND(Y8&lt;&gt;"",LEN(Y8)&lt;17)</formula>
    </cfRule>
  </conditionalFormatting>
  <conditionalFormatting sqref="C58">
    <cfRule type="expression" priority="8" aboveAverage="0" equalAverage="0" bottom="0" percent="0" rank="0" text="" dxfId="7">
      <formula>N($C$58)&gt;0</formula>
    </cfRule>
  </conditionalFormatting>
  <conditionalFormatting sqref="C56">
    <cfRule type="expression" priority="9" aboveAverage="0" equalAverage="0" bottom="0" percent="0" rank="0" text="" dxfId="16">
      <formula>N($C$56)&gt;0</formula>
    </cfRule>
  </conditionalFormatting>
  <conditionalFormatting sqref="C69">
    <cfRule type="expression" priority="10" aboveAverage="0" equalAverage="0" bottom="0" percent="0" rank="0" text="" dxfId="0">
      <formula>OR(LEFT($C$69,1)="✓",$C$69="● AHEAD")</formula>
    </cfRule>
    <cfRule type="expression" priority="11" aboveAverage="0" equalAverage="0" bottom="0" percent="0" rank="0" text="" dxfId="1">
      <formula>$C$69="● ON PACE"</formula>
    </cfRule>
    <cfRule type="expression" priority="12" aboveAverage="0" equalAverage="0" bottom="0" percent="0" rank="0" text="" dxfId="17">
      <formula>OR($C$69="● BEHIND",LEFT($C$69,7)="● SHORT")</formula>
    </cfRule>
  </conditionalFormatting>
  <conditionalFormatting sqref="Q8:Q42">
    <cfRule type="expression" priority="13" aboveAverage="0" equalAverage="0" bottom="0" percent="0" rank="0" text="" dxfId="11">
      <formula>AND($A8="Used",$AI8=1,N($Q8)&lt;0)</formula>
    </cfRule>
    <cfRule type="expression" priority="14" aboveAverage="0" equalAverage="0" bottom="0" percent="0" rank="0" text="" dxfId="18">
      <formula>AND($AI8=1,$Q8="")</formula>
    </cfRule>
  </conditionalFormatting>
  <conditionalFormatting sqref="P8:P42">
    <cfRule type="expression" priority="15" aboveAverage="0" equalAverage="0" bottom="0" percent="0" rank="0" text="" dxfId="18">
      <formula>AND($AI8=1,$P8="")</formula>
    </cfRule>
  </conditionalFormatting>
  <conditionalFormatting sqref="AF8:AF42">
    <cfRule type="expression" priority="16" aboveAverage="0" equalAverage="0" bottom="0" percent="0" rank="0" text="" dxfId="18">
      <formula>AND($AI8=1,$AF8="")</formula>
    </cfRule>
  </conditionalFormatting>
  <conditionalFormatting sqref="AQ8:AQ42">
    <cfRule type="expression" priority="17" aboveAverage="0" equalAverage="0" bottom="0" percent="0" rank="0" text="" dxfId="19">
      <formula>AND($AQ8&lt;&gt;"",$AQ8&gt;BM_ACV_OVER_MMR)</formula>
    </cfRule>
  </conditionalFormatting>
  <dataValidations count="16">
    <dataValidation allowBlank="true" errorStyle="stop" operator="between" showDropDown="false" showErrorMessage="true" showInputMessage="false" sqref="AM8:AO42" type="list">
      <formula1>"Y"</formula1>
      <formula2>0</formula2>
    </dataValidation>
    <dataValidation allowBlank="true" error="Enter a dollar amount (numbers only)." errorStyle="stop" operator="between" showDropDown="false" showErrorMessage="true" showInputMessage="false" sqref="AB8:AB42" type="decimal">
      <formula1>0</formula1>
      <formula2>500000</formula2>
    </dataValidation>
    <dataValidation allowBlank="true" errorStyle="stop" operator="between" showDropDown="false" showErrorMessage="true" showInputMessage="false" sqref="A8:A42" type="list">
      <formula1>"New,Used"</formula1>
      <formula2>0</formula2>
    </dataValidation>
    <dataValidation allowBlank="true" errorStyle="stop" operator="between" showDropDown="false" showErrorMessage="true" showInputMessage="false" sqref="F8:G42" type="list">
      <formula1>SalespeopleList</formula1>
      <formula2>0</formula2>
    </dataValidation>
    <dataValidation allowBlank="true" errorStyle="stop" operator="between" showDropDown="false" showErrorMessage="true" showInputMessage="false" sqref="H8:H42" type="list">
      <formula1>SalesManagerList</formula1>
      <formula2>0</formula2>
    </dataValidation>
    <dataValidation allowBlank="true" errorStyle="stop" operator="between" showDropDown="false" showErrorMessage="true" showInputMessage="false" sqref="I8:I42" type="list">
      <formula1>FinanceManagerList</formula1>
      <formula2>0</formula2>
    </dataValidation>
    <dataValidation allowBlank="true" errorStyle="stop" operator="between" showDropDown="false" showErrorMessage="true" showInputMessage="false" sqref="J8:J42 U8:U42" type="list">
      <formula1>VehicleYearList</formula1>
      <formula2>0</formula2>
    </dataValidation>
    <dataValidation allowBlank="true" errorStyle="stop" operator="between" showDropDown="false" showErrorMessage="true" showInputMessage="false" sqref="K8:K42 V8:V42" type="list">
      <formula1>MakeList</formula1>
      <formula2>0</formula2>
    </dataValidation>
    <dataValidation allowBlank="true" errorStyle="stop" operator="between" showDropDown="false" showErrorMessage="true" showInputMessage="false" sqref="L8:L42 W8:W42" type="list">
      <formula1>INDIRECT(SUBSTITUTE(SUBSTITUTE(SUBSTITUTE(K8," ","_"),"-","_"),".","_"))</formula1>
      <formula2>0</formula2>
    </dataValidation>
    <dataValidation allowBlank="true" errorStyle="stop" operator="between" showDropDown="false" showErrorMessage="true" showInputMessage="false" sqref="N8:N42" type="list">
      <formula1>IF($A8="New",N_ONLY,YN_LIST)</formula1>
      <formula2>0</formula2>
    </dataValidation>
    <dataValidation allowBlank="true" errorStyle="stop" operator="between" showDropDown="false" showErrorMessage="true" showInputMessage="false" sqref="O8:O42 Z8:Z42 AH8:AH42" type="list">
      <formula1>"Y,N"</formula1>
      <formula2>0</formula2>
    </dataValidation>
    <dataValidation allowBlank="true" errorStyle="stop" operator="between" showDropDown="false" showErrorMessage="true" showInputMessage="false" sqref="P8:P42" type="list">
      <formula1>LenderList</formula1>
      <formula2>0</formula2>
    </dataValidation>
    <dataValidation allowBlank="true" errorStyle="stop" operator="between" showDropDown="false" showErrorMessage="true" showInputMessage="false" sqref="AA8:AA42" type="list">
      <formula1>"Retail,Wholesale,Auction,Buyback,TBD"</formula1>
      <formula2>0</formula2>
    </dataValidation>
    <dataValidation allowBlank="true" errorStyle="stop" operator="between" showDropDown="false" showErrorMessage="true" showInputMessage="false" sqref="AF8:AF42" type="list">
      <formula1>AdSourceList</formula1>
      <formula2>0</formula2>
    </dataValidation>
    <dataValidation allowBlank="true" errorStyle="stop" operator="between" showDropDown="false" showErrorMessage="true" showInputMessage="false" sqref="AG8:AG42" type="list">
      <formula1>"Delivered,Pending,Unwind,Back Out"</formula1>
      <formula2>0</formula2>
    </dataValidation>
    <dataValidation allowBlank="true" error="Enter a dollar amount (numbers only)." errorStyle="stop" operator="between" showDropDown="false" showErrorMessage="true" showInputMessage="false" sqref="Q8:R42" type="decimal">
      <formula1>-250000</formula1>
      <formula2>250000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A34"/>
    <pageSetUpPr fitToPage="true"/>
  </sheetPr>
  <dimension ref="A1:L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7" min="5" style="0" width="12"/>
    <col collapsed="false" customWidth="true" hidden="false" outlineLevel="0" max="10" min="8" style="0" width="11"/>
    <col collapsed="false" customWidth="true" hidden="false" outlineLevel="0" max="11" min="11" style="0" width="5"/>
    <col collapsed="false" customWidth="true" hidden="false" outlineLevel="0" max="12" min="12" style="0" width="11"/>
  </cols>
  <sheetData>
    <row r="1" customFormat="false" ht="19.5" hidden="false" customHeight="true" outlineLevel="0" collapsed="false">
      <c r="A1" s="1" t="s">
        <v>438</v>
      </c>
      <c r="B1" s="1"/>
      <c r="C1" s="2" t="s">
        <v>439</v>
      </c>
      <c r="D1" s="2"/>
      <c r="E1" s="2"/>
      <c r="F1" s="2"/>
      <c r="G1" s="3" t="str">
        <f aca="true">" as of "&amp;TEXT(TODAY(),"ddd mmm d")</f>
        <v> as of Sun Aug 2</v>
      </c>
      <c r="H1" s="3"/>
    </row>
    <row r="2" customFormat="false" ht="19.5" hidden="false" customHeight="true" outlineLevel="0" collapsed="false">
      <c r="A2" s="1"/>
      <c r="B2" s="1"/>
      <c r="C2" s="2"/>
      <c r="D2" s="2"/>
      <c r="E2" s="2"/>
      <c r="F2" s="2"/>
      <c r="G2" s="3"/>
      <c r="H2" s="3"/>
    </row>
    <row r="3" customFormat="false" ht="19.5" hidden="false" customHeight="true" outlineLevel="0" collapsed="false">
      <c r="A3" s="1"/>
      <c r="B3" s="1"/>
      <c r="C3" s="4" t="s">
        <v>440</v>
      </c>
      <c r="D3" s="4"/>
      <c r="E3" s="4"/>
      <c r="F3" s="4"/>
    </row>
    <row r="5" customFormat="false" ht="15" hidden="false" customHeight="false" outlineLevel="0" collapsed="false">
      <c r="A5" s="19" t="s">
        <v>441</v>
      </c>
      <c r="B5" s="19"/>
      <c r="C5" s="19"/>
      <c r="D5" s="19"/>
      <c r="E5" s="19"/>
      <c r="F5" s="19"/>
      <c r="G5" s="19"/>
      <c r="H5" s="19"/>
    </row>
    <row r="6" customFormat="false" ht="15" hidden="false" customHeight="false" outlineLevel="0" collapsed="false">
      <c r="B6" s="65" t="s">
        <v>301</v>
      </c>
      <c r="C6" s="65" t="s">
        <v>279</v>
      </c>
      <c r="D6" s="65" t="s">
        <v>308</v>
      </c>
      <c r="E6" s="65" t="s">
        <v>442</v>
      </c>
      <c r="F6" s="65" t="s">
        <v>443</v>
      </c>
      <c r="G6" s="65" t="s">
        <v>444</v>
      </c>
      <c r="H6" s="65" t="s">
        <v>445</v>
      </c>
      <c r="I6" s="65" t="s">
        <v>446</v>
      </c>
      <c r="J6" s="65" t="s">
        <v>447</v>
      </c>
      <c r="K6" s="65" t="s">
        <v>448</v>
      </c>
    </row>
    <row r="7" customFormat="false" ht="19.5" hidden="false" customHeight="true" outlineLevel="0" collapsed="false">
      <c r="B7" s="120" t="n">
        <f aca="false">SUM(C9:C39)</f>
        <v>0</v>
      </c>
      <c r="C7" s="120" t="n">
        <f aca="false">SUM(D9:D39)</f>
        <v>0</v>
      </c>
      <c r="D7" s="120" t="n">
        <f aca="false">SUM(E9:E39)</f>
        <v>0</v>
      </c>
      <c r="E7" s="121" t="str">
        <f aca="false">IF(B7=0,"—",C7/B7)</f>
        <v>—</v>
      </c>
      <c r="F7" s="122" t="n">
        <f aca="false">SUM(F9:F39)</f>
        <v>0</v>
      </c>
      <c r="G7" s="122" t="str">
        <f aca="false">IF(B7=0,"—",F7/B7)</f>
        <v>—</v>
      </c>
      <c r="H7" s="121" t="str">
        <f aca="false">IF(Dashboard!$BT$6=0,"—",B7/Dashboard!$BT$6)</f>
        <v>—</v>
      </c>
      <c r="I7" s="121" t="str">
        <f aca="false">IF(B7=0,"—",SUM(I9:I39)/B7)</f>
        <v>—</v>
      </c>
      <c r="J7" s="123" t="str">
        <f aca="false">IF(SUM(K9:K39)=0,"—",SUM(J9:J39)/SUM(K9:K39))</f>
        <v>—</v>
      </c>
      <c r="K7" s="120" t="n">
        <f aca="false">COUNTIF(L9:L39,"⏰ AGED")</f>
        <v>0</v>
      </c>
    </row>
    <row r="8" customFormat="false" ht="15" hidden="false" customHeight="false" outlineLevel="0" collapsed="false">
      <c r="A8" s="124"/>
      <c r="B8" s="36" t="s">
        <v>68</v>
      </c>
      <c r="C8" s="36" t="s">
        <v>301</v>
      </c>
      <c r="D8" s="36" t="s">
        <v>279</v>
      </c>
      <c r="E8" s="36" t="s">
        <v>449</v>
      </c>
      <c r="F8" s="36" t="s">
        <v>303</v>
      </c>
      <c r="G8" s="36" t="s">
        <v>444</v>
      </c>
      <c r="H8" s="36" t="s">
        <v>450</v>
      </c>
      <c r="I8" s="36" t="s">
        <v>302</v>
      </c>
      <c r="J8" s="36" t="s">
        <v>451</v>
      </c>
      <c r="K8" s="36" t="s">
        <v>452</v>
      </c>
      <c r="L8" s="36" t="s">
        <v>453</v>
      </c>
    </row>
    <row r="9" customFormat="false" ht="13.5" hidden="false" customHeight="true" outlineLevel="0" collapsed="false">
      <c r="B9" s="125" t="n">
        <v>46235</v>
      </c>
      <c r="C9" s="44" t="n">
        <f aca="false">'Aug 1'!$C$54</f>
        <v>0</v>
      </c>
      <c r="D9" s="44" t="n">
        <f aca="false">'Aug 1'!$C$54-'Aug 1'!$C$58</f>
        <v>0</v>
      </c>
      <c r="E9" s="44" t="n">
        <f aca="false">'Aug 1'!$C$58</f>
        <v>0</v>
      </c>
      <c r="F9" s="25" t="n">
        <f aca="false">'Aug 1'!$C$55</f>
        <v>0</v>
      </c>
      <c r="G9" s="25" t="str">
        <f aca="false">IF(C9=0,"—",F9/C9)</f>
        <v>—</v>
      </c>
      <c r="H9" s="45" t="str">
        <f aca="false">IF(E9&gt;0,"⚠ "&amp;E9&amp;" kept","")</f>
        <v/>
      </c>
      <c r="I9" s="44" t="n">
        <f aca="false">'Aug 1'!$G$54</f>
        <v>0</v>
      </c>
      <c r="J9" s="25" t="n">
        <f aca="false">'Aug 1'!$G$55</f>
        <v>0</v>
      </c>
      <c r="K9" s="44" t="n">
        <f aca="false">'Aug 1'!$G$56</f>
        <v>0</v>
      </c>
      <c r="L9" s="45" t="str">
        <f aca="true">IF(AND(E9&gt;0,B9&lt;=TODAY()-BM_TURNIN_DAYS),"⏰ AGED","")</f>
        <v/>
      </c>
    </row>
    <row r="10" customFormat="false" ht="13.5" hidden="false" customHeight="true" outlineLevel="0" collapsed="false">
      <c r="B10" s="126" t="n">
        <v>46236</v>
      </c>
      <c r="C10" s="48" t="n">
        <f aca="false">'Aug 2'!$C$54</f>
        <v>0</v>
      </c>
      <c r="D10" s="48" t="n">
        <f aca="false">'Aug 2'!$C$54-'Aug 2'!$C$58</f>
        <v>0</v>
      </c>
      <c r="E10" s="48" t="n">
        <f aca="false">'Aug 2'!$C$58</f>
        <v>0</v>
      </c>
      <c r="F10" s="51" t="n">
        <f aca="false">'Aug 2'!$C$55</f>
        <v>0</v>
      </c>
      <c r="G10" s="51" t="str">
        <f aca="false">IF(C10=0,"—",F10/C10)</f>
        <v>—</v>
      </c>
      <c r="H10" s="49" t="str">
        <f aca="false">IF(E10&gt;0,"⚠ "&amp;E10&amp;" kept","")</f>
        <v/>
      </c>
      <c r="I10" s="48" t="n">
        <f aca="false">'Aug 2'!$G$54</f>
        <v>0</v>
      </c>
      <c r="J10" s="51" t="n">
        <f aca="false">'Aug 2'!$G$55</f>
        <v>0</v>
      </c>
      <c r="K10" s="48" t="n">
        <f aca="false">'Aug 2'!$G$56</f>
        <v>0</v>
      </c>
      <c r="L10" s="49" t="str">
        <f aca="true">IF(AND(E10&gt;0,B10&lt;=TODAY()-BM_TURNIN_DAYS),"⏰ AGED","")</f>
        <v/>
      </c>
    </row>
    <row r="11" customFormat="false" ht="13.5" hidden="false" customHeight="true" outlineLevel="0" collapsed="false">
      <c r="B11" s="125" t="n">
        <v>46237</v>
      </c>
      <c r="C11" s="44" t="n">
        <f aca="false">'Aug 3'!$C$54</f>
        <v>0</v>
      </c>
      <c r="D11" s="44" t="n">
        <f aca="false">'Aug 3'!$C$54-'Aug 3'!$C$58</f>
        <v>0</v>
      </c>
      <c r="E11" s="44" t="n">
        <f aca="false">'Aug 3'!$C$58</f>
        <v>0</v>
      </c>
      <c r="F11" s="25" t="n">
        <f aca="false">'Aug 3'!$C$55</f>
        <v>0</v>
      </c>
      <c r="G11" s="25" t="str">
        <f aca="false">IF(C11=0,"—",F11/C11)</f>
        <v>—</v>
      </c>
      <c r="H11" s="45" t="str">
        <f aca="false">IF(E11&gt;0,"⚠ "&amp;E11&amp;" kept","")</f>
        <v/>
      </c>
      <c r="I11" s="44" t="n">
        <f aca="false">'Aug 3'!$G$54</f>
        <v>0</v>
      </c>
      <c r="J11" s="25" t="n">
        <f aca="false">'Aug 3'!$G$55</f>
        <v>0</v>
      </c>
      <c r="K11" s="44" t="n">
        <f aca="false">'Aug 3'!$G$56</f>
        <v>0</v>
      </c>
      <c r="L11" s="45" t="str">
        <f aca="true">IF(AND(E11&gt;0,B11&lt;=TODAY()-BM_TURNIN_DAYS),"⏰ AGED","")</f>
        <v/>
      </c>
    </row>
    <row r="12" customFormat="false" ht="13.5" hidden="false" customHeight="true" outlineLevel="0" collapsed="false">
      <c r="B12" s="126" t="n">
        <v>46238</v>
      </c>
      <c r="C12" s="48" t="n">
        <f aca="false">'Aug 4'!$C$54</f>
        <v>0</v>
      </c>
      <c r="D12" s="48" t="n">
        <f aca="false">'Aug 4'!$C$54-'Aug 4'!$C$58</f>
        <v>0</v>
      </c>
      <c r="E12" s="48" t="n">
        <f aca="false">'Aug 4'!$C$58</f>
        <v>0</v>
      </c>
      <c r="F12" s="51" t="n">
        <f aca="false">'Aug 4'!$C$55</f>
        <v>0</v>
      </c>
      <c r="G12" s="51" t="str">
        <f aca="false">IF(C12=0,"—",F12/C12)</f>
        <v>—</v>
      </c>
      <c r="H12" s="49" t="str">
        <f aca="false">IF(E12&gt;0,"⚠ "&amp;E12&amp;" kept","")</f>
        <v/>
      </c>
      <c r="I12" s="48" t="n">
        <f aca="false">'Aug 4'!$G$54</f>
        <v>0</v>
      </c>
      <c r="J12" s="51" t="n">
        <f aca="false">'Aug 4'!$G$55</f>
        <v>0</v>
      </c>
      <c r="K12" s="48" t="n">
        <f aca="false">'Aug 4'!$G$56</f>
        <v>0</v>
      </c>
      <c r="L12" s="49" t="str">
        <f aca="true">IF(AND(E12&gt;0,B12&lt;=TODAY()-BM_TURNIN_DAYS),"⏰ AGED","")</f>
        <v/>
      </c>
    </row>
    <row r="13" customFormat="false" ht="13.5" hidden="false" customHeight="true" outlineLevel="0" collapsed="false">
      <c r="B13" s="127" t="n">
        <v>46239</v>
      </c>
      <c r="C13" s="128" t="n">
        <f aca="false">'Aug 5'!$C$54</f>
        <v>0</v>
      </c>
      <c r="D13" s="128" t="n">
        <f aca="false">'Aug 5'!$C$54-'Aug 5'!$C$58</f>
        <v>0</v>
      </c>
      <c r="E13" s="128" t="n">
        <f aca="false">'Aug 5'!$C$58</f>
        <v>0</v>
      </c>
      <c r="F13" s="129" t="n">
        <f aca="false">'Aug 5'!$C$55</f>
        <v>0</v>
      </c>
      <c r="G13" s="129" t="str">
        <f aca="false">IF(C13=0,"—",F13/C13)</f>
        <v>—</v>
      </c>
      <c r="H13" s="130" t="str">
        <f aca="false">IF(E13&gt;0,"⚠ "&amp;E13&amp;" kept","")</f>
        <v/>
      </c>
      <c r="I13" s="128" t="n">
        <f aca="false">'Aug 5'!$G$54</f>
        <v>0</v>
      </c>
      <c r="J13" s="129" t="n">
        <f aca="false">'Aug 5'!$G$55</f>
        <v>0</v>
      </c>
      <c r="K13" s="128" t="n">
        <f aca="false">'Aug 5'!$G$56</f>
        <v>0</v>
      </c>
      <c r="L13" s="130" t="str">
        <f aca="true">IF(AND(E13&gt;0,B13&lt;=TODAY()-BM_TURNIN_DAYS),"⏰ AGED","")</f>
        <v/>
      </c>
    </row>
    <row r="14" customFormat="false" ht="13.5" hidden="false" customHeight="true" outlineLevel="0" collapsed="false">
      <c r="B14" s="126" t="n">
        <v>46240</v>
      </c>
      <c r="C14" s="48" t="n">
        <f aca="false">'Aug 6'!$C$54</f>
        <v>0</v>
      </c>
      <c r="D14" s="48" t="n">
        <f aca="false">'Aug 6'!$C$54-'Aug 6'!$C$58</f>
        <v>0</v>
      </c>
      <c r="E14" s="48" t="n">
        <f aca="false">'Aug 6'!$C$58</f>
        <v>0</v>
      </c>
      <c r="F14" s="51" t="n">
        <f aca="false">'Aug 6'!$C$55</f>
        <v>0</v>
      </c>
      <c r="G14" s="51" t="str">
        <f aca="false">IF(C14=0,"—",F14/C14)</f>
        <v>—</v>
      </c>
      <c r="H14" s="49" t="str">
        <f aca="false">IF(E14&gt;0,"⚠ "&amp;E14&amp;" kept","")</f>
        <v/>
      </c>
      <c r="I14" s="48" t="n">
        <f aca="false">'Aug 6'!$G$54</f>
        <v>0</v>
      </c>
      <c r="J14" s="51" t="n">
        <f aca="false">'Aug 6'!$G$55</f>
        <v>0</v>
      </c>
      <c r="K14" s="48" t="n">
        <f aca="false">'Aug 6'!$G$56</f>
        <v>0</v>
      </c>
      <c r="L14" s="49" t="str">
        <f aca="true">IF(AND(E14&gt;0,B14&lt;=TODAY()-BM_TURNIN_DAYS),"⏰ AGED","")</f>
        <v/>
      </c>
    </row>
    <row r="15" customFormat="false" ht="13.5" hidden="false" customHeight="true" outlineLevel="0" collapsed="false">
      <c r="B15" s="125" t="n">
        <v>46241</v>
      </c>
      <c r="C15" s="44" t="n">
        <f aca="false">'Aug 7'!$C$54</f>
        <v>0</v>
      </c>
      <c r="D15" s="44" t="n">
        <f aca="false">'Aug 7'!$C$54-'Aug 7'!$C$58</f>
        <v>0</v>
      </c>
      <c r="E15" s="44" t="n">
        <f aca="false">'Aug 7'!$C$58</f>
        <v>0</v>
      </c>
      <c r="F15" s="25" t="n">
        <f aca="false">'Aug 7'!$C$55</f>
        <v>0</v>
      </c>
      <c r="G15" s="25" t="str">
        <f aca="false">IF(C15=0,"—",F15/C15)</f>
        <v>—</v>
      </c>
      <c r="H15" s="45" t="str">
        <f aca="false">IF(E15&gt;0,"⚠ "&amp;E15&amp;" kept","")</f>
        <v/>
      </c>
      <c r="I15" s="44" t="n">
        <f aca="false">'Aug 7'!$G$54</f>
        <v>0</v>
      </c>
      <c r="J15" s="25" t="n">
        <f aca="false">'Aug 7'!$G$55</f>
        <v>0</v>
      </c>
      <c r="K15" s="44" t="n">
        <f aca="false">'Aug 7'!$G$56</f>
        <v>0</v>
      </c>
      <c r="L15" s="45" t="str">
        <f aca="true">IF(AND(E15&gt;0,B15&lt;=TODAY()-BM_TURNIN_DAYS),"⏰ AGED","")</f>
        <v/>
      </c>
    </row>
    <row r="16" customFormat="false" ht="13.5" hidden="false" customHeight="true" outlineLevel="0" collapsed="false">
      <c r="B16" s="126" t="n">
        <v>46242</v>
      </c>
      <c r="C16" s="48" t="n">
        <f aca="false">'Aug 8'!$C$54</f>
        <v>0</v>
      </c>
      <c r="D16" s="48" t="n">
        <f aca="false">'Aug 8'!$C$54-'Aug 8'!$C$58</f>
        <v>0</v>
      </c>
      <c r="E16" s="48" t="n">
        <f aca="false">'Aug 8'!$C$58</f>
        <v>0</v>
      </c>
      <c r="F16" s="51" t="n">
        <f aca="false">'Aug 8'!$C$55</f>
        <v>0</v>
      </c>
      <c r="G16" s="51" t="str">
        <f aca="false">IF(C16=0,"—",F16/C16)</f>
        <v>—</v>
      </c>
      <c r="H16" s="49" t="str">
        <f aca="false">IF(E16&gt;0,"⚠ "&amp;E16&amp;" kept","")</f>
        <v/>
      </c>
      <c r="I16" s="48" t="n">
        <f aca="false">'Aug 8'!$G$54</f>
        <v>0</v>
      </c>
      <c r="J16" s="51" t="n">
        <f aca="false">'Aug 8'!$G$55</f>
        <v>0</v>
      </c>
      <c r="K16" s="48" t="n">
        <f aca="false">'Aug 8'!$G$56</f>
        <v>0</v>
      </c>
      <c r="L16" s="49" t="str">
        <f aca="true">IF(AND(E16&gt;0,B16&lt;=TODAY()-BM_TURNIN_DAYS),"⏰ AGED","")</f>
        <v/>
      </c>
    </row>
    <row r="17" customFormat="false" ht="13.5" hidden="false" customHeight="true" outlineLevel="0" collapsed="false">
      <c r="B17" s="125" t="n">
        <v>46243</v>
      </c>
      <c r="C17" s="44" t="n">
        <f aca="false">'Aug 9'!$C$54</f>
        <v>0</v>
      </c>
      <c r="D17" s="44" t="n">
        <f aca="false">'Aug 9'!$C$54-'Aug 9'!$C$58</f>
        <v>0</v>
      </c>
      <c r="E17" s="44" t="n">
        <f aca="false">'Aug 9'!$C$58</f>
        <v>0</v>
      </c>
      <c r="F17" s="25" t="n">
        <f aca="false">'Aug 9'!$C$55</f>
        <v>0</v>
      </c>
      <c r="G17" s="25" t="str">
        <f aca="false">IF(C17=0,"—",F17/C17)</f>
        <v>—</v>
      </c>
      <c r="H17" s="45" t="str">
        <f aca="false">IF(E17&gt;0,"⚠ "&amp;E17&amp;" kept","")</f>
        <v/>
      </c>
      <c r="I17" s="44" t="n">
        <f aca="false">'Aug 9'!$G$54</f>
        <v>0</v>
      </c>
      <c r="J17" s="25" t="n">
        <f aca="false">'Aug 9'!$G$55</f>
        <v>0</v>
      </c>
      <c r="K17" s="44" t="n">
        <f aca="false">'Aug 9'!$G$56</f>
        <v>0</v>
      </c>
      <c r="L17" s="45" t="str">
        <f aca="true">IF(AND(E17&gt;0,B17&lt;=TODAY()-BM_TURNIN_DAYS),"⏰ AGED","")</f>
        <v/>
      </c>
    </row>
    <row r="18" customFormat="false" ht="13.5" hidden="false" customHeight="true" outlineLevel="0" collapsed="false">
      <c r="B18" s="126" t="n">
        <v>46244</v>
      </c>
      <c r="C18" s="48" t="n">
        <f aca="false">'Aug 10'!$C$54</f>
        <v>0</v>
      </c>
      <c r="D18" s="48" t="n">
        <f aca="false">'Aug 10'!$C$54-'Aug 10'!$C$58</f>
        <v>0</v>
      </c>
      <c r="E18" s="48" t="n">
        <f aca="false">'Aug 10'!$C$58</f>
        <v>0</v>
      </c>
      <c r="F18" s="51" t="n">
        <f aca="false">'Aug 10'!$C$55</f>
        <v>0</v>
      </c>
      <c r="G18" s="51" t="str">
        <f aca="false">IF(C18=0,"—",F18/C18)</f>
        <v>—</v>
      </c>
      <c r="H18" s="49" t="str">
        <f aca="false">IF(E18&gt;0,"⚠ "&amp;E18&amp;" kept","")</f>
        <v/>
      </c>
      <c r="I18" s="48" t="n">
        <f aca="false">'Aug 10'!$G$54</f>
        <v>0</v>
      </c>
      <c r="J18" s="51" t="n">
        <f aca="false">'Aug 10'!$G$55</f>
        <v>0</v>
      </c>
      <c r="K18" s="48" t="n">
        <f aca="false">'Aug 10'!$G$56</f>
        <v>0</v>
      </c>
      <c r="L18" s="49" t="str">
        <f aca="true">IF(AND(E18&gt;0,B18&lt;=TODAY()-BM_TURNIN_DAYS),"⏰ AGED","")</f>
        <v/>
      </c>
    </row>
    <row r="19" customFormat="false" ht="13.5" hidden="false" customHeight="true" outlineLevel="0" collapsed="false">
      <c r="B19" s="125" t="n">
        <v>46245</v>
      </c>
      <c r="C19" s="44" t="n">
        <f aca="false">'Aug 11'!$C$54</f>
        <v>0</v>
      </c>
      <c r="D19" s="44" t="n">
        <f aca="false">'Aug 11'!$C$54-'Aug 11'!$C$58</f>
        <v>0</v>
      </c>
      <c r="E19" s="44" t="n">
        <f aca="false">'Aug 11'!$C$58</f>
        <v>0</v>
      </c>
      <c r="F19" s="25" t="n">
        <f aca="false">'Aug 11'!$C$55</f>
        <v>0</v>
      </c>
      <c r="G19" s="25" t="str">
        <f aca="false">IF(C19=0,"—",F19/C19)</f>
        <v>—</v>
      </c>
      <c r="H19" s="45" t="str">
        <f aca="false">IF(E19&gt;0,"⚠ "&amp;E19&amp;" kept","")</f>
        <v/>
      </c>
      <c r="I19" s="44" t="n">
        <f aca="false">'Aug 11'!$G$54</f>
        <v>0</v>
      </c>
      <c r="J19" s="25" t="n">
        <f aca="false">'Aug 11'!$G$55</f>
        <v>0</v>
      </c>
      <c r="K19" s="44" t="n">
        <f aca="false">'Aug 11'!$G$56</f>
        <v>0</v>
      </c>
      <c r="L19" s="45" t="str">
        <f aca="true">IF(AND(E19&gt;0,B19&lt;=TODAY()-BM_TURNIN_DAYS),"⏰ AGED","")</f>
        <v/>
      </c>
    </row>
    <row r="20" customFormat="false" ht="13.5" hidden="false" customHeight="true" outlineLevel="0" collapsed="false">
      <c r="B20" s="127" t="n">
        <v>46246</v>
      </c>
      <c r="C20" s="128" t="n">
        <f aca="false">'Aug 12'!$C$54</f>
        <v>0</v>
      </c>
      <c r="D20" s="128" t="n">
        <f aca="false">'Aug 12'!$C$54-'Aug 12'!$C$58</f>
        <v>0</v>
      </c>
      <c r="E20" s="128" t="n">
        <f aca="false">'Aug 12'!$C$58</f>
        <v>0</v>
      </c>
      <c r="F20" s="129" t="n">
        <f aca="false">'Aug 12'!$C$55</f>
        <v>0</v>
      </c>
      <c r="G20" s="129" t="str">
        <f aca="false">IF(C20=0,"—",F20/C20)</f>
        <v>—</v>
      </c>
      <c r="H20" s="130" t="str">
        <f aca="false">IF(E20&gt;0,"⚠ "&amp;E20&amp;" kept","")</f>
        <v/>
      </c>
      <c r="I20" s="128" t="n">
        <f aca="false">'Aug 12'!$G$54</f>
        <v>0</v>
      </c>
      <c r="J20" s="129" t="n">
        <f aca="false">'Aug 12'!$G$55</f>
        <v>0</v>
      </c>
      <c r="K20" s="128" t="n">
        <f aca="false">'Aug 12'!$G$56</f>
        <v>0</v>
      </c>
      <c r="L20" s="130" t="str">
        <f aca="true">IF(AND(E20&gt;0,B20&lt;=TODAY()-BM_TURNIN_DAYS),"⏰ AGED","")</f>
        <v/>
      </c>
    </row>
    <row r="21" customFormat="false" ht="13.5" hidden="false" customHeight="true" outlineLevel="0" collapsed="false">
      <c r="B21" s="125" t="n">
        <v>46247</v>
      </c>
      <c r="C21" s="44" t="n">
        <f aca="false">'Aug 13'!$C$54</f>
        <v>0</v>
      </c>
      <c r="D21" s="44" t="n">
        <f aca="false">'Aug 13'!$C$54-'Aug 13'!$C$58</f>
        <v>0</v>
      </c>
      <c r="E21" s="44" t="n">
        <f aca="false">'Aug 13'!$C$58</f>
        <v>0</v>
      </c>
      <c r="F21" s="25" t="n">
        <f aca="false">'Aug 13'!$C$55</f>
        <v>0</v>
      </c>
      <c r="G21" s="25" t="str">
        <f aca="false">IF(C21=0,"—",F21/C21)</f>
        <v>—</v>
      </c>
      <c r="H21" s="45" t="str">
        <f aca="false">IF(E21&gt;0,"⚠ "&amp;E21&amp;" kept","")</f>
        <v/>
      </c>
      <c r="I21" s="44" t="n">
        <f aca="false">'Aug 13'!$G$54</f>
        <v>0</v>
      </c>
      <c r="J21" s="25" t="n">
        <f aca="false">'Aug 13'!$G$55</f>
        <v>0</v>
      </c>
      <c r="K21" s="44" t="n">
        <f aca="false">'Aug 13'!$G$56</f>
        <v>0</v>
      </c>
      <c r="L21" s="45" t="str">
        <f aca="true">IF(AND(E21&gt;0,B21&lt;=TODAY()-BM_TURNIN_DAYS),"⏰ AGED","")</f>
        <v/>
      </c>
    </row>
    <row r="22" customFormat="false" ht="13.5" hidden="false" customHeight="true" outlineLevel="0" collapsed="false">
      <c r="B22" s="126" t="n">
        <v>46248</v>
      </c>
      <c r="C22" s="48" t="n">
        <f aca="false">'Aug 14'!$C$54</f>
        <v>0</v>
      </c>
      <c r="D22" s="48" t="n">
        <f aca="false">'Aug 14'!$C$54-'Aug 14'!$C$58</f>
        <v>0</v>
      </c>
      <c r="E22" s="48" t="n">
        <f aca="false">'Aug 14'!$C$58</f>
        <v>0</v>
      </c>
      <c r="F22" s="51" t="n">
        <f aca="false">'Aug 14'!$C$55</f>
        <v>0</v>
      </c>
      <c r="G22" s="51" t="str">
        <f aca="false">IF(C22=0,"—",F22/C22)</f>
        <v>—</v>
      </c>
      <c r="H22" s="49" t="str">
        <f aca="false">IF(E22&gt;0,"⚠ "&amp;E22&amp;" kept","")</f>
        <v/>
      </c>
      <c r="I22" s="48" t="n">
        <f aca="false">'Aug 14'!$G$54</f>
        <v>0</v>
      </c>
      <c r="J22" s="51" t="n">
        <f aca="false">'Aug 14'!$G$55</f>
        <v>0</v>
      </c>
      <c r="K22" s="48" t="n">
        <f aca="false">'Aug 14'!$G$56</f>
        <v>0</v>
      </c>
      <c r="L22" s="49" t="str">
        <f aca="true">IF(AND(E22&gt;0,B22&lt;=TODAY()-BM_TURNIN_DAYS),"⏰ AGED","")</f>
        <v/>
      </c>
    </row>
    <row r="23" customFormat="false" ht="13.5" hidden="false" customHeight="true" outlineLevel="0" collapsed="false">
      <c r="B23" s="125" t="n">
        <v>46249</v>
      </c>
      <c r="C23" s="44" t="n">
        <f aca="false">'Aug 15'!$C$54</f>
        <v>0</v>
      </c>
      <c r="D23" s="44" t="n">
        <f aca="false">'Aug 15'!$C$54-'Aug 15'!$C$58</f>
        <v>0</v>
      </c>
      <c r="E23" s="44" t="n">
        <f aca="false">'Aug 15'!$C$58</f>
        <v>0</v>
      </c>
      <c r="F23" s="25" t="n">
        <f aca="false">'Aug 15'!$C$55</f>
        <v>0</v>
      </c>
      <c r="G23" s="25" t="str">
        <f aca="false">IF(C23=0,"—",F23/C23)</f>
        <v>—</v>
      </c>
      <c r="H23" s="45" t="str">
        <f aca="false">IF(E23&gt;0,"⚠ "&amp;E23&amp;" kept","")</f>
        <v/>
      </c>
      <c r="I23" s="44" t="n">
        <f aca="false">'Aug 15'!$G$54</f>
        <v>0</v>
      </c>
      <c r="J23" s="25" t="n">
        <f aca="false">'Aug 15'!$G$55</f>
        <v>0</v>
      </c>
      <c r="K23" s="44" t="n">
        <f aca="false">'Aug 15'!$G$56</f>
        <v>0</v>
      </c>
      <c r="L23" s="45" t="str">
        <f aca="true">IF(AND(E23&gt;0,B23&lt;=TODAY()-BM_TURNIN_DAYS),"⏰ AGED","")</f>
        <v/>
      </c>
    </row>
    <row r="24" customFormat="false" ht="13.5" hidden="false" customHeight="true" outlineLevel="0" collapsed="false">
      <c r="B24" s="126" t="n">
        <v>46250</v>
      </c>
      <c r="C24" s="48" t="n">
        <f aca="false">'Aug 16'!$C$54</f>
        <v>0</v>
      </c>
      <c r="D24" s="48" t="n">
        <f aca="false">'Aug 16'!$C$54-'Aug 16'!$C$58</f>
        <v>0</v>
      </c>
      <c r="E24" s="48" t="n">
        <f aca="false">'Aug 16'!$C$58</f>
        <v>0</v>
      </c>
      <c r="F24" s="51" t="n">
        <f aca="false">'Aug 16'!$C$55</f>
        <v>0</v>
      </c>
      <c r="G24" s="51" t="str">
        <f aca="false">IF(C24=0,"—",F24/C24)</f>
        <v>—</v>
      </c>
      <c r="H24" s="49" t="str">
        <f aca="false">IF(E24&gt;0,"⚠ "&amp;E24&amp;" kept","")</f>
        <v/>
      </c>
      <c r="I24" s="48" t="n">
        <f aca="false">'Aug 16'!$G$54</f>
        <v>0</v>
      </c>
      <c r="J24" s="51" t="n">
        <f aca="false">'Aug 16'!$G$55</f>
        <v>0</v>
      </c>
      <c r="K24" s="48" t="n">
        <f aca="false">'Aug 16'!$G$56</f>
        <v>0</v>
      </c>
      <c r="L24" s="49" t="str">
        <f aca="true">IF(AND(E24&gt;0,B24&lt;=TODAY()-BM_TURNIN_DAYS),"⏰ AGED","")</f>
        <v/>
      </c>
    </row>
    <row r="25" customFormat="false" ht="13.5" hidden="false" customHeight="true" outlineLevel="0" collapsed="false">
      <c r="B25" s="125" t="n">
        <v>46251</v>
      </c>
      <c r="C25" s="44" t="n">
        <f aca="false">'Aug 17'!$C$54</f>
        <v>0</v>
      </c>
      <c r="D25" s="44" t="n">
        <f aca="false">'Aug 17'!$C$54-'Aug 17'!$C$58</f>
        <v>0</v>
      </c>
      <c r="E25" s="44" t="n">
        <f aca="false">'Aug 17'!$C$58</f>
        <v>0</v>
      </c>
      <c r="F25" s="25" t="n">
        <f aca="false">'Aug 17'!$C$55</f>
        <v>0</v>
      </c>
      <c r="G25" s="25" t="str">
        <f aca="false">IF(C25=0,"—",F25/C25)</f>
        <v>—</v>
      </c>
      <c r="H25" s="45" t="str">
        <f aca="false">IF(E25&gt;0,"⚠ "&amp;E25&amp;" kept","")</f>
        <v/>
      </c>
      <c r="I25" s="44" t="n">
        <f aca="false">'Aug 17'!$G$54</f>
        <v>0</v>
      </c>
      <c r="J25" s="25" t="n">
        <f aca="false">'Aug 17'!$G$55</f>
        <v>0</v>
      </c>
      <c r="K25" s="44" t="n">
        <f aca="false">'Aug 17'!$G$56</f>
        <v>0</v>
      </c>
      <c r="L25" s="45" t="str">
        <f aca="true">IF(AND(E25&gt;0,B25&lt;=TODAY()-BM_TURNIN_DAYS),"⏰ AGED","")</f>
        <v/>
      </c>
    </row>
    <row r="26" customFormat="false" ht="13.5" hidden="false" customHeight="true" outlineLevel="0" collapsed="false">
      <c r="B26" s="126" t="n">
        <v>46252</v>
      </c>
      <c r="C26" s="48" t="n">
        <f aca="false">'Aug 18'!$C$54</f>
        <v>0</v>
      </c>
      <c r="D26" s="48" t="n">
        <f aca="false">'Aug 18'!$C$54-'Aug 18'!$C$58</f>
        <v>0</v>
      </c>
      <c r="E26" s="48" t="n">
        <f aca="false">'Aug 18'!$C$58</f>
        <v>0</v>
      </c>
      <c r="F26" s="51" t="n">
        <f aca="false">'Aug 18'!$C$55</f>
        <v>0</v>
      </c>
      <c r="G26" s="51" t="str">
        <f aca="false">IF(C26=0,"—",F26/C26)</f>
        <v>—</v>
      </c>
      <c r="H26" s="49" t="str">
        <f aca="false">IF(E26&gt;0,"⚠ "&amp;E26&amp;" kept","")</f>
        <v/>
      </c>
      <c r="I26" s="48" t="n">
        <f aca="false">'Aug 18'!$G$54</f>
        <v>0</v>
      </c>
      <c r="J26" s="51" t="n">
        <f aca="false">'Aug 18'!$G$55</f>
        <v>0</v>
      </c>
      <c r="K26" s="48" t="n">
        <f aca="false">'Aug 18'!$G$56</f>
        <v>0</v>
      </c>
      <c r="L26" s="49" t="str">
        <f aca="true">IF(AND(E26&gt;0,B26&lt;=TODAY()-BM_TURNIN_DAYS),"⏰ AGED","")</f>
        <v/>
      </c>
    </row>
    <row r="27" customFormat="false" ht="13.5" hidden="false" customHeight="true" outlineLevel="0" collapsed="false">
      <c r="B27" s="127" t="n">
        <v>46253</v>
      </c>
      <c r="C27" s="128" t="n">
        <f aca="false">'Aug 19'!$C$54</f>
        <v>0</v>
      </c>
      <c r="D27" s="128" t="n">
        <f aca="false">'Aug 19'!$C$54-'Aug 19'!$C$58</f>
        <v>0</v>
      </c>
      <c r="E27" s="128" t="n">
        <f aca="false">'Aug 19'!$C$58</f>
        <v>0</v>
      </c>
      <c r="F27" s="129" t="n">
        <f aca="false">'Aug 19'!$C$55</f>
        <v>0</v>
      </c>
      <c r="G27" s="129" t="str">
        <f aca="false">IF(C27=0,"—",F27/C27)</f>
        <v>—</v>
      </c>
      <c r="H27" s="130" t="str">
        <f aca="false">IF(E27&gt;0,"⚠ "&amp;E27&amp;" kept","")</f>
        <v/>
      </c>
      <c r="I27" s="128" t="n">
        <f aca="false">'Aug 19'!$G$54</f>
        <v>0</v>
      </c>
      <c r="J27" s="129" t="n">
        <f aca="false">'Aug 19'!$G$55</f>
        <v>0</v>
      </c>
      <c r="K27" s="128" t="n">
        <f aca="false">'Aug 19'!$G$56</f>
        <v>0</v>
      </c>
      <c r="L27" s="130" t="str">
        <f aca="true">IF(AND(E27&gt;0,B27&lt;=TODAY()-BM_TURNIN_DAYS),"⏰ AGED","")</f>
        <v/>
      </c>
    </row>
    <row r="28" customFormat="false" ht="13.5" hidden="false" customHeight="true" outlineLevel="0" collapsed="false">
      <c r="B28" s="126" t="n">
        <v>46254</v>
      </c>
      <c r="C28" s="48" t="n">
        <f aca="false">'Aug 20'!$C$54</f>
        <v>0</v>
      </c>
      <c r="D28" s="48" t="n">
        <f aca="false">'Aug 20'!$C$54-'Aug 20'!$C$58</f>
        <v>0</v>
      </c>
      <c r="E28" s="48" t="n">
        <f aca="false">'Aug 20'!$C$58</f>
        <v>0</v>
      </c>
      <c r="F28" s="51" t="n">
        <f aca="false">'Aug 20'!$C$55</f>
        <v>0</v>
      </c>
      <c r="G28" s="51" t="str">
        <f aca="false">IF(C28=0,"—",F28/C28)</f>
        <v>—</v>
      </c>
      <c r="H28" s="49" t="str">
        <f aca="false">IF(E28&gt;0,"⚠ "&amp;E28&amp;" kept","")</f>
        <v/>
      </c>
      <c r="I28" s="48" t="n">
        <f aca="false">'Aug 20'!$G$54</f>
        <v>0</v>
      </c>
      <c r="J28" s="51" t="n">
        <f aca="false">'Aug 20'!$G$55</f>
        <v>0</v>
      </c>
      <c r="K28" s="48" t="n">
        <f aca="false">'Aug 20'!$G$56</f>
        <v>0</v>
      </c>
      <c r="L28" s="49" t="str">
        <f aca="true">IF(AND(E28&gt;0,B28&lt;=TODAY()-BM_TURNIN_DAYS),"⏰ AGED","")</f>
        <v/>
      </c>
    </row>
    <row r="29" customFormat="false" ht="13.5" hidden="false" customHeight="true" outlineLevel="0" collapsed="false">
      <c r="B29" s="125" t="n">
        <v>46255</v>
      </c>
      <c r="C29" s="44" t="n">
        <f aca="false">'Aug 21'!$C$54</f>
        <v>0</v>
      </c>
      <c r="D29" s="44" t="n">
        <f aca="false">'Aug 21'!$C$54-'Aug 21'!$C$58</f>
        <v>0</v>
      </c>
      <c r="E29" s="44" t="n">
        <f aca="false">'Aug 21'!$C$58</f>
        <v>0</v>
      </c>
      <c r="F29" s="25" t="n">
        <f aca="false">'Aug 21'!$C$55</f>
        <v>0</v>
      </c>
      <c r="G29" s="25" t="str">
        <f aca="false">IF(C29=0,"—",F29/C29)</f>
        <v>—</v>
      </c>
      <c r="H29" s="45" t="str">
        <f aca="false">IF(E29&gt;0,"⚠ "&amp;E29&amp;" kept","")</f>
        <v/>
      </c>
      <c r="I29" s="44" t="n">
        <f aca="false">'Aug 21'!$G$54</f>
        <v>0</v>
      </c>
      <c r="J29" s="25" t="n">
        <f aca="false">'Aug 21'!$G$55</f>
        <v>0</v>
      </c>
      <c r="K29" s="44" t="n">
        <f aca="false">'Aug 21'!$G$56</f>
        <v>0</v>
      </c>
      <c r="L29" s="45" t="str">
        <f aca="true">IF(AND(E29&gt;0,B29&lt;=TODAY()-BM_TURNIN_DAYS),"⏰ AGED","")</f>
        <v/>
      </c>
    </row>
    <row r="30" customFormat="false" ht="13.5" hidden="false" customHeight="true" outlineLevel="0" collapsed="false">
      <c r="B30" s="126" t="n">
        <v>46256</v>
      </c>
      <c r="C30" s="48" t="n">
        <f aca="false">'Aug 22'!$C$54</f>
        <v>0</v>
      </c>
      <c r="D30" s="48" t="n">
        <f aca="false">'Aug 22'!$C$54-'Aug 22'!$C$58</f>
        <v>0</v>
      </c>
      <c r="E30" s="48" t="n">
        <f aca="false">'Aug 22'!$C$58</f>
        <v>0</v>
      </c>
      <c r="F30" s="51" t="n">
        <f aca="false">'Aug 22'!$C$55</f>
        <v>0</v>
      </c>
      <c r="G30" s="51" t="str">
        <f aca="false">IF(C30=0,"—",F30/C30)</f>
        <v>—</v>
      </c>
      <c r="H30" s="49" t="str">
        <f aca="false">IF(E30&gt;0,"⚠ "&amp;E30&amp;" kept","")</f>
        <v/>
      </c>
      <c r="I30" s="48" t="n">
        <f aca="false">'Aug 22'!$G$54</f>
        <v>0</v>
      </c>
      <c r="J30" s="51" t="n">
        <f aca="false">'Aug 22'!$G$55</f>
        <v>0</v>
      </c>
      <c r="K30" s="48" t="n">
        <f aca="false">'Aug 22'!$G$56</f>
        <v>0</v>
      </c>
      <c r="L30" s="49" t="str">
        <f aca="true">IF(AND(E30&gt;0,B30&lt;=TODAY()-BM_TURNIN_DAYS),"⏰ AGED","")</f>
        <v/>
      </c>
    </row>
    <row r="31" customFormat="false" ht="13.5" hidden="false" customHeight="true" outlineLevel="0" collapsed="false">
      <c r="B31" s="125" t="n">
        <v>46257</v>
      </c>
      <c r="C31" s="44" t="n">
        <f aca="false">'Aug 23'!$C$54</f>
        <v>0</v>
      </c>
      <c r="D31" s="44" t="n">
        <f aca="false">'Aug 23'!$C$54-'Aug 23'!$C$58</f>
        <v>0</v>
      </c>
      <c r="E31" s="44" t="n">
        <f aca="false">'Aug 23'!$C$58</f>
        <v>0</v>
      </c>
      <c r="F31" s="25" t="n">
        <f aca="false">'Aug 23'!$C$55</f>
        <v>0</v>
      </c>
      <c r="G31" s="25" t="str">
        <f aca="false">IF(C31=0,"—",F31/C31)</f>
        <v>—</v>
      </c>
      <c r="H31" s="45" t="str">
        <f aca="false">IF(E31&gt;0,"⚠ "&amp;E31&amp;" kept","")</f>
        <v/>
      </c>
      <c r="I31" s="44" t="n">
        <f aca="false">'Aug 23'!$G$54</f>
        <v>0</v>
      </c>
      <c r="J31" s="25" t="n">
        <f aca="false">'Aug 23'!$G$55</f>
        <v>0</v>
      </c>
      <c r="K31" s="44" t="n">
        <f aca="false">'Aug 23'!$G$56</f>
        <v>0</v>
      </c>
      <c r="L31" s="45" t="str">
        <f aca="true">IF(AND(E31&gt;0,B31&lt;=TODAY()-BM_TURNIN_DAYS),"⏰ AGED","")</f>
        <v/>
      </c>
    </row>
    <row r="32" customFormat="false" ht="13.5" hidden="false" customHeight="true" outlineLevel="0" collapsed="false">
      <c r="B32" s="126" t="n">
        <v>46258</v>
      </c>
      <c r="C32" s="48" t="n">
        <f aca="false">'Aug 24'!$C$54</f>
        <v>0</v>
      </c>
      <c r="D32" s="48" t="n">
        <f aca="false">'Aug 24'!$C$54-'Aug 24'!$C$58</f>
        <v>0</v>
      </c>
      <c r="E32" s="48" t="n">
        <f aca="false">'Aug 24'!$C$58</f>
        <v>0</v>
      </c>
      <c r="F32" s="51" t="n">
        <f aca="false">'Aug 24'!$C$55</f>
        <v>0</v>
      </c>
      <c r="G32" s="51" t="str">
        <f aca="false">IF(C32=0,"—",F32/C32)</f>
        <v>—</v>
      </c>
      <c r="H32" s="49" t="str">
        <f aca="false">IF(E32&gt;0,"⚠ "&amp;E32&amp;" kept","")</f>
        <v/>
      </c>
      <c r="I32" s="48" t="n">
        <f aca="false">'Aug 24'!$G$54</f>
        <v>0</v>
      </c>
      <c r="J32" s="51" t="n">
        <f aca="false">'Aug 24'!$G$55</f>
        <v>0</v>
      </c>
      <c r="K32" s="48" t="n">
        <f aca="false">'Aug 24'!$G$56</f>
        <v>0</v>
      </c>
      <c r="L32" s="49" t="str">
        <f aca="true">IF(AND(E32&gt;0,B32&lt;=TODAY()-BM_TURNIN_DAYS),"⏰ AGED","")</f>
        <v/>
      </c>
    </row>
    <row r="33" customFormat="false" ht="13.5" hidden="false" customHeight="true" outlineLevel="0" collapsed="false">
      <c r="B33" s="125" t="n">
        <v>46259</v>
      </c>
      <c r="C33" s="44" t="n">
        <f aca="false">'Aug 25'!$C$54</f>
        <v>0</v>
      </c>
      <c r="D33" s="44" t="n">
        <f aca="false">'Aug 25'!$C$54-'Aug 25'!$C$58</f>
        <v>0</v>
      </c>
      <c r="E33" s="44" t="n">
        <f aca="false">'Aug 25'!$C$58</f>
        <v>0</v>
      </c>
      <c r="F33" s="25" t="n">
        <f aca="false">'Aug 25'!$C$55</f>
        <v>0</v>
      </c>
      <c r="G33" s="25" t="str">
        <f aca="false">IF(C33=0,"—",F33/C33)</f>
        <v>—</v>
      </c>
      <c r="H33" s="45" t="str">
        <f aca="false">IF(E33&gt;0,"⚠ "&amp;E33&amp;" kept","")</f>
        <v/>
      </c>
      <c r="I33" s="44" t="n">
        <f aca="false">'Aug 25'!$G$54</f>
        <v>0</v>
      </c>
      <c r="J33" s="25" t="n">
        <f aca="false">'Aug 25'!$G$55</f>
        <v>0</v>
      </c>
      <c r="K33" s="44" t="n">
        <f aca="false">'Aug 25'!$G$56</f>
        <v>0</v>
      </c>
      <c r="L33" s="45" t="str">
        <f aca="true">IF(AND(E33&gt;0,B33&lt;=TODAY()-BM_TURNIN_DAYS),"⏰ AGED","")</f>
        <v/>
      </c>
    </row>
    <row r="34" customFormat="false" ht="13.5" hidden="false" customHeight="true" outlineLevel="0" collapsed="false">
      <c r="B34" s="127" t="n">
        <v>46260</v>
      </c>
      <c r="C34" s="128" t="n">
        <f aca="false">'Aug 26'!$C$54</f>
        <v>0</v>
      </c>
      <c r="D34" s="128" t="n">
        <f aca="false">'Aug 26'!$C$54-'Aug 26'!$C$58</f>
        <v>0</v>
      </c>
      <c r="E34" s="128" t="n">
        <f aca="false">'Aug 26'!$C$58</f>
        <v>0</v>
      </c>
      <c r="F34" s="129" t="n">
        <f aca="false">'Aug 26'!$C$55</f>
        <v>0</v>
      </c>
      <c r="G34" s="129" t="str">
        <f aca="false">IF(C34=0,"—",F34/C34)</f>
        <v>—</v>
      </c>
      <c r="H34" s="130" t="str">
        <f aca="false">IF(E34&gt;0,"⚠ "&amp;E34&amp;" kept","")</f>
        <v/>
      </c>
      <c r="I34" s="128" t="n">
        <f aca="false">'Aug 26'!$G$54</f>
        <v>0</v>
      </c>
      <c r="J34" s="129" t="n">
        <f aca="false">'Aug 26'!$G$55</f>
        <v>0</v>
      </c>
      <c r="K34" s="128" t="n">
        <f aca="false">'Aug 26'!$G$56</f>
        <v>0</v>
      </c>
      <c r="L34" s="130" t="str">
        <f aca="true">IF(AND(E34&gt;0,B34&lt;=TODAY()-BM_TURNIN_DAYS),"⏰ AGED","")</f>
        <v/>
      </c>
    </row>
    <row r="35" customFormat="false" ht="13.5" hidden="false" customHeight="true" outlineLevel="0" collapsed="false">
      <c r="B35" s="125" t="n">
        <v>46261</v>
      </c>
      <c r="C35" s="44" t="n">
        <f aca="false">'Aug 27'!$C$54</f>
        <v>0</v>
      </c>
      <c r="D35" s="44" t="n">
        <f aca="false">'Aug 27'!$C$54-'Aug 27'!$C$58</f>
        <v>0</v>
      </c>
      <c r="E35" s="44" t="n">
        <f aca="false">'Aug 27'!$C$58</f>
        <v>0</v>
      </c>
      <c r="F35" s="25" t="n">
        <f aca="false">'Aug 27'!$C$55</f>
        <v>0</v>
      </c>
      <c r="G35" s="25" t="str">
        <f aca="false">IF(C35=0,"—",F35/C35)</f>
        <v>—</v>
      </c>
      <c r="H35" s="45" t="str">
        <f aca="false">IF(E35&gt;0,"⚠ "&amp;E35&amp;" kept","")</f>
        <v/>
      </c>
      <c r="I35" s="44" t="n">
        <f aca="false">'Aug 27'!$G$54</f>
        <v>0</v>
      </c>
      <c r="J35" s="25" t="n">
        <f aca="false">'Aug 27'!$G$55</f>
        <v>0</v>
      </c>
      <c r="K35" s="44" t="n">
        <f aca="false">'Aug 27'!$G$56</f>
        <v>0</v>
      </c>
      <c r="L35" s="45" t="str">
        <f aca="true">IF(AND(E35&gt;0,B35&lt;=TODAY()-BM_TURNIN_DAYS),"⏰ AGED","")</f>
        <v/>
      </c>
    </row>
    <row r="36" customFormat="false" ht="13.5" hidden="false" customHeight="true" outlineLevel="0" collapsed="false">
      <c r="B36" s="126" t="n">
        <v>46262</v>
      </c>
      <c r="C36" s="48" t="n">
        <f aca="false">'Aug 28'!$C$54</f>
        <v>0</v>
      </c>
      <c r="D36" s="48" t="n">
        <f aca="false">'Aug 28'!$C$54-'Aug 28'!$C$58</f>
        <v>0</v>
      </c>
      <c r="E36" s="48" t="n">
        <f aca="false">'Aug 28'!$C$58</f>
        <v>0</v>
      </c>
      <c r="F36" s="51" t="n">
        <f aca="false">'Aug 28'!$C$55</f>
        <v>0</v>
      </c>
      <c r="G36" s="51" t="str">
        <f aca="false">IF(C36=0,"—",F36/C36)</f>
        <v>—</v>
      </c>
      <c r="H36" s="49" t="str">
        <f aca="false">IF(E36&gt;0,"⚠ "&amp;E36&amp;" kept","")</f>
        <v/>
      </c>
      <c r="I36" s="48" t="n">
        <f aca="false">'Aug 28'!$G$54</f>
        <v>0</v>
      </c>
      <c r="J36" s="51" t="n">
        <f aca="false">'Aug 28'!$G$55</f>
        <v>0</v>
      </c>
      <c r="K36" s="48" t="n">
        <f aca="false">'Aug 28'!$G$56</f>
        <v>0</v>
      </c>
      <c r="L36" s="49" t="str">
        <f aca="true">IF(AND(E36&gt;0,B36&lt;=TODAY()-BM_TURNIN_DAYS),"⏰ AGED","")</f>
        <v/>
      </c>
    </row>
    <row r="37" customFormat="false" ht="13.5" hidden="false" customHeight="true" outlineLevel="0" collapsed="false">
      <c r="B37" s="125" t="n">
        <v>46263</v>
      </c>
      <c r="C37" s="44" t="n">
        <f aca="false">'Aug 29'!$C$54</f>
        <v>0</v>
      </c>
      <c r="D37" s="44" t="n">
        <f aca="false">'Aug 29'!$C$54-'Aug 29'!$C$58</f>
        <v>0</v>
      </c>
      <c r="E37" s="44" t="n">
        <f aca="false">'Aug 29'!$C$58</f>
        <v>0</v>
      </c>
      <c r="F37" s="25" t="n">
        <f aca="false">'Aug 29'!$C$55</f>
        <v>0</v>
      </c>
      <c r="G37" s="25" t="str">
        <f aca="false">IF(C37=0,"—",F37/C37)</f>
        <v>—</v>
      </c>
      <c r="H37" s="45" t="str">
        <f aca="false">IF(E37&gt;0,"⚠ "&amp;E37&amp;" kept","")</f>
        <v/>
      </c>
      <c r="I37" s="44" t="n">
        <f aca="false">'Aug 29'!$G$54</f>
        <v>0</v>
      </c>
      <c r="J37" s="25" t="n">
        <f aca="false">'Aug 29'!$G$55</f>
        <v>0</v>
      </c>
      <c r="K37" s="44" t="n">
        <f aca="false">'Aug 29'!$G$56</f>
        <v>0</v>
      </c>
      <c r="L37" s="45" t="str">
        <f aca="true">IF(AND(E37&gt;0,B37&lt;=TODAY()-BM_TURNIN_DAYS),"⏰ AGED","")</f>
        <v/>
      </c>
    </row>
    <row r="38" customFormat="false" ht="13.5" hidden="false" customHeight="true" outlineLevel="0" collapsed="false">
      <c r="B38" s="126" t="n">
        <v>46264</v>
      </c>
      <c r="C38" s="48" t="n">
        <f aca="false">'Aug 30'!$C$54</f>
        <v>0</v>
      </c>
      <c r="D38" s="48" t="n">
        <f aca="false">'Aug 30'!$C$54-'Aug 30'!$C$58</f>
        <v>0</v>
      </c>
      <c r="E38" s="48" t="n">
        <f aca="false">'Aug 30'!$C$58</f>
        <v>0</v>
      </c>
      <c r="F38" s="51" t="n">
        <f aca="false">'Aug 30'!$C$55</f>
        <v>0</v>
      </c>
      <c r="G38" s="51" t="str">
        <f aca="false">IF(C38=0,"—",F38/C38)</f>
        <v>—</v>
      </c>
      <c r="H38" s="49" t="str">
        <f aca="false">IF(E38&gt;0,"⚠ "&amp;E38&amp;" kept","")</f>
        <v/>
      </c>
      <c r="I38" s="48" t="n">
        <f aca="false">'Aug 30'!$G$54</f>
        <v>0</v>
      </c>
      <c r="J38" s="51" t="n">
        <f aca="false">'Aug 30'!$G$55</f>
        <v>0</v>
      </c>
      <c r="K38" s="48" t="n">
        <f aca="false">'Aug 30'!$G$56</f>
        <v>0</v>
      </c>
      <c r="L38" s="49" t="str">
        <f aca="true">IF(AND(E38&gt;0,B38&lt;=TODAY()-BM_TURNIN_DAYS),"⏰ AGED","")</f>
        <v/>
      </c>
    </row>
    <row r="39" customFormat="false" ht="13.5" hidden="false" customHeight="true" outlineLevel="0" collapsed="false">
      <c r="B39" s="125" t="n">
        <v>46265</v>
      </c>
      <c r="C39" s="44" t="n">
        <f aca="false">'Aug 31'!$C$54</f>
        <v>0</v>
      </c>
      <c r="D39" s="44" t="n">
        <f aca="false">'Aug 31'!$C$54-'Aug 31'!$C$58</f>
        <v>0</v>
      </c>
      <c r="E39" s="44" t="n">
        <f aca="false">'Aug 31'!$C$58</f>
        <v>0</v>
      </c>
      <c r="F39" s="25" t="n">
        <f aca="false">'Aug 31'!$C$55</f>
        <v>0</v>
      </c>
      <c r="G39" s="25" t="str">
        <f aca="false">IF(C39=0,"—",F39/C39)</f>
        <v>—</v>
      </c>
      <c r="H39" s="45" t="str">
        <f aca="false">IF(E39&gt;0,"⚠ "&amp;E39&amp;" kept","")</f>
        <v/>
      </c>
      <c r="I39" s="44" t="n">
        <f aca="false">'Aug 31'!$G$54</f>
        <v>0</v>
      </c>
      <c r="J39" s="25" t="n">
        <f aca="false">'Aug 31'!$G$55</f>
        <v>0</v>
      </c>
      <c r="K39" s="44" t="n">
        <f aca="false">'Aug 31'!$G$56</f>
        <v>0</v>
      </c>
      <c r="L39" s="45" t="str">
        <f aca="true">IF(AND(E39&gt;0,B39&lt;=TODAY()-BM_TURNIN_DAYS),"⏰ AGED","")</f>
        <v/>
      </c>
    </row>
  </sheetData>
  <sheetProtection sheet="true" formatColumns="false" formatRows="false"/>
  <mergeCells count="5">
    <mergeCell ref="A1:B3"/>
    <mergeCell ref="C1:F2"/>
    <mergeCell ref="G1:H2"/>
    <mergeCell ref="C3:F3"/>
    <mergeCell ref="A5:H5"/>
  </mergeCells>
  <conditionalFormatting sqref="H9:H39">
    <cfRule type="expression" priority="2" aboveAverage="0" equalAverage="0" bottom="0" percent="0" rank="0" text="" dxfId="20">
      <formula>LEFT($H9,1)="⚠"</formula>
    </cfRule>
  </conditionalFormatting>
  <conditionalFormatting sqref="H7">
    <cfRule type="expression" priority="3" aboveAverage="0" equalAverage="0" bottom="0" percent="0" rank="0" text="" dxfId="18">
      <formula>AND(H7&lt;&gt;"—",N(H7)&lt;BM_APPR_TRADE)</formula>
    </cfRule>
  </conditionalFormatting>
  <conditionalFormatting sqref="I7">
    <cfRule type="expression" priority="4" aboveAverage="0" equalAverage="0" bottom="0" percent="0" rank="0" text="" dxfId="18">
      <formula>AND(I7&lt;&gt;"—",N(I7)&gt;BM_IMMED_WHOLESALE)</formula>
    </cfRule>
  </conditionalFormatting>
  <conditionalFormatting sqref="J7">
    <cfRule type="expression" priority="5" aboveAverage="0" equalAverage="0" bottom="0" percent="0" rank="0" text="" dxfId="21">
      <formula>AND(J7&lt;&gt;"—",N(J7)&gt;BM_ACV_OVER_MMR)</formula>
    </cfRule>
  </conditionalFormatting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BX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4" style="0" width="16"/>
    <col collapsed="false" customWidth="true" hidden="false" outlineLevel="0" max="7" min="7" style="0" width="14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3" min="13" style="0" width="22"/>
    <col collapsed="false" customWidth="true" hidden="false" outlineLevel="0" max="16" min="16" style="0" width="9"/>
    <col collapsed="false" customWidth="true" hidden="false" outlineLevel="0" max="18" min="18" style="0" width="14"/>
    <col collapsed="false" customWidth="true" hidden="false" outlineLevel="0" max="76" min="20" style="0" width="15"/>
  </cols>
  <sheetData>
    <row r="1" customFormat="false" ht="15.75" hidden="false" customHeight="true" outlineLevel="0" collapsed="false">
      <c r="A1" s="131" t="s">
        <v>454</v>
      </c>
    </row>
    <row r="2" customFormat="false" ht="15" hidden="false" customHeight="false" outlineLevel="0" collapsed="false">
      <c r="A2" s="132" t="s">
        <v>455</v>
      </c>
    </row>
    <row r="4" customFormat="false" ht="15" hidden="false" customHeight="false" outlineLevel="0" collapsed="false">
      <c r="A4" s="11" t="s">
        <v>456</v>
      </c>
      <c r="D4" s="11" t="s">
        <v>457</v>
      </c>
      <c r="G4" s="11" t="s">
        <v>458</v>
      </c>
      <c r="J4" s="11" t="s">
        <v>459</v>
      </c>
      <c r="K4" s="11" t="s">
        <v>460</v>
      </c>
      <c r="M4" s="11" t="s">
        <v>461</v>
      </c>
      <c r="P4" s="11" t="s">
        <v>462</v>
      </c>
      <c r="R4" s="11" t="s">
        <v>463</v>
      </c>
      <c r="T4" s="11" t="s">
        <v>464</v>
      </c>
      <c r="U4" s="11" t="s">
        <v>465</v>
      </c>
      <c r="V4" s="11" t="s">
        <v>466</v>
      </c>
      <c r="W4" s="11" t="s">
        <v>467</v>
      </c>
      <c r="X4" s="11" t="s">
        <v>468</v>
      </c>
      <c r="Y4" s="11" t="s">
        <v>469</v>
      </c>
      <c r="Z4" s="11" t="s">
        <v>470</v>
      </c>
      <c r="AA4" s="11" t="s">
        <v>471</v>
      </c>
      <c r="AB4" s="11" t="s">
        <v>472</v>
      </c>
      <c r="AC4" s="11" t="s">
        <v>473</v>
      </c>
      <c r="AD4" s="11" t="s">
        <v>474</v>
      </c>
      <c r="AE4" s="11" t="s">
        <v>475</v>
      </c>
      <c r="AF4" s="11" t="s">
        <v>476</v>
      </c>
      <c r="AG4" s="11" t="s">
        <v>477</v>
      </c>
      <c r="AH4" s="11" t="s">
        <v>478</v>
      </c>
      <c r="AI4" s="11" t="s">
        <v>479</v>
      </c>
      <c r="AJ4" s="11" t="s">
        <v>480</v>
      </c>
      <c r="AK4" s="11" t="s">
        <v>481</v>
      </c>
      <c r="AL4" s="11" t="s">
        <v>482</v>
      </c>
      <c r="AM4" s="11" t="s">
        <v>483</v>
      </c>
      <c r="AN4" s="11" t="s">
        <v>484</v>
      </c>
      <c r="AO4" s="11" t="s">
        <v>485</v>
      </c>
      <c r="AP4" s="11" t="s">
        <v>486</v>
      </c>
      <c r="AQ4" s="11" t="s">
        <v>487</v>
      </c>
      <c r="AR4" s="11" t="s">
        <v>488</v>
      </c>
      <c r="AS4" s="11" t="s">
        <v>489</v>
      </c>
      <c r="AT4" s="11" t="s">
        <v>490</v>
      </c>
      <c r="AU4" s="11" t="s">
        <v>491</v>
      </c>
      <c r="AV4" s="11" t="s">
        <v>492</v>
      </c>
      <c r="AW4" s="11" t="s">
        <v>493</v>
      </c>
      <c r="AX4" s="11" t="s">
        <v>494</v>
      </c>
      <c r="AY4" s="11" t="s">
        <v>495</v>
      </c>
      <c r="AZ4" s="11" t="s">
        <v>496</v>
      </c>
      <c r="BA4" s="11" t="s">
        <v>497</v>
      </c>
      <c r="BB4" s="11" t="s">
        <v>498</v>
      </c>
      <c r="BC4" s="11" t="s">
        <v>499</v>
      </c>
      <c r="BD4" s="11" t="s">
        <v>500</v>
      </c>
      <c r="BE4" s="11" t="s">
        <v>501</v>
      </c>
      <c r="BF4" s="11" t="s">
        <v>502</v>
      </c>
      <c r="BG4" s="11" t="s">
        <v>503</v>
      </c>
      <c r="BH4" s="11" t="s">
        <v>504</v>
      </c>
      <c r="BI4" s="11" t="s">
        <v>505</v>
      </c>
      <c r="BJ4" s="11" t="s">
        <v>506</v>
      </c>
      <c r="BK4" s="11" t="s">
        <v>507</v>
      </c>
      <c r="BL4" s="11" t="s">
        <v>508</v>
      </c>
      <c r="BM4" s="11" t="s">
        <v>509</v>
      </c>
      <c r="BN4" s="11" t="s">
        <v>510</v>
      </c>
      <c r="BO4" s="11" t="s">
        <v>511</v>
      </c>
      <c r="BP4" s="11" t="s">
        <v>512</v>
      </c>
      <c r="BQ4" s="11" t="s">
        <v>513</v>
      </c>
      <c r="BR4" s="11" t="s">
        <v>514</v>
      </c>
      <c r="BS4" s="11" t="s">
        <v>515</v>
      </c>
      <c r="BT4" s="11" t="s">
        <v>516</v>
      </c>
      <c r="BU4" s="11" t="s">
        <v>517</v>
      </c>
      <c r="BV4" s="11" t="s">
        <v>518</v>
      </c>
      <c r="BW4" s="11" t="s">
        <v>519</v>
      </c>
      <c r="BX4" s="11" t="s">
        <v>520</v>
      </c>
    </row>
    <row r="5" customFormat="false" ht="15" hidden="false" customHeight="false" outlineLevel="0" collapsed="false">
      <c r="A5" s="133" t="s">
        <v>521</v>
      </c>
      <c r="D5" s="133" t="s">
        <v>522</v>
      </c>
      <c r="G5" s="133" t="s">
        <v>523</v>
      </c>
      <c r="J5" s="133" t="s">
        <v>524</v>
      </c>
      <c r="K5" s="133" t="s">
        <v>163</v>
      </c>
      <c r="M5" s="133" t="s">
        <v>525</v>
      </c>
      <c r="P5" s="133" t="n">
        <v>2026</v>
      </c>
      <c r="R5" s="133" t="s">
        <v>464</v>
      </c>
      <c r="T5" s="133" t="s">
        <v>526</v>
      </c>
      <c r="U5" s="133" t="s">
        <v>527</v>
      </c>
      <c r="V5" s="133" t="s">
        <v>528</v>
      </c>
      <c r="W5" s="133" t="s">
        <v>529</v>
      </c>
      <c r="X5" s="133" t="s">
        <v>530</v>
      </c>
      <c r="Y5" s="133" t="s">
        <v>531</v>
      </c>
      <c r="Z5" s="133" t="s">
        <v>532</v>
      </c>
      <c r="AA5" s="133" t="s">
        <v>533</v>
      </c>
      <c r="AB5" s="133" t="s">
        <v>534</v>
      </c>
      <c r="AC5" s="133" t="s">
        <v>535</v>
      </c>
      <c r="AD5" s="133" t="s">
        <v>536</v>
      </c>
      <c r="AE5" s="133" t="s">
        <v>537</v>
      </c>
      <c r="AF5" s="133" t="s">
        <v>538</v>
      </c>
      <c r="AG5" s="133" t="s">
        <v>539</v>
      </c>
      <c r="AH5" s="133" t="s">
        <v>540</v>
      </c>
      <c r="AI5" s="133" t="s">
        <v>541</v>
      </c>
      <c r="AJ5" s="133" t="s">
        <v>542</v>
      </c>
      <c r="AK5" s="133" t="s">
        <v>543</v>
      </c>
      <c r="AL5" s="133" t="s">
        <v>544</v>
      </c>
      <c r="AM5" s="133" t="s">
        <v>545</v>
      </c>
      <c r="AN5" s="133" t="s">
        <v>546</v>
      </c>
      <c r="AO5" s="133" t="s">
        <v>547</v>
      </c>
      <c r="AP5" s="133" t="s">
        <v>548</v>
      </c>
      <c r="AQ5" s="133" t="s">
        <v>549</v>
      </c>
      <c r="AR5" s="133" t="s">
        <v>550</v>
      </c>
      <c r="AS5" s="133" t="s">
        <v>551</v>
      </c>
      <c r="AT5" s="133" t="s">
        <v>552</v>
      </c>
      <c r="AU5" s="133" t="s">
        <v>553</v>
      </c>
      <c r="AV5" s="133" t="s">
        <v>554</v>
      </c>
      <c r="AW5" s="133" t="s">
        <v>555</v>
      </c>
      <c r="AX5" s="133" t="s">
        <v>556</v>
      </c>
      <c r="AY5" s="133" t="s">
        <v>557</v>
      </c>
      <c r="AZ5" s="133" t="s">
        <v>558</v>
      </c>
      <c r="BA5" s="133" t="s">
        <v>559</v>
      </c>
      <c r="BB5" s="133" t="s">
        <v>560</v>
      </c>
      <c r="BC5" s="133" t="s">
        <v>561</v>
      </c>
      <c r="BD5" s="133" t="s">
        <v>562</v>
      </c>
      <c r="BE5" s="133" t="s">
        <v>563</v>
      </c>
      <c r="BF5" s="133" t="s">
        <v>564</v>
      </c>
      <c r="BG5" s="133" t="s">
        <v>565</v>
      </c>
      <c r="BH5" s="133" t="s">
        <v>566</v>
      </c>
      <c r="BI5" s="133" t="s">
        <v>567</v>
      </c>
      <c r="BJ5" s="133" t="s">
        <v>568</v>
      </c>
      <c r="BK5" s="133" t="s">
        <v>569</v>
      </c>
      <c r="BL5" s="133" t="s">
        <v>570</v>
      </c>
      <c r="BM5" s="133" t="s">
        <v>571</v>
      </c>
      <c r="BN5" s="133" t="s">
        <v>572</v>
      </c>
      <c r="BO5" s="133" t="s">
        <v>573</v>
      </c>
      <c r="BP5" s="133" t="s">
        <v>574</v>
      </c>
      <c r="BQ5" s="133" t="s">
        <v>575</v>
      </c>
      <c r="BR5" s="133" t="s">
        <v>576</v>
      </c>
      <c r="BS5" s="133" t="s">
        <v>577</v>
      </c>
      <c r="BT5" s="133" t="s">
        <v>578</v>
      </c>
      <c r="BU5" s="133" t="s">
        <v>579</v>
      </c>
      <c r="BV5" s="133" t="s">
        <v>580</v>
      </c>
      <c r="BW5" s="133" t="s">
        <v>581</v>
      </c>
      <c r="BX5" s="133" t="s">
        <v>582</v>
      </c>
    </row>
    <row r="6" customFormat="false" ht="15" hidden="false" customHeight="false" outlineLevel="0" collapsed="false">
      <c r="A6" s="133" t="s">
        <v>583</v>
      </c>
      <c r="D6" s="133" t="s">
        <v>584</v>
      </c>
      <c r="G6" s="133" t="s">
        <v>585</v>
      </c>
      <c r="J6" s="133" t="s">
        <v>586</v>
      </c>
      <c r="K6" s="133" t="s">
        <v>163</v>
      </c>
      <c r="M6" s="133" t="s">
        <v>587</v>
      </c>
      <c r="P6" s="133" t="n">
        <v>2025</v>
      </c>
      <c r="R6" s="133" t="s">
        <v>465</v>
      </c>
      <c r="T6" s="133" t="s">
        <v>588</v>
      </c>
      <c r="U6" s="133" t="s">
        <v>589</v>
      </c>
      <c r="V6" s="133" t="s">
        <v>590</v>
      </c>
      <c r="W6" s="133" t="s">
        <v>591</v>
      </c>
      <c r="X6" s="133" t="s">
        <v>592</v>
      </c>
      <c r="Y6" s="133" t="s">
        <v>593</v>
      </c>
      <c r="Z6" s="133" t="s">
        <v>594</v>
      </c>
      <c r="AA6" s="133" t="s">
        <v>595</v>
      </c>
      <c r="AB6" s="133" t="s">
        <v>596</v>
      </c>
      <c r="AC6" s="133" t="s">
        <v>597</v>
      </c>
      <c r="AD6" s="133" t="s">
        <v>598</v>
      </c>
      <c r="AE6" s="133" t="s">
        <v>599</v>
      </c>
      <c r="AF6" s="133" t="s">
        <v>600</v>
      </c>
      <c r="AG6" s="133" t="s">
        <v>601</v>
      </c>
      <c r="AH6" s="133" t="s">
        <v>602</v>
      </c>
      <c r="AI6" s="133" t="s">
        <v>603</v>
      </c>
      <c r="AJ6" s="133" t="s">
        <v>604</v>
      </c>
      <c r="AK6" s="133" t="s">
        <v>605</v>
      </c>
      <c r="AL6" s="133" t="s">
        <v>606</v>
      </c>
      <c r="AM6" s="133" t="s">
        <v>607</v>
      </c>
      <c r="AN6" s="133" t="s">
        <v>608</v>
      </c>
      <c r="AO6" s="133" t="s">
        <v>609</v>
      </c>
      <c r="AP6" s="133" t="s">
        <v>610</v>
      </c>
      <c r="AQ6" s="133" t="s">
        <v>611</v>
      </c>
      <c r="AR6" s="133" t="s">
        <v>612</v>
      </c>
      <c r="AS6" s="133" t="s">
        <v>613</v>
      </c>
      <c r="AT6" s="133" t="s">
        <v>614</v>
      </c>
      <c r="AU6" s="133" t="s">
        <v>615</v>
      </c>
      <c r="AV6" s="133" t="s">
        <v>616</v>
      </c>
      <c r="AW6" s="133" t="s">
        <v>617</v>
      </c>
      <c r="AX6" s="133" t="s">
        <v>618</v>
      </c>
      <c r="AY6" s="133" t="s">
        <v>619</v>
      </c>
      <c r="AZ6" s="133" t="s">
        <v>620</v>
      </c>
      <c r="BA6" s="133" t="s">
        <v>621</v>
      </c>
      <c r="BB6" s="133" t="s">
        <v>622</v>
      </c>
      <c r="BC6" s="133" t="s">
        <v>623</v>
      </c>
      <c r="BD6" s="133" t="s">
        <v>624</v>
      </c>
      <c r="BE6" s="133" t="s">
        <v>625</v>
      </c>
      <c r="BF6" s="133" t="s">
        <v>626</v>
      </c>
      <c r="BG6" s="133" t="s">
        <v>627</v>
      </c>
      <c r="BH6" s="133" t="s">
        <v>628</v>
      </c>
      <c r="BI6" s="133" t="s">
        <v>629</v>
      </c>
      <c r="BJ6" s="133" t="s">
        <v>630</v>
      </c>
      <c r="BK6" s="133" t="s">
        <v>631</v>
      </c>
      <c r="BL6" s="133" t="s">
        <v>632</v>
      </c>
      <c r="BM6" s="133" t="s">
        <v>633</v>
      </c>
      <c r="BN6" s="133" t="s">
        <v>634</v>
      </c>
      <c r="BO6" s="133" t="s">
        <v>635</v>
      </c>
      <c r="BP6" s="133" t="s">
        <v>636</v>
      </c>
      <c r="BQ6" s="133" t="s">
        <v>637</v>
      </c>
      <c r="BR6" s="133" t="s">
        <v>638</v>
      </c>
      <c r="BS6" s="133" t="s">
        <v>639</v>
      </c>
      <c r="BT6" s="133" t="s">
        <v>640</v>
      </c>
      <c r="BU6" s="133" t="s">
        <v>641</v>
      </c>
      <c r="BV6" s="133" t="s">
        <v>642</v>
      </c>
      <c r="BW6" s="133" t="s">
        <v>643</v>
      </c>
      <c r="BX6" s="133" t="s">
        <v>644</v>
      </c>
    </row>
    <row r="7" customFormat="false" ht="15" hidden="false" customHeight="false" outlineLevel="0" collapsed="false">
      <c r="A7" s="133" t="s">
        <v>645</v>
      </c>
      <c r="D7" s="133" t="s">
        <v>646</v>
      </c>
      <c r="G7" s="134"/>
      <c r="J7" s="133" t="s">
        <v>647</v>
      </c>
      <c r="K7" s="133" t="s">
        <v>164</v>
      </c>
      <c r="M7" s="133" t="s">
        <v>648</v>
      </c>
      <c r="P7" s="133" t="n">
        <v>2024</v>
      </c>
      <c r="R7" s="133" t="s">
        <v>466</v>
      </c>
      <c r="T7" s="133" t="s">
        <v>649</v>
      </c>
      <c r="U7" s="133" t="s">
        <v>650</v>
      </c>
      <c r="V7" s="133" t="s">
        <v>651</v>
      </c>
      <c r="W7" s="133" t="s">
        <v>652</v>
      </c>
      <c r="X7" s="133" t="s">
        <v>653</v>
      </c>
      <c r="Y7" s="133" t="s">
        <v>654</v>
      </c>
      <c r="Z7" s="133" t="s">
        <v>655</v>
      </c>
      <c r="AA7" s="133" t="s">
        <v>656</v>
      </c>
      <c r="AB7" s="133" t="s">
        <v>657</v>
      </c>
      <c r="AC7" s="133" t="s">
        <v>658</v>
      </c>
      <c r="AD7" s="133" t="s">
        <v>659</v>
      </c>
      <c r="AE7" s="133" t="s">
        <v>660</v>
      </c>
      <c r="AF7" s="133" t="s">
        <v>661</v>
      </c>
      <c r="AG7" s="133" t="s">
        <v>662</v>
      </c>
      <c r="AH7" s="133" t="s">
        <v>663</v>
      </c>
      <c r="AI7" s="133" t="s">
        <v>664</v>
      </c>
      <c r="AJ7" s="133" t="s">
        <v>665</v>
      </c>
      <c r="AK7" s="133" t="s">
        <v>666</v>
      </c>
      <c r="AL7" s="133" t="s">
        <v>667</v>
      </c>
      <c r="AM7" s="133" t="s">
        <v>668</v>
      </c>
      <c r="AN7" s="133" t="s">
        <v>669</v>
      </c>
      <c r="AO7" s="133" t="s">
        <v>670</v>
      </c>
      <c r="AP7" s="133" t="s">
        <v>671</v>
      </c>
      <c r="AQ7" s="133" t="s">
        <v>672</v>
      </c>
      <c r="AR7" s="133" t="s">
        <v>673</v>
      </c>
      <c r="AS7" s="133" t="s">
        <v>674</v>
      </c>
      <c r="AT7" s="133" t="s">
        <v>675</v>
      </c>
      <c r="AU7" s="133" t="s">
        <v>676</v>
      </c>
      <c r="AV7" s="133" t="s">
        <v>677</v>
      </c>
      <c r="AW7" s="134"/>
      <c r="AX7" s="133" t="s">
        <v>678</v>
      </c>
      <c r="AY7" s="133" t="s">
        <v>679</v>
      </c>
      <c r="AZ7" s="133" t="s">
        <v>680</v>
      </c>
      <c r="BA7" s="133" t="s">
        <v>681</v>
      </c>
      <c r="BB7" s="133" t="s">
        <v>682</v>
      </c>
      <c r="BC7" s="133" t="s">
        <v>683</v>
      </c>
      <c r="BD7" s="133" t="s">
        <v>684</v>
      </c>
      <c r="BE7" s="133" t="s">
        <v>685</v>
      </c>
      <c r="BF7" s="133" t="s">
        <v>686</v>
      </c>
      <c r="BG7" s="133" t="s">
        <v>687</v>
      </c>
      <c r="BH7" s="133" t="s">
        <v>688</v>
      </c>
      <c r="BI7" s="133" t="s">
        <v>689</v>
      </c>
      <c r="BJ7" s="133" t="s">
        <v>690</v>
      </c>
      <c r="BK7" s="133" t="s">
        <v>691</v>
      </c>
      <c r="BL7" s="133" t="s">
        <v>692</v>
      </c>
      <c r="BM7" s="133" t="s">
        <v>693</v>
      </c>
      <c r="BN7" s="133" t="s">
        <v>694</v>
      </c>
      <c r="BO7" s="133" t="s">
        <v>695</v>
      </c>
      <c r="BP7" s="133" t="s">
        <v>696</v>
      </c>
      <c r="BQ7" s="134"/>
      <c r="BR7" s="133" t="s">
        <v>697</v>
      </c>
      <c r="BS7" s="133" t="s">
        <v>698</v>
      </c>
      <c r="BT7" s="133" t="s">
        <v>699</v>
      </c>
      <c r="BU7" s="133" t="s">
        <v>700</v>
      </c>
      <c r="BV7" s="134"/>
      <c r="BW7" s="133" t="s">
        <v>701</v>
      </c>
      <c r="BX7" s="133" t="s">
        <v>702</v>
      </c>
    </row>
    <row r="8" customFormat="false" ht="15" hidden="false" customHeight="false" outlineLevel="0" collapsed="false">
      <c r="A8" s="133" t="s">
        <v>703</v>
      </c>
      <c r="D8" s="133" t="s">
        <v>704</v>
      </c>
      <c r="G8" s="134"/>
      <c r="J8" s="133" t="s">
        <v>705</v>
      </c>
      <c r="K8" s="133" t="s">
        <v>165</v>
      </c>
      <c r="M8" s="133" t="s">
        <v>706</v>
      </c>
      <c r="P8" s="133" t="n">
        <v>2023</v>
      </c>
      <c r="R8" s="133" t="s">
        <v>467</v>
      </c>
      <c r="T8" s="133" t="s">
        <v>707</v>
      </c>
      <c r="U8" s="133" t="s">
        <v>708</v>
      </c>
      <c r="V8" s="133" t="s">
        <v>709</v>
      </c>
      <c r="W8" s="133" t="s">
        <v>710</v>
      </c>
      <c r="X8" s="133" t="s">
        <v>711</v>
      </c>
      <c r="Y8" s="133" t="s">
        <v>712</v>
      </c>
      <c r="Z8" s="133" t="s">
        <v>713</v>
      </c>
      <c r="AA8" s="133" t="s">
        <v>714</v>
      </c>
      <c r="AB8" s="133" t="s">
        <v>715</v>
      </c>
      <c r="AC8" s="133" t="s">
        <v>716</v>
      </c>
      <c r="AD8" s="133" t="s">
        <v>717</v>
      </c>
      <c r="AE8" s="133" t="s">
        <v>718</v>
      </c>
      <c r="AF8" s="133" t="s">
        <v>719</v>
      </c>
      <c r="AG8" s="133" t="s">
        <v>720</v>
      </c>
      <c r="AH8" s="133" t="s">
        <v>721</v>
      </c>
      <c r="AI8" s="133" t="s">
        <v>722</v>
      </c>
      <c r="AJ8" s="133" t="s">
        <v>723</v>
      </c>
      <c r="AK8" s="133" t="s">
        <v>724</v>
      </c>
      <c r="AL8" s="133" t="s">
        <v>725</v>
      </c>
      <c r="AM8" s="133" t="s">
        <v>726</v>
      </c>
      <c r="AN8" s="133" t="s">
        <v>727</v>
      </c>
      <c r="AO8" s="133" t="s">
        <v>728</v>
      </c>
      <c r="AP8" s="133" t="s">
        <v>729</v>
      </c>
      <c r="AQ8" s="133" t="s">
        <v>730</v>
      </c>
      <c r="AR8" s="133" t="s">
        <v>731</v>
      </c>
      <c r="AS8" s="133" t="s">
        <v>732</v>
      </c>
      <c r="AT8" s="133" t="s">
        <v>733</v>
      </c>
      <c r="AU8" s="133" t="s">
        <v>734</v>
      </c>
      <c r="AV8" s="133" t="s">
        <v>735</v>
      </c>
      <c r="AW8" s="134"/>
      <c r="AX8" s="133" t="s">
        <v>736</v>
      </c>
      <c r="AY8" s="133" t="s">
        <v>737</v>
      </c>
      <c r="AZ8" s="133" t="s">
        <v>738</v>
      </c>
      <c r="BA8" s="133" t="s">
        <v>739</v>
      </c>
      <c r="BB8" s="133" t="s">
        <v>740</v>
      </c>
      <c r="BC8" s="133" t="s">
        <v>741</v>
      </c>
      <c r="BD8" s="133" t="s">
        <v>742</v>
      </c>
      <c r="BE8" s="133" t="s">
        <v>743</v>
      </c>
      <c r="BF8" s="133" t="s">
        <v>744</v>
      </c>
      <c r="BG8" s="133" t="s">
        <v>745</v>
      </c>
      <c r="BH8" s="133" t="s">
        <v>746</v>
      </c>
      <c r="BI8" s="133" t="s">
        <v>747</v>
      </c>
      <c r="BJ8" s="133" t="s">
        <v>748</v>
      </c>
      <c r="BK8" s="133" t="s">
        <v>749</v>
      </c>
      <c r="BL8" s="133" t="s">
        <v>750</v>
      </c>
      <c r="BM8" s="133" t="s">
        <v>751</v>
      </c>
      <c r="BN8" s="133" t="s">
        <v>752</v>
      </c>
      <c r="BO8" s="133" t="s">
        <v>753</v>
      </c>
      <c r="BP8" s="133" t="s">
        <v>754</v>
      </c>
      <c r="BQ8" s="134"/>
      <c r="BR8" s="133" t="s">
        <v>755</v>
      </c>
      <c r="BS8" s="133" t="s">
        <v>756</v>
      </c>
      <c r="BT8" s="133" t="s">
        <v>757</v>
      </c>
      <c r="BU8" s="133" t="s">
        <v>758</v>
      </c>
      <c r="BV8" s="134"/>
      <c r="BW8" s="133" t="s">
        <v>759</v>
      </c>
      <c r="BX8" s="133" t="s">
        <v>760</v>
      </c>
    </row>
    <row r="9" customFormat="false" ht="15" hidden="false" customHeight="false" outlineLevel="0" collapsed="false">
      <c r="A9" s="133" t="s">
        <v>761</v>
      </c>
      <c r="D9" s="134"/>
      <c r="J9" s="133" t="s">
        <v>762</v>
      </c>
      <c r="K9" s="133" t="s">
        <v>163</v>
      </c>
      <c r="M9" s="133" t="s">
        <v>763</v>
      </c>
      <c r="P9" s="133" t="n">
        <v>2022</v>
      </c>
      <c r="R9" s="133" t="s">
        <v>468</v>
      </c>
      <c r="T9" s="133" t="s">
        <v>764</v>
      </c>
      <c r="U9" s="133" t="s">
        <v>765</v>
      </c>
      <c r="V9" s="133" t="s">
        <v>766</v>
      </c>
      <c r="W9" s="133" t="s">
        <v>767</v>
      </c>
      <c r="X9" s="133" t="s">
        <v>768</v>
      </c>
      <c r="Y9" s="133" t="s">
        <v>769</v>
      </c>
      <c r="Z9" s="133" t="s">
        <v>770</v>
      </c>
      <c r="AA9" s="133" t="s">
        <v>771</v>
      </c>
      <c r="AB9" s="133" t="s">
        <v>772</v>
      </c>
      <c r="AC9" s="133" t="s">
        <v>773</v>
      </c>
      <c r="AD9" s="133" t="s">
        <v>774</v>
      </c>
      <c r="AE9" s="133" t="s">
        <v>775</v>
      </c>
      <c r="AF9" s="133" t="s">
        <v>776</v>
      </c>
      <c r="AG9" s="133" t="s">
        <v>777</v>
      </c>
      <c r="AH9" s="133" t="s">
        <v>778</v>
      </c>
      <c r="AI9" s="133" t="s">
        <v>779</v>
      </c>
      <c r="AJ9" s="133" t="s">
        <v>780</v>
      </c>
      <c r="AK9" s="134"/>
      <c r="AL9" s="133" t="s">
        <v>781</v>
      </c>
      <c r="AM9" s="133" t="s">
        <v>782</v>
      </c>
      <c r="AN9" s="133" t="s">
        <v>783</v>
      </c>
      <c r="AO9" s="133" t="s">
        <v>784</v>
      </c>
      <c r="AP9" s="133" t="s">
        <v>785</v>
      </c>
      <c r="AQ9" s="133" t="s">
        <v>786</v>
      </c>
      <c r="AR9" s="133" t="s">
        <v>787</v>
      </c>
      <c r="AS9" s="133" t="s">
        <v>788</v>
      </c>
      <c r="AT9" s="133" t="s">
        <v>789</v>
      </c>
      <c r="AU9" s="133" t="s">
        <v>790</v>
      </c>
      <c r="AV9" s="133" t="s">
        <v>791</v>
      </c>
      <c r="AW9" s="134"/>
      <c r="AX9" s="133" t="s">
        <v>792</v>
      </c>
      <c r="AY9" s="133" t="s">
        <v>793</v>
      </c>
      <c r="AZ9" s="133" t="s">
        <v>794</v>
      </c>
      <c r="BA9" s="133" t="s">
        <v>795</v>
      </c>
      <c r="BB9" s="133" t="s">
        <v>796</v>
      </c>
      <c r="BC9" s="133" t="s">
        <v>797</v>
      </c>
      <c r="BD9" s="133" t="s">
        <v>798</v>
      </c>
      <c r="BE9" s="133" t="s">
        <v>799</v>
      </c>
      <c r="BF9" s="133" t="s">
        <v>800</v>
      </c>
      <c r="BG9" s="133" t="s">
        <v>801</v>
      </c>
      <c r="BH9" s="134"/>
      <c r="BI9" s="133" t="s">
        <v>802</v>
      </c>
      <c r="BJ9" s="133" t="s">
        <v>803</v>
      </c>
      <c r="BK9" s="133" t="s">
        <v>804</v>
      </c>
      <c r="BL9" s="134"/>
      <c r="BM9" s="133" t="s">
        <v>805</v>
      </c>
      <c r="BN9" s="133" t="s">
        <v>806</v>
      </c>
      <c r="BO9" s="133" t="s">
        <v>807</v>
      </c>
      <c r="BP9" s="133" t="s">
        <v>808</v>
      </c>
      <c r="BQ9" s="134"/>
      <c r="BR9" s="133" t="s">
        <v>809</v>
      </c>
      <c r="BS9" s="133" t="s">
        <v>810</v>
      </c>
      <c r="BT9" s="133" t="s">
        <v>811</v>
      </c>
      <c r="BU9" s="133" t="s">
        <v>812</v>
      </c>
      <c r="BV9" s="134"/>
      <c r="BW9" s="133" t="s">
        <v>813</v>
      </c>
      <c r="BX9" s="133" t="s">
        <v>814</v>
      </c>
    </row>
    <row r="10" customFormat="false" ht="15" hidden="false" customHeight="false" outlineLevel="0" collapsed="false">
      <c r="A10" s="133" t="s">
        <v>815</v>
      </c>
      <c r="D10" s="134"/>
      <c r="J10" s="133" t="s">
        <v>816</v>
      </c>
      <c r="K10" s="133" t="s">
        <v>163</v>
      </c>
      <c r="M10" s="133" t="s">
        <v>817</v>
      </c>
      <c r="P10" s="133" t="n">
        <v>2021</v>
      </c>
      <c r="R10" s="133" t="s">
        <v>469</v>
      </c>
      <c r="T10" s="133" t="s">
        <v>818</v>
      </c>
      <c r="U10" s="133" t="s">
        <v>819</v>
      </c>
      <c r="V10" s="133" t="s">
        <v>820</v>
      </c>
      <c r="W10" s="133" t="s">
        <v>821</v>
      </c>
      <c r="X10" s="133" t="s">
        <v>822</v>
      </c>
      <c r="Y10" s="133" t="s">
        <v>823</v>
      </c>
      <c r="Z10" s="133" t="s">
        <v>824</v>
      </c>
      <c r="AA10" s="133" t="s">
        <v>825</v>
      </c>
      <c r="AB10" s="133" t="s">
        <v>826</v>
      </c>
      <c r="AC10" s="133" t="s">
        <v>827</v>
      </c>
      <c r="AD10" s="133" t="s">
        <v>828</v>
      </c>
      <c r="AE10" s="133" t="s">
        <v>829</v>
      </c>
      <c r="AF10" s="134"/>
      <c r="AG10" s="133" t="s">
        <v>830</v>
      </c>
      <c r="AH10" s="133" t="s">
        <v>831</v>
      </c>
      <c r="AI10" s="133" t="s">
        <v>832</v>
      </c>
      <c r="AJ10" s="133" t="s">
        <v>833</v>
      </c>
      <c r="AK10" s="134"/>
      <c r="AL10" s="133" t="s">
        <v>834</v>
      </c>
      <c r="AM10" s="133" t="s">
        <v>835</v>
      </c>
      <c r="AN10" s="133" t="s">
        <v>836</v>
      </c>
      <c r="AO10" s="133" t="s">
        <v>837</v>
      </c>
      <c r="AP10" s="133" t="s">
        <v>838</v>
      </c>
      <c r="AQ10" s="133" t="s">
        <v>839</v>
      </c>
      <c r="AR10" s="133" t="s">
        <v>840</v>
      </c>
      <c r="AS10" s="133" t="s">
        <v>841</v>
      </c>
      <c r="AT10" s="133" t="s">
        <v>842</v>
      </c>
      <c r="AU10" s="133" t="s">
        <v>843</v>
      </c>
      <c r="AV10" s="133" t="s">
        <v>844</v>
      </c>
      <c r="AW10" s="134"/>
      <c r="AX10" s="133" t="s">
        <v>845</v>
      </c>
      <c r="AY10" s="133" t="s">
        <v>846</v>
      </c>
      <c r="AZ10" s="133" t="s">
        <v>847</v>
      </c>
      <c r="BA10" s="133" t="s">
        <v>848</v>
      </c>
      <c r="BB10" s="133" t="s">
        <v>849</v>
      </c>
      <c r="BC10" s="133" t="s">
        <v>850</v>
      </c>
      <c r="BD10" s="133" t="s">
        <v>851</v>
      </c>
      <c r="BE10" s="133" t="s">
        <v>852</v>
      </c>
      <c r="BF10" s="133" t="s">
        <v>853</v>
      </c>
      <c r="BG10" s="133" t="s">
        <v>854</v>
      </c>
      <c r="BH10" s="134"/>
      <c r="BI10" s="133" t="s">
        <v>855</v>
      </c>
      <c r="BJ10" s="133" t="s">
        <v>856</v>
      </c>
      <c r="BK10" s="133" t="s">
        <v>857</v>
      </c>
      <c r="BL10" s="134"/>
      <c r="BM10" s="133" t="s">
        <v>858</v>
      </c>
      <c r="BN10" s="133" t="s">
        <v>859</v>
      </c>
      <c r="BO10" s="133" t="s">
        <v>860</v>
      </c>
      <c r="BP10" s="133" t="s">
        <v>861</v>
      </c>
      <c r="BQ10" s="134"/>
      <c r="BR10" s="133" t="s">
        <v>862</v>
      </c>
      <c r="BS10" s="133" t="s">
        <v>863</v>
      </c>
      <c r="BT10" s="133" t="s">
        <v>864</v>
      </c>
      <c r="BU10" s="133" t="s">
        <v>865</v>
      </c>
      <c r="BV10" s="134"/>
      <c r="BW10" s="133" t="s">
        <v>866</v>
      </c>
      <c r="BX10" s="133" t="s">
        <v>867</v>
      </c>
    </row>
    <row r="11" customFormat="false" ht="15" hidden="false" customHeight="false" outlineLevel="0" collapsed="false">
      <c r="A11" s="133" t="s">
        <v>868</v>
      </c>
      <c r="J11" s="133" t="s">
        <v>869</v>
      </c>
      <c r="K11" s="133" t="s">
        <v>164</v>
      </c>
      <c r="M11" s="133" t="s">
        <v>870</v>
      </c>
      <c r="P11" s="133" t="n">
        <v>2020</v>
      </c>
      <c r="R11" s="133" t="s">
        <v>470</v>
      </c>
      <c r="T11" s="133" t="s">
        <v>871</v>
      </c>
      <c r="U11" s="133" t="s">
        <v>872</v>
      </c>
      <c r="V11" s="133" t="s">
        <v>873</v>
      </c>
      <c r="W11" s="133" t="s">
        <v>874</v>
      </c>
      <c r="X11" s="133" t="s">
        <v>875</v>
      </c>
      <c r="Y11" s="133" t="s">
        <v>876</v>
      </c>
      <c r="Z11" s="133" t="s">
        <v>877</v>
      </c>
      <c r="AA11" s="133" t="s">
        <v>878</v>
      </c>
      <c r="AB11" s="133" t="s">
        <v>879</v>
      </c>
      <c r="AC11" s="133" t="s">
        <v>880</v>
      </c>
      <c r="AD11" s="133" t="s">
        <v>881</v>
      </c>
      <c r="AE11" s="133" t="s">
        <v>882</v>
      </c>
      <c r="AF11" s="134"/>
      <c r="AG11" s="133" t="s">
        <v>883</v>
      </c>
      <c r="AH11" s="133" t="s">
        <v>884</v>
      </c>
      <c r="AI11" s="133" t="s">
        <v>885</v>
      </c>
      <c r="AJ11" s="133" t="s">
        <v>886</v>
      </c>
      <c r="AK11" s="134"/>
      <c r="AL11" s="133" t="s">
        <v>478</v>
      </c>
      <c r="AM11" s="133" t="s">
        <v>887</v>
      </c>
      <c r="AN11" s="133" t="s">
        <v>888</v>
      </c>
      <c r="AO11" s="133" t="s">
        <v>889</v>
      </c>
      <c r="AP11" s="133" t="s">
        <v>890</v>
      </c>
      <c r="AQ11" s="133" t="s">
        <v>891</v>
      </c>
      <c r="AR11" s="133" t="s">
        <v>892</v>
      </c>
      <c r="AS11" s="133" t="s">
        <v>893</v>
      </c>
      <c r="AT11" s="133" t="s">
        <v>894</v>
      </c>
      <c r="AU11" s="133" t="s">
        <v>895</v>
      </c>
      <c r="AV11" s="134"/>
      <c r="AW11" s="134"/>
      <c r="AX11" s="133" t="s">
        <v>896</v>
      </c>
      <c r="AY11" s="133" t="s">
        <v>897</v>
      </c>
      <c r="AZ11" s="133" t="s">
        <v>898</v>
      </c>
      <c r="BA11" s="133" t="s">
        <v>899</v>
      </c>
      <c r="BB11" s="133" t="s">
        <v>900</v>
      </c>
      <c r="BC11" s="133" t="s">
        <v>901</v>
      </c>
      <c r="BD11" s="133" t="s">
        <v>902</v>
      </c>
      <c r="BE11" s="133" t="s">
        <v>903</v>
      </c>
      <c r="BF11" s="133" t="s">
        <v>904</v>
      </c>
      <c r="BG11" s="133" t="s">
        <v>905</v>
      </c>
      <c r="BH11" s="134"/>
      <c r="BI11" s="133" t="s">
        <v>906</v>
      </c>
      <c r="BJ11" s="133" t="s">
        <v>907</v>
      </c>
      <c r="BK11" s="133" t="s">
        <v>908</v>
      </c>
      <c r="BL11" s="134"/>
      <c r="BM11" s="133" t="s">
        <v>909</v>
      </c>
      <c r="BN11" s="133" t="s">
        <v>910</v>
      </c>
      <c r="BO11" s="133" t="s">
        <v>911</v>
      </c>
      <c r="BP11" s="133" t="s">
        <v>912</v>
      </c>
      <c r="BQ11" s="134"/>
      <c r="BR11" s="133" t="s">
        <v>913</v>
      </c>
      <c r="BS11" s="133" t="s">
        <v>914</v>
      </c>
      <c r="BT11" s="134"/>
      <c r="BU11" s="133" t="s">
        <v>915</v>
      </c>
      <c r="BV11" s="134"/>
      <c r="BW11" s="133" t="s">
        <v>916</v>
      </c>
      <c r="BX11" s="133" t="s">
        <v>917</v>
      </c>
    </row>
    <row r="12" customFormat="false" ht="15" hidden="false" customHeight="false" outlineLevel="0" collapsed="false">
      <c r="A12" s="133" t="s">
        <v>918</v>
      </c>
      <c r="J12" s="133" t="s">
        <v>919</v>
      </c>
      <c r="K12" s="133" t="s">
        <v>166</v>
      </c>
      <c r="M12" s="133" t="s">
        <v>920</v>
      </c>
      <c r="P12" s="133" t="n">
        <v>2019</v>
      </c>
      <c r="R12" s="133" t="s">
        <v>471</v>
      </c>
      <c r="T12" s="133" t="s">
        <v>921</v>
      </c>
      <c r="U12" s="134"/>
      <c r="V12" s="133" t="s">
        <v>922</v>
      </c>
      <c r="W12" s="133" t="s">
        <v>923</v>
      </c>
      <c r="X12" s="133" t="s">
        <v>924</v>
      </c>
      <c r="Y12" s="133" t="s">
        <v>925</v>
      </c>
      <c r="Z12" s="133" t="s">
        <v>926</v>
      </c>
      <c r="AA12" s="133" t="s">
        <v>927</v>
      </c>
      <c r="AB12" s="133" t="s">
        <v>928</v>
      </c>
      <c r="AC12" s="133" t="s">
        <v>929</v>
      </c>
      <c r="AD12" s="133" t="s">
        <v>930</v>
      </c>
      <c r="AE12" s="133" t="s">
        <v>931</v>
      </c>
      <c r="AF12" s="134"/>
      <c r="AG12" s="133" t="s">
        <v>932</v>
      </c>
      <c r="AH12" s="133" t="s">
        <v>933</v>
      </c>
      <c r="AI12" s="133" t="s">
        <v>934</v>
      </c>
      <c r="AJ12" s="133" t="s">
        <v>935</v>
      </c>
      <c r="AK12" s="134"/>
      <c r="AL12" s="133" t="s">
        <v>936</v>
      </c>
      <c r="AM12" s="133" t="s">
        <v>937</v>
      </c>
      <c r="AN12" s="133" t="s">
        <v>938</v>
      </c>
      <c r="AO12" s="133" t="s">
        <v>939</v>
      </c>
      <c r="AP12" s="133" t="s">
        <v>940</v>
      </c>
      <c r="AQ12" s="133" t="s">
        <v>941</v>
      </c>
      <c r="AR12" s="133" t="s">
        <v>942</v>
      </c>
      <c r="AS12" s="133" t="s">
        <v>943</v>
      </c>
      <c r="AT12" s="133" t="s">
        <v>944</v>
      </c>
      <c r="AU12" s="133" t="s">
        <v>945</v>
      </c>
      <c r="AV12" s="134"/>
      <c r="AW12" s="134"/>
      <c r="AX12" s="133" t="s">
        <v>946</v>
      </c>
      <c r="AY12" s="133" t="s">
        <v>947</v>
      </c>
      <c r="AZ12" s="133" t="s">
        <v>948</v>
      </c>
      <c r="BA12" s="133" t="s">
        <v>949</v>
      </c>
      <c r="BB12" s="133" t="s">
        <v>950</v>
      </c>
      <c r="BC12" s="133" t="s">
        <v>951</v>
      </c>
      <c r="BD12" s="133" t="s">
        <v>952</v>
      </c>
      <c r="BE12" s="133" t="s">
        <v>953</v>
      </c>
      <c r="BF12" s="133" t="s">
        <v>954</v>
      </c>
      <c r="BG12" s="134"/>
      <c r="BH12" s="134"/>
      <c r="BI12" s="133" t="s">
        <v>955</v>
      </c>
      <c r="BJ12" s="133" t="s">
        <v>956</v>
      </c>
      <c r="BK12" s="133" t="s">
        <v>957</v>
      </c>
      <c r="BL12" s="134"/>
      <c r="BM12" s="133" t="s">
        <v>958</v>
      </c>
      <c r="BN12" s="134"/>
      <c r="BO12" s="133" t="s">
        <v>959</v>
      </c>
      <c r="BP12" s="133" t="s">
        <v>960</v>
      </c>
      <c r="BQ12" s="134"/>
      <c r="BR12" s="133" t="s">
        <v>961</v>
      </c>
      <c r="BS12" s="133" t="s">
        <v>962</v>
      </c>
      <c r="BT12" s="134"/>
      <c r="BU12" s="133" t="s">
        <v>963</v>
      </c>
      <c r="BV12" s="134"/>
      <c r="BW12" s="133" t="s">
        <v>964</v>
      </c>
      <c r="BX12" s="133" t="s">
        <v>965</v>
      </c>
    </row>
    <row r="13" customFormat="false" ht="15" hidden="false" customHeight="false" outlineLevel="0" collapsed="false">
      <c r="A13" s="133" t="s">
        <v>966</v>
      </c>
      <c r="J13" s="133" t="s">
        <v>967</v>
      </c>
      <c r="K13" s="133" t="s">
        <v>163</v>
      </c>
      <c r="M13" s="133" t="s">
        <v>968</v>
      </c>
      <c r="P13" s="133" t="n">
        <v>2018</v>
      </c>
      <c r="R13" s="133" t="s">
        <v>472</v>
      </c>
      <c r="T13" s="133" t="s">
        <v>969</v>
      </c>
      <c r="U13" s="134"/>
      <c r="V13" s="133" t="s">
        <v>970</v>
      </c>
      <c r="W13" s="133" t="s">
        <v>971</v>
      </c>
      <c r="X13" s="133" t="s">
        <v>972</v>
      </c>
      <c r="Y13" s="133" t="s">
        <v>973</v>
      </c>
      <c r="Z13" s="133" t="s">
        <v>974</v>
      </c>
      <c r="AA13" s="133" t="s">
        <v>975</v>
      </c>
      <c r="AB13" s="133" t="s">
        <v>976</v>
      </c>
      <c r="AC13" s="133" t="s">
        <v>977</v>
      </c>
      <c r="AD13" s="133" t="s">
        <v>978</v>
      </c>
      <c r="AE13" s="133" t="s">
        <v>979</v>
      </c>
      <c r="AF13" s="134"/>
      <c r="AG13" s="133" t="s">
        <v>980</v>
      </c>
      <c r="AH13" s="134"/>
      <c r="AI13" s="133" t="s">
        <v>981</v>
      </c>
      <c r="AJ13" s="133" t="s">
        <v>982</v>
      </c>
      <c r="AK13" s="134"/>
      <c r="AL13" s="133" t="s">
        <v>983</v>
      </c>
      <c r="AM13" s="133" t="s">
        <v>984</v>
      </c>
      <c r="AN13" s="133" t="s">
        <v>985</v>
      </c>
      <c r="AO13" s="133" t="s">
        <v>986</v>
      </c>
      <c r="AP13" s="133" t="s">
        <v>987</v>
      </c>
      <c r="AQ13" s="133" t="s">
        <v>988</v>
      </c>
      <c r="AR13" s="133" t="s">
        <v>989</v>
      </c>
      <c r="AS13" s="133" t="s">
        <v>990</v>
      </c>
      <c r="AT13" s="133" t="s">
        <v>991</v>
      </c>
      <c r="AU13" s="133" t="s">
        <v>992</v>
      </c>
      <c r="AV13" s="134"/>
      <c r="AW13" s="134"/>
      <c r="AX13" s="133" t="s">
        <v>993</v>
      </c>
      <c r="AY13" s="133" t="s">
        <v>994</v>
      </c>
      <c r="AZ13" s="133" t="s">
        <v>995</v>
      </c>
      <c r="BA13" s="133" t="s">
        <v>996</v>
      </c>
      <c r="BB13" s="133" t="s">
        <v>997</v>
      </c>
      <c r="BC13" s="133" t="s">
        <v>998</v>
      </c>
      <c r="BD13" s="133" t="s">
        <v>999</v>
      </c>
      <c r="BE13" s="133" t="s">
        <v>1000</v>
      </c>
      <c r="BF13" s="133" t="s">
        <v>1001</v>
      </c>
      <c r="BG13" s="134"/>
      <c r="BH13" s="134"/>
      <c r="BI13" s="133" t="s">
        <v>1002</v>
      </c>
      <c r="BJ13" s="133" t="s">
        <v>1003</v>
      </c>
      <c r="BK13" s="133" t="s">
        <v>930</v>
      </c>
      <c r="BL13" s="134"/>
      <c r="BM13" s="134"/>
      <c r="BN13" s="134"/>
      <c r="BO13" s="133" t="s">
        <v>1004</v>
      </c>
      <c r="BP13" s="134"/>
      <c r="BQ13" s="134"/>
      <c r="BR13" s="133" t="s">
        <v>1005</v>
      </c>
      <c r="BS13" s="133" t="s">
        <v>1006</v>
      </c>
      <c r="BT13" s="134"/>
      <c r="BU13" s="133" t="s">
        <v>1007</v>
      </c>
      <c r="BV13" s="134"/>
      <c r="BW13" s="133" t="s">
        <v>1008</v>
      </c>
      <c r="BX13" s="133" t="s">
        <v>1009</v>
      </c>
    </row>
    <row r="14" customFormat="false" ht="15" hidden="false" customHeight="false" outlineLevel="0" collapsed="false">
      <c r="A14" s="133" t="s">
        <v>1010</v>
      </c>
      <c r="J14" s="133" t="s">
        <v>1011</v>
      </c>
      <c r="K14" s="133" t="s">
        <v>163</v>
      </c>
      <c r="M14" s="133" t="s">
        <v>1012</v>
      </c>
      <c r="P14" s="133" t="n">
        <v>2017</v>
      </c>
      <c r="R14" s="133" t="s">
        <v>473</v>
      </c>
      <c r="T14" s="133" t="s">
        <v>1013</v>
      </c>
      <c r="U14" s="134"/>
      <c r="V14" s="133" t="s">
        <v>1014</v>
      </c>
      <c r="W14" s="133" t="s">
        <v>1015</v>
      </c>
      <c r="X14" s="133" t="s">
        <v>1016</v>
      </c>
      <c r="Y14" s="133" t="s">
        <v>1017</v>
      </c>
      <c r="Z14" s="133" t="s">
        <v>1018</v>
      </c>
      <c r="AA14" s="133" t="s">
        <v>1019</v>
      </c>
      <c r="AB14" s="133" t="s">
        <v>1020</v>
      </c>
      <c r="AC14" s="133" t="s">
        <v>1021</v>
      </c>
      <c r="AD14" s="133" t="s">
        <v>1022</v>
      </c>
      <c r="AE14" s="133" t="s">
        <v>1023</v>
      </c>
      <c r="AF14" s="134"/>
      <c r="AG14" s="133" t="s">
        <v>1024</v>
      </c>
      <c r="AH14" s="134"/>
      <c r="AI14" s="133" t="s">
        <v>1025</v>
      </c>
      <c r="AJ14" s="133" t="s">
        <v>1026</v>
      </c>
      <c r="AK14" s="134"/>
      <c r="AL14" s="133" t="s">
        <v>1027</v>
      </c>
      <c r="AM14" s="133" t="s">
        <v>1028</v>
      </c>
      <c r="AN14" s="133" t="s">
        <v>1029</v>
      </c>
      <c r="AO14" s="133" t="s">
        <v>1030</v>
      </c>
      <c r="AP14" s="133" t="s">
        <v>1031</v>
      </c>
      <c r="AQ14" s="133" t="s">
        <v>1032</v>
      </c>
      <c r="AR14" s="134"/>
      <c r="AS14" s="133" t="s">
        <v>1033</v>
      </c>
      <c r="AT14" s="133" t="s">
        <v>1034</v>
      </c>
      <c r="AU14" s="133" t="s">
        <v>1035</v>
      </c>
      <c r="AV14" s="134"/>
      <c r="AW14" s="134"/>
      <c r="AX14" s="133" t="s">
        <v>1036</v>
      </c>
      <c r="AY14" s="133" t="s">
        <v>1037</v>
      </c>
      <c r="AZ14" s="133" t="s">
        <v>1038</v>
      </c>
      <c r="BA14" s="133" t="s">
        <v>1039</v>
      </c>
      <c r="BB14" s="133" t="s">
        <v>1040</v>
      </c>
      <c r="BC14" s="133" t="s">
        <v>1041</v>
      </c>
      <c r="BD14" s="133" t="s">
        <v>1042</v>
      </c>
      <c r="BE14" s="133" t="s">
        <v>1043</v>
      </c>
      <c r="BF14" s="133" t="s">
        <v>1044</v>
      </c>
      <c r="BG14" s="134"/>
      <c r="BH14" s="134"/>
      <c r="BI14" s="133" t="s">
        <v>1045</v>
      </c>
      <c r="BJ14" s="133" t="s">
        <v>1046</v>
      </c>
      <c r="BK14" s="134"/>
      <c r="BL14" s="134"/>
      <c r="BM14" s="134"/>
      <c r="BN14" s="134"/>
      <c r="BO14" s="133" t="s">
        <v>1047</v>
      </c>
      <c r="BP14" s="134"/>
      <c r="BQ14" s="134"/>
      <c r="BR14" s="133" t="s">
        <v>1048</v>
      </c>
      <c r="BS14" s="133" t="s">
        <v>1049</v>
      </c>
      <c r="BT14" s="134"/>
      <c r="BU14" s="133" t="s">
        <v>1050</v>
      </c>
      <c r="BV14" s="134"/>
      <c r="BW14" s="133" t="s">
        <v>1051</v>
      </c>
      <c r="BX14" s="133" t="s">
        <v>1052</v>
      </c>
    </row>
    <row r="15" customFormat="false" ht="15" hidden="false" customHeight="false" outlineLevel="0" collapsed="false">
      <c r="A15" s="133" t="s">
        <v>1053</v>
      </c>
      <c r="J15" s="133" t="s">
        <v>1054</v>
      </c>
      <c r="K15" s="133" t="s">
        <v>163</v>
      </c>
      <c r="M15" s="133" t="s">
        <v>1055</v>
      </c>
      <c r="P15" s="133" t="n">
        <v>2016</v>
      </c>
      <c r="R15" s="133" t="s">
        <v>474</v>
      </c>
      <c r="T15" s="133" t="s">
        <v>1056</v>
      </c>
      <c r="U15" s="134"/>
      <c r="V15" s="133" t="s">
        <v>1057</v>
      </c>
      <c r="W15" s="133" t="s">
        <v>1058</v>
      </c>
      <c r="X15" s="134"/>
      <c r="Y15" s="133" t="s">
        <v>1059</v>
      </c>
      <c r="Z15" s="133" t="s">
        <v>1060</v>
      </c>
      <c r="AA15" s="133" t="s">
        <v>1061</v>
      </c>
      <c r="AB15" s="133" t="s">
        <v>1062</v>
      </c>
      <c r="AC15" s="133" t="s">
        <v>1063</v>
      </c>
      <c r="AD15" s="133" t="s">
        <v>1064</v>
      </c>
      <c r="AE15" s="133" t="s">
        <v>1065</v>
      </c>
      <c r="AF15" s="134"/>
      <c r="AG15" s="133" t="s">
        <v>1066</v>
      </c>
      <c r="AH15" s="134"/>
      <c r="AI15" s="133" t="s">
        <v>1067</v>
      </c>
      <c r="AJ15" s="133" t="s">
        <v>1068</v>
      </c>
      <c r="AK15" s="134"/>
      <c r="AL15" s="133" t="s">
        <v>1069</v>
      </c>
      <c r="AM15" s="133" t="s">
        <v>1070</v>
      </c>
      <c r="AN15" s="133" t="s">
        <v>1071</v>
      </c>
      <c r="AO15" s="133" t="s">
        <v>1072</v>
      </c>
      <c r="AP15" s="133" t="s">
        <v>1073</v>
      </c>
      <c r="AQ15" s="133" t="s">
        <v>1074</v>
      </c>
      <c r="AR15" s="134"/>
      <c r="AS15" s="133" t="s">
        <v>1075</v>
      </c>
      <c r="AT15" s="133" t="s">
        <v>1076</v>
      </c>
      <c r="AU15" s="133" t="s">
        <v>1077</v>
      </c>
      <c r="AV15" s="134"/>
      <c r="AW15" s="134"/>
      <c r="AX15" s="134"/>
      <c r="AY15" s="133" t="s">
        <v>1078</v>
      </c>
      <c r="AZ15" s="133" t="s">
        <v>1079</v>
      </c>
      <c r="BA15" s="133" t="s">
        <v>1080</v>
      </c>
      <c r="BB15" s="133" t="s">
        <v>1081</v>
      </c>
      <c r="BC15" s="133" t="s">
        <v>1082</v>
      </c>
      <c r="BD15" s="133" t="s">
        <v>1083</v>
      </c>
      <c r="BE15" s="133" t="s">
        <v>1084</v>
      </c>
      <c r="BF15" s="133" t="s">
        <v>1085</v>
      </c>
      <c r="BG15" s="134"/>
      <c r="BH15" s="134"/>
      <c r="BI15" s="133" t="s">
        <v>1086</v>
      </c>
      <c r="BJ15" s="133" t="s">
        <v>1087</v>
      </c>
      <c r="BK15" s="134"/>
      <c r="BL15" s="134"/>
      <c r="BM15" s="134"/>
      <c r="BN15" s="134"/>
      <c r="BO15" s="133" t="s">
        <v>1088</v>
      </c>
      <c r="BP15" s="134"/>
      <c r="BQ15" s="134"/>
      <c r="BR15" s="133" t="s">
        <v>1089</v>
      </c>
      <c r="BS15" s="133" t="s">
        <v>1090</v>
      </c>
      <c r="BT15" s="134"/>
      <c r="BU15" s="133" t="s">
        <v>1091</v>
      </c>
      <c r="BV15" s="134"/>
      <c r="BW15" s="133" t="s">
        <v>1092</v>
      </c>
      <c r="BX15" s="133" t="s">
        <v>1093</v>
      </c>
    </row>
    <row r="16" customFormat="false" ht="15" hidden="false" customHeight="false" outlineLevel="0" collapsed="false">
      <c r="A16" s="133" t="s">
        <v>1094</v>
      </c>
      <c r="J16" s="133" t="s">
        <v>1095</v>
      </c>
      <c r="K16" s="133" t="s">
        <v>163</v>
      </c>
      <c r="M16" s="133" t="s">
        <v>1096</v>
      </c>
      <c r="P16" s="133" t="n">
        <v>2015</v>
      </c>
      <c r="R16" s="133" t="s">
        <v>475</v>
      </c>
      <c r="T16" s="133" t="s">
        <v>1097</v>
      </c>
      <c r="U16" s="134"/>
      <c r="V16" s="133" t="s">
        <v>1098</v>
      </c>
      <c r="W16" s="133" t="s">
        <v>1099</v>
      </c>
      <c r="X16" s="134"/>
      <c r="Y16" s="133" t="s">
        <v>1100</v>
      </c>
      <c r="Z16" s="133" t="s">
        <v>1101</v>
      </c>
      <c r="AA16" s="133" t="s">
        <v>1102</v>
      </c>
      <c r="AB16" s="133" t="s">
        <v>1103</v>
      </c>
      <c r="AC16" s="133" t="s">
        <v>1104</v>
      </c>
      <c r="AD16" s="133" t="s">
        <v>1105</v>
      </c>
      <c r="AE16" s="133" t="s">
        <v>1106</v>
      </c>
      <c r="AF16" s="134"/>
      <c r="AG16" s="133" t="s">
        <v>1107</v>
      </c>
      <c r="AH16" s="134"/>
      <c r="AI16" s="133" t="s">
        <v>1108</v>
      </c>
      <c r="AJ16" s="133" t="s">
        <v>1109</v>
      </c>
      <c r="AK16" s="134"/>
      <c r="AL16" s="133" t="s">
        <v>1110</v>
      </c>
      <c r="AM16" s="133" t="s">
        <v>1111</v>
      </c>
      <c r="AN16" s="133" t="s">
        <v>1112</v>
      </c>
      <c r="AO16" s="133" t="s">
        <v>1113</v>
      </c>
      <c r="AP16" s="133" t="s">
        <v>1114</v>
      </c>
      <c r="AQ16" s="133" t="s">
        <v>1115</v>
      </c>
      <c r="AR16" s="134"/>
      <c r="AS16" s="134"/>
      <c r="AT16" s="133" t="s">
        <v>1116</v>
      </c>
      <c r="AU16" s="133" t="s">
        <v>1117</v>
      </c>
      <c r="AV16" s="134"/>
      <c r="AW16" s="134"/>
      <c r="AX16" s="134"/>
      <c r="AY16" s="133" t="s">
        <v>1118</v>
      </c>
      <c r="AZ16" s="133" t="s">
        <v>1119</v>
      </c>
      <c r="BA16" s="133" t="s">
        <v>1120</v>
      </c>
      <c r="BB16" s="133" t="s">
        <v>1121</v>
      </c>
      <c r="BC16" s="134"/>
      <c r="BD16" s="133" t="s">
        <v>1122</v>
      </c>
      <c r="BE16" s="133" t="s">
        <v>1123</v>
      </c>
      <c r="BF16" s="133" t="s">
        <v>1124</v>
      </c>
      <c r="BG16" s="134"/>
      <c r="BH16" s="134"/>
      <c r="BI16" s="133" t="s">
        <v>1125</v>
      </c>
      <c r="BJ16" s="133" t="s">
        <v>1126</v>
      </c>
      <c r="BK16" s="134"/>
      <c r="BL16" s="134"/>
      <c r="BM16" s="134"/>
      <c r="BN16" s="134"/>
      <c r="BO16" s="133" t="s">
        <v>1127</v>
      </c>
      <c r="BP16" s="134"/>
      <c r="BQ16" s="134"/>
      <c r="BR16" s="133" t="s">
        <v>1128</v>
      </c>
      <c r="BS16" s="133" t="s">
        <v>1129</v>
      </c>
      <c r="BT16" s="134"/>
      <c r="BU16" s="133" t="s">
        <v>1130</v>
      </c>
      <c r="BV16" s="134"/>
      <c r="BW16" s="133" t="s">
        <v>1131</v>
      </c>
      <c r="BX16" s="133" t="s">
        <v>1132</v>
      </c>
    </row>
    <row r="17" customFormat="false" ht="15" hidden="false" customHeight="false" outlineLevel="0" collapsed="false">
      <c r="A17" s="133" t="s">
        <v>1133</v>
      </c>
      <c r="J17" s="133" t="s">
        <v>1134</v>
      </c>
      <c r="K17" s="133" t="s">
        <v>165</v>
      </c>
      <c r="M17" s="133" t="s">
        <v>1135</v>
      </c>
      <c r="P17" s="133" t="n">
        <v>2014</v>
      </c>
      <c r="R17" s="133" t="s">
        <v>476</v>
      </c>
      <c r="T17" s="133" t="s">
        <v>1136</v>
      </c>
      <c r="U17" s="134"/>
      <c r="V17" s="134"/>
      <c r="W17" s="133" t="s">
        <v>1137</v>
      </c>
      <c r="X17" s="134"/>
      <c r="Y17" s="133" t="s">
        <v>1138</v>
      </c>
      <c r="Z17" s="133" t="s">
        <v>1139</v>
      </c>
      <c r="AA17" s="133" t="s">
        <v>1140</v>
      </c>
      <c r="AB17" s="133" t="s">
        <v>1141</v>
      </c>
      <c r="AC17" s="133" t="s">
        <v>1142</v>
      </c>
      <c r="AD17" s="133" t="s">
        <v>1143</v>
      </c>
      <c r="AE17" s="133" t="s">
        <v>1144</v>
      </c>
      <c r="AF17" s="134"/>
      <c r="AG17" s="133" t="s">
        <v>1145</v>
      </c>
      <c r="AH17" s="134"/>
      <c r="AI17" s="133" t="s">
        <v>1146</v>
      </c>
      <c r="AJ17" s="133" t="s">
        <v>1147</v>
      </c>
      <c r="AK17" s="134"/>
      <c r="AL17" s="133" t="s">
        <v>1148</v>
      </c>
      <c r="AM17" s="133" t="s">
        <v>1149</v>
      </c>
      <c r="AN17" s="134"/>
      <c r="AO17" s="133" t="s">
        <v>1150</v>
      </c>
      <c r="AP17" s="133" t="s">
        <v>1151</v>
      </c>
      <c r="AQ17" s="133" t="s">
        <v>1152</v>
      </c>
      <c r="AR17" s="134"/>
      <c r="AS17" s="134"/>
      <c r="AT17" s="133" t="s">
        <v>1153</v>
      </c>
      <c r="AU17" s="133" t="s">
        <v>1154</v>
      </c>
      <c r="AV17" s="134"/>
      <c r="AW17" s="134"/>
      <c r="AX17" s="134"/>
      <c r="AY17" s="133" t="s">
        <v>1155</v>
      </c>
      <c r="AZ17" s="134"/>
      <c r="BA17" s="133" t="s">
        <v>1156</v>
      </c>
      <c r="BB17" s="134"/>
      <c r="BC17" s="134"/>
      <c r="BD17" s="133" t="s">
        <v>1157</v>
      </c>
      <c r="BE17" s="133" t="s">
        <v>1158</v>
      </c>
      <c r="BF17" s="134"/>
      <c r="BG17" s="134"/>
      <c r="BH17" s="134"/>
      <c r="BI17" s="133" t="s">
        <v>1159</v>
      </c>
      <c r="BJ17" s="133" t="s">
        <v>1160</v>
      </c>
      <c r="BK17" s="134"/>
      <c r="BL17" s="134"/>
      <c r="BM17" s="134"/>
      <c r="BN17" s="134"/>
      <c r="BO17" s="133" t="s">
        <v>1161</v>
      </c>
      <c r="BP17" s="134"/>
      <c r="BQ17" s="134"/>
      <c r="BR17" s="133" t="s">
        <v>1162</v>
      </c>
      <c r="BS17" s="133" t="s">
        <v>1163</v>
      </c>
      <c r="BT17" s="134"/>
      <c r="BU17" s="133" t="s">
        <v>1164</v>
      </c>
      <c r="BV17" s="134"/>
      <c r="BW17" s="133" t="s">
        <v>1165</v>
      </c>
      <c r="BX17" s="133" t="s">
        <v>1166</v>
      </c>
    </row>
    <row r="18" customFormat="false" ht="15" hidden="false" customHeight="false" outlineLevel="0" collapsed="false">
      <c r="A18" s="133" t="s">
        <v>1167</v>
      </c>
      <c r="J18" s="133" t="s">
        <v>1168</v>
      </c>
      <c r="K18" s="133" t="s">
        <v>163</v>
      </c>
      <c r="M18" s="133" t="s">
        <v>1169</v>
      </c>
      <c r="P18" s="133" t="n">
        <v>2013</v>
      </c>
      <c r="R18" s="133" t="s">
        <v>477</v>
      </c>
      <c r="T18" s="133" t="s">
        <v>1170</v>
      </c>
      <c r="U18" s="134"/>
      <c r="V18" s="134"/>
      <c r="W18" s="133" t="s">
        <v>1171</v>
      </c>
      <c r="X18" s="134"/>
      <c r="Y18" s="133" t="s">
        <v>1172</v>
      </c>
      <c r="Z18" s="133" t="s">
        <v>1173</v>
      </c>
      <c r="AA18" s="133" t="s">
        <v>1174</v>
      </c>
      <c r="AB18" s="133" t="s">
        <v>1175</v>
      </c>
      <c r="AC18" s="133" t="s">
        <v>905</v>
      </c>
      <c r="AD18" s="133" t="s">
        <v>1176</v>
      </c>
      <c r="AE18" s="133" t="s">
        <v>1177</v>
      </c>
      <c r="AF18" s="134"/>
      <c r="AG18" s="133" t="s">
        <v>1178</v>
      </c>
      <c r="AH18" s="134"/>
      <c r="AI18" s="133" t="s">
        <v>1179</v>
      </c>
      <c r="AJ18" s="133" t="s">
        <v>1180</v>
      </c>
      <c r="AK18" s="134"/>
      <c r="AL18" s="133" t="s">
        <v>1181</v>
      </c>
      <c r="AM18" s="133" t="s">
        <v>1182</v>
      </c>
      <c r="AN18" s="134"/>
      <c r="AO18" s="133" t="s">
        <v>1183</v>
      </c>
      <c r="AP18" s="133" t="s">
        <v>1184</v>
      </c>
      <c r="AQ18" s="133" t="s">
        <v>1185</v>
      </c>
      <c r="AR18" s="134"/>
      <c r="AS18" s="134"/>
      <c r="AT18" s="133" t="s">
        <v>1186</v>
      </c>
      <c r="AU18" s="133" t="s">
        <v>1187</v>
      </c>
      <c r="AV18" s="134"/>
      <c r="AW18" s="134"/>
      <c r="AX18" s="134"/>
      <c r="AY18" s="133" t="s">
        <v>1188</v>
      </c>
      <c r="AZ18" s="134"/>
      <c r="BA18" s="133" t="s">
        <v>1189</v>
      </c>
      <c r="BB18" s="134"/>
      <c r="BC18" s="134"/>
      <c r="BD18" s="133" t="s">
        <v>1190</v>
      </c>
      <c r="BE18" s="133" t="s">
        <v>1191</v>
      </c>
      <c r="BF18" s="134"/>
      <c r="BG18" s="134"/>
      <c r="BH18" s="134"/>
      <c r="BI18" s="133" t="s">
        <v>1192</v>
      </c>
      <c r="BJ18" s="133" t="s">
        <v>1193</v>
      </c>
      <c r="BK18" s="134"/>
      <c r="BL18" s="134"/>
      <c r="BM18" s="134"/>
      <c r="BN18" s="134"/>
      <c r="BO18" s="133" t="s">
        <v>1194</v>
      </c>
      <c r="BP18" s="134"/>
      <c r="BQ18" s="134"/>
      <c r="BR18" s="133" t="s">
        <v>1195</v>
      </c>
      <c r="BS18" s="133" t="s">
        <v>1196</v>
      </c>
      <c r="BT18" s="134"/>
      <c r="BU18" s="133" t="s">
        <v>1197</v>
      </c>
      <c r="BV18" s="134"/>
      <c r="BW18" s="133" t="s">
        <v>1198</v>
      </c>
      <c r="BX18" s="133" t="s">
        <v>1199</v>
      </c>
    </row>
    <row r="19" customFormat="false" ht="15" hidden="false" customHeight="false" outlineLevel="0" collapsed="false">
      <c r="A19" s="133" t="s">
        <v>1200</v>
      </c>
      <c r="J19" s="133" t="s">
        <v>1201</v>
      </c>
      <c r="K19" s="133" t="s">
        <v>163</v>
      </c>
      <c r="M19" s="133" t="s">
        <v>1202</v>
      </c>
      <c r="P19" s="133" t="n">
        <v>2012</v>
      </c>
      <c r="R19" s="133" t="s">
        <v>478</v>
      </c>
      <c r="T19" s="133" t="s">
        <v>1203</v>
      </c>
      <c r="U19" s="134"/>
      <c r="V19" s="134"/>
      <c r="W19" s="133" t="s">
        <v>1204</v>
      </c>
      <c r="X19" s="134"/>
      <c r="Y19" s="133" t="s">
        <v>1205</v>
      </c>
      <c r="Z19" s="133" t="s">
        <v>1206</v>
      </c>
      <c r="AA19" s="133" t="s">
        <v>1207</v>
      </c>
      <c r="AB19" s="133" t="s">
        <v>1208</v>
      </c>
      <c r="AC19" s="133" t="s">
        <v>1209</v>
      </c>
      <c r="AD19" s="133" t="s">
        <v>745</v>
      </c>
      <c r="AE19" s="133" t="s">
        <v>1210</v>
      </c>
      <c r="AF19" s="134"/>
      <c r="AG19" s="133" t="s">
        <v>1211</v>
      </c>
      <c r="AH19" s="134"/>
      <c r="AI19" s="133" t="s">
        <v>1212</v>
      </c>
      <c r="AJ19" s="133" t="s">
        <v>1213</v>
      </c>
      <c r="AK19" s="134"/>
      <c r="AL19" s="133" t="s">
        <v>1214</v>
      </c>
      <c r="AM19" s="133" t="s">
        <v>1215</v>
      </c>
      <c r="AN19" s="134"/>
      <c r="AO19" s="133" t="s">
        <v>1216</v>
      </c>
      <c r="AP19" s="133" t="s">
        <v>1217</v>
      </c>
      <c r="AQ19" s="133" t="s">
        <v>1218</v>
      </c>
      <c r="AR19" s="134"/>
      <c r="AS19" s="134"/>
      <c r="AT19" s="133" t="s">
        <v>1219</v>
      </c>
      <c r="AU19" s="133" t="s">
        <v>1220</v>
      </c>
      <c r="AV19" s="134"/>
      <c r="AW19" s="134"/>
      <c r="AX19" s="134"/>
      <c r="AY19" s="133" t="s">
        <v>1221</v>
      </c>
      <c r="AZ19" s="134"/>
      <c r="BA19" s="133" t="s">
        <v>1222</v>
      </c>
      <c r="BB19" s="134"/>
      <c r="BC19" s="134"/>
      <c r="BD19" s="133" t="s">
        <v>1223</v>
      </c>
      <c r="BE19" s="133" t="s">
        <v>1224</v>
      </c>
      <c r="BF19" s="134"/>
      <c r="BG19" s="134"/>
      <c r="BH19" s="134"/>
      <c r="BI19" s="133" t="s">
        <v>1225</v>
      </c>
      <c r="BJ19" s="133" t="s">
        <v>1226</v>
      </c>
      <c r="BK19" s="134"/>
      <c r="BL19" s="134"/>
      <c r="BM19" s="134"/>
      <c r="BN19" s="134"/>
      <c r="BO19" s="134"/>
      <c r="BP19" s="134"/>
      <c r="BQ19" s="134"/>
      <c r="BR19" s="133" t="s">
        <v>1227</v>
      </c>
      <c r="BS19" s="133" t="s">
        <v>1228</v>
      </c>
      <c r="BT19" s="134"/>
      <c r="BU19" s="133" t="s">
        <v>1229</v>
      </c>
      <c r="BV19" s="134"/>
      <c r="BW19" s="133" t="s">
        <v>1230</v>
      </c>
      <c r="BX19" s="133" t="s">
        <v>1231</v>
      </c>
    </row>
    <row r="20" customFormat="false" ht="15" hidden="false" customHeight="false" outlineLevel="0" collapsed="false">
      <c r="A20" s="133" t="s">
        <v>1232</v>
      </c>
      <c r="J20" s="133" t="s">
        <v>1233</v>
      </c>
      <c r="K20" s="133" t="s">
        <v>163</v>
      </c>
      <c r="M20" s="133" t="s">
        <v>1234</v>
      </c>
      <c r="P20" s="133" t="n">
        <v>2011</v>
      </c>
      <c r="R20" s="133" t="s">
        <v>479</v>
      </c>
      <c r="T20" s="133" t="s">
        <v>1235</v>
      </c>
      <c r="U20" s="134"/>
      <c r="V20" s="134"/>
      <c r="W20" s="133" t="s">
        <v>1236</v>
      </c>
      <c r="X20" s="134"/>
      <c r="Y20" s="133" t="s">
        <v>1237</v>
      </c>
      <c r="Z20" s="133" t="s">
        <v>1238</v>
      </c>
      <c r="AA20" s="133" t="s">
        <v>1239</v>
      </c>
      <c r="AB20" s="133" t="s">
        <v>1240</v>
      </c>
      <c r="AC20" s="133" t="s">
        <v>1241</v>
      </c>
      <c r="AD20" s="133" t="s">
        <v>1242</v>
      </c>
      <c r="AE20" s="133" t="s">
        <v>1243</v>
      </c>
      <c r="AF20" s="134"/>
      <c r="AG20" s="133" t="s">
        <v>1244</v>
      </c>
      <c r="AH20" s="134"/>
      <c r="AI20" s="133" t="s">
        <v>1245</v>
      </c>
      <c r="AJ20" s="133" t="s">
        <v>1246</v>
      </c>
      <c r="AK20" s="134"/>
      <c r="AL20" s="133" t="s">
        <v>1247</v>
      </c>
      <c r="AM20" s="133" t="s">
        <v>1248</v>
      </c>
      <c r="AN20" s="134"/>
      <c r="AO20" s="133" t="s">
        <v>1249</v>
      </c>
      <c r="AP20" s="134"/>
      <c r="AQ20" s="133" t="s">
        <v>1250</v>
      </c>
      <c r="AR20" s="134"/>
      <c r="AS20" s="134"/>
      <c r="AT20" s="133" t="s">
        <v>1251</v>
      </c>
      <c r="AU20" s="133" t="s">
        <v>1252</v>
      </c>
      <c r="AV20" s="134"/>
      <c r="AW20" s="134"/>
      <c r="AX20" s="134"/>
      <c r="AY20" s="133" t="s">
        <v>1253</v>
      </c>
      <c r="AZ20" s="134"/>
      <c r="BA20" s="133" t="s">
        <v>1254</v>
      </c>
      <c r="BB20" s="134"/>
      <c r="BC20" s="134"/>
      <c r="BD20" s="134"/>
      <c r="BE20" s="133" t="s">
        <v>1255</v>
      </c>
      <c r="BF20" s="134"/>
      <c r="BG20" s="134"/>
      <c r="BH20" s="134"/>
      <c r="BI20" s="133" t="s">
        <v>1256</v>
      </c>
      <c r="BJ20" s="133" t="s">
        <v>1257</v>
      </c>
      <c r="BK20" s="134"/>
      <c r="BL20" s="134"/>
      <c r="BM20" s="134"/>
      <c r="BN20" s="134"/>
      <c r="BO20" s="134"/>
      <c r="BP20" s="134"/>
      <c r="BQ20" s="134"/>
      <c r="BR20" s="133" t="s">
        <v>1258</v>
      </c>
      <c r="BS20" s="134"/>
      <c r="BT20" s="134"/>
      <c r="BU20" s="133" t="s">
        <v>1259</v>
      </c>
      <c r="BV20" s="134"/>
      <c r="BW20" s="133" t="s">
        <v>1260</v>
      </c>
      <c r="BX20" s="133" t="s">
        <v>1261</v>
      </c>
    </row>
    <row r="21" customFormat="false" ht="15" hidden="false" customHeight="false" outlineLevel="0" collapsed="false">
      <c r="A21" s="134"/>
      <c r="J21" s="133" t="s">
        <v>1262</v>
      </c>
      <c r="K21" s="133" t="s">
        <v>163</v>
      </c>
      <c r="M21" s="133" t="s">
        <v>1263</v>
      </c>
      <c r="P21" s="133" t="n">
        <v>2010</v>
      </c>
      <c r="R21" s="133" t="s">
        <v>480</v>
      </c>
      <c r="T21" s="133" t="s">
        <v>1264</v>
      </c>
      <c r="U21" s="134"/>
      <c r="V21" s="134"/>
      <c r="W21" s="133" t="s">
        <v>1265</v>
      </c>
      <c r="X21" s="134"/>
      <c r="Y21" s="133" t="s">
        <v>1266</v>
      </c>
      <c r="Z21" s="133" t="s">
        <v>1267</v>
      </c>
      <c r="AA21" s="133" t="s">
        <v>1268</v>
      </c>
      <c r="AB21" s="133" t="s">
        <v>1269</v>
      </c>
      <c r="AC21" s="133" t="s">
        <v>1270</v>
      </c>
      <c r="AD21" s="133" t="s">
        <v>1271</v>
      </c>
      <c r="AE21" s="133" t="s">
        <v>1272</v>
      </c>
      <c r="AF21" s="134"/>
      <c r="AG21" s="133" t="s">
        <v>1273</v>
      </c>
      <c r="AH21" s="134"/>
      <c r="AI21" s="133" t="s">
        <v>1274</v>
      </c>
      <c r="AJ21" s="133" t="s">
        <v>1275</v>
      </c>
      <c r="AK21" s="134"/>
      <c r="AL21" s="133" t="s">
        <v>1276</v>
      </c>
      <c r="AM21" s="133" t="s">
        <v>1277</v>
      </c>
      <c r="AN21" s="134"/>
      <c r="AO21" s="133" t="s">
        <v>1278</v>
      </c>
      <c r="AP21" s="134"/>
      <c r="AQ21" s="133" t="s">
        <v>1279</v>
      </c>
      <c r="AR21" s="134"/>
      <c r="AS21" s="134"/>
      <c r="AT21" s="133" t="s">
        <v>1280</v>
      </c>
      <c r="AU21" s="134"/>
      <c r="AV21" s="134"/>
      <c r="AW21" s="134"/>
      <c r="AX21" s="134"/>
      <c r="AY21" s="133" t="s">
        <v>1281</v>
      </c>
      <c r="AZ21" s="134"/>
      <c r="BA21" s="133" t="s">
        <v>1282</v>
      </c>
      <c r="BB21" s="134"/>
      <c r="BC21" s="134"/>
      <c r="BD21" s="134"/>
      <c r="BE21" s="133" t="s">
        <v>1283</v>
      </c>
      <c r="BF21" s="134"/>
      <c r="BG21" s="134"/>
      <c r="BH21" s="134"/>
      <c r="BI21" s="134"/>
      <c r="BJ21" s="134"/>
      <c r="BK21" s="134"/>
      <c r="BL21" s="134"/>
      <c r="BM21" s="134"/>
      <c r="BN21" s="134"/>
      <c r="BO21" s="134"/>
      <c r="BP21" s="134"/>
      <c r="BQ21" s="134"/>
      <c r="BR21" s="134"/>
      <c r="BS21" s="134"/>
      <c r="BT21" s="134"/>
      <c r="BU21" s="133" t="s">
        <v>1284</v>
      </c>
      <c r="BV21" s="134"/>
      <c r="BW21" s="133" t="s">
        <v>1285</v>
      </c>
      <c r="BX21" s="133" t="s">
        <v>1286</v>
      </c>
    </row>
    <row r="22" customFormat="false" ht="15" hidden="false" customHeight="false" outlineLevel="0" collapsed="false">
      <c r="A22" s="134"/>
      <c r="J22" s="133" t="s">
        <v>1287</v>
      </c>
      <c r="K22" s="133" t="s">
        <v>165</v>
      </c>
      <c r="M22" s="133" t="s">
        <v>1288</v>
      </c>
      <c r="P22" s="133" t="n">
        <v>2009</v>
      </c>
      <c r="R22" s="133" t="s">
        <v>481</v>
      </c>
      <c r="T22" s="133" t="s">
        <v>1289</v>
      </c>
      <c r="U22" s="134"/>
      <c r="V22" s="134"/>
      <c r="W22" s="133" t="s">
        <v>1290</v>
      </c>
      <c r="X22" s="134"/>
      <c r="Y22" s="133" t="s">
        <v>1291</v>
      </c>
      <c r="Z22" s="133" t="s">
        <v>1292</v>
      </c>
      <c r="AA22" s="133" t="s">
        <v>1293</v>
      </c>
      <c r="AB22" s="133" t="s">
        <v>1294</v>
      </c>
      <c r="AC22" s="134"/>
      <c r="AD22" s="133" t="s">
        <v>1295</v>
      </c>
      <c r="AE22" s="133" t="s">
        <v>1296</v>
      </c>
      <c r="AF22" s="134"/>
      <c r="AG22" s="133" t="s">
        <v>1297</v>
      </c>
      <c r="AH22" s="134"/>
      <c r="AI22" s="133" t="s">
        <v>1298</v>
      </c>
      <c r="AJ22" s="133" t="s">
        <v>1299</v>
      </c>
      <c r="AK22" s="134"/>
      <c r="AL22" s="133" t="s">
        <v>1300</v>
      </c>
      <c r="AM22" s="133" t="s">
        <v>1301</v>
      </c>
      <c r="AN22" s="134"/>
      <c r="AO22" s="134"/>
      <c r="AP22" s="134"/>
      <c r="AQ22" s="133" t="s">
        <v>1302</v>
      </c>
      <c r="AR22" s="134"/>
      <c r="AS22" s="134"/>
      <c r="AT22" s="133" t="s">
        <v>1303</v>
      </c>
      <c r="AU22" s="134"/>
      <c r="AV22" s="134"/>
      <c r="AW22" s="134"/>
      <c r="AX22" s="134"/>
      <c r="AY22" s="133" t="s">
        <v>1304</v>
      </c>
      <c r="AZ22" s="134"/>
      <c r="BA22" s="133" t="s">
        <v>1305</v>
      </c>
      <c r="BB22" s="134"/>
      <c r="BC22" s="134"/>
      <c r="BD22" s="134"/>
      <c r="BE22" s="133" t="s">
        <v>1306</v>
      </c>
      <c r="BF22" s="134"/>
      <c r="BG22" s="134"/>
      <c r="BH22" s="134"/>
      <c r="BI22" s="134"/>
      <c r="BJ22" s="134"/>
      <c r="BK22" s="134"/>
      <c r="BL22" s="134"/>
      <c r="BM22" s="134"/>
      <c r="BN22" s="134"/>
      <c r="BO22" s="134"/>
      <c r="BP22" s="134"/>
      <c r="BQ22" s="134"/>
      <c r="BR22" s="134"/>
      <c r="BS22" s="134"/>
      <c r="BT22" s="134"/>
      <c r="BU22" s="133" t="s">
        <v>1307</v>
      </c>
      <c r="BV22" s="134"/>
      <c r="BW22" s="133" t="s">
        <v>1308</v>
      </c>
      <c r="BX22" s="133" t="s">
        <v>1309</v>
      </c>
    </row>
    <row r="23" customFormat="false" ht="15" hidden="false" customHeight="false" outlineLevel="0" collapsed="false">
      <c r="J23" s="133" t="s">
        <v>1310</v>
      </c>
      <c r="K23" s="133" t="s">
        <v>165</v>
      </c>
      <c r="M23" s="133" t="s">
        <v>1311</v>
      </c>
      <c r="P23" s="133" t="n">
        <v>2008</v>
      </c>
      <c r="R23" s="133" t="s">
        <v>482</v>
      </c>
      <c r="T23" s="134"/>
      <c r="U23" s="134"/>
      <c r="V23" s="134"/>
      <c r="W23" s="133" t="s">
        <v>1312</v>
      </c>
      <c r="X23" s="134"/>
      <c r="Y23" s="133" t="s">
        <v>1313</v>
      </c>
      <c r="Z23" s="133" t="s">
        <v>1314</v>
      </c>
      <c r="AA23" s="133" t="s">
        <v>1315</v>
      </c>
      <c r="AB23" s="133" t="s">
        <v>1316</v>
      </c>
      <c r="AC23" s="134"/>
      <c r="AD23" s="133" t="s">
        <v>1317</v>
      </c>
      <c r="AE23" s="133" t="s">
        <v>1318</v>
      </c>
      <c r="AF23" s="134"/>
      <c r="AG23" s="133" t="s">
        <v>1319</v>
      </c>
      <c r="AH23" s="134"/>
      <c r="AI23" s="133" t="s">
        <v>1320</v>
      </c>
      <c r="AJ23" s="133" t="s">
        <v>1321</v>
      </c>
      <c r="AK23" s="134"/>
      <c r="AL23" s="133" t="s">
        <v>1322</v>
      </c>
      <c r="AM23" s="133" t="s">
        <v>1323</v>
      </c>
      <c r="AN23" s="134"/>
      <c r="AO23" s="134"/>
      <c r="AP23" s="134"/>
      <c r="AQ23" s="133" t="s">
        <v>1324</v>
      </c>
      <c r="AR23" s="134"/>
      <c r="AS23" s="134"/>
      <c r="AT23" s="133" t="s">
        <v>1325</v>
      </c>
      <c r="AU23" s="134"/>
      <c r="AV23" s="134"/>
      <c r="AW23" s="134"/>
      <c r="AX23" s="134"/>
      <c r="AY23" s="133" t="s">
        <v>1326</v>
      </c>
      <c r="AZ23" s="134"/>
      <c r="BA23" s="133" t="s">
        <v>1327</v>
      </c>
      <c r="BB23" s="134"/>
      <c r="BC23" s="134"/>
      <c r="BD23" s="134"/>
      <c r="BE23" s="133" t="s">
        <v>1328</v>
      </c>
      <c r="BF23" s="134"/>
      <c r="BG23" s="134"/>
      <c r="BH23" s="134"/>
      <c r="BI23" s="134"/>
      <c r="BJ23" s="134"/>
      <c r="BK23" s="134"/>
      <c r="BL23" s="134"/>
      <c r="BM23" s="134"/>
      <c r="BN23" s="134"/>
      <c r="BO23" s="134"/>
      <c r="BP23" s="134"/>
      <c r="BQ23" s="134"/>
      <c r="BR23" s="134"/>
      <c r="BS23" s="134"/>
      <c r="BT23" s="134"/>
      <c r="BU23" s="133" t="s">
        <v>1329</v>
      </c>
      <c r="BV23" s="134"/>
      <c r="BW23" s="133" t="s">
        <v>1330</v>
      </c>
      <c r="BX23" s="133" t="s">
        <v>1331</v>
      </c>
    </row>
    <row r="24" customFormat="false" ht="15" hidden="false" customHeight="false" outlineLevel="0" collapsed="false">
      <c r="A24" s="134"/>
      <c r="C24" s="60" t="s">
        <v>1332</v>
      </c>
      <c r="E24" s="11" t="s">
        <v>1333</v>
      </c>
      <c r="J24" s="133" t="s">
        <v>1334</v>
      </c>
      <c r="K24" s="133" t="s">
        <v>165</v>
      </c>
      <c r="M24" s="133" t="s">
        <v>1335</v>
      </c>
      <c r="P24" s="133" t="n">
        <v>2007</v>
      </c>
      <c r="R24" s="133" t="s">
        <v>483</v>
      </c>
      <c r="T24" s="134"/>
      <c r="U24" s="134"/>
      <c r="V24" s="134"/>
      <c r="W24" s="133" t="s">
        <v>1336</v>
      </c>
      <c r="X24" s="134"/>
      <c r="Y24" s="133" t="s">
        <v>1337</v>
      </c>
      <c r="Z24" s="133" t="s">
        <v>1338</v>
      </c>
      <c r="AA24" s="133" t="s">
        <v>1339</v>
      </c>
      <c r="AB24" s="133" t="s">
        <v>1340</v>
      </c>
      <c r="AC24" s="134"/>
      <c r="AD24" s="133" t="s">
        <v>1341</v>
      </c>
      <c r="AE24" s="133" t="s">
        <v>1342</v>
      </c>
      <c r="AF24" s="134"/>
      <c r="AG24" s="133" t="s">
        <v>1343</v>
      </c>
      <c r="AH24" s="134"/>
      <c r="AI24" s="133" t="s">
        <v>1344</v>
      </c>
      <c r="AJ24" s="134"/>
      <c r="AK24" s="134"/>
      <c r="AL24" s="133" t="s">
        <v>1345</v>
      </c>
      <c r="AM24" s="133" t="s">
        <v>1346</v>
      </c>
      <c r="AN24" s="134"/>
      <c r="AO24" s="134"/>
      <c r="AP24" s="134"/>
      <c r="AQ24" s="133" t="s">
        <v>1347</v>
      </c>
      <c r="AR24" s="134"/>
      <c r="AS24" s="134"/>
      <c r="AT24" s="133" t="s">
        <v>1348</v>
      </c>
      <c r="AU24" s="134"/>
      <c r="AV24" s="134"/>
      <c r="AW24" s="134"/>
      <c r="AX24" s="134"/>
      <c r="AY24" s="133" t="s">
        <v>1349</v>
      </c>
      <c r="AZ24" s="134"/>
      <c r="BA24" s="133" t="s">
        <v>1350</v>
      </c>
      <c r="BB24" s="134"/>
      <c r="BC24" s="134"/>
      <c r="BD24" s="134"/>
      <c r="BE24" s="133" t="s">
        <v>1351</v>
      </c>
      <c r="BF24" s="134"/>
      <c r="BG24" s="134"/>
      <c r="BH24" s="134"/>
      <c r="BI24" s="134"/>
      <c r="BJ24" s="134"/>
      <c r="BK24" s="134"/>
      <c r="BL24" s="134"/>
      <c r="BM24" s="134"/>
      <c r="BN24" s="134"/>
      <c r="BO24" s="134"/>
      <c r="BP24" s="134"/>
      <c r="BQ24" s="134"/>
      <c r="BR24" s="134"/>
      <c r="BS24" s="134"/>
      <c r="BT24" s="134"/>
      <c r="BU24" s="133" t="s">
        <v>1352</v>
      </c>
      <c r="BV24" s="134"/>
      <c r="BW24" s="133" t="s">
        <v>1353</v>
      </c>
      <c r="BX24" s="133" t="s">
        <v>1354</v>
      </c>
    </row>
    <row r="25" customFormat="false" ht="15" hidden="false" customHeight="false" outlineLevel="0" collapsed="false">
      <c r="A25" s="134"/>
      <c r="C25" s="60" t="s">
        <v>1355</v>
      </c>
      <c r="E25" s="133" t="s">
        <v>1356</v>
      </c>
      <c r="F25" s="135" t="n">
        <v>0.5</v>
      </c>
      <c r="J25" s="133" t="s">
        <v>1357</v>
      </c>
      <c r="K25" s="133" t="s">
        <v>165</v>
      </c>
      <c r="M25" s="133" t="s">
        <v>1358</v>
      </c>
      <c r="P25" s="133" t="n">
        <v>2006</v>
      </c>
      <c r="R25" s="133" t="s">
        <v>484</v>
      </c>
      <c r="T25" s="134"/>
      <c r="U25" s="134"/>
      <c r="V25" s="134"/>
      <c r="W25" s="133" t="s">
        <v>1359</v>
      </c>
      <c r="X25" s="134"/>
      <c r="Y25" s="133" t="s">
        <v>1360</v>
      </c>
      <c r="Z25" s="134"/>
      <c r="AA25" s="133" t="s">
        <v>1361</v>
      </c>
      <c r="AB25" s="133" t="s">
        <v>1362</v>
      </c>
      <c r="AC25" s="134"/>
      <c r="AD25" s="133" t="s">
        <v>1363</v>
      </c>
      <c r="AE25" s="133" t="s">
        <v>1364</v>
      </c>
      <c r="AF25" s="134"/>
      <c r="AG25" s="133" t="s">
        <v>1365</v>
      </c>
      <c r="AH25" s="134"/>
      <c r="AI25" s="134"/>
      <c r="AJ25" s="134"/>
      <c r="AK25" s="134"/>
      <c r="AL25" s="133" t="s">
        <v>1366</v>
      </c>
      <c r="AM25" s="133" t="s">
        <v>1367</v>
      </c>
      <c r="AN25" s="134"/>
      <c r="AO25" s="134"/>
      <c r="AP25" s="134"/>
      <c r="AQ25" s="133" t="s">
        <v>1368</v>
      </c>
      <c r="AR25" s="134"/>
      <c r="AS25" s="134"/>
      <c r="AT25" s="133" t="s">
        <v>1369</v>
      </c>
      <c r="AU25" s="134"/>
      <c r="AV25" s="134"/>
      <c r="AW25" s="134"/>
      <c r="AX25" s="134"/>
      <c r="AY25" s="133" t="s">
        <v>1370</v>
      </c>
      <c r="AZ25" s="134"/>
      <c r="BA25" s="133" t="s">
        <v>1371</v>
      </c>
      <c r="BB25" s="134"/>
      <c r="BC25" s="134"/>
      <c r="BD25" s="134"/>
      <c r="BE25" s="133" t="s">
        <v>1372</v>
      </c>
      <c r="BF25" s="134"/>
      <c r="BG25" s="134"/>
      <c r="BH25" s="134"/>
      <c r="BI25" s="134"/>
      <c r="BJ25" s="134"/>
      <c r="BK25" s="134"/>
      <c r="BL25" s="134"/>
      <c r="BM25" s="134"/>
      <c r="BN25" s="134"/>
      <c r="BO25" s="134"/>
      <c r="BP25" s="134"/>
      <c r="BQ25" s="134"/>
      <c r="BR25" s="134"/>
      <c r="BS25" s="134"/>
      <c r="BT25" s="134"/>
      <c r="BU25" s="133" t="s">
        <v>1373</v>
      </c>
      <c r="BV25" s="134"/>
      <c r="BW25" s="133" t="s">
        <v>1374</v>
      </c>
      <c r="BX25" s="133" t="s">
        <v>1375</v>
      </c>
    </row>
    <row r="26" customFormat="false" ht="15" hidden="false" customHeight="false" outlineLevel="0" collapsed="false">
      <c r="E26" s="133" t="s">
        <v>1376</v>
      </c>
      <c r="F26" s="135" t="n">
        <v>0.5</v>
      </c>
      <c r="J26" s="133" t="s">
        <v>1377</v>
      </c>
      <c r="K26" s="133" t="s">
        <v>166</v>
      </c>
      <c r="M26" s="133" t="s">
        <v>1378</v>
      </c>
      <c r="P26" s="133" t="n">
        <v>2005</v>
      </c>
      <c r="R26" s="133" t="s">
        <v>485</v>
      </c>
      <c r="T26" s="134"/>
      <c r="U26" s="134"/>
      <c r="V26" s="134"/>
      <c r="W26" s="133" t="s">
        <v>1379</v>
      </c>
      <c r="X26" s="134"/>
      <c r="Y26" s="133" t="s">
        <v>1380</v>
      </c>
      <c r="Z26" s="134"/>
      <c r="AA26" s="133" t="s">
        <v>1381</v>
      </c>
      <c r="AB26" s="133" t="s">
        <v>1382</v>
      </c>
      <c r="AC26" s="134"/>
      <c r="AD26" s="133" t="s">
        <v>1383</v>
      </c>
      <c r="AE26" s="133" t="s">
        <v>1384</v>
      </c>
      <c r="AF26" s="134"/>
      <c r="AG26" s="133" t="s">
        <v>1385</v>
      </c>
      <c r="AH26" s="134"/>
      <c r="AI26" s="134"/>
      <c r="AJ26" s="134"/>
      <c r="AK26" s="134"/>
      <c r="AL26" s="133" t="s">
        <v>1386</v>
      </c>
      <c r="AM26" s="133" t="s">
        <v>1387</v>
      </c>
      <c r="AN26" s="134"/>
      <c r="AO26" s="134"/>
      <c r="AP26" s="134"/>
      <c r="AQ26" s="133" t="s">
        <v>1388</v>
      </c>
      <c r="AR26" s="134"/>
      <c r="AS26" s="134"/>
      <c r="AT26" s="133" t="s">
        <v>1389</v>
      </c>
      <c r="AU26" s="134"/>
      <c r="AV26" s="134"/>
      <c r="AW26" s="134"/>
      <c r="AX26" s="134"/>
      <c r="AY26" s="133" t="s">
        <v>1390</v>
      </c>
      <c r="AZ26" s="134"/>
      <c r="BA26" s="133" t="s">
        <v>1391</v>
      </c>
      <c r="BB26" s="134"/>
      <c r="BC26" s="134"/>
      <c r="BD26" s="134"/>
      <c r="BE26" s="133" t="s">
        <v>1392</v>
      </c>
      <c r="BF26" s="134"/>
      <c r="BG26" s="134"/>
      <c r="BH26" s="134"/>
      <c r="BI26" s="134"/>
      <c r="BJ26" s="134"/>
      <c r="BK26" s="134"/>
      <c r="BL26" s="134"/>
      <c r="BM26" s="134"/>
      <c r="BN26" s="134"/>
      <c r="BO26" s="134"/>
      <c r="BP26" s="134"/>
      <c r="BQ26" s="134"/>
      <c r="BR26" s="134"/>
      <c r="BS26" s="134"/>
      <c r="BT26" s="134"/>
      <c r="BU26" s="133" t="s">
        <v>1393</v>
      </c>
      <c r="BV26" s="134"/>
      <c r="BW26" s="133" t="s">
        <v>1394</v>
      </c>
      <c r="BX26" s="133" t="s">
        <v>1395</v>
      </c>
    </row>
    <row r="27" customFormat="false" ht="15" hidden="false" customHeight="false" outlineLevel="0" collapsed="false">
      <c r="E27" s="133" t="s">
        <v>1396</v>
      </c>
      <c r="F27" s="135" t="n">
        <v>0.33</v>
      </c>
      <c r="J27" s="133" t="s">
        <v>1397</v>
      </c>
      <c r="K27" s="133" t="s">
        <v>163</v>
      </c>
      <c r="M27" s="133" t="s">
        <v>1398</v>
      </c>
      <c r="P27" s="133" t="n">
        <v>2004</v>
      </c>
      <c r="R27" s="133" t="s">
        <v>486</v>
      </c>
      <c r="T27" s="134"/>
      <c r="U27" s="134"/>
      <c r="V27" s="134"/>
      <c r="W27" s="133" t="s">
        <v>1399</v>
      </c>
      <c r="X27" s="134"/>
      <c r="Y27" s="133" t="s">
        <v>1400</v>
      </c>
      <c r="Z27" s="134"/>
      <c r="AA27" s="133" t="s">
        <v>1401</v>
      </c>
      <c r="AB27" s="133" t="s">
        <v>1402</v>
      </c>
      <c r="AC27" s="134"/>
      <c r="AD27" s="133" t="s">
        <v>1403</v>
      </c>
      <c r="AE27" s="133" t="s">
        <v>1404</v>
      </c>
      <c r="AF27" s="134"/>
      <c r="AG27" s="133" t="s">
        <v>1405</v>
      </c>
      <c r="AH27" s="134"/>
      <c r="AI27" s="134"/>
      <c r="AJ27" s="134"/>
      <c r="AK27" s="134"/>
      <c r="AL27" s="133" t="s">
        <v>1406</v>
      </c>
      <c r="AM27" s="133" t="s">
        <v>1407</v>
      </c>
      <c r="AN27" s="134"/>
      <c r="AO27" s="134"/>
      <c r="AP27" s="134"/>
      <c r="AQ27" s="133" t="s">
        <v>1408</v>
      </c>
      <c r="AR27" s="134"/>
      <c r="AS27" s="134"/>
      <c r="AT27" s="133" t="s">
        <v>1409</v>
      </c>
      <c r="AU27" s="134"/>
      <c r="AV27" s="134"/>
      <c r="AW27" s="134"/>
      <c r="AX27" s="134"/>
      <c r="AY27" s="133" t="s">
        <v>1410</v>
      </c>
      <c r="AZ27" s="134"/>
      <c r="BA27" s="133" t="s">
        <v>1411</v>
      </c>
      <c r="BB27" s="134"/>
      <c r="BC27" s="134"/>
      <c r="BD27" s="134"/>
      <c r="BE27" s="133" t="s">
        <v>1412</v>
      </c>
      <c r="BF27" s="134"/>
      <c r="BG27" s="134"/>
      <c r="BH27" s="134"/>
      <c r="BI27" s="134"/>
      <c r="BJ27" s="134"/>
      <c r="BK27" s="134"/>
      <c r="BL27" s="134"/>
      <c r="BM27" s="134"/>
      <c r="BN27" s="134"/>
      <c r="BO27" s="134"/>
      <c r="BP27" s="134"/>
      <c r="BQ27" s="134"/>
      <c r="BR27" s="134"/>
      <c r="BS27" s="134"/>
      <c r="BT27" s="134"/>
      <c r="BU27" s="133" t="s">
        <v>1413</v>
      </c>
      <c r="BV27" s="134"/>
      <c r="BW27" s="133" t="s">
        <v>1414</v>
      </c>
      <c r="BX27" s="133" t="s">
        <v>1415</v>
      </c>
    </row>
    <row r="28" customFormat="false" ht="15" hidden="false" customHeight="false" outlineLevel="0" collapsed="false">
      <c r="E28" s="133" t="s">
        <v>1416</v>
      </c>
      <c r="F28" s="136" t="n">
        <v>1</v>
      </c>
      <c r="J28" s="133" t="s">
        <v>1417</v>
      </c>
      <c r="K28" s="133" t="s">
        <v>166</v>
      </c>
      <c r="M28" s="133" t="s">
        <v>1418</v>
      </c>
      <c r="P28" s="133" t="n">
        <v>2003</v>
      </c>
      <c r="R28" s="133" t="s">
        <v>487</v>
      </c>
      <c r="T28" s="134"/>
      <c r="U28" s="134"/>
      <c r="V28" s="134"/>
      <c r="W28" s="133" t="s">
        <v>1419</v>
      </c>
      <c r="X28" s="134"/>
      <c r="Y28" s="133" t="s">
        <v>1420</v>
      </c>
      <c r="Z28" s="134"/>
      <c r="AA28" s="133" t="s">
        <v>1421</v>
      </c>
      <c r="AB28" s="133" t="s">
        <v>1422</v>
      </c>
      <c r="AC28" s="134"/>
      <c r="AD28" s="133" t="s">
        <v>1423</v>
      </c>
      <c r="AE28" s="133" t="s">
        <v>1424</v>
      </c>
      <c r="AF28" s="134"/>
      <c r="AG28" s="133" t="s">
        <v>1425</v>
      </c>
      <c r="AH28" s="134"/>
      <c r="AI28" s="134"/>
      <c r="AJ28" s="134"/>
      <c r="AK28" s="134"/>
      <c r="AL28" s="133" t="s">
        <v>1426</v>
      </c>
      <c r="AM28" s="133" t="s">
        <v>1427</v>
      </c>
      <c r="AN28" s="134"/>
      <c r="AO28" s="134"/>
      <c r="AP28" s="134"/>
      <c r="AQ28" s="134"/>
      <c r="AR28" s="134"/>
      <c r="AS28" s="134"/>
      <c r="AT28" s="133" t="s">
        <v>1428</v>
      </c>
      <c r="AU28" s="134"/>
      <c r="AV28" s="134"/>
      <c r="AW28" s="134"/>
      <c r="AX28" s="134"/>
      <c r="AY28" s="133" t="s">
        <v>1429</v>
      </c>
      <c r="AZ28" s="134"/>
      <c r="BA28" s="133" t="s">
        <v>1430</v>
      </c>
      <c r="BB28" s="134"/>
      <c r="BC28" s="134"/>
      <c r="BD28" s="134"/>
      <c r="BE28" s="133" t="s">
        <v>1431</v>
      </c>
      <c r="BF28" s="134"/>
      <c r="BG28" s="134"/>
      <c r="BH28" s="134"/>
      <c r="BI28" s="134"/>
      <c r="BJ28" s="134"/>
      <c r="BK28" s="134"/>
      <c r="BL28" s="134"/>
      <c r="BM28" s="134"/>
      <c r="BN28" s="134"/>
      <c r="BO28" s="134"/>
      <c r="BP28" s="134"/>
      <c r="BQ28" s="134"/>
      <c r="BR28" s="134"/>
      <c r="BS28" s="134"/>
      <c r="BT28" s="134"/>
      <c r="BU28" s="133" t="s">
        <v>1432</v>
      </c>
      <c r="BV28" s="134"/>
      <c r="BW28" s="133" t="s">
        <v>1433</v>
      </c>
      <c r="BX28" s="133" t="s">
        <v>1434</v>
      </c>
    </row>
    <row r="29" customFormat="false" ht="15" hidden="false" customHeight="false" outlineLevel="0" collapsed="false">
      <c r="E29" s="133" t="s">
        <v>1435</v>
      </c>
      <c r="F29" s="137" t="n">
        <v>500</v>
      </c>
      <c r="J29" s="133" t="s">
        <v>1436</v>
      </c>
      <c r="K29" s="133" t="s">
        <v>163</v>
      </c>
      <c r="M29" s="133" t="s">
        <v>1437</v>
      </c>
      <c r="P29" s="133" t="n">
        <v>2002</v>
      </c>
      <c r="R29" s="133" t="s">
        <v>488</v>
      </c>
      <c r="T29" s="134"/>
      <c r="U29" s="134"/>
      <c r="V29" s="134"/>
      <c r="W29" s="133" t="s">
        <v>1438</v>
      </c>
      <c r="X29" s="134"/>
      <c r="Y29" s="133" t="s">
        <v>1439</v>
      </c>
      <c r="Z29" s="134"/>
      <c r="AA29" s="133" t="s">
        <v>1440</v>
      </c>
      <c r="AB29" s="133" t="s">
        <v>1441</v>
      </c>
      <c r="AC29" s="134"/>
      <c r="AD29" s="133" t="s">
        <v>1442</v>
      </c>
      <c r="AE29" s="133" t="s">
        <v>1443</v>
      </c>
      <c r="AF29" s="134"/>
      <c r="AG29" s="133" t="s">
        <v>1444</v>
      </c>
      <c r="AH29" s="134"/>
      <c r="AI29" s="134"/>
      <c r="AJ29" s="134"/>
      <c r="AK29" s="134"/>
      <c r="AL29" s="133" t="s">
        <v>1445</v>
      </c>
      <c r="AM29" s="133" t="s">
        <v>1446</v>
      </c>
      <c r="AN29" s="134"/>
      <c r="AO29" s="134"/>
      <c r="AP29" s="134"/>
      <c r="AQ29" s="134"/>
      <c r="AR29" s="134"/>
      <c r="AS29" s="134"/>
      <c r="AT29" s="133" t="s">
        <v>1447</v>
      </c>
      <c r="AU29" s="134"/>
      <c r="AV29" s="134"/>
      <c r="AW29" s="134"/>
      <c r="AX29" s="134"/>
      <c r="AY29" s="133" t="s">
        <v>1448</v>
      </c>
      <c r="AZ29" s="134"/>
      <c r="BA29" s="133" t="s">
        <v>1449</v>
      </c>
      <c r="BB29" s="134"/>
      <c r="BC29" s="134"/>
      <c r="BD29" s="134"/>
      <c r="BE29" s="133" t="s">
        <v>1450</v>
      </c>
      <c r="BF29" s="134"/>
      <c r="BG29" s="134"/>
      <c r="BH29" s="134"/>
      <c r="BI29" s="134"/>
      <c r="BJ29" s="134"/>
      <c r="BK29" s="134"/>
      <c r="BL29" s="134"/>
      <c r="BM29" s="134"/>
      <c r="BN29" s="134"/>
      <c r="BO29" s="134"/>
      <c r="BP29" s="134"/>
      <c r="BQ29" s="134"/>
      <c r="BR29" s="134"/>
      <c r="BS29" s="134"/>
      <c r="BT29" s="134"/>
      <c r="BU29" s="133" t="s">
        <v>1451</v>
      </c>
      <c r="BV29" s="134"/>
      <c r="BW29" s="133" t="s">
        <v>1452</v>
      </c>
      <c r="BX29" s="134"/>
    </row>
    <row r="30" customFormat="false" ht="15" hidden="false" customHeight="false" outlineLevel="0" collapsed="false">
      <c r="E30" s="133" t="s">
        <v>1453</v>
      </c>
      <c r="F30" s="138" t="n">
        <v>3</v>
      </c>
      <c r="J30" s="133" t="s">
        <v>1454</v>
      </c>
      <c r="K30" s="133" t="s">
        <v>166</v>
      </c>
      <c r="M30" s="133" t="s">
        <v>1455</v>
      </c>
      <c r="P30" s="133" t="n">
        <v>2001</v>
      </c>
      <c r="R30" s="133" t="s">
        <v>489</v>
      </c>
      <c r="T30" s="134"/>
      <c r="U30" s="134"/>
      <c r="V30" s="134"/>
      <c r="W30" s="133" t="s">
        <v>1456</v>
      </c>
      <c r="X30" s="134"/>
      <c r="Y30" s="133" t="s">
        <v>1457</v>
      </c>
      <c r="Z30" s="134"/>
      <c r="AA30" s="133" t="s">
        <v>1458</v>
      </c>
      <c r="AB30" s="133" t="s">
        <v>1459</v>
      </c>
      <c r="AC30" s="134"/>
      <c r="AD30" s="133" t="s">
        <v>1460</v>
      </c>
      <c r="AE30" s="133" t="s">
        <v>1461</v>
      </c>
      <c r="AF30" s="134"/>
      <c r="AG30" s="133" t="s">
        <v>1462</v>
      </c>
      <c r="AH30" s="134"/>
      <c r="AI30" s="134"/>
      <c r="AJ30" s="134"/>
      <c r="AK30" s="134"/>
      <c r="AL30" s="134"/>
      <c r="AM30" s="133" t="s">
        <v>1463</v>
      </c>
      <c r="AN30" s="134"/>
      <c r="AO30" s="134"/>
      <c r="AP30" s="134"/>
      <c r="AQ30" s="134"/>
      <c r="AR30" s="134"/>
      <c r="AS30" s="134"/>
      <c r="AT30" s="133" t="s">
        <v>1464</v>
      </c>
      <c r="AU30" s="134"/>
      <c r="AV30" s="134"/>
      <c r="AW30" s="134"/>
      <c r="AX30" s="134"/>
      <c r="AY30" s="133" t="s">
        <v>1465</v>
      </c>
      <c r="AZ30" s="134"/>
      <c r="BA30" s="133" t="s">
        <v>1466</v>
      </c>
      <c r="BB30" s="134"/>
      <c r="BC30" s="134"/>
      <c r="BD30" s="134"/>
      <c r="BE30" s="133" t="s">
        <v>1467</v>
      </c>
      <c r="BF30" s="134"/>
      <c r="BG30" s="134"/>
      <c r="BH30" s="134"/>
      <c r="BI30" s="134"/>
      <c r="BJ30" s="134"/>
      <c r="BK30" s="134"/>
      <c r="BL30" s="134"/>
      <c r="BM30" s="134"/>
      <c r="BN30" s="134"/>
      <c r="BO30" s="134"/>
      <c r="BP30" s="134"/>
      <c r="BQ30" s="134"/>
      <c r="BR30" s="134"/>
      <c r="BS30" s="134"/>
      <c r="BT30" s="134"/>
      <c r="BU30" s="133" t="s">
        <v>1468</v>
      </c>
      <c r="BV30" s="134"/>
      <c r="BW30" s="133" t="s">
        <v>1469</v>
      </c>
      <c r="BX30" s="134"/>
    </row>
    <row r="31" customFormat="false" ht="15" hidden="false" customHeight="false" outlineLevel="0" collapsed="false">
      <c r="J31" s="133" t="s">
        <v>1470</v>
      </c>
      <c r="K31" s="133" t="s">
        <v>166</v>
      </c>
      <c r="M31" s="133" t="s">
        <v>1471</v>
      </c>
      <c r="P31" s="133" t="n">
        <v>2000</v>
      </c>
      <c r="R31" s="133" t="s">
        <v>490</v>
      </c>
      <c r="T31" s="134"/>
      <c r="U31" s="134"/>
      <c r="V31" s="134"/>
      <c r="W31" s="133" t="s">
        <v>1472</v>
      </c>
      <c r="X31" s="134"/>
      <c r="Y31" s="133" t="s">
        <v>1473</v>
      </c>
      <c r="Z31" s="134"/>
      <c r="AA31" s="133" t="s">
        <v>1474</v>
      </c>
      <c r="AB31" s="133" t="s">
        <v>1475</v>
      </c>
      <c r="AC31" s="134"/>
      <c r="AD31" s="134"/>
      <c r="AE31" s="133" t="s">
        <v>1476</v>
      </c>
      <c r="AF31" s="134"/>
      <c r="AG31" s="133" t="s">
        <v>1477</v>
      </c>
      <c r="AH31" s="134"/>
      <c r="AI31" s="134"/>
      <c r="AJ31" s="134"/>
      <c r="AK31" s="134"/>
      <c r="AL31" s="134"/>
      <c r="AM31" s="133" t="s">
        <v>1478</v>
      </c>
      <c r="AN31" s="134"/>
      <c r="AO31" s="134"/>
      <c r="AP31" s="134"/>
      <c r="AQ31" s="134"/>
      <c r="AR31" s="134"/>
      <c r="AS31" s="134"/>
      <c r="AT31" s="133" t="s">
        <v>1479</v>
      </c>
      <c r="AU31" s="134"/>
      <c r="AV31" s="134"/>
      <c r="AW31" s="134"/>
      <c r="AX31" s="134"/>
      <c r="AY31" s="134"/>
      <c r="AZ31" s="134"/>
      <c r="BA31" s="133" t="s">
        <v>1480</v>
      </c>
      <c r="BB31" s="134"/>
      <c r="BC31" s="134"/>
      <c r="BD31" s="134"/>
      <c r="BE31" s="133" t="s">
        <v>1481</v>
      </c>
      <c r="BF31" s="134"/>
      <c r="BG31" s="134"/>
      <c r="BH31" s="134"/>
      <c r="BI31" s="134"/>
      <c r="BJ31" s="134"/>
      <c r="BK31" s="134"/>
      <c r="BL31" s="134"/>
      <c r="BM31" s="134"/>
      <c r="BN31" s="134"/>
      <c r="BO31" s="134"/>
      <c r="BP31" s="134"/>
      <c r="BQ31" s="134"/>
      <c r="BR31" s="134"/>
      <c r="BS31" s="134"/>
      <c r="BT31" s="134"/>
      <c r="BU31" s="133" t="s">
        <v>1482</v>
      </c>
      <c r="BV31" s="134"/>
      <c r="BW31" s="134"/>
      <c r="BX31" s="134"/>
    </row>
    <row r="32" customFormat="false" ht="15" hidden="false" customHeight="false" outlineLevel="0" collapsed="false">
      <c r="J32" s="133" t="s">
        <v>1483</v>
      </c>
      <c r="K32" s="133" t="s">
        <v>163</v>
      </c>
      <c r="M32" s="133" t="s">
        <v>1484</v>
      </c>
      <c r="P32" s="133" t="n">
        <v>1999</v>
      </c>
      <c r="R32" s="133" t="s">
        <v>491</v>
      </c>
      <c r="T32" s="134"/>
      <c r="U32" s="134"/>
      <c r="V32" s="134"/>
      <c r="W32" s="133" t="s">
        <v>1485</v>
      </c>
      <c r="X32" s="134"/>
      <c r="Y32" s="133" t="s">
        <v>1486</v>
      </c>
      <c r="Z32" s="134"/>
      <c r="AA32" s="133" t="s">
        <v>1487</v>
      </c>
      <c r="AB32" s="133" t="s">
        <v>1488</v>
      </c>
      <c r="AC32" s="134"/>
      <c r="AD32" s="134"/>
      <c r="AE32" s="133" t="s">
        <v>1489</v>
      </c>
      <c r="AF32" s="134"/>
      <c r="AG32" s="133" t="s">
        <v>1490</v>
      </c>
      <c r="AH32" s="134"/>
      <c r="AI32" s="134"/>
      <c r="AJ32" s="134"/>
      <c r="AK32" s="134"/>
      <c r="AL32" s="134"/>
      <c r="AM32" s="133" t="s">
        <v>1491</v>
      </c>
      <c r="AN32" s="134"/>
      <c r="AO32" s="134"/>
      <c r="AP32" s="134"/>
      <c r="AQ32" s="134"/>
      <c r="AR32" s="134"/>
      <c r="AS32" s="134"/>
      <c r="AT32" s="133" t="s">
        <v>1492</v>
      </c>
      <c r="AU32" s="134"/>
      <c r="AV32" s="134"/>
      <c r="AW32" s="134"/>
      <c r="AX32" s="134"/>
      <c r="AY32" s="134"/>
      <c r="AZ32" s="134"/>
      <c r="BA32" s="133" t="s">
        <v>1493</v>
      </c>
      <c r="BB32" s="134"/>
      <c r="BC32" s="134"/>
      <c r="BD32" s="134"/>
      <c r="BE32" s="133" t="s">
        <v>1494</v>
      </c>
      <c r="BF32" s="134"/>
      <c r="BG32" s="134"/>
      <c r="BH32" s="134"/>
      <c r="BI32" s="134"/>
      <c r="BJ32" s="134"/>
      <c r="BK32" s="134"/>
      <c r="BL32" s="134"/>
      <c r="BM32" s="134"/>
      <c r="BN32" s="134"/>
      <c r="BO32" s="134"/>
      <c r="BP32" s="134"/>
      <c r="BQ32" s="134"/>
      <c r="BR32" s="134"/>
      <c r="BS32" s="134"/>
      <c r="BT32" s="134"/>
      <c r="BU32" s="133" t="s">
        <v>1495</v>
      </c>
      <c r="BV32" s="134"/>
      <c r="BW32" s="134"/>
      <c r="BX32" s="134"/>
    </row>
    <row r="33" customFormat="false" ht="15" hidden="false" customHeight="false" outlineLevel="0" collapsed="false">
      <c r="J33" s="133" t="s">
        <v>1496</v>
      </c>
      <c r="K33" s="133" t="s">
        <v>165</v>
      </c>
      <c r="M33" s="133" t="s">
        <v>1497</v>
      </c>
      <c r="P33" s="133" t="n">
        <v>1998</v>
      </c>
      <c r="R33" s="133" t="s">
        <v>492</v>
      </c>
      <c r="T33" s="134"/>
      <c r="U33" s="134"/>
      <c r="V33" s="134"/>
      <c r="W33" s="133" t="s">
        <v>1498</v>
      </c>
      <c r="X33" s="134"/>
      <c r="Y33" s="133" t="s">
        <v>1499</v>
      </c>
      <c r="Z33" s="134"/>
      <c r="AA33" s="134"/>
      <c r="AB33" s="133" t="s">
        <v>1500</v>
      </c>
      <c r="AC33" s="134"/>
      <c r="AD33" s="134"/>
      <c r="AE33" s="134"/>
      <c r="AF33" s="134"/>
      <c r="AG33" s="133" t="s">
        <v>1501</v>
      </c>
      <c r="AH33" s="134"/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3" t="s">
        <v>1502</v>
      </c>
      <c r="AU33" s="134"/>
      <c r="AV33" s="134"/>
      <c r="AW33" s="134"/>
      <c r="AX33" s="134"/>
      <c r="AY33" s="134"/>
      <c r="AZ33" s="134"/>
      <c r="BA33" s="133" t="s">
        <v>1503</v>
      </c>
      <c r="BB33" s="134"/>
      <c r="BC33" s="134"/>
      <c r="BD33" s="134"/>
      <c r="BE33" s="133" t="s">
        <v>1504</v>
      </c>
      <c r="BF33" s="134"/>
      <c r="BG33" s="134"/>
      <c r="BH33" s="134"/>
      <c r="BI33" s="134"/>
      <c r="BJ33" s="134"/>
      <c r="BK33" s="134"/>
      <c r="BL33" s="134"/>
      <c r="BM33" s="134"/>
      <c r="BN33" s="134"/>
      <c r="BO33" s="134"/>
      <c r="BP33" s="134"/>
      <c r="BQ33" s="134"/>
      <c r="BR33" s="134"/>
      <c r="BS33" s="134"/>
      <c r="BT33" s="134"/>
      <c r="BU33" s="133" t="s">
        <v>1505</v>
      </c>
      <c r="BV33" s="134"/>
      <c r="BW33" s="134"/>
      <c r="BX33" s="134"/>
    </row>
    <row r="34" customFormat="false" ht="15" hidden="false" customHeight="false" outlineLevel="0" collapsed="false">
      <c r="J34" s="133" t="s">
        <v>1506</v>
      </c>
      <c r="K34" s="133" t="s">
        <v>165</v>
      </c>
      <c r="M34" s="133" t="s">
        <v>1507</v>
      </c>
      <c r="P34" s="133" t="n">
        <v>1997</v>
      </c>
      <c r="R34" s="133" t="s">
        <v>493</v>
      </c>
      <c r="T34" s="134"/>
      <c r="U34" s="134"/>
      <c r="V34" s="134"/>
      <c r="W34" s="133" t="s">
        <v>1508</v>
      </c>
      <c r="X34" s="134"/>
      <c r="Y34" s="133" t="s">
        <v>1509</v>
      </c>
      <c r="Z34" s="134"/>
      <c r="AA34" s="134"/>
      <c r="AB34" s="133" t="s">
        <v>1510</v>
      </c>
      <c r="AC34" s="134"/>
      <c r="AD34" s="134"/>
      <c r="AE34" s="134"/>
      <c r="AF34" s="134"/>
      <c r="AG34" s="133" t="s">
        <v>1511</v>
      </c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3" t="s">
        <v>1512</v>
      </c>
      <c r="AU34" s="134"/>
      <c r="AV34" s="134"/>
      <c r="AW34" s="134"/>
      <c r="AX34" s="134"/>
      <c r="AY34" s="134"/>
      <c r="AZ34" s="134"/>
      <c r="BA34" s="133" t="s">
        <v>1513</v>
      </c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4"/>
      <c r="BO34" s="134"/>
      <c r="BP34" s="134"/>
      <c r="BQ34" s="134"/>
      <c r="BR34" s="134"/>
      <c r="BS34" s="134"/>
      <c r="BT34" s="134"/>
      <c r="BU34" s="133" t="s">
        <v>1514</v>
      </c>
      <c r="BV34" s="134"/>
      <c r="BW34" s="134"/>
      <c r="BX34" s="134"/>
    </row>
    <row r="35" customFormat="false" ht="15" hidden="false" customHeight="false" outlineLevel="0" collapsed="false">
      <c r="J35" s="133" t="s">
        <v>1515</v>
      </c>
      <c r="K35" s="133" t="s">
        <v>166</v>
      </c>
      <c r="M35" s="133" t="s">
        <v>1516</v>
      </c>
      <c r="P35" s="133" t="n">
        <v>1996</v>
      </c>
      <c r="R35" s="133" t="s">
        <v>494</v>
      </c>
      <c r="T35" s="134"/>
      <c r="U35" s="134"/>
      <c r="V35" s="134"/>
      <c r="W35" s="133" t="s">
        <v>1517</v>
      </c>
      <c r="X35" s="134"/>
      <c r="Y35" s="133" t="s">
        <v>1518</v>
      </c>
      <c r="Z35" s="134"/>
      <c r="AA35" s="134"/>
      <c r="AB35" s="133" t="s">
        <v>1519</v>
      </c>
      <c r="AC35" s="134"/>
      <c r="AD35" s="134"/>
      <c r="AE35" s="134"/>
      <c r="AF35" s="134"/>
      <c r="AG35" s="133" t="s">
        <v>1520</v>
      </c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3" t="s">
        <v>1521</v>
      </c>
      <c r="AU35" s="134"/>
      <c r="AV35" s="134"/>
      <c r="AW35" s="134"/>
      <c r="AX35" s="134"/>
      <c r="AY35" s="134"/>
      <c r="AZ35" s="134"/>
      <c r="BA35" s="133" t="s">
        <v>1522</v>
      </c>
      <c r="BB35" s="134"/>
      <c r="BC35" s="134"/>
      <c r="BD35" s="134"/>
      <c r="BE35" s="134"/>
      <c r="BF35" s="134"/>
      <c r="BG35" s="134"/>
      <c r="BH35" s="134"/>
      <c r="BI35" s="134"/>
      <c r="BJ35" s="134"/>
      <c r="BK35" s="134"/>
      <c r="BL35" s="134"/>
      <c r="BM35" s="134"/>
      <c r="BN35" s="134"/>
      <c r="BO35" s="134"/>
      <c r="BP35" s="134"/>
      <c r="BQ35" s="134"/>
      <c r="BR35" s="134"/>
      <c r="BS35" s="134"/>
      <c r="BT35" s="134"/>
      <c r="BU35" s="133" t="s">
        <v>1523</v>
      </c>
      <c r="BV35" s="134"/>
      <c r="BW35" s="134"/>
      <c r="BX35" s="134"/>
    </row>
    <row r="36" customFormat="false" ht="15" hidden="false" customHeight="false" outlineLevel="0" collapsed="false">
      <c r="J36" s="133" t="s">
        <v>1524</v>
      </c>
      <c r="K36" s="133" t="s">
        <v>165</v>
      </c>
      <c r="M36" s="133" t="s">
        <v>1525</v>
      </c>
      <c r="P36" s="133" t="n">
        <v>1995</v>
      </c>
      <c r="R36" s="133" t="s">
        <v>495</v>
      </c>
      <c r="T36" s="134"/>
      <c r="U36" s="134"/>
      <c r="V36" s="134"/>
      <c r="W36" s="133" t="s">
        <v>1526</v>
      </c>
      <c r="X36" s="134"/>
      <c r="Y36" s="133" t="s">
        <v>1527</v>
      </c>
      <c r="Z36" s="134"/>
      <c r="AA36" s="134"/>
      <c r="AB36" s="133" t="s">
        <v>1528</v>
      </c>
      <c r="AC36" s="134"/>
      <c r="AD36" s="134"/>
      <c r="AE36" s="134"/>
      <c r="AF36" s="134"/>
      <c r="AG36" s="133" t="s">
        <v>1529</v>
      </c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4"/>
      <c r="AT36" s="133" t="s">
        <v>1530</v>
      </c>
      <c r="AU36" s="134"/>
      <c r="AV36" s="134"/>
      <c r="AW36" s="134"/>
      <c r="AX36" s="134"/>
      <c r="AY36" s="134"/>
      <c r="AZ36" s="134"/>
      <c r="BA36" s="133" t="s">
        <v>1531</v>
      </c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4"/>
      <c r="BO36" s="134"/>
      <c r="BP36" s="134"/>
      <c r="BQ36" s="134"/>
      <c r="BR36" s="134"/>
      <c r="BS36" s="134"/>
      <c r="BT36" s="134"/>
      <c r="BU36" s="133" t="s">
        <v>1532</v>
      </c>
      <c r="BV36" s="134"/>
      <c r="BW36" s="134"/>
      <c r="BX36" s="134"/>
    </row>
    <row r="37" customFormat="false" ht="15" hidden="false" customHeight="false" outlineLevel="0" collapsed="false">
      <c r="J37" s="133" t="s">
        <v>1533</v>
      </c>
      <c r="K37" s="133" t="s">
        <v>165</v>
      </c>
      <c r="M37" s="133" t="s">
        <v>1534</v>
      </c>
      <c r="P37" s="134"/>
      <c r="R37" s="133" t="s">
        <v>496</v>
      </c>
      <c r="T37" s="134"/>
      <c r="U37" s="134"/>
      <c r="V37" s="134"/>
      <c r="W37" s="133" t="s">
        <v>1535</v>
      </c>
      <c r="X37" s="134"/>
      <c r="Y37" s="133" t="s">
        <v>1536</v>
      </c>
      <c r="Z37" s="134"/>
      <c r="AA37" s="134"/>
      <c r="AB37" s="133" t="s">
        <v>1537</v>
      </c>
      <c r="AC37" s="134"/>
      <c r="AD37" s="134"/>
      <c r="AE37" s="134"/>
      <c r="AF37" s="134"/>
      <c r="AG37" s="133" t="s">
        <v>1538</v>
      </c>
      <c r="AH37" s="134"/>
      <c r="AI37" s="134"/>
      <c r="AJ37" s="134"/>
      <c r="AK37" s="134"/>
      <c r="AL37" s="134"/>
      <c r="AM37" s="134"/>
      <c r="AN37" s="134"/>
      <c r="AO37" s="134"/>
      <c r="AP37" s="134"/>
      <c r="AQ37" s="134"/>
      <c r="AR37" s="134"/>
      <c r="AS37" s="134"/>
      <c r="AT37" s="133" t="s">
        <v>1539</v>
      </c>
      <c r="AU37" s="134"/>
      <c r="AV37" s="134"/>
      <c r="AW37" s="134"/>
      <c r="AX37" s="134"/>
      <c r="AY37" s="134"/>
      <c r="AZ37" s="134"/>
      <c r="BA37" s="133" t="s">
        <v>1540</v>
      </c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4"/>
      <c r="BO37" s="134"/>
      <c r="BP37" s="134"/>
      <c r="BQ37" s="134"/>
      <c r="BR37" s="134"/>
      <c r="BS37" s="134"/>
      <c r="BT37" s="134"/>
      <c r="BU37" s="133" t="s">
        <v>1541</v>
      </c>
      <c r="BV37" s="134"/>
      <c r="BW37" s="134"/>
      <c r="BX37" s="134"/>
    </row>
    <row r="38" customFormat="false" ht="15" hidden="false" customHeight="false" outlineLevel="0" collapsed="false">
      <c r="J38" s="133" t="s">
        <v>1542</v>
      </c>
      <c r="K38" s="133" t="s">
        <v>164</v>
      </c>
      <c r="M38" s="133" t="s">
        <v>1543</v>
      </c>
      <c r="P38" s="134"/>
      <c r="R38" s="133" t="s">
        <v>497</v>
      </c>
      <c r="T38" s="134"/>
      <c r="U38" s="134"/>
      <c r="V38" s="134"/>
      <c r="W38" s="133" t="s">
        <v>1544</v>
      </c>
      <c r="X38" s="134"/>
      <c r="Y38" s="133" t="s">
        <v>1545</v>
      </c>
      <c r="Z38" s="134"/>
      <c r="AA38" s="134"/>
      <c r="AB38" s="133" t="s">
        <v>1546</v>
      </c>
      <c r="AC38" s="134"/>
      <c r="AD38" s="134"/>
      <c r="AE38" s="134"/>
      <c r="AF38" s="134"/>
      <c r="AG38" s="133" t="s">
        <v>1547</v>
      </c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3" t="s">
        <v>1548</v>
      </c>
      <c r="AU38" s="134"/>
      <c r="AV38" s="134"/>
      <c r="AW38" s="134"/>
      <c r="AX38" s="134"/>
      <c r="AY38" s="134"/>
      <c r="AZ38" s="134"/>
      <c r="BA38" s="133" t="s">
        <v>1549</v>
      </c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4"/>
      <c r="BO38" s="134"/>
      <c r="BP38" s="134"/>
      <c r="BQ38" s="134"/>
      <c r="BR38" s="134"/>
      <c r="BS38" s="134"/>
      <c r="BT38" s="134"/>
      <c r="BU38" s="133" t="s">
        <v>1550</v>
      </c>
      <c r="BV38" s="134"/>
      <c r="BW38" s="134"/>
      <c r="BX38" s="134"/>
    </row>
    <row r="39" customFormat="false" ht="15" hidden="false" customHeight="false" outlineLevel="0" collapsed="false">
      <c r="J39" s="133" t="s">
        <v>1551</v>
      </c>
      <c r="K39" s="133" t="s">
        <v>166</v>
      </c>
      <c r="M39" s="133" t="s">
        <v>1552</v>
      </c>
      <c r="P39" s="139" t="s">
        <v>1553</v>
      </c>
      <c r="R39" s="133" t="s">
        <v>498</v>
      </c>
      <c r="T39" s="134"/>
      <c r="U39" s="134"/>
      <c r="V39" s="134"/>
      <c r="W39" s="133" t="s">
        <v>1554</v>
      </c>
      <c r="X39" s="134"/>
      <c r="Y39" s="133" t="s">
        <v>1555</v>
      </c>
      <c r="Z39" s="134"/>
      <c r="AA39" s="134"/>
      <c r="AB39" s="133" t="s">
        <v>1556</v>
      </c>
      <c r="AC39" s="134"/>
      <c r="AD39" s="134"/>
      <c r="AE39" s="134"/>
      <c r="AF39" s="134"/>
      <c r="AG39" s="133" t="s">
        <v>995</v>
      </c>
      <c r="AH39" s="134"/>
      <c r="AI39" s="134"/>
      <c r="AJ39" s="134"/>
      <c r="AK39" s="134"/>
      <c r="AL39" s="134"/>
      <c r="AM39" s="134"/>
      <c r="AN39" s="134"/>
      <c r="AO39" s="134"/>
      <c r="AP39" s="134"/>
      <c r="AQ39" s="134"/>
      <c r="AR39" s="134"/>
      <c r="AS39" s="134"/>
      <c r="AT39" s="133" t="s">
        <v>1557</v>
      </c>
      <c r="AU39" s="134"/>
      <c r="AV39" s="134"/>
      <c r="AW39" s="134"/>
      <c r="AX39" s="134"/>
      <c r="AY39" s="134"/>
      <c r="AZ39" s="134"/>
      <c r="BA39" s="133" t="s">
        <v>1558</v>
      </c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  <c r="BM39" s="134"/>
      <c r="BN39" s="134"/>
      <c r="BO39" s="134"/>
      <c r="BP39" s="134"/>
      <c r="BQ39" s="134"/>
      <c r="BR39" s="134"/>
      <c r="BS39" s="134"/>
      <c r="BT39" s="134"/>
      <c r="BU39" s="133" t="s">
        <v>1559</v>
      </c>
      <c r="BV39" s="134"/>
      <c r="BW39" s="134"/>
      <c r="BX39" s="134"/>
    </row>
    <row r="40" customFormat="false" ht="15" hidden="false" customHeight="false" outlineLevel="0" collapsed="false">
      <c r="J40" s="133" t="s">
        <v>1560</v>
      </c>
      <c r="K40" s="133" t="s">
        <v>166</v>
      </c>
      <c r="M40" s="133" t="s">
        <v>1561</v>
      </c>
      <c r="P40" s="134" t="s">
        <v>1562</v>
      </c>
      <c r="R40" s="133" t="s">
        <v>499</v>
      </c>
      <c r="T40" s="134"/>
      <c r="U40" s="134"/>
      <c r="V40" s="134"/>
      <c r="W40" s="133" t="s">
        <v>1563</v>
      </c>
      <c r="X40" s="134"/>
      <c r="Y40" s="133" t="s">
        <v>1564</v>
      </c>
      <c r="Z40" s="134"/>
      <c r="AA40" s="134"/>
      <c r="AB40" s="133" t="s">
        <v>1565</v>
      </c>
      <c r="AC40" s="134"/>
      <c r="AD40" s="134"/>
      <c r="AE40" s="134"/>
      <c r="AF40" s="134"/>
      <c r="AG40" s="133" t="s">
        <v>1566</v>
      </c>
      <c r="AH40" s="134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3" t="s">
        <v>1567</v>
      </c>
      <c r="AU40" s="134"/>
      <c r="AV40" s="134"/>
      <c r="AW40" s="134"/>
      <c r="AX40" s="134"/>
      <c r="AY40" s="134"/>
      <c r="AZ40" s="134"/>
      <c r="BA40" s="133" t="s">
        <v>1442</v>
      </c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4"/>
      <c r="BO40" s="134"/>
      <c r="BP40" s="134"/>
      <c r="BQ40" s="134"/>
      <c r="BR40" s="134"/>
      <c r="BS40" s="134"/>
      <c r="BT40" s="134"/>
      <c r="BU40" s="133" t="s">
        <v>1568</v>
      </c>
      <c r="BV40" s="134"/>
      <c r="BW40" s="134"/>
      <c r="BX40" s="134"/>
    </row>
    <row r="41" customFormat="false" ht="15" hidden="false" customHeight="false" outlineLevel="0" collapsed="false">
      <c r="J41" s="133" t="s">
        <v>1569</v>
      </c>
      <c r="K41" s="133" t="s">
        <v>165</v>
      </c>
      <c r="M41" s="133" t="s">
        <v>1570</v>
      </c>
      <c r="P41" s="134" t="s">
        <v>1571</v>
      </c>
      <c r="R41" s="133" t="s">
        <v>500</v>
      </c>
      <c r="T41" s="134"/>
      <c r="U41" s="134"/>
      <c r="V41" s="134"/>
      <c r="W41" s="133" t="s">
        <v>1572</v>
      </c>
      <c r="X41" s="134"/>
      <c r="Y41" s="133" t="s">
        <v>1573</v>
      </c>
      <c r="Z41" s="134"/>
      <c r="AA41" s="134"/>
      <c r="AB41" s="133" t="s">
        <v>1574</v>
      </c>
      <c r="AC41" s="134"/>
      <c r="AD41" s="134"/>
      <c r="AE41" s="134"/>
      <c r="AF41" s="134"/>
      <c r="AG41" s="133" t="s">
        <v>1575</v>
      </c>
      <c r="AH41" s="134"/>
      <c r="AI41" s="134"/>
      <c r="AJ41" s="134"/>
      <c r="AK41" s="134"/>
      <c r="AL41" s="134"/>
      <c r="AM41" s="134"/>
      <c r="AN41" s="134"/>
      <c r="AO41" s="134"/>
      <c r="AP41" s="134"/>
      <c r="AQ41" s="134"/>
      <c r="AR41" s="134"/>
      <c r="AS41" s="134"/>
      <c r="AT41" s="133" t="s">
        <v>1576</v>
      </c>
      <c r="AU41" s="134"/>
      <c r="AV41" s="134"/>
      <c r="AW41" s="134"/>
      <c r="AX41" s="134"/>
      <c r="AY41" s="134"/>
      <c r="AZ41" s="134"/>
      <c r="BA41" s="134"/>
      <c r="BB41" s="134"/>
      <c r="BC41" s="134"/>
      <c r="BD41" s="134"/>
      <c r="BE41" s="134"/>
      <c r="BF41" s="134"/>
      <c r="BG41" s="134"/>
      <c r="BH41" s="134"/>
      <c r="BI41" s="134"/>
      <c r="BJ41" s="134"/>
      <c r="BK41" s="134"/>
      <c r="BL41" s="134"/>
      <c r="BM41" s="134"/>
      <c r="BN41" s="134"/>
      <c r="BO41" s="134"/>
      <c r="BP41" s="134"/>
      <c r="BQ41" s="134"/>
      <c r="BR41" s="134"/>
      <c r="BS41" s="134"/>
      <c r="BT41" s="134"/>
      <c r="BU41" s="133" t="s">
        <v>1577</v>
      </c>
      <c r="BV41" s="134"/>
      <c r="BW41" s="134"/>
      <c r="BX41" s="134"/>
    </row>
    <row r="42" customFormat="false" ht="15" hidden="false" customHeight="false" outlineLevel="0" collapsed="false">
      <c r="J42" s="133" t="s">
        <v>1578</v>
      </c>
      <c r="K42" s="133" t="s">
        <v>165</v>
      </c>
      <c r="M42" s="133" t="s">
        <v>1579</v>
      </c>
      <c r="P42" s="134"/>
      <c r="R42" s="133" t="s">
        <v>501</v>
      </c>
      <c r="T42" s="134"/>
      <c r="U42" s="134"/>
      <c r="V42" s="134"/>
      <c r="W42" s="133" t="s">
        <v>1580</v>
      </c>
      <c r="X42" s="134"/>
      <c r="Y42" s="133" t="s">
        <v>1581</v>
      </c>
      <c r="Z42" s="134"/>
      <c r="AA42" s="134"/>
      <c r="AB42" s="133" t="s">
        <v>1582</v>
      </c>
      <c r="AC42" s="134"/>
      <c r="AD42" s="134"/>
      <c r="AE42" s="134"/>
      <c r="AF42" s="134"/>
      <c r="AG42" s="133" t="s">
        <v>1583</v>
      </c>
      <c r="AH42" s="134"/>
      <c r="AI42" s="134"/>
      <c r="AJ42" s="134"/>
      <c r="AK42" s="134"/>
      <c r="AL42" s="134"/>
      <c r="AM42" s="134"/>
      <c r="AN42" s="134"/>
      <c r="AO42" s="134"/>
      <c r="AP42" s="134"/>
      <c r="AQ42" s="134"/>
      <c r="AR42" s="134"/>
      <c r="AS42" s="134"/>
      <c r="AT42" s="133" t="s">
        <v>1584</v>
      </c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  <c r="BJ42" s="134"/>
      <c r="BK42" s="134"/>
      <c r="BL42" s="134"/>
      <c r="BM42" s="134"/>
      <c r="BN42" s="134"/>
      <c r="BO42" s="134"/>
      <c r="BP42" s="134"/>
      <c r="BQ42" s="134"/>
      <c r="BR42" s="134"/>
      <c r="BS42" s="134"/>
      <c r="BT42" s="134"/>
      <c r="BU42" s="133" t="s">
        <v>1585</v>
      </c>
      <c r="BV42" s="134"/>
      <c r="BW42" s="134"/>
      <c r="BX42" s="134"/>
    </row>
    <row r="43" customFormat="false" ht="15" hidden="false" customHeight="false" outlineLevel="0" collapsed="false">
      <c r="J43" s="133" t="s">
        <v>1586</v>
      </c>
      <c r="K43" s="133" t="s">
        <v>165</v>
      </c>
      <c r="M43" s="134"/>
      <c r="P43" s="134" t="s">
        <v>1571</v>
      </c>
      <c r="R43" s="133" t="s">
        <v>502</v>
      </c>
      <c r="T43" s="134"/>
      <c r="U43" s="134"/>
      <c r="V43" s="134"/>
      <c r="W43" s="133" t="s">
        <v>1587</v>
      </c>
      <c r="X43" s="134"/>
      <c r="Y43" s="133" t="s">
        <v>1588</v>
      </c>
      <c r="Z43" s="134"/>
      <c r="AA43" s="134"/>
      <c r="AB43" s="133" t="s">
        <v>1212</v>
      </c>
      <c r="AC43" s="134"/>
      <c r="AD43" s="134"/>
      <c r="AE43" s="134"/>
      <c r="AF43" s="134"/>
      <c r="AG43" s="133" t="s">
        <v>1589</v>
      </c>
      <c r="AH43" s="134"/>
      <c r="AI43" s="134"/>
      <c r="AJ43" s="134"/>
      <c r="AK43" s="134"/>
      <c r="AL43" s="134"/>
      <c r="AM43" s="134"/>
      <c r="AN43" s="134"/>
      <c r="AO43" s="134"/>
      <c r="AP43" s="134"/>
      <c r="AQ43" s="134"/>
      <c r="AR43" s="134"/>
      <c r="AS43" s="134"/>
      <c r="AT43" s="133" t="s">
        <v>1590</v>
      </c>
      <c r="AU43" s="134"/>
      <c r="AV43" s="134"/>
      <c r="AW43" s="134"/>
      <c r="AX43" s="134"/>
      <c r="AY43" s="134"/>
      <c r="AZ43" s="134"/>
      <c r="BA43" s="134"/>
      <c r="BB43" s="134"/>
      <c r="BC43" s="134"/>
      <c r="BD43" s="134"/>
      <c r="BE43" s="134"/>
      <c r="BF43" s="134"/>
      <c r="BG43" s="134"/>
      <c r="BH43" s="134"/>
      <c r="BI43" s="134"/>
      <c r="BJ43" s="134"/>
      <c r="BK43" s="134"/>
      <c r="BL43" s="134"/>
      <c r="BM43" s="134"/>
      <c r="BN43" s="134"/>
      <c r="BO43" s="134"/>
      <c r="BP43" s="134"/>
      <c r="BQ43" s="134"/>
      <c r="BR43" s="134"/>
      <c r="BS43" s="134"/>
      <c r="BT43" s="134"/>
      <c r="BU43" s="133" t="s">
        <v>1591</v>
      </c>
      <c r="BV43" s="134"/>
      <c r="BW43" s="134"/>
      <c r="BX43" s="134"/>
    </row>
    <row r="44" customFormat="false" ht="15" hidden="false" customHeight="false" outlineLevel="0" collapsed="false">
      <c r="J44" s="133" t="s">
        <v>1592</v>
      </c>
      <c r="K44" s="133" t="s">
        <v>166</v>
      </c>
      <c r="M44" s="134"/>
      <c r="R44" s="133" t="s">
        <v>503</v>
      </c>
      <c r="T44" s="134"/>
      <c r="U44" s="134"/>
      <c r="V44" s="134"/>
      <c r="W44" s="134"/>
      <c r="X44" s="134"/>
      <c r="Y44" s="133" t="s">
        <v>1593</v>
      </c>
      <c r="Z44" s="134"/>
      <c r="AA44" s="134"/>
      <c r="AB44" s="133" t="s">
        <v>1594</v>
      </c>
      <c r="AC44" s="134"/>
      <c r="AD44" s="134"/>
      <c r="AE44" s="134"/>
      <c r="AF44" s="134"/>
      <c r="AG44" s="133" t="s">
        <v>1595</v>
      </c>
      <c r="AH44" s="134"/>
      <c r="AI44" s="134"/>
      <c r="AJ44" s="134"/>
      <c r="AK44" s="134"/>
      <c r="AL44" s="134"/>
      <c r="AM44" s="134"/>
      <c r="AN44" s="134"/>
      <c r="AO44" s="134"/>
      <c r="AP44" s="134"/>
      <c r="AQ44" s="134"/>
      <c r="AR44" s="134"/>
      <c r="AS44" s="134"/>
      <c r="AT44" s="133" t="s">
        <v>1596</v>
      </c>
      <c r="AU44" s="134"/>
      <c r="AV44" s="134"/>
      <c r="AW44" s="134"/>
      <c r="AX44" s="134"/>
      <c r="AY44" s="134"/>
      <c r="AZ44" s="134"/>
      <c r="BA44" s="134"/>
      <c r="BB44" s="134"/>
      <c r="BC44" s="134"/>
      <c r="BD44" s="134"/>
      <c r="BE44" s="134"/>
      <c r="BF44" s="134"/>
      <c r="BG44" s="134"/>
      <c r="BH44" s="134"/>
      <c r="BI44" s="134"/>
      <c r="BJ44" s="134"/>
      <c r="BK44" s="134"/>
      <c r="BL44" s="134"/>
      <c r="BM44" s="134"/>
      <c r="BN44" s="134"/>
      <c r="BO44" s="134"/>
      <c r="BP44" s="134"/>
      <c r="BQ44" s="134"/>
      <c r="BR44" s="134"/>
      <c r="BS44" s="134"/>
      <c r="BT44" s="134"/>
      <c r="BU44" s="133" t="s">
        <v>1597</v>
      </c>
      <c r="BV44" s="134"/>
      <c r="BW44" s="134"/>
      <c r="BX44" s="134"/>
    </row>
    <row r="45" customFormat="false" ht="15" hidden="false" customHeight="false" outlineLevel="0" collapsed="false">
      <c r="J45" s="133" t="s">
        <v>1598</v>
      </c>
      <c r="K45" s="133" t="s">
        <v>166</v>
      </c>
      <c r="M45" s="134"/>
      <c r="R45" s="133" t="s">
        <v>504</v>
      </c>
      <c r="T45" s="134"/>
      <c r="U45" s="134"/>
      <c r="V45" s="134"/>
      <c r="W45" s="134"/>
      <c r="X45" s="134"/>
      <c r="Y45" s="133" t="s">
        <v>1599</v>
      </c>
      <c r="Z45" s="134"/>
      <c r="AA45" s="134"/>
      <c r="AB45" s="133" t="s">
        <v>1600</v>
      </c>
      <c r="AC45" s="134"/>
      <c r="AD45" s="134"/>
      <c r="AE45" s="134"/>
      <c r="AF45" s="134"/>
      <c r="AG45" s="133" t="s">
        <v>1601</v>
      </c>
      <c r="AH45" s="134"/>
      <c r="AI45" s="134"/>
      <c r="AJ45" s="134"/>
      <c r="AK45" s="134"/>
      <c r="AL45" s="134"/>
      <c r="AM45" s="134"/>
      <c r="AN45" s="134"/>
      <c r="AO45" s="134"/>
      <c r="AP45" s="134"/>
      <c r="AQ45" s="134"/>
      <c r="AR45" s="134"/>
      <c r="AS45" s="134"/>
      <c r="AT45" s="133" t="s">
        <v>1602</v>
      </c>
      <c r="AU45" s="134"/>
      <c r="AV45" s="134"/>
      <c r="AW45" s="134"/>
      <c r="AX45" s="134"/>
      <c r="AY45" s="134"/>
      <c r="AZ45" s="134"/>
      <c r="BA45" s="134"/>
      <c r="BB45" s="134"/>
      <c r="BC45" s="134"/>
      <c r="BD45" s="134"/>
      <c r="BE45" s="134"/>
      <c r="BF45" s="134"/>
      <c r="BG45" s="134"/>
      <c r="BH45" s="134"/>
      <c r="BI45" s="134"/>
      <c r="BJ45" s="134"/>
      <c r="BK45" s="134"/>
      <c r="BL45" s="134"/>
      <c r="BM45" s="134"/>
      <c r="BN45" s="134"/>
      <c r="BO45" s="134"/>
      <c r="BP45" s="134"/>
      <c r="BQ45" s="134"/>
      <c r="BR45" s="134"/>
      <c r="BS45" s="134"/>
      <c r="BT45" s="134"/>
      <c r="BU45" s="133" t="s">
        <v>1603</v>
      </c>
      <c r="BV45" s="134"/>
      <c r="BW45" s="134"/>
      <c r="BX45" s="134"/>
    </row>
    <row r="46" customFormat="false" ht="15" hidden="false" customHeight="false" outlineLevel="0" collapsed="false">
      <c r="J46" s="133" t="s">
        <v>1604</v>
      </c>
      <c r="K46" s="133" t="s">
        <v>166</v>
      </c>
      <c r="M46" s="134"/>
      <c r="R46" s="133" t="s">
        <v>505</v>
      </c>
      <c r="T46" s="134"/>
      <c r="U46" s="134"/>
      <c r="V46" s="134"/>
      <c r="W46" s="134"/>
      <c r="X46" s="134"/>
      <c r="Y46" s="133" t="s">
        <v>1605</v>
      </c>
      <c r="Z46" s="134"/>
      <c r="AA46" s="134"/>
      <c r="AB46" s="133" t="s">
        <v>1606</v>
      </c>
      <c r="AC46" s="134"/>
      <c r="AD46" s="134"/>
      <c r="AE46" s="134"/>
      <c r="AF46" s="134"/>
      <c r="AG46" s="133" t="s">
        <v>1607</v>
      </c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3" t="s">
        <v>1608</v>
      </c>
      <c r="AU46" s="134"/>
      <c r="AV46" s="134"/>
      <c r="AW46" s="134"/>
      <c r="AX46" s="134"/>
      <c r="AY46" s="134"/>
      <c r="AZ46" s="134"/>
      <c r="BA46" s="134"/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4"/>
      <c r="BM46" s="134"/>
      <c r="BN46" s="134"/>
      <c r="BO46" s="134"/>
      <c r="BP46" s="134"/>
      <c r="BQ46" s="134"/>
      <c r="BR46" s="134"/>
      <c r="BS46" s="134"/>
      <c r="BT46" s="134"/>
      <c r="BU46" s="133" t="s">
        <v>1609</v>
      </c>
      <c r="BV46" s="134"/>
      <c r="BW46" s="134"/>
      <c r="BX46" s="134"/>
    </row>
    <row r="47" customFormat="false" ht="15" hidden="false" customHeight="false" outlineLevel="0" collapsed="false">
      <c r="J47" s="133" t="s">
        <v>1610</v>
      </c>
      <c r="K47" s="133" t="s">
        <v>163</v>
      </c>
      <c r="M47" s="134"/>
      <c r="R47" s="133" t="s">
        <v>506</v>
      </c>
      <c r="T47" s="134"/>
      <c r="U47" s="134"/>
      <c r="V47" s="134"/>
      <c r="W47" s="134"/>
      <c r="X47" s="134"/>
      <c r="Y47" s="133" t="s">
        <v>1611</v>
      </c>
      <c r="Z47" s="134"/>
      <c r="AA47" s="134"/>
      <c r="AB47" s="133" t="s">
        <v>1612</v>
      </c>
      <c r="AC47" s="134"/>
      <c r="AD47" s="134"/>
      <c r="AE47" s="134"/>
      <c r="AF47" s="134"/>
      <c r="AG47" s="133" t="s">
        <v>1613</v>
      </c>
      <c r="AH47" s="134"/>
      <c r="AI47" s="134"/>
      <c r="AJ47" s="134"/>
      <c r="AK47" s="134"/>
      <c r="AL47" s="134"/>
      <c r="AM47" s="134"/>
      <c r="AN47" s="134"/>
      <c r="AO47" s="134"/>
      <c r="AP47" s="134"/>
      <c r="AQ47" s="134"/>
      <c r="AR47" s="134"/>
      <c r="AS47" s="134"/>
      <c r="AT47" s="133" t="s">
        <v>1614</v>
      </c>
      <c r="AU47" s="134"/>
      <c r="AV47" s="134"/>
      <c r="AW47" s="134"/>
      <c r="AX47" s="134"/>
      <c r="AY47" s="134"/>
      <c r="AZ47" s="134"/>
      <c r="BA47" s="134"/>
      <c r="BB47" s="134"/>
      <c r="BC47" s="134"/>
      <c r="BD47" s="134"/>
      <c r="BE47" s="134"/>
      <c r="BF47" s="134"/>
      <c r="BG47" s="134"/>
      <c r="BH47" s="134"/>
      <c r="BI47" s="134"/>
      <c r="BJ47" s="134"/>
      <c r="BK47" s="134"/>
      <c r="BL47" s="134"/>
      <c r="BM47" s="134"/>
      <c r="BN47" s="134"/>
      <c r="BO47" s="134"/>
      <c r="BP47" s="134"/>
      <c r="BQ47" s="134"/>
      <c r="BR47" s="134"/>
      <c r="BS47" s="134"/>
      <c r="BT47" s="134"/>
      <c r="BU47" s="133" t="s">
        <v>1615</v>
      </c>
      <c r="BV47" s="134"/>
      <c r="BW47" s="134"/>
      <c r="BX47" s="134"/>
    </row>
    <row r="48" customFormat="false" ht="15" hidden="false" customHeight="false" outlineLevel="0" collapsed="false">
      <c r="J48" s="133" t="s">
        <v>1616</v>
      </c>
      <c r="K48" s="133" t="s">
        <v>163</v>
      </c>
      <c r="M48" s="134"/>
      <c r="R48" s="133" t="s">
        <v>507</v>
      </c>
      <c r="T48" s="134"/>
      <c r="U48" s="134"/>
      <c r="V48" s="134"/>
      <c r="W48" s="134"/>
      <c r="X48" s="134"/>
      <c r="Y48" s="133" t="s">
        <v>1617</v>
      </c>
      <c r="Z48" s="134"/>
      <c r="AA48" s="134"/>
      <c r="AB48" s="133" t="s">
        <v>1618</v>
      </c>
      <c r="AC48" s="134"/>
      <c r="AD48" s="134"/>
      <c r="AE48" s="134"/>
      <c r="AF48" s="134"/>
      <c r="AG48" s="133" t="s">
        <v>1619</v>
      </c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3" t="s">
        <v>1620</v>
      </c>
      <c r="AU48" s="134"/>
      <c r="AV48" s="134"/>
      <c r="AW48" s="134"/>
      <c r="AX48" s="134"/>
      <c r="AY48" s="134"/>
      <c r="AZ48" s="134"/>
      <c r="BA48" s="134"/>
      <c r="BB48" s="134"/>
      <c r="BC48" s="134"/>
      <c r="BD48" s="134"/>
      <c r="BE48" s="134"/>
      <c r="BF48" s="134"/>
      <c r="BG48" s="134"/>
      <c r="BH48" s="134"/>
      <c r="BI48" s="134"/>
      <c r="BJ48" s="134"/>
      <c r="BK48" s="134"/>
      <c r="BL48" s="134"/>
      <c r="BM48" s="134"/>
      <c r="BN48" s="134"/>
      <c r="BO48" s="134"/>
      <c r="BP48" s="134"/>
      <c r="BQ48" s="134"/>
      <c r="BR48" s="134"/>
      <c r="BS48" s="134"/>
      <c r="BT48" s="134"/>
      <c r="BU48" s="134"/>
      <c r="BV48" s="134"/>
      <c r="BW48" s="134"/>
      <c r="BX48" s="134"/>
    </row>
    <row r="49" customFormat="false" ht="15" hidden="false" customHeight="false" outlineLevel="0" collapsed="false">
      <c r="J49" s="133" t="s">
        <v>1621</v>
      </c>
      <c r="K49" s="133" t="s">
        <v>166</v>
      </c>
      <c r="M49" s="134"/>
      <c r="R49" s="133" t="s">
        <v>508</v>
      </c>
      <c r="T49" s="134"/>
      <c r="U49" s="134"/>
      <c r="V49" s="134"/>
      <c r="W49" s="134"/>
      <c r="X49" s="134"/>
      <c r="Y49" s="133" t="s">
        <v>1622</v>
      </c>
      <c r="Z49" s="134"/>
      <c r="AA49" s="134"/>
      <c r="AB49" s="133" t="s">
        <v>1623</v>
      </c>
      <c r="AC49" s="134"/>
      <c r="AD49" s="134"/>
      <c r="AE49" s="134"/>
      <c r="AF49" s="134"/>
      <c r="AG49" s="133" t="s">
        <v>1624</v>
      </c>
      <c r="AH49" s="134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3" t="s">
        <v>1625</v>
      </c>
      <c r="AU49" s="134"/>
      <c r="AV49" s="134"/>
      <c r="AW49" s="134"/>
      <c r="AX49" s="134"/>
      <c r="AY49" s="134"/>
      <c r="AZ49" s="134"/>
      <c r="BA49" s="134"/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134"/>
      <c r="BO49" s="134"/>
      <c r="BP49" s="134"/>
      <c r="BQ49" s="134"/>
      <c r="BR49" s="134"/>
      <c r="BS49" s="134"/>
      <c r="BT49" s="134"/>
      <c r="BU49" s="134"/>
      <c r="BV49" s="134"/>
      <c r="BW49" s="134"/>
      <c r="BX49" s="134"/>
    </row>
    <row r="50" customFormat="false" ht="15" hidden="false" customHeight="false" outlineLevel="0" collapsed="false">
      <c r="J50" s="133" t="s">
        <v>1626</v>
      </c>
      <c r="K50" s="133" t="s">
        <v>163</v>
      </c>
      <c r="M50" s="134"/>
      <c r="R50" s="133" t="s">
        <v>509</v>
      </c>
      <c r="T50" s="134"/>
      <c r="U50" s="134"/>
      <c r="V50" s="134"/>
      <c r="W50" s="134"/>
      <c r="X50" s="134"/>
      <c r="Y50" s="133" t="s">
        <v>1627</v>
      </c>
      <c r="Z50" s="134"/>
      <c r="AA50" s="134"/>
      <c r="AB50" s="133" t="s">
        <v>1628</v>
      </c>
      <c r="AC50" s="134"/>
      <c r="AD50" s="134"/>
      <c r="AE50" s="134"/>
      <c r="AF50" s="134"/>
      <c r="AG50" s="133" t="s">
        <v>1629</v>
      </c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3" t="s">
        <v>1630</v>
      </c>
      <c r="AU50" s="134"/>
      <c r="AV50" s="134"/>
      <c r="AW50" s="134"/>
      <c r="AX50" s="134"/>
      <c r="AY50" s="134"/>
      <c r="AZ50" s="134"/>
      <c r="BA50" s="134"/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4"/>
      <c r="BM50" s="134"/>
      <c r="BN50" s="134"/>
      <c r="BO50" s="134"/>
      <c r="BP50" s="134"/>
      <c r="BQ50" s="134"/>
      <c r="BR50" s="134"/>
      <c r="BS50" s="134"/>
      <c r="BT50" s="134"/>
      <c r="BU50" s="134"/>
      <c r="BV50" s="134"/>
      <c r="BW50" s="134"/>
      <c r="BX50" s="134"/>
    </row>
    <row r="51" customFormat="false" ht="15" hidden="false" customHeight="false" outlineLevel="0" collapsed="false">
      <c r="J51" s="133" t="s">
        <v>1631</v>
      </c>
      <c r="K51" s="133" t="s">
        <v>163</v>
      </c>
      <c r="M51" s="134"/>
      <c r="R51" s="133" t="s">
        <v>510</v>
      </c>
      <c r="T51" s="134"/>
      <c r="U51" s="134"/>
      <c r="V51" s="134"/>
      <c r="W51" s="134"/>
      <c r="X51" s="134"/>
      <c r="Y51" s="133" t="s">
        <v>1023</v>
      </c>
      <c r="Z51" s="134"/>
      <c r="AA51" s="134"/>
      <c r="AB51" s="133" t="s">
        <v>1632</v>
      </c>
      <c r="AC51" s="134"/>
      <c r="AD51" s="134"/>
      <c r="AE51" s="134"/>
      <c r="AF51" s="134"/>
      <c r="AG51" s="133" t="s">
        <v>1633</v>
      </c>
      <c r="AH51" s="134"/>
      <c r="AI51" s="134"/>
      <c r="AJ51" s="134"/>
      <c r="AK51" s="134"/>
      <c r="AL51" s="134"/>
      <c r="AM51" s="134"/>
      <c r="AN51" s="134"/>
      <c r="AO51" s="134"/>
      <c r="AP51" s="134"/>
      <c r="AQ51" s="134"/>
      <c r="AR51" s="134"/>
      <c r="AS51" s="134"/>
      <c r="AT51" s="133" t="s">
        <v>1634</v>
      </c>
      <c r="AU51" s="134"/>
      <c r="AV51" s="134"/>
      <c r="AW51" s="134"/>
      <c r="AX51" s="134"/>
      <c r="AY51" s="134"/>
      <c r="AZ51" s="134"/>
      <c r="BA51" s="134"/>
      <c r="BB51" s="134"/>
      <c r="BC51" s="134"/>
      <c r="BD51" s="134"/>
      <c r="BE51" s="134"/>
      <c r="BF51" s="134"/>
      <c r="BG51" s="134"/>
      <c r="BH51" s="134"/>
      <c r="BI51" s="134"/>
      <c r="BJ51" s="134"/>
      <c r="BK51" s="134"/>
      <c r="BL51" s="134"/>
      <c r="BM51" s="134"/>
      <c r="BN51" s="134"/>
      <c r="BO51" s="134"/>
      <c r="BP51" s="134"/>
      <c r="BQ51" s="134"/>
      <c r="BR51" s="134"/>
      <c r="BS51" s="134"/>
      <c r="BT51" s="134"/>
      <c r="BU51" s="134"/>
      <c r="BV51" s="134"/>
      <c r="BW51" s="134"/>
      <c r="BX51" s="134"/>
    </row>
    <row r="52" customFormat="false" ht="15" hidden="false" customHeight="false" outlineLevel="0" collapsed="false">
      <c r="J52" s="134"/>
      <c r="K52" s="134"/>
      <c r="M52" s="134"/>
      <c r="R52" s="133" t="s">
        <v>511</v>
      </c>
      <c r="T52" s="134"/>
      <c r="U52" s="134"/>
      <c r="V52" s="134"/>
      <c r="W52" s="134"/>
      <c r="X52" s="134"/>
      <c r="Y52" s="133" t="s">
        <v>644</v>
      </c>
      <c r="Z52" s="134"/>
      <c r="AA52" s="134"/>
      <c r="AB52" s="133" t="s">
        <v>1635</v>
      </c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3" t="s">
        <v>1636</v>
      </c>
      <c r="AU52" s="134"/>
      <c r="AV52" s="134"/>
      <c r="AW52" s="134"/>
      <c r="AX52" s="134"/>
      <c r="AY52" s="134"/>
      <c r="AZ52" s="134"/>
      <c r="BA52" s="134"/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4"/>
      <c r="BM52" s="134"/>
      <c r="BN52" s="134"/>
      <c r="BO52" s="134"/>
      <c r="BP52" s="134"/>
      <c r="BQ52" s="134"/>
      <c r="BR52" s="134"/>
      <c r="BS52" s="134"/>
      <c r="BT52" s="134"/>
      <c r="BU52" s="134"/>
      <c r="BV52" s="134"/>
      <c r="BW52" s="134"/>
      <c r="BX52" s="134"/>
    </row>
    <row r="53" customFormat="false" ht="15" hidden="false" customHeight="false" outlineLevel="0" collapsed="false">
      <c r="J53" s="134"/>
      <c r="K53" s="134"/>
      <c r="M53" s="134"/>
      <c r="R53" s="133" t="s">
        <v>512</v>
      </c>
      <c r="T53" s="134"/>
      <c r="U53" s="134"/>
      <c r="V53" s="134"/>
      <c r="W53" s="134"/>
      <c r="X53" s="134"/>
      <c r="Y53" s="133" t="s">
        <v>1637</v>
      </c>
      <c r="Z53" s="134"/>
      <c r="AA53" s="134"/>
      <c r="AB53" s="133" t="s">
        <v>1638</v>
      </c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134"/>
      <c r="AT53" s="133" t="s">
        <v>1639</v>
      </c>
      <c r="AU53" s="134"/>
      <c r="AV53" s="134"/>
      <c r="AW53" s="134"/>
      <c r="AX53" s="134"/>
      <c r="AY53" s="134"/>
      <c r="AZ53" s="134"/>
      <c r="BA53" s="134"/>
      <c r="BB53" s="134"/>
      <c r="BC53" s="134"/>
      <c r="BD53" s="134"/>
      <c r="BE53" s="134"/>
      <c r="BF53" s="134"/>
      <c r="BG53" s="134"/>
      <c r="BH53" s="134"/>
      <c r="BI53" s="134"/>
      <c r="BJ53" s="134"/>
      <c r="BK53" s="134"/>
      <c r="BL53" s="134"/>
      <c r="BM53" s="134"/>
      <c r="BN53" s="134"/>
      <c r="BO53" s="134"/>
      <c r="BP53" s="134"/>
      <c r="BQ53" s="134"/>
      <c r="BR53" s="134"/>
      <c r="BS53" s="134"/>
      <c r="BT53" s="134"/>
      <c r="BU53" s="134"/>
      <c r="BV53" s="134"/>
      <c r="BW53" s="134"/>
      <c r="BX53" s="134"/>
    </row>
    <row r="54" customFormat="false" ht="15" hidden="false" customHeight="false" outlineLevel="0" collapsed="false">
      <c r="J54" s="134"/>
      <c r="K54" s="134"/>
      <c r="M54" s="134"/>
      <c r="R54" s="133" t="s">
        <v>513</v>
      </c>
      <c r="T54" s="134"/>
      <c r="U54" s="134"/>
      <c r="V54" s="134"/>
      <c r="W54" s="134"/>
      <c r="X54" s="134"/>
      <c r="Y54" s="133" t="s">
        <v>1640</v>
      </c>
      <c r="Z54" s="134"/>
      <c r="AA54" s="134"/>
      <c r="AB54" s="133" t="s">
        <v>1641</v>
      </c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134"/>
      <c r="AY54" s="134"/>
      <c r="AZ54" s="134"/>
      <c r="BA54" s="134"/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4"/>
      <c r="BM54" s="134"/>
      <c r="BN54" s="134"/>
      <c r="BO54" s="134"/>
      <c r="BP54" s="134"/>
      <c r="BQ54" s="134"/>
      <c r="BR54" s="134"/>
      <c r="BS54" s="134"/>
      <c r="BT54" s="134"/>
      <c r="BU54" s="134"/>
      <c r="BV54" s="134"/>
      <c r="BW54" s="134"/>
      <c r="BX54" s="134"/>
    </row>
    <row r="55" customFormat="false" ht="15" hidden="false" customHeight="false" outlineLevel="0" collapsed="false">
      <c r="J55" s="134"/>
      <c r="K55" s="134"/>
      <c r="M55" s="134"/>
      <c r="R55" s="133" t="s">
        <v>514</v>
      </c>
      <c r="T55" s="134"/>
      <c r="U55" s="134"/>
      <c r="V55" s="134"/>
      <c r="W55" s="134"/>
      <c r="X55" s="134"/>
      <c r="Y55" s="133" t="s">
        <v>1642</v>
      </c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  <c r="AO55" s="134"/>
      <c r="AP55" s="134"/>
      <c r="AQ55" s="134"/>
      <c r="AR55" s="134"/>
      <c r="AS55" s="134"/>
      <c r="AT55" s="134"/>
      <c r="AU55" s="134"/>
      <c r="AV55" s="134"/>
      <c r="AW55" s="134"/>
      <c r="AX55" s="134"/>
      <c r="AY55" s="134"/>
      <c r="AZ55" s="134"/>
      <c r="BA55" s="134"/>
      <c r="BB55" s="134"/>
      <c r="BC55" s="134"/>
      <c r="BD55" s="134"/>
      <c r="BE55" s="134"/>
      <c r="BF55" s="134"/>
      <c r="BG55" s="134"/>
      <c r="BH55" s="134"/>
      <c r="BI55" s="134"/>
      <c r="BJ55" s="134"/>
      <c r="BK55" s="134"/>
      <c r="BL55" s="134"/>
      <c r="BM55" s="134"/>
      <c r="BN55" s="134"/>
      <c r="BO55" s="134"/>
      <c r="BP55" s="134"/>
      <c r="BQ55" s="134"/>
      <c r="BR55" s="134"/>
      <c r="BS55" s="134"/>
      <c r="BT55" s="134"/>
      <c r="BU55" s="134"/>
      <c r="BV55" s="134"/>
      <c r="BW55" s="134"/>
      <c r="BX55" s="134"/>
    </row>
    <row r="56" customFormat="false" ht="15" hidden="false" customHeight="false" outlineLevel="0" collapsed="false">
      <c r="J56" s="134"/>
      <c r="K56" s="134"/>
      <c r="M56" s="134"/>
      <c r="R56" s="133" t="s">
        <v>515</v>
      </c>
      <c r="T56" s="134"/>
      <c r="U56" s="134"/>
      <c r="V56" s="134"/>
      <c r="W56" s="134"/>
      <c r="X56" s="134"/>
      <c r="Y56" s="133" t="s">
        <v>1643</v>
      </c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134"/>
      <c r="BN56" s="134"/>
      <c r="BO56" s="134"/>
      <c r="BP56" s="134"/>
      <c r="BQ56" s="134"/>
      <c r="BR56" s="134"/>
      <c r="BS56" s="134"/>
      <c r="BT56" s="134"/>
      <c r="BU56" s="134"/>
      <c r="BV56" s="134"/>
      <c r="BW56" s="134"/>
      <c r="BX56" s="134"/>
    </row>
    <row r="57" customFormat="false" ht="15" hidden="false" customHeight="false" outlineLevel="0" collapsed="false">
      <c r="J57" s="134"/>
      <c r="K57" s="134"/>
      <c r="M57" s="134"/>
      <c r="R57" s="133" t="s">
        <v>516</v>
      </c>
    </row>
    <row r="58" customFormat="false" ht="15" hidden="false" customHeight="false" outlineLevel="0" collapsed="false">
      <c r="J58" s="134"/>
      <c r="K58" s="134"/>
      <c r="M58" s="134"/>
      <c r="R58" s="133" t="s">
        <v>517</v>
      </c>
    </row>
    <row r="59" customFormat="false" ht="15" hidden="false" customHeight="false" outlineLevel="0" collapsed="false">
      <c r="J59" s="134"/>
      <c r="K59" s="134"/>
      <c r="M59" s="134"/>
      <c r="R59" s="133" t="s">
        <v>518</v>
      </c>
    </row>
    <row r="60" customFormat="false" ht="15" hidden="false" customHeight="false" outlineLevel="0" collapsed="false">
      <c r="J60" s="134"/>
      <c r="K60" s="134"/>
      <c r="M60" s="134"/>
      <c r="R60" s="133" t="s">
        <v>519</v>
      </c>
    </row>
    <row r="61" customFormat="false" ht="15" hidden="false" customHeight="false" outlineLevel="0" collapsed="false">
      <c r="J61" s="134"/>
      <c r="K61" s="134"/>
      <c r="M61" s="134"/>
      <c r="R61" s="133" t="s">
        <v>520</v>
      </c>
    </row>
    <row r="62" customFormat="false" ht="15" hidden="false" customHeight="false" outlineLevel="0" collapsed="false">
      <c r="J62" s="134"/>
      <c r="K62" s="134"/>
      <c r="M62" s="134"/>
    </row>
    <row r="63" customFormat="false" ht="15" hidden="false" customHeight="false" outlineLevel="0" collapsed="false">
      <c r="J63" s="134"/>
      <c r="K63" s="134"/>
      <c r="M63" s="134"/>
    </row>
    <row r="64" customFormat="false" ht="15" hidden="false" customHeight="false" outlineLevel="0" collapsed="false">
      <c r="J64" s="134"/>
      <c r="K64" s="134"/>
      <c r="M64" s="134"/>
    </row>
    <row r="65" customFormat="false" ht="15" hidden="false" customHeight="false" outlineLevel="0" collapsed="false">
      <c r="J65" s="134"/>
      <c r="K65" s="134"/>
      <c r="M65" s="134"/>
    </row>
    <row r="66" customFormat="false" ht="15" hidden="false" customHeight="false" outlineLevel="0" collapsed="false">
      <c r="J66" s="134"/>
      <c r="K66" s="134"/>
      <c r="M66" s="134"/>
    </row>
    <row r="67" customFormat="false" ht="15" hidden="false" customHeight="false" outlineLevel="0" collapsed="false">
      <c r="J67" s="134"/>
      <c r="K67" s="134"/>
      <c r="M67" s="134"/>
    </row>
    <row r="68" customFormat="false" ht="15" hidden="false" customHeight="false" outlineLevel="0" collapsed="false">
      <c r="J68" s="134"/>
      <c r="K68" s="134"/>
      <c r="M68" s="134"/>
    </row>
    <row r="69" customFormat="false" ht="15" hidden="false" customHeight="false" outlineLevel="0" collapsed="false">
      <c r="J69" s="134"/>
      <c r="K69" s="134"/>
      <c r="M69" s="134"/>
    </row>
    <row r="70" customFormat="false" ht="15" hidden="false" customHeight="false" outlineLevel="0" collapsed="false">
      <c r="J70" s="134"/>
      <c r="K70" s="134"/>
      <c r="M70" s="134"/>
    </row>
    <row r="71" customFormat="false" ht="15" hidden="false" customHeight="false" outlineLevel="0" collapsed="false">
      <c r="J71" s="134"/>
      <c r="K71" s="134"/>
      <c r="M71" s="134"/>
    </row>
    <row r="72" customFormat="false" ht="15" hidden="false" customHeight="false" outlineLevel="0" collapsed="false">
      <c r="J72" s="134"/>
      <c r="K72" s="134"/>
      <c r="M72" s="134"/>
    </row>
    <row r="73" customFormat="false" ht="15" hidden="false" customHeight="false" outlineLevel="0" collapsed="false">
      <c r="J73" s="134"/>
      <c r="K73" s="134"/>
      <c r="M73" s="134"/>
    </row>
    <row r="74" customFormat="false" ht="15" hidden="false" customHeight="false" outlineLevel="0" collapsed="false">
      <c r="J74" s="134"/>
      <c r="K74" s="134"/>
      <c r="M74" s="134"/>
    </row>
    <row r="75" customFormat="false" ht="15" hidden="false" customHeight="false" outlineLevel="0" collapsed="false">
      <c r="J75" s="134"/>
      <c r="K75" s="134"/>
      <c r="M75" s="134"/>
    </row>
    <row r="76" customFormat="false" ht="15" hidden="false" customHeight="false" outlineLevel="0" collapsed="false">
      <c r="J76" s="134"/>
      <c r="K76" s="134"/>
      <c r="M76" s="134"/>
    </row>
    <row r="77" customFormat="false" ht="15" hidden="false" customHeight="false" outlineLevel="0" collapsed="false">
      <c r="J77" s="134"/>
      <c r="K77" s="134"/>
      <c r="M77" s="134"/>
    </row>
    <row r="78" customFormat="false" ht="15" hidden="false" customHeight="false" outlineLevel="0" collapsed="false">
      <c r="J78" s="134"/>
      <c r="K78" s="134"/>
      <c r="M78" s="134"/>
    </row>
    <row r="79" customFormat="false" ht="15" hidden="false" customHeight="false" outlineLevel="0" collapsed="false">
      <c r="J79" s="134"/>
      <c r="K79" s="134"/>
      <c r="M79" s="134"/>
    </row>
    <row r="80" customFormat="false" ht="15" hidden="false" customHeight="false" outlineLevel="0" collapsed="false">
      <c r="J80" s="134"/>
      <c r="K80" s="134"/>
      <c r="M80" s="134"/>
    </row>
    <row r="81" customFormat="false" ht="15" hidden="false" customHeight="false" outlineLevel="0" collapsed="false">
      <c r="J81" s="134"/>
      <c r="K81" s="134"/>
      <c r="M81" s="134"/>
    </row>
    <row r="82" customFormat="false" ht="15" hidden="false" customHeight="false" outlineLevel="0" collapsed="false">
      <c r="J82" s="134"/>
      <c r="K82" s="134"/>
      <c r="M82" s="134"/>
    </row>
    <row r="83" customFormat="false" ht="15" hidden="false" customHeight="false" outlineLevel="0" collapsed="false">
      <c r="J83" s="134"/>
      <c r="K83" s="134"/>
      <c r="M83" s="134"/>
    </row>
    <row r="84" customFormat="false" ht="15" hidden="false" customHeight="false" outlineLevel="0" collapsed="false">
      <c r="J84" s="134"/>
      <c r="K84" s="134"/>
      <c r="M84" s="134"/>
    </row>
    <row r="85" customFormat="false" ht="15" hidden="false" customHeight="false" outlineLevel="0" collapsed="false">
      <c r="J85" s="134"/>
      <c r="K85" s="134"/>
      <c r="M85" s="134"/>
    </row>
    <row r="86" customFormat="false" ht="15" hidden="false" customHeight="false" outlineLevel="0" collapsed="false">
      <c r="J86" s="134"/>
      <c r="K86" s="134"/>
      <c r="M86" s="134"/>
    </row>
    <row r="87" customFormat="false" ht="15" hidden="false" customHeight="false" outlineLevel="0" collapsed="false">
      <c r="J87" s="134"/>
      <c r="K87" s="134"/>
      <c r="M87" s="134"/>
    </row>
    <row r="88" customFormat="false" ht="15" hidden="false" customHeight="false" outlineLevel="0" collapsed="false">
      <c r="J88" s="134"/>
      <c r="K88" s="134"/>
      <c r="M88" s="134"/>
    </row>
    <row r="89" customFormat="false" ht="15" hidden="false" customHeight="false" outlineLevel="0" collapsed="false">
      <c r="J89" s="134"/>
      <c r="K89" s="134"/>
      <c r="M89" s="134"/>
    </row>
    <row r="90" customFormat="false" ht="15" hidden="false" customHeight="false" outlineLevel="0" collapsed="false">
      <c r="J90" s="134"/>
      <c r="K90" s="134"/>
      <c r="M90" s="134"/>
    </row>
    <row r="91" customFormat="false" ht="15" hidden="false" customHeight="false" outlineLevel="0" collapsed="false">
      <c r="J91" s="134"/>
      <c r="K91" s="134"/>
      <c r="M91" s="134"/>
    </row>
    <row r="92" customFormat="false" ht="15" hidden="false" customHeight="false" outlineLevel="0" collapsed="false">
      <c r="J92" s="134"/>
      <c r="K92" s="134"/>
      <c r="M92" s="134"/>
    </row>
    <row r="93" customFormat="false" ht="15" hidden="false" customHeight="false" outlineLevel="0" collapsed="false">
      <c r="J93" s="134"/>
      <c r="K93" s="134"/>
      <c r="M93" s="134"/>
    </row>
    <row r="94" customFormat="false" ht="15" hidden="false" customHeight="false" outlineLevel="0" collapsed="false">
      <c r="J94" s="134"/>
      <c r="K94" s="134"/>
      <c r="M94" s="134"/>
    </row>
    <row r="95" customFormat="false" ht="15" hidden="false" customHeight="false" outlineLevel="0" collapsed="false">
      <c r="J95" s="134"/>
      <c r="K95" s="134"/>
      <c r="M95" s="134"/>
    </row>
    <row r="96" customFormat="false" ht="15" hidden="false" customHeight="false" outlineLevel="0" collapsed="false">
      <c r="J96" s="134"/>
      <c r="K96" s="134"/>
      <c r="M96" s="134"/>
    </row>
    <row r="97" customFormat="false" ht="15" hidden="false" customHeight="false" outlineLevel="0" collapsed="false">
      <c r="J97" s="134"/>
      <c r="K97" s="134"/>
      <c r="M97" s="134"/>
    </row>
    <row r="98" customFormat="false" ht="15" hidden="false" customHeight="false" outlineLevel="0" collapsed="false">
      <c r="J98" s="134"/>
      <c r="K98" s="134"/>
      <c r="M98" s="134"/>
    </row>
    <row r="99" customFormat="false" ht="15" hidden="false" customHeight="false" outlineLevel="0" collapsed="false">
      <c r="J99" s="134"/>
      <c r="K99" s="134"/>
      <c r="M99" s="134"/>
    </row>
    <row r="100" customFormat="false" ht="15" hidden="false" customHeight="false" outlineLevel="0" collapsed="false">
      <c r="J100" s="134"/>
      <c r="K100" s="134"/>
      <c r="M100" s="134"/>
    </row>
    <row r="101" customFormat="false" ht="15" hidden="false" customHeight="false" outlineLevel="0" collapsed="false">
      <c r="J101" s="134"/>
      <c r="K101" s="134"/>
      <c r="M101" s="134"/>
    </row>
    <row r="102" customFormat="false" ht="15" hidden="false" customHeight="false" outlineLevel="0" collapsed="false">
      <c r="J102" s="134"/>
      <c r="K102" s="134"/>
      <c r="M102" s="134"/>
    </row>
    <row r="103" customFormat="false" ht="15" hidden="false" customHeight="false" outlineLevel="0" collapsed="false">
      <c r="J103" s="134"/>
      <c r="K103" s="134"/>
      <c r="M103" s="134"/>
    </row>
    <row r="104" customFormat="false" ht="15" hidden="false" customHeight="false" outlineLevel="0" collapsed="false">
      <c r="J104" s="134"/>
      <c r="K104" s="134"/>
      <c r="M104" s="134"/>
    </row>
    <row r="105" customFormat="false" ht="15" hidden="false" customHeight="false" outlineLevel="0" collapsed="false">
      <c r="J105" s="134"/>
      <c r="K105" s="134"/>
      <c r="M105" s="134"/>
    </row>
    <row r="106" customFormat="false" ht="15" hidden="false" customHeight="false" outlineLevel="0" collapsed="false">
      <c r="J106" s="134"/>
      <c r="K106" s="134"/>
      <c r="M106" s="134"/>
    </row>
    <row r="107" customFormat="false" ht="15" hidden="false" customHeight="false" outlineLevel="0" collapsed="false">
      <c r="J107" s="134"/>
      <c r="K107" s="134"/>
      <c r="M107" s="134"/>
    </row>
    <row r="108" customFormat="false" ht="15" hidden="false" customHeight="false" outlineLevel="0" collapsed="false">
      <c r="J108" s="134"/>
      <c r="K108" s="134"/>
      <c r="M108" s="134"/>
    </row>
    <row r="109" customFormat="false" ht="15" hidden="false" customHeight="false" outlineLevel="0" collapsed="false">
      <c r="J109" s="134"/>
      <c r="K109" s="134"/>
      <c r="M109" s="134"/>
    </row>
    <row r="110" customFormat="false" ht="15" hidden="false" customHeight="false" outlineLevel="0" collapsed="false">
      <c r="J110" s="134"/>
      <c r="K110" s="134"/>
      <c r="M110" s="134"/>
    </row>
    <row r="111" customFormat="false" ht="15" hidden="false" customHeight="false" outlineLevel="0" collapsed="false">
      <c r="J111" s="134"/>
      <c r="K111" s="134"/>
      <c r="M111" s="134"/>
    </row>
    <row r="112" customFormat="false" ht="15" hidden="false" customHeight="false" outlineLevel="0" collapsed="false">
      <c r="J112" s="134"/>
      <c r="K112" s="134"/>
      <c r="M112" s="134"/>
    </row>
    <row r="113" customFormat="false" ht="15" hidden="false" customHeight="false" outlineLevel="0" collapsed="false">
      <c r="J113" s="134"/>
      <c r="K113" s="134"/>
      <c r="M113" s="134"/>
    </row>
    <row r="114" customFormat="false" ht="15" hidden="false" customHeight="false" outlineLevel="0" collapsed="false">
      <c r="J114" s="134"/>
      <c r="K114" s="134"/>
      <c r="M114" s="134"/>
    </row>
    <row r="115" customFormat="false" ht="15" hidden="false" customHeight="false" outlineLevel="0" collapsed="false">
      <c r="J115" s="134"/>
      <c r="K115" s="134"/>
      <c r="M115" s="134"/>
    </row>
    <row r="116" customFormat="false" ht="15" hidden="false" customHeight="false" outlineLevel="0" collapsed="false">
      <c r="J116" s="134"/>
      <c r="K116" s="134"/>
      <c r="M116" s="134"/>
    </row>
    <row r="117" customFormat="false" ht="15" hidden="false" customHeight="false" outlineLevel="0" collapsed="false">
      <c r="J117" s="134"/>
      <c r="K117" s="134"/>
      <c r="M117" s="134"/>
    </row>
    <row r="118" customFormat="false" ht="15" hidden="false" customHeight="false" outlineLevel="0" collapsed="false">
      <c r="J118" s="134"/>
      <c r="K118" s="134"/>
      <c r="M118" s="134"/>
    </row>
    <row r="119" customFormat="false" ht="15" hidden="false" customHeight="false" outlineLevel="0" collapsed="false">
      <c r="J119" s="134"/>
      <c r="K119" s="134"/>
      <c r="M119" s="134"/>
    </row>
    <row r="120" customFormat="false" ht="15" hidden="false" customHeight="false" outlineLevel="0" collapsed="false">
      <c r="J120" s="134"/>
      <c r="K120" s="134"/>
      <c r="M120" s="134"/>
    </row>
    <row r="121" customFormat="false" ht="15" hidden="false" customHeight="false" outlineLevel="0" collapsed="false">
      <c r="J121" s="134"/>
      <c r="K121" s="134"/>
      <c r="M121" s="134"/>
    </row>
    <row r="122" customFormat="false" ht="15" hidden="false" customHeight="false" outlineLevel="0" collapsed="false">
      <c r="J122" s="134"/>
      <c r="K122" s="134"/>
      <c r="M122" s="134"/>
    </row>
    <row r="123" customFormat="false" ht="15" hidden="false" customHeight="false" outlineLevel="0" collapsed="false">
      <c r="J123" s="134"/>
      <c r="K123" s="134"/>
      <c r="M123" s="134"/>
    </row>
    <row r="124" customFormat="false" ht="15" hidden="false" customHeight="false" outlineLevel="0" collapsed="false">
      <c r="J124" s="134"/>
      <c r="K124" s="134"/>
      <c r="M124" s="134"/>
    </row>
    <row r="125" customFormat="false" ht="15" hidden="false" customHeight="false" outlineLevel="0" collapsed="false">
      <c r="J125" s="134"/>
      <c r="K125" s="134"/>
      <c r="M125" s="134"/>
    </row>
    <row r="126" customFormat="false" ht="15" hidden="false" customHeight="false" outlineLevel="0" collapsed="false">
      <c r="J126" s="134"/>
      <c r="K126" s="134"/>
      <c r="M126" s="134"/>
    </row>
    <row r="127" customFormat="false" ht="15" hidden="false" customHeight="false" outlineLevel="0" collapsed="false">
      <c r="J127" s="134"/>
      <c r="K127" s="134"/>
      <c r="M127" s="134"/>
    </row>
    <row r="128" customFormat="false" ht="15" hidden="false" customHeight="false" outlineLevel="0" collapsed="false">
      <c r="J128" s="134"/>
      <c r="K128" s="134"/>
      <c r="M128" s="134"/>
    </row>
    <row r="129" customFormat="false" ht="15" hidden="false" customHeight="false" outlineLevel="0" collapsed="false">
      <c r="J129" s="134"/>
      <c r="K129" s="134"/>
      <c r="M129" s="134"/>
    </row>
    <row r="130" customFormat="false" ht="15" hidden="false" customHeight="false" outlineLevel="0" collapsed="false">
      <c r="J130" s="134"/>
      <c r="K130" s="134"/>
      <c r="M130" s="134"/>
    </row>
    <row r="131" customFormat="false" ht="15" hidden="false" customHeight="false" outlineLevel="0" collapsed="false">
      <c r="J131" s="134"/>
      <c r="K131" s="134"/>
      <c r="M131" s="134"/>
    </row>
    <row r="132" customFormat="false" ht="15" hidden="false" customHeight="false" outlineLevel="0" collapsed="false">
      <c r="J132" s="134"/>
      <c r="K132" s="134"/>
      <c r="M132" s="134"/>
    </row>
    <row r="133" customFormat="false" ht="15" hidden="false" customHeight="false" outlineLevel="0" collapsed="false">
      <c r="J133" s="134"/>
      <c r="K133" s="134"/>
      <c r="M133" s="134"/>
    </row>
    <row r="134" customFormat="false" ht="15" hidden="false" customHeight="false" outlineLevel="0" collapsed="false">
      <c r="J134" s="134"/>
      <c r="K134" s="134"/>
      <c r="M134" s="134"/>
    </row>
    <row r="135" customFormat="false" ht="15" hidden="false" customHeight="false" outlineLevel="0" collapsed="false">
      <c r="J135" s="134"/>
      <c r="K135" s="134"/>
      <c r="M135" s="134"/>
    </row>
    <row r="136" customFormat="false" ht="15" hidden="false" customHeight="false" outlineLevel="0" collapsed="false">
      <c r="J136" s="134"/>
      <c r="K136" s="134"/>
      <c r="M136" s="134"/>
    </row>
    <row r="137" customFormat="false" ht="15" hidden="false" customHeight="false" outlineLevel="0" collapsed="false">
      <c r="J137" s="134"/>
      <c r="K137" s="134"/>
      <c r="M137" s="134"/>
    </row>
    <row r="138" customFormat="false" ht="15" hidden="false" customHeight="false" outlineLevel="0" collapsed="false">
      <c r="J138" s="134"/>
      <c r="K138" s="134"/>
      <c r="M138" s="134"/>
    </row>
    <row r="139" customFormat="false" ht="15" hidden="false" customHeight="false" outlineLevel="0" collapsed="false">
      <c r="J139" s="134"/>
      <c r="K139" s="134"/>
      <c r="M139" s="134"/>
    </row>
    <row r="140" customFormat="false" ht="15" hidden="false" customHeight="false" outlineLevel="0" collapsed="false">
      <c r="J140" s="134"/>
      <c r="K140" s="134"/>
      <c r="M140" s="134"/>
    </row>
    <row r="141" customFormat="false" ht="15" hidden="false" customHeight="false" outlineLevel="0" collapsed="false">
      <c r="J141" s="134"/>
      <c r="K141" s="134"/>
      <c r="M141" s="134"/>
    </row>
    <row r="142" customFormat="false" ht="15" hidden="false" customHeight="false" outlineLevel="0" collapsed="false">
      <c r="J142" s="134"/>
      <c r="K142" s="134"/>
      <c r="M142" s="134"/>
    </row>
    <row r="143" customFormat="false" ht="15" hidden="false" customHeight="false" outlineLevel="0" collapsed="false">
      <c r="J143" s="134"/>
      <c r="K143" s="134"/>
      <c r="M143" s="134"/>
    </row>
    <row r="144" customFormat="false" ht="15" hidden="false" customHeight="false" outlineLevel="0" collapsed="false">
      <c r="J144" s="134"/>
      <c r="K144" s="134"/>
      <c r="M144" s="134"/>
    </row>
    <row r="145" customFormat="false" ht="15" hidden="false" customHeight="false" outlineLevel="0" collapsed="false">
      <c r="J145" s="134"/>
      <c r="K145" s="134"/>
      <c r="M145" s="134"/>
    </row>
    <row r="146" customFormat="false" ht="15" hidden="false" customHeight="false" outlineLevel="0" collapsed="false">
      <c r="J146" s="134"/>
      <c r="K146" s="134"/>
      <c r="M146" s="134"/>
    </row>
    <row r="147" customFormat="false" ht="15" hidden="false" customHeight="false" outlineLevel="0" collapsed="false">
      <c r="J147" s="134"/>
      <c r="K147" s="134"/>
      <c r="M147" s="134"/>
    </row>
    <row r="148" customFormat="false" ht="15" hidden="false" customHeight="false" outlineLevel="0" collapsed="false">
      <c r="J148" s="134"/>
      <c r="K148" s="134"/>
      <c r="M148" s="134"/>
    </row>
    <row r="149" customFormat="false" ht="15" hidden="false" customHeight="false" outlineLevel="0" collapsed="false">
      <c r="J149" s="134"/>
      <c r="K149" s="134"/>
      <c r="M149" s="134"/>
    </row>
    <row r="150" customFormat="false" ht="15" hidden="false" customHeight="false" outlineLevel="0" collapsed="false">
      <c r="J150" s="134"/>
      <c r="K150" s="134"/>
      <c r="M150" s="134"/>
    </row>
    <row r="151" customFormat="false" ht="15" hidden="false" customHeight="false" outlineLevel="0" collapsed="false">
      <c r="J151" s="134"/>
      <c r="K151" s="134"/>
      <c r="M151" s="134"/>
    </row>
    <row r="152" customFormat="false" ht="15" hidden="false" customHeight="false" outlineLevel="0" collapsed="false">
      <c r="J152" s="134"/>
      <c r="K152" s="134"/>
      <c r="M152" s="134"/>
    </row>
    <row r="153" customFormat="false" ht="15" hidden="false" customHeight="false" outlineLevel="0" collapsed="false">
      <c r="J153" s="134"/>
      <c r="K153" s="134"/>
      <c r="M153" s="134"/>
    </row>
    <row r="154" customFormat="false" ht="15" hidden="false" customHeight="false" outlineLevel="0" collapsed="false">
      <c r="J154" s="134"/>
      <c r="K154" s="134"/>
      <c r="M154" s="134"/>
    </row>
    <row r="155" customFormat="false" ht="15" hidden="false" customHeight="false" outlineLevel="0" collapsed="false">
      <c r="J155" s="134"/>
      <c r="K155" s="134"/>
      <c r="M155" s="134"/>
    </row>
    <row r="156" customFormat="false" ht="15" hidden="false" customHeight="false" outlineLevel="0" collapsed="false">
      <c r="J156" s="134"/>
      <c r="K156" s="134"/>
      <c r="M156" s="134"/>
    </row>
    <row r="157" customFormat="false" ht="15" hidden="false" customHeight="false" outlineLevel="0" collapsed="false">
      <c r="J157" s="134"/>
      <c r="K157" s="134"/>
      <c r="M157" s="134"/>
    </row>
    <row r="158" customFormat="false" ht="15" hidden="false" customHeight="false" outlineLevel="0" collapsed="false">
      <c r="J158" s="134"/>
      <c r="K158" s="134"/>
      <c r="M158" s="134"/>
    </row>
    <row r="159" customFormat="false" ht="15" hidden="false" customHeight="false" outlineLevel="0" collapsed="false">
      <c r="J159" s="134"/>
      <c r="K159" s="134"/>
      <c r="M159" s="134"/>
    </row>
    <row r="160" customFormat="false" ht="15" hidden="false" customHeight="false" outlineLevel="0" collapsed="false">
      <c r="J160" s="134"/>
      <c r="K160" s="134"/>
      <c r="M160" s="134"/>
    </row>
    <row r="161" customFormat="false" ht="15" hidden="false" customHeight="false" outlineLevel="0" collapsed="false">
      <c r="J161" s="134"/>
      <c r="K161" s="134"/>
      <c r="M161" s="134"/>
    </row>
    <row r="162" customFormat="false" ht="15" hidden="false" customHeight="false" outlineLevel="0" collapsed="false">
      <c r="J162" s="134"/>
      <c r="K162" s="134"/>
      <c r="M162" s="134"/>
    </row>
    <row r="163" customFormat="false" ht="15" hidden="false" customHeight="false" outlineLevel="0" collapsed="false">
      <c r="J163" s="134"/>
      <c r="K163" s="134"/>
      <c r="M163" s="134"/>
    </row>
    <row r="164" customFormat="false" ht="15" hidden="false" customHeight="false" outlineLevel="0" collapsed="false">
      <c r="J164" s="134"/>
      <c r="K164" s="134"/>
      <c r="M164" s="134"/>
    </row>
    <row r="165" customFormat="false" ht="15" hidden="false" customHeight="false" outlineLevel="0" collapsed="false">
      <c r="J165" s="134"/>
      <c r="K165" s="134"/>
      <c r="M165" s="134"/>
    </row>
    <row r="166" customFormat="false" ht="15" hidden="false" customHeight="false" outlineLevel="0" collapsed="false">
      <c r="J166" s="134"/>
      <c r="K166" s="134"/>
      <c r="M166" s="134"/>
    </row>
    <row r="167" customFormat="false" ht="15" hidden="false" customHeight="false" outlineLevel="0" collapsed="false">
      <c r="J167" s="134"/>
      <c r="K167" s="134"/>
      <c r="M167" s="134"/>
    </row>
    <row r="168" customFormat="false" ht="15" hidden="false" customHeight="false" outlineLevel="0" collapsed="false">
      <c r="J168" s="134"/>
      <c r="K168" s="134"/>
      <c r="M168" s="134"/>
    </row>
    <row r="169" customFormat="false" ht="15" hidden="false" customHeight="false" outlineLevel="0" collapsed="false">
      <c r="J169" s="134"/>
      <c r="K169" s="134"/>
      <c r="M169" s="134"/>
    </row>
    <row r="170" customFormat="false" ht="15" hidden="false" customHeight="false" outlineLevel="0" collapsed="false">
      <c r="J170" s="134"/>
      <c r="K170" s="134"/>
      <c r="M170" s="134"/>
    </row>
    <row r="171" customFormat="false" ht="15" hidden="false" customHeight="false" outlineLevel="0" collapsed="false">
      <c r="J171" s="134"/>
      <c r="K171" s="134"/>
      <c r="M171" s="134"/>
    </row>
    <row r="172" customFormat="false" ht="15" hidden="false" customHeight="false" outlineLevel="0" collapsed="false">
      <c r="J172" s="134"/>
      <c r="K172" s="134"/>
      <c r="M172" s="134"/>
    </row>
    <row r="173" customFormat="false" ht="15" hidden="false" customHeight="false" outlineLevel="0" collapsed="false">
      <c r="J173" s="134"/>
      <c r="K173" s="134"/>
      <c r="M173" s="134"/>
    </row>
    <row r="174" customFormat="false" ht="15" hidden="false" customHeight="false" outlineLevel="0" collapsed="false">
      <c r="J174" s="134"/>
      <c r="K174" s="134"/>
      <c r="M174" s="134"/>
    </row>
    <row r="175" customFormat="false" ht="15" hidden="false" customHeight="false" outlineLevel="0" collapsed="false">
      <c r="J175" s="134"/>
      <c r="K175" s="134"/>
      <c r="M175" s="134"/>
    </row>
    <row r="176" customFormat="false" ht="15" hidden="false" customHeight="false" outlineLevel="0" collapsed="false">
      <c r="J176" s="134"/>
      <c r="K176" s="134"/>
      <c r="M176" s="134"/>
    </row>
    <row r="177" customFormat="false" ht="15" hidden="false" customHeight="false" outlineLevel="0" collapsed="false">
      <c r="J177" s="134"/>
      <c r="K177" s="134"/>
      <c r="M177" s="134"/>
    </row>
    <row r="178" customFormat="false" ht="15" hidden="false" customHeight="false" outlineLevel="0" collapsed="false">
      <c r="J178" s="134"/>
      <c r="K178" s="134"/>
      <c r="M178" s="134"/>
    </row>
    <row r="179" customFormat="false" ht="15" hidden="false" customHeight="false" outlineLevel="0" collapsed="false">
      <c r="J179" s="134"/>
      <c r="K179" s="134"/>
      <c r="M179" s="134"/>
    </row>
    <row r="180" customFormat="false" ht="15" hidden="false" customHeight="false" outlineLevel="0" collapsed="false">
      <c r="J180" s="134"/>
      <c r="K180" s="134"/>
      <c r="M180" s="134"/>
    </row>
    <row r="181" customFormat="false" ht="15" hidden="false" customHeight="false" outlineLevel="0" collapsed="false">
      <c r="J181" s="134"/>
      <c r="K181" s="134"/>
      <c r="M181" s="134"/>
    </row>
    <row r="182" customFormat="false" ht="15" hidden="false" customHeight="false" outlineLevel="0" collapsed="false">
      <c r="J182" s="134"/>
      <c r="K182" s="134"/>
      <c r="M182" s="134"/>
    </row>
    <row r="183" customFormat="false" ht="15" hidden="false" customHeight="false" outlineLevel="0" collapsed="false">
      <c r="J183" s="134"/>
      <c r="K183" s="134"/>
      <c r="M183" s="134"/>
    </row>
    <row r="184" customFormat="false" ht="15" hidden="false" customHeight="false" outlineLevel="0" collapsed="false">
      <c r="J184" s="134"/>
      <c r="K184" s="134"/>
      <c r="M184" s="134"/>
    </row>
    <row r="185" customFormat="false" ht="15" hidden="false" customHeight="false" outlineLevel="0" collapsed="false">
      <c r="J185" s="134"/>
      <c r="K185" s="134"/>
      <c r="M185" s="134"/>
    </row>
    <row r="186" customFormat="false" ht="15" hidden="false" customHeight="false" outlineLevel="0" collapsed="false">
      <c r="J186" s="134"/>
      <c r="K186" s="134"/>
      <c r="M186" s="134"/>
    </row>
    <row r="187" customFormat="false" ht="15" hidden="false" customHeight="false" outlineLevel="0" collapsed="false">
      <c r="J187" s="134"/>
      <c r="K187" s="134"/>
      <c r="M187" s="134"/>
    </row>
    <row r="188" customFormat="false" ht="15" hidden="false" customHeight="false" outlineLevel="0" collapsed="false">
      <c r="J188" s="134"/>
      <c r="K188" s="134"/>
      <c r="M188" s="134"/>
    </row>
    <row r="189" customFormat="false" ht="15" hidden="false" customHeight="false" outlineLevel="0" collapsed="false">
      <c r="J189" s="134"/>
      <c r="K189" s="134"/>
      <c r="M189" s="134"/>
    </row>
    <row r="190" customFormat="false" ht="15" hidden="false" customHeight="false" outlineLevel="0" collapsed="false">
      <c r="J190" s="134"/>
      <c r="K190" s="134"/>
      <c r="M190" s="134"/>
    </row>
    <row r="191" customFormat="false" ht="15" hidden="false" customHeight="false" outlineLevel="0" collapsed="false">
      <c r="J191" s="134"/>
      <c r="K191" s="134"/>
      <c r="M191" s="134"/>
    </row>
    <row r="192" customFormat="false" ht="15" hidden="false" customHeight="false" outlineLevel="0" collapsed="false">
      <c r="J192" s="134"/>
      <c r="K192" s="134"/>
      <c r="M192" s="134"/>
    </row>
    <row r="193" customFormat="false" ht="15" hidden="false" customHeight="false" outlineLevel="0" collapsed="false">
      <c r="J193" s="134"/>
      <c r="K193" s="134"/>
      <c r="M193" s="134"/>
    </row>
    <row r="194" customFormat="false" ht="15" hidden="false" customHeight="false" outlineLevel="0" collapsed="false">
      <c r="J194" s="134"/>
      <c r="K194" s="134"/>
      <c r="M194" s="134"/>
    </row>
    <row r="195" customFormat="false" ht="15" hidden="false" customHeight="false" outlineLevel="0" collapsed="false">
      <c r="J195" s="134"/>
      <c r="K195" s="134"/>
      <c r="M195" s="134"/>
    </row>
    <row r="196" customFormat="false" ht="15" hidden="false" customHeight="false" outlineLevel="0" collapsed="false">
      <c r="J196" s="134"/>
      <c r="K196" s="134"/>
      <c r="M196" s="134"/>
    </row>
    <row r="197" customFormat="false" ht="15" hidden="false" customHeight="false" outlineLevel="0" collapsed="false">
      <c r="J197" s="134"/>
      <c r="K197" s="134"/>
      <c r="M197" s="134"/>
    </row>
    <row r="198" customFormat="false" ht="15" hidden="false" customHeight="false" outlineLevel="0" collapsed="false">
      <c r="J198" s="134"/>
      <c r="K198" s="134"/>
      <c r="M198" s="134"/>
    </row>
    <row r="199" customFormat="false" ht="15" hidden="false" customHeight="false" outlineLevel="0" collapsed="false">
      <c r="J199" s="134"/>
      <c r="K199" s="134"/>
      <c r="M199" s="134"/>
    </row>
    <row r="200" customFormat="false" ht="15" hidden="false" customHeight="false" outlineLevel="0" collapsed="false">
      <c r="J200" s="134"/>
      <c r="K200" s="134"/>
      <c r="M200" s="134"/>
    </row>
    <row r="201" customFormat="false" ht="15" hidden="false" customHeight="false" outlineLevel="0" collapsed="false">
      <c r="J201" s="134"/>
      <c r="K201" s="134"/>
      <c r="M201" s="134"/>
    </row>
    <row r="202" customFormat="false" ht="15" hidden="false" customHeight="false" outlineLevel="0" collapsed="false">
      <c r="J202" s="134"/>
      <c r="K202" s="134"/>
      <c r="M202" s="134"/>
    </row>
    <row r="203" customFormat="false" ht="15" hidden="false" customHeight="false" outlineLevel="0" collapsed="false">
      <c r="J203" s="134"/>
      <c r="K203" s="134"/>
      <c r="M203" s="134"/>
    </row>
    <row r="204" customFormat="false" ht="15" hidden="false" customHeight="false" outlineLevel="0" collapsed="false">
      <c r="J204" s="134"/>
      <c r="K204" s="134"/>
      <c r="M204" s="134"/>
    </row>
  </sheetData>
  <sheetProtection sheet="true" formatColumns="false" formatRows="false"/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2026-07-06T14:47:07Z</dcterms:created>
  <dc:creator>openpyxl</dc:creator>
  <dc:description/>
  <dc:language>en-US</dc:language>
  <cp:lastModifiedBy>Robert Lisowski</cp:lastModifiedBy>
  <dcterms:modified xsi:type="dcterms:W3CDTF">2026-08-02T01:23:20Z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